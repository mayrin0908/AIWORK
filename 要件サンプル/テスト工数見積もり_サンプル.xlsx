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見積りの基礎" sheetId="1" state="visible" r:id="rId1"/>
    <sheet name="例題（サンプル案件）" sheetId="2" state="visible" r:id="rId2"/>
    <sheet name="リスク分析" sheetId="3" state="visible" r:id="rId3"/>
    <sheet name="見積り本体（数式入り）" sheetId="4" state="visible" r:id="rId4"/>
    <sheet name="注意チェックリス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color rgb="00808080"/>
      <sz val="10"/>
    </font>
    <font>
      <b val="1"/>
      <sz val="12"/>
    </font>
    <font>
      <b val="1"/>
      <color rgb="00FFFFFF"/>
      <sz val="11"/>
    </font>
    <font>
      <i val="1"/>
      <color rgb="001F4E78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5" borderId="1" pivotButton="0" quotePrefix="0" xfId="0"/>
    <xf numFmtId="164" fontId="6" fillId="5" borderId="1" applyAlignment="1" pivotButton="0" quotePrefix="0" xfId="0">
      <alignment horizontal="center" vertical="center" wrapText="1"/>
    </xf>
    <xf numFmtId="9" fontId="0" fillId="3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right" vertical="center"/>
    </xf>
    <xf numFmtId="0" fontId="6" fillId="0" borderId="1" pivotButton="0" quotePrefix="0" xfId="0"/>
    <xf numFmtId="164" fontId="6" fillId="4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</cols>
  <sheetData>
    <row r="1">
      <c r="A1" s="1" t="inlineStr">
        <is>
          <t>テスト工数見積もり サンプル（学習用）</t>
        </is>
      </c>
    </row>
    <row r="2">
      <c r="A2" s="2" t="inlineStr">
        <is>
          <t>JSTQB ALTM（テストマネジメント V3.0）準拠 ／ 数字はすべて仮。前提を差し替えて再利用可</t>
        </is>
      </c>
    </row>
    <row r="4">
      <c r="A4" s="3" t="inlineStr">
        <is>
          <t>テスト工数見積もりとは / なぜ必要か</t>
        </is>
      </c>
    </row>
    <row r="5">
      <c r="A5" t="inlineStr">
        <is>
          <t>・テスト完了までに必要な時間・工数・コストを数値で予測すること。</t>
        </is>
      </c>
    </row>
    <row r="6">
      <c r="A6" t="inlineStr">
        <is>
          <t>・受注前に『いくら・何日か』を提示し、単価と納期を合意するため。</t>
        </is>
      </c>
    </row>
    <row r="7">
      <c r="A7" t="inlineStr">
        <is>
          <t>・時間−コスト−品質はトレードオフ。どこを削るかを発注者と交渉する土台になる。</t>
        </is>
      </c>
    </row>
    <row r="8">
      <c r="A8" t="inlineStr">
        <is>
          <t>・前提を明記しておくと、後から仕様が増えたとき『追加費用です』と主張できる（防衛線）。</t>
        </is>
      </c>
    </row>
    <row r="10">
      <c r="A10" s="3" t="inlineStr">
        <is>
          <t>代表的な見積もり技法</t>
        </is>
      </c>
    </row>
    <row r="11">
      <c r="A11" s="4" t="inlineStr">
        <is>
          <t>技法</t>
        </is>
      </c>
      <c r="B11" s="4" t="inlineStr">
        <is>
          <t>中身</t>
        </is>
      </c>
      <c r="C11" s="4" t="inlineStr">
        <is>
          <t>使いどころ</t>
        </is>
      </c>
    </row>
    <row r="12">
      <c r="A12" s="5" t="inlineStr">
        <is>
          <t>作業分解(WBS)ベース</t>
        </is>
      </c>
      <c r="B12" s="5" t="inlineStr">
        <is>
          <t>タスクを細かく分解し、各タスクの工数を足し上げる</t>
        </is>
      </c>
      <c r="C12" s="5" t="inlineStr">
        <is>
          <t>初学者の基本。抜け漏れが見え、根拠を説明しやすい</t>
        </is>
      </c>
    </row>
    <row r="13">
      <c r="A13" s="5" t="inlineStr">
        <is>
          <t>類推(過去実績)ベース</t>
        </is>
      </c>
      <c r="B13" s="5" t="inlineStr">
        <is>
          <t>似た過去案件の実績から『今回はその0.8倍』等で推定</t>
        </is>
      </c>
      <c r="C13" s="5" t="inlineStr">
        <is>
          <t>実績が溜まれば最速。初回は使えない</t>
        </is>
      </c>
    </row>
    <row r="14">
      <c r="A14" s="5" t="inlineStr">
        <is>
          <t>比率(開発工数比)ベース</t>
        </is>
      </c>
      <c r="B14" s="5" t="inlineStr">
        <is>
          <t>開発工数の◯%をテスト工数とする（例: 25〜40%）</t>
        </is>
      </c>
      <c r="C14" s="5" t="inlineStr">
        <is>
          <t>開発見積りがある時のざっくり妥当性チェック</t>
        </is>
      </c>
    </row>
    <row r="16">
      <c r="A16" s="6" t="inlineStr">
        <is>
          <t>本サンプルの方式 = 『WBSベース ＋ 三点見積り(PERT)』。誤差の幅も示せるのが利点。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例題：ECサイト会員機能のシステムテスト</t>
        </is>
      </c>
    </row>
    <row r="3">
      <c r="A3" s="7" t="inlineStr">
        <is>
          <t>案件概要</t>
        </is>
      </c>
    </row>
    <row r="4">
      <c r="A4" t="inlineStr">
        <is>
          <t>ECサイトの会員機能を対象としたシステムテスト。対象4機能：</t>
        </is>
      </c>
    </row>
    <row r="5">
      <c r="A5" t="inlineStr">
        <is>
          <t>・ログイン（アカウントロック含む）</t>
        </is>
      </c>
    </row>
    <row r="6">
      <c r="A6" t="inlineStr">
        <is>
          <t>・会員登録（入力バリデーション・確認メール）</t>
        </is>
      </c>
    </row>
    <row r="7">
      <c r="A7" t="inlineStr">
        <is>
          <t>・商品検索（キーワード・絞り込み）</t>
        </is>
      </c>
    </row>
    <row r="8">
      <c r="A8" t="inlineStr">
        <is>
          <t>・カート（追加・数量変更・削除・金額計算）</t>
        </is>
      </c>
    </row>
    <row r="10">
      <c r="A10" s="4" t="inlineStr">
        <is>
          <t>前提・制約</t>
        </is>
      </c>
      <c r="B10" s="4" t="inlineStr">
        <is>
          <t>内容</t>
        </is>
      </c>
    </row>
    <row r="11">
      <c r="A11" s="5" t="inlineStr">
        <is>
          <t>体制</t>
        </is>
      </c>
      <c r="B11" s="5" t="inlineStr">
        <is>
          <t>フリーランスQA 1名（設計〜実行〜報告まで単独）</t>
        </is>
      </c>
    </row>
    <row r="12">
      <c r="A12" s="5" t="inlineStr">
        <is>
          <t>テストレベル</t>
        </is>
      </c>
      <c r="B12" s="5" t="inlineStr">
        <is>
          <t>システムテスト（結合済みの動く環境が提供される前提）</t>
        </is>
      </c>
    </row>
    <row r="13">
      <c r="A13" s="5" t="inlineStr">
        <is>
          <t>期間</t>
        </is>
      </c>
      <c r="B13" s="5" t="inlineStr">
        <is>
          <t>約3週間（土日除く実働15営業日想定）</t>
        </is>
      </c>
    </row>
    <row r="14">
      <c r="A14" s="5" t="inlineStr">
        <is>
          <t>対象ブラウザ/端末</t>
        </is>
      </c>
      <c r="B14" s="5" t="inlineStr">
        <is>
          <t>Chrome(PC)・Safari(iPhone) の2構成のみ</t>
        </is>
      </c>
    </row>
    <row r="15">
      <c r="A15" s="5" t="inlineStr">
        <is>
          <t>自動化</t>
        </is>
      </c>
      <c r="B15" s="5" t="inlineStr">
        <is>
          <t>ログインのリグレッションのみPlaywrightでE2E自動化。他は手動</t>
        </is>
      </c>
    </row>
    <row r="16">
      <c r="A16" s="5" t="inlineStr">
        <is>
          <t>ツール</t>
        </is>
      </c>
      <c r="B16" s="5" t="inlineStr">
        <is>
          <t>テスト管理は表計算、欠陥管理はGitHub Issues</t>
        </is>
      </c>
    </row>
    <row r="17">
      <c r="A17" s="5" t="inlineStr">
        <is>
          <t>稼働単価（仮）</t>
        </is>
      </c>
      <c r="B17" s="5" t="inlineStr">
        <is>
          <t>40,000円 / 人日</t>
        </is>
      </c>
    </row>
    <row r="19">
      <c r="A19" s="4" t="inlineStr">
        <is>
          <t>対象（In Scope）</t>
        </is>
      </c>
      <c r="B19" s="4" t="inlineStr">
        <is>
          <t>対象外（Out of Scope）</t>
        </is>
      </c>
    </row>
    <row r="20">
      <c r="A20" s="5" t="inlineStr">
        <is>
          <t>4機能の機能テスト（正常/異常/境界値）</t>
        </is>
      </c>
      <c r="B20" s="5" t="inlineStr">
        <is>
          <t>決済ゲートウェイ本体（外部・モック代替）</t>
        </is>
      </c>
    </row>
    <row r="21">
      <c r="A21" s="5" t="inlineStr">
        <is>
          <t>ログインのセキュリティ観点（ロック・総当たり）</t>
        </is>
      </c>
      <c r="B21" s="5" t="inlineStr">
        <is>
          <t>性能・負荷テスト</t>
        </is>
      </c>
    </row>
    <row r="22">
      <c r="A22" s="5" t="inlineStr">
        <is>
          <t>ログインのE2E自動化</t>
        </is>
      </c>
      <c r="B22" s="5" t="inlineStr">
        <is>
          <t>脆弱性診断（専門ベンダー領域）</t>
        </is>
      </c>
    </row>
    <row r="23">
      <c r="A23" s="5" t="inlineStr">
        <is>
          <t>Chrome/Safari 2構成</t>
        </is>
      </c>
      <c r="B23" s="5" t="inlineStr">
        <is>
          <t>多言語・多通貨対応 / 上記2構成以外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8" customWidth="1" min="4" max="4"/>
    <col width="40" customWidth="1" min="5" max="5"/>
  </cols>
  <sheetData>
    <row r="1">
      <c r="A1" s="1" t="inlineStr">
        <is>
          <t>リスク分析（リスクベースで厚みを決める）</t>
        </is>
      </c>
    </row>
    <row r="2">
      <c r="A2" s="2" t="inlineStr">
        <is>
          <t>影響度 × 発生可能性 で優先度を決め、高リスクほどテスト工数を厚くする</t>
        </is>
      </c>
    </row>
    <row r="4">
      <c r="A4" s="4" t="inlineStr">
        <is>
          <t>テスト対象</t>
        </is>
      </c>
      <c r="B4" s="4" t="inlineStr">
        <is>
          <t>影響度</t>
        </is>
      </c>
      <c r="C4" s="4" t="inlineStr">
        <is>
          <t>発生可能性</t>
        </is>
      </c>
      <c r="D4" s="4" t="inlineStr">
        <is>
          <t>優先度</t>
        </is>
      </c>
      <c r="E4" s="4" t="inlineStr">
        <is>
          <t>対策（テストの厚み）</t>
        </is>
      </c>
    </row>
    <row r="5">
      <c r="A5" s="5" t="inlineStr">
        <is>
          <t>カート金額計算</t>
        </is>
      </c>
      <c r="B5" s="5" t="inlineStr">
        <is>
          <t>高（金銭に直結）</t>
        </is>
      </c>
      <c r="C5" s="5" t="inlineStr">
        <is>
          <t>中</t>
        </is>
      </c>
      <c r="D5" s="8" t="inlineStr">
        <is>
          <t>最高</t>
        </is>
      </c>
      <c r="E5" s="5" t="inlineStr">
        <is>
          <t>境界値・組合せを厚く。ケース多め</t>
        </is>
      </c>
    </row>
    <row r="6">
      <c r="A6" s="5" t="inlineStr">
        <is>
          <t>ログイン/アカウントロック</t>
        </is>
      </c>
      <c r="B6" s="5" t="inlineStr">
        <is>
          <t>高（不正・締め出し）</t>
        </is>
      </c>
      <c r="C6" s="5" t="inlineStr">
        <is>
          <t>中</t>
        </is>
      </c>
      <c r="D6" s="8" t="inlineStr">
        <is>
          <t>高</t>
        </is>
      </c>
      <c r="E6" s="5" t="inlineStr">
        <is>
          <t>異常系＋自動化でリグレッション担保</t>
        </is>
      </c>
    </row>
    <row r="7">
      <c r="A7" s="5" t="inlineStr">
        <is>
          <t>会員登録バリデーション</t>
        </is>
      </c>
      <c r="B7" s="5" t="inlineStr">
        <is>
          <t>中</t>
        </is>
      </c>
      <c r="C7" s="5" t="inlineStr">
        <is>
          <t>高（入力起因が多い）</t>
        </is>
      </c>
      <c r="D7" s="8" t="inlineStr">
        <is>
          <t>高</t>
        </is>
      </c>
      <c r="E7" s="5" t="inlineStr">
        <is>
          <t>同値分割・境界値を網羅</t>
        </is>
      </c>
    </row>
    <row r="8">
      <c r="A8" s="5" t="inlineStr">
        <is>
          <t>商品検索</t>
        </is>
      </c>
      <c r="B8" s="5" t="inlineStr">
        <is>
          <t>中</t>
        </is>
      </c>
      <c r="C8" s="5" t="inlineStr">
        <is>
          <t>中</t>
        </is>
      </c>
      <c r="D8" s="8" t="inlineStr">
        <is>
          <t>中</t>
        </is>
      </c>
      <c r="E8" s="5" t="inlineStr">
        <is>
          <t>主要導線を確実に。組合せは代表値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9" customWidth="1" min="4" max="4"/>
    <col width="12" customWidth="1" min="5" max="5"/>
    <col width="52" customWidth="1" min="6" max="6"/>
  </cols>
  <sheetData>
    <row r="1">
      <c r="A1" s="1" t="inlineStr">
        <is>
          <t>WBS＋三点見積り(PERT)  ※黄=入力 / 緑=自動計算</t>
        </is>
      </c>
    </row>
    <row r="2">
      <c r="A2" s="2" t="inlineStr">
        <is>
          <t>期待値 =(楽観+4×最可能+悲観)/6。数字(楽観/最可能/悲観・バッファ率・単価)を変えると自動で再計算されます。</t>
        </is>
      </c>
    </row>
    <row r="4">
      <c r="A4" s="4" t="inlineStr">
        <is>
          <t>タスク</t>
        </is>
      </c>
      <c r="B4" s="4" t="inlineStr">
        <is>
          <t>楽観(a)</t>
        </is>
      </c>
      <c r="C4" s="4" t="inlineStr">
        <is>
          <t>最可能(m)</t>
        </is>
      </c>
      <c r="D4" s="4" t="inlineStr">
        <is>
          <t>悲観(b)</t>
        </is>
      </c>
      <c r="E4" s="4" t="inlineStr">
        <is>
          <t>期待値(PERT)</t>
        </is>
      </c>
      <c r="F4" s="4" t="inlineStr">
        <is>
          <t>前提・根拠</t>
        </is>
      </c>
    </row>
    <row r="5">
      <c r="A5" s="9" t="inlineStr">
        <is>
          <t>1. テスト計画</t>
        </is>
      </c>
      <c r="B5" s="10" t="n">
        <v>1</v>
      </c>
      <c r="C5" s="10" t="n">
        <v>2</v>
      </c>
      <c r="D5" s="10" t="n">
        <v>3</v>
      </c>
      <c r="E5" s="11">
        <f>(B5+4*C5+D5)/6</f>
        <v/>
      </c>
      <c r="F5" s="5" t="inlineStr">
        <is>
          <t>計画書・スコープ・リスク表を作成。発注者確認1往復想定</t>
        </is>
      </c>
    </row>
    <row r="6">
      <c r="A6" s="9" t="inlineStr">
        <is>
          <t>2. テスト分析・設計</t>
        </is>
      </c>
      <c r="B6" s="10" t="n">
        <v>3</v>
      </c>
      <c r="C6" s="10" t="n">
        <v>5</v>
      </c>
      <c r="D6" s="10" t="n">
        <v>8</v>
      </c>
      <c r="E6" s="11">
        <f>(B6+4*C6+D6)/6</f>
        <v/>
      </c>
      <c r="F6" s="5" t="inlineStr">
        <is>
          <t>4機能で約120〜150ケース。カート/登録を厚く。同値分割/境界値/状態遷移</t>
        </is>
      </c>
    </row>
    <row r="7">
      <c r="A7" s="9" t="inlineStr">
        <is>
          <t>3. テスト実装</t>
        </is>
      </c>
      <c r="B7" s="10" t="n">
        <v>2</v>
      </c>
      <c r="C7" s="10" t="n">
        <v>4</v>
      </c>
      <c r="D7" s="10" t="n">
        <v>7</v>
      </c>
      <c r="E7" s="11">
        <f>(B7+4*C7+D7)/6</f>
        <v/>
      </c>
      <c r="F7" s="5" t="inlineStr">
        <is>
          <t>テストデータ準備＋ログインE2E自動化。環境不備リスクで悲観大</t>
        </is>
      </c>
    </row>
    <row r="8">
      <c r="A8" s="9" t="inlineStr">
        <is>
          <t>4. テスト実行</t>
        </is>
      </c>
      <c r="B8" s="10" t="n">
        <v>4</v>
      </c>
      <c r="C8" s="10" t="n">
        <v>6</v>
      </c>
      <c r="D8" s="10" t="n">
        <v>10</v>
      </c>
      <c r="E8" s="11">
        <f>(B8+4*C8+D8)/6</f>
        <v/>
      </c>
      <c r="F8" s="5" t="inlineStr">
        <is>
          <t>手動120ケース＋自動回帰。再実行1周分含む。不具合多発で悲観化</t>
        </is>
      </c>
    </row>
    <row r="9">
      <c r="A9" s="9" t="inlineStr">
        <is>
          <t>5. 欠陥対応</t>
        </is>
      </c>
      <c r="B9" s="10" t="n">
        <v>2</v>
      </c>
      <c r="C9" s="10" t="n">
        <v>3</v>
      </c>
      <c r="D9" s="10" t="n">
        <v>6</v>
      </c>
      <c r="E9" s="11">
        <f>(B9+4*C9+D9)/6</f>
        <v/>
      </c>
      <c r="F9" s="5" t="inlineStr">
        <is>
          <t>起票・切り分け・再テスト。想定20〜30件。差し戻し往復で変動</t>
        </is>
      </c>
    </row>
    <row r="10">
      <c r="A10" s="9" t="inlineStr">
        <is>
          <t>6. 報告・完了</t>
        </is>
      </c>
      <c r="B10" s="10" t="n">
        <v>1</v>
      </c>
      <c r="C10" s="10" t="n">
        <v>1.5</v>
      </c>
      <c r="D10" s="10" t="n">
        <v>3</v>
      </c>
      <c r="E10" s="11">
        <f>(B10+4*C10+D10)/6</f>
        <v/>
      </c>
      <c r="F10" s="5" t="inlineStr">
        <is>
          <t>完了レポート・メトリクス集計・引き継ぎ（残欠陥の申し送り）</t>
        </is>
      </c>
    </row>
    <row r="11">
      <c r="A11" s="12" t="inlineStr">
        <is>
          <t>合計</t>
        </is>
      </c>
      <c r="B11" s="13">
        <f>SUM(B5:B10)</f>
        <v/>
      </c>
      <c r="C11" s="13">
        <f>SUM(C5:C10)</f>
        <v/>
      </c>
      <c r="D11" s="13">
        <f>SUM(D5:D10)</f>
        <v/>
      </c>
      <c r="E11" s="13">
        <f>SUM(E5:E10)</f>
        <v/>
      </c>
    </row>
    <row r="13">
      <c r="A13" s="3" t="inlineStr">
        <is>
          <t>パラメータ（黄セルを編集）</t>
        </is>
      </c>
    </row>
    <row r="14">
      <c r="A14" s="9" t="inlineStr">
        <is>
          <t>リスクバッファ率</t>
        </is>
      </c>
      <c r="B14" s="14" t="n">
        <v>0.15</v>
      </c>
    </row>
    <row r="15">
      <c r="A15" s="9" t="inlineStr">
        <is>
          <t>単価（円/人日）</t>
        </is>
      </c>
      <c r="B15" s="15" t="n">
        <v>40000</v>
      </c>
    </row>
    <row r="17">
      <c r="A17" s="3" t="inlineStr">
        <is>
          <t>概算金額（自動計算）</t>
        </is>
      </c>
    </row>
    <row r="18">
      <c r="A18" s="4" t="inlineStr">
        <is>
          <t>シナリオ</t>
        </is>
      </c>
      <c r="B18" s="4" t="inlineStr">
        <is>
          <t>工数(人日)</t>
        </is>
      </c>
      <c r="C18" s="4" t="inlineStr">
        <is>
          <t>概算金額(円)</t>
        </is>
      </c>
      <c r="D18" s="4" t="inlineStr">
        <is>
          <t>備考</t>
        </is>
      </c>
    </row>
    <row r="19">
      <c r="A19" s="9" t="inlineStr">
        <is>
          <t>楽観</t>
        </is>
      </c>
      <c r="B19" s="11">
        <f>B11</f>
        <v/>
      </c>
      <c r="C19" s="16">
        <f>B19*B15</f>
        <v/>
      </c>
      <c r="D19" s="5" t="inlineStr">
        <is>
          <t>全タスク楽観値。理想ケース</t>
        </is>
      </c>
    </row>
    <row r="20">
      <c r="A20" s="17" t="inlineStr">
        <is>
          <t>提示（期待＋バッファ）</t>
        </is>
      </c>
      <c r="B20" s="18">
        <f>E11*(1+B14)</f>
        <v/>
      </c>
      <c r="C20" s="19">
        <f>B20*B15</f>
        <v/>
      </c>
      <c r="D20" s="5" t="inlineStr">
        <is>
          <t>PERT期待値にリスクバッファを上乗せ。これを見積書に出す</t>
        </is>
      </c>
    </row>
    <row r="21">
      <c r="A21" s="9" t="inlineStr">
        <is>
          <t>悲観</t>
        </is>
      </c>
      <c r="B21" s="11">
        <f>D11</f>
        <v/>
      </c>
      <c r="C21" s="16">
        <f>B21*B15</f>
        <v/>
      </c>
      <c r="D21" s="5" t="inlineStr">
        <is>
          <t>リスクが重なった最悪値。上限の目安</t>
        </is>
      </c>
    </row>
    <row r="23">
      <c r="A23" s="2" t="inlineStr">
        <is>
          <t>※ 想定期間: 提示工数 ÷ 実働 ≈ 約4〜5週間（1名・レビュー待ち込み）。3週間希望なら2名体制か範囲縮小を交渉。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2" customWidth="1" min="1" max="1"/>
    <col width="78" customWidth="1" min="2" max="2"/>
  </cols>
  <sheetData>
    <row r="1">
      <c r="A1" s="1" t="inlineStr">
        <is>
          <t>見積もり時の注意・チェックリスト（フリーランス防衛用）</t>
        </is>
      </c>
    </row>
    <row r="3">
      <c r="A3" s="20" t="inlineStr">
        <is>
          <t>☐</t>
        </is>
      </c>
      <c r="B3" s="21" t="inlineStr">
        <is>
          <t>前提を必ず書面化（体制・対象ブラウザ・テストレベル・提供環境・データ準備の担当）</t>
        </is>
      </c>
    </row>
    <row r="4">
      <c r="A4" s="20" t="inlineStr">
        <is>
          <t>☐</t>
        </is>
      </c>
      <c r="B4" s="21" t="inlineStr">
        <is>
          <t>除外事項(Out of Scope)を明記（性能・脆弱性診断・対象外ブラウザなど）</t>
        </is>
      </c>
    </row>
    <row r="5">
      <c r="A5" s="20" t="inlineStr">
        <is>
          <t>☐</t>
        </is>
      </c>
      <c r="B5" s="21" t="inlineStr">
        <is>
          <t>バッファを隠さず提示（リスクバッファ15%等）。削るとどのリスクが残るか説明できる</t>
        </is>
      </c>
    </row>
    <row r="6">
      <c r="A6" s="20" t="inlineStr">
        <is>
          <t>☐</t>
        </is>
      </c>
      <c r="B6" s="21" t="inlineStr">
        <is>
          <t>環境提供の遅延を前提化（『環境は◯月◯日までに提供』を条件に。遅延分は別途）</t>
        </is>
      </c>
    </row>
    <row r="7">
      <c r="A7" s="20" t="inlineStr">
        <is>
          <t>☐</t>
        </is>
      </c>
      <c r="B7" s="21" t="inlineStr">
        <is>
          <t>再テスト回数を定義（例: 差し戻し再テストは2周まで。以上は追加）</t>
        </is>
      </c>
    </row>
    <row r="8">
      <c r="A8" s="20" t="inlineStr">
        <is>
          <t>☐</t>
        </is>
      </c>
      <c r="B8" s="21" t="inlineStr">
        <is>
          <t>仕様変更・追加機能は別見積りの一文を必ず入れる（スコープクリープ対策）</t>
        </is>
      </c>
    </row>
    <row r="9">
      <c r="A9" s="20" t="inlineStr">
        <is>
          <t>☐</t>
        </is>
      </c>
      <c r="B9" s="21" t="inlineStr">
        <is>
          <t>欠陥件数の想定を書く（20〜30件想定。大幅超過時は工数見直し）</t>
        </is>
      </c>
    </row>
    <row r="10">
      <c r="A10" s="20" t="inlineStr">
        <is>
          <t>☐</t>
        </is>
      </c>
      <c r="B10" s="21" t="inlineStr">
        <is>
          <t>単価・支払条件・稼働形態を明記（人日精算/一括、月末締め翌月末払い等）</t>
        </is>
      </c>
    </row>
    <row r="11">
      <c r="A11" s="20" t="inlineStr">
        <is>
          <t>☐</t>
        </is>
      </c>
      <c r="B11" s="21" t="inlineStr">
        <is>
          <t>見積りは時点情報。要件が固まったら再見積り</t>
        </is>
      </c>
    </row>
    <row r="12">
      <c r="A12" s="20" t="inlineStr">
        <is>
          <t>☐</t>
        </is>
      </c>
      <c r="B12" s="21" t="inlineStr">
        <is>
          <t>開始・完了基準を先に合意（曖昧だと終われない）</t>
        </is>
      </c>
    </row>
    <row r="14">
      <c r="A14" s="3" t="inlineStr">
        <is>
          <t>参考: 開始・完了基準と成果物</t>
        </is>
      </c>
    </row>
    <row r="15">
      <c r="A15" s="4" t="inlineStr">
        <is>
          <t>区分</t>
        </is>
      </c>
      <c r="B15" s="4" t="inlineStr">
        <is>
          <t>内容</t>
        </is>
      </c>
    </row>
    <row r="16">
      <c r="A16" s="5" t="inlineStr">
        <is>
          <t>開始基準</t>
        </is>
      </c>
      <c r="B16" s="5" t="inlineStr">
        <is>
          <t>対象4機能が結合テスト済みで環境デプロイ済み／テストケースがレビュー承認済み／テストデータ準備完了</t>
        </is>
      </c>
    </row>
    <row r="17">
      <c r="A17" s="5" t="inlineStr">
        <is>
          <t>完了基準</t>
        </is>
      </c>
      <c r="B17" s="5" t="inlineStr">
        <is>
          <t>全ケース実行完了、致命・重大欠陥ゼロ、未修正欠陥は発注者が受容合意、カバレッジ目標達成</t>
        </is>
      </c>
    </row>
    <row r="18">
      <c r="A18" s="5" t="inlineStr">
        <is>
          <t>成果物</t>
        </is>
      </c>
      <c r="B18" s="5" t="inlineStr">
        <is>
          <t>テスト計画書 / リスク分析表 / テストケース一式 / 欠陥一覧(Issues) / ログインE2E自動化 / 完了レポート(メトリクス付)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2026-07-08T13:59:50Z</dcterms:created>
  <dcterms:modified xsi:type="dcterms:W3CDTF">2026-07-08T13:59:50Z</dcterms:modified>
</cp:coreProperties>
</file>