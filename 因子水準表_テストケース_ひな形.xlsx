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因子水準表" sheetId="2" state="visible" r:id="rId2"/>
    <sheet name="テスト条件" sheetId="3" state="visible" r:id="rId3"/>
    <sheet name="テストケース1" sheetId="4" state="visible" r:id="rId4"/>
    <sheet name="テストケース2" sheetId="5" state="visible" r:id="rId5"/>
    <sheet name="テストケース3" sheetId="6" state="visible" r:id="rId6"/>
    <sheet name="テストケース4" sheetId="7" state="visible" r:id="rId7"/>
    <sheet name="テストケース5" sheetId="8" state="visible" r:id="rId8"/>
    <sheet name="集計" sheetId="9" state="visible" r:id="rId9"/>
  </sheets>
  <definedNames>
    <definedName name="_xlnm._FilterDatabase" localSheetId="3" hidden="1">'テストケース1'!$A$5:$AS$105</definedName>
    <definedName name="_xlnm._FilterDatabase" localSheetId="4" hidden="1">'テストケース2'!$A$5:$AS$105</definedName>
    <definedName name="_xlnm._FilterDatabase" localSheetId="5" hidden="1">'テストケース3'!$A$5:$AS$105</definedName>
    <definedName name="_xlnm._FilterDatabase" localSheetId="6" hidden="1">'テストケース4'!$A$5:$AS$105</definedName>
    <definedName name="_xlnm._FilterDatabase" localSheetId="7" hidden="1">'テストケース5'!$A$5:$AS$105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sz val="10"/>
    </font>
    <font>
      <name val="Meiryo UI"/>
      <b val="1"/>
      <sz val="10"/>
    </font>
    <font>
      <name val="Meiryo UI"/>
      <color rgb="00808080"/>
      <sz val="10"/>
    </font>
    <font>
      <name val="Meiryo UI"/>
      <b val="1"/>
      <sz val="12"/>
    </font>
  </fonts>
  <fills count="6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FEFEF"/>
      </patternFill>
    </fill>
    <fill>
      <patternFill patternType="solid">
        <fgColor rgb="00DDE6F0"/>
      </patternFill>
    </fill>
    <fill>
      <patternFill patternType="solid">
        <fgColor rgb="00B7C9DD"/>
      </patternFill>
    </fill>
  </fills>
  <borders count="10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5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9" pivotButton="0" quotePrefix="0" xfId="0"/>
    <xf numFmtId="164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B21" authorId="0" shapeId="0">
      <text>
        <t>水準数が1以上のすべての因子について、水準数を掛け合わせた数。カテゴリごとの数はカテゴリ一覧を見てください。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このシートで扱う画面やカテゴリ。集計シートのシート別の表に表示されます。</t>
      </text>
    </comment>
    <comment ref="AN4" authorId="0" shapeId="0">
      <text>
        <t>要＝自動化する／否＝手動のみ／済＝自動化済み</t>
      </text>
    </comment>
    <comment ref="AQ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このシートで扱う画面やカテゴリ。集計シートのシート別の表に表示されます。</t>
      </text>
    </comment>
    <comment ref="AN4" authorId="0" shapeId="0">
      <text>
        <t>要＝自動化する／否＝手動のみ／済＝自動化済み</t>
      </text>
    </comment>
    <comment ref="AQ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このシートで扱う画面やカテゴリ。集計シートのシート別の表に表示されます。</t>
      </text>
    </comment>
    <comment ref="AN4" authorId="0" shapeId="0">
      <text>
        <t>要＝自動化する／否＝手動のみ／済＝自動化済み</t>
      </text>
    </comment>
    <comment ref="AQ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このシートで扱う画面やカテゴリ。集計シートのシート別の表に表示されます。</t>
      </text>
    </comment>
    <comment ref="AN4" authorId="0" shapeId="0">
      <text>
        <t>要＝自動化する／否＝手動のみ／済＝自動化済み</t>
      </text>
    </comment>
    <comment ref="AQ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6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このシートで扱う画面やカテゴリ。集計シートのシート別の表に表示されます。</t>
      </text>
    </comment>
    <comment ref="AN4" authorId="0" shapeId="0">
      <text>
        <t>要＝自動化する／否＝手動のみ／済＝自動化済み</t>
      </text>
    </comment>
    <comment ref="AQ4" authorId="0" shapeId="0">
      <text>
        <t>OK＝合格／NG＝不合格（欠陥IDを記入）／保留＝ブロック等で実行できない／対象外。空欄＝未実施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因子水準表・テストケース ひな形</t>
        </is>
      </c>
    </row>
    <row r="2">
      <c r="A2" s="2" t="inlineStr">
        <is>
          <t>作成日：2026-10-02</t>
        </is>
      </c>
    </row>
    <row r="4">
      <c r="A4" s="3" t="inlineStr">
        <is>
          <t>■ 作業の流れ（JSTQB FL V4.0 の「テスト分析 → テスト設計」に対応）</t>
        </is>
      </c>
    </row>
    <row r="5">
      <c r="A5" s="2" t="inlineStr">
        <is>
          <t>1. 因子水準表：テスト対象の結果に影響する要素（因子）と、その取りうる値（水準）を洗い出す（最大 30 因子 × 10 水準）</t>
        </is>
      </c>
    </row>
    <row r="6">
      <c r="A6" s="2" t="inlineStr">
        <is>
          <t>2. テスト条件：何を確認するか（テスト条件）を、要件と因子にひも付けて書く</t>
        </is>
      </c>
    </row>
    <row r="7">
      <c r="A7" s="2" t="inlineStr">
        <is>
          <t>3. テストケース1〜5：カテゴリ（画面・エリア）ごとにシートを分けて、因子の水準の組み合わせ・手順・期待結果を書く</t>
        </is>
      </c>
    </row>
    <row r="8">
      <c r="A8" s="2" t="inlineStr">
        <is>
          <t>4. 集計：全シートを合計したケース数・実行結果・消化率と、シート別・カテゴリ別の件数を自動で集計する</t>
        </is>
      </c>
    </row>
    <row r="9">
      <c r="A9" s="2" t="inlineStr"/>
    </row>
    <row r="10">
      <c r="A10" s="3" t="inlineStr">
        <is>
          <t>■ テストケースのシートの使い方</t>
        </is>
      </c>
    </row>
    <row r="11">
      <c r="A11" s="2" t="inlineStr">
        <is>
          <t>・シート名は自由に変えられます（例：「テストケース1」→「予約情報」）。名前を変えても、数式と集計は自動で追従します</t>
        </is>
      </c>
    </row>
    <row r="12">
      <c r="A12" s="2" t="inlineStr">
        <is>
          <t>・各シートの 2 行目「対象」に、そのシートで扱う画面やカテゴリを書きます。集計のシート別の表に表示されます</t>
        </is>
      </c>
    </row>
    <row r="13">
      <c r="A13" s="2" t="inlineStr">
        <is>
          <t>・因子の列は 30 列あります。そのシートで使わない因子の列は、列を選んで右クリック →「列を非表示」にすると見やすくなります</t>
        </is>
      </c>
    </row>
    <row r="14">
      <c r="A14" s="2" t="inlineStr">
        <is>
          <t>・シートが足りないときは、シートをコピーせずに Claude に作り直しを頼んでください（コピーしたシートは集計とケース数に含まれません）</t>
        </is>
      </c>
    </row>
    <row r="15">
      <c r="A15" s="2" t="inlineStr"/>
    </row>
    <row r="16">
      <c r="A16" s="3" t="inlineStr">
        <is>
          <t>■ シートのつながり</t>
        </is>
      </c>
    </row>
    <row r="17">
      <c r="A17" s="2" t="inlineStr">
        <is>
          <t>・テストケースの因子列の見出しには、因子水準表のカテゴリと因子名が自動で入ります</t>
        </is>
      </c>
    </row>
    <row r="18">
      <c r="A18" s="2" t="inlineStr">
        <is>
          <t>・テストケースの因子列はプルダウンで、因子水準表に書いた水準から選べます</t>
        </is>
      </c>
    </row>
    <row r="19">
      <c r="A19" s="2" t="inlineStr">
        <is>
          <t>・カテゴリは因子水準表の下の「カテゴリ一覧」に書き、因子とテストケースではそこからプルダウンで選びます</t>
        </is>
      </c>
    </row>
    <row r="20">
      <c r="A20" s="2" t="inlineStr">
        <is>
          <t>・テスト条件の「ケース数」は、全テストケースシートからその条件 ID を持つケースを数えます。0 件の条件は「ケース未作成」と表示されます</t>
        </is>
      </c>
    </row>
    <row r="21">
      <c r="A21" s="2" t="inlineStr">
        <is>
          <t>・テストケースシートの右端（備考より右）に、プルダウン用の非表示の作業列があります。編集しないでください（Google スプレッドシートでもプルダウンが動くようにするためのもの）</t>
        </is>
      </c>
    </row>
    <row r="22">
      <c r="A22" s="2" t="inlineStr"/>
    </row>
    <row r="23">
      <c r="A23" s="3" t="inlineStr">
        <is>
          <t>■ 凡例</t>
        </is>
      </c>
    </row>
    <row r="24">
      <c r="A24" s="4" t="inlineStr">
        <is>
          <t>黄色のセル＝記入欄</t>
        </is>
      </c>
    </row>
    <row r="25">
      <c r="A25" s="5" t="inlineStr">
        <is>
          <t>灰色のセル＝数式で自動計算（書き換えない）</t>
        </is>
      </c>
    </row>
    <row r="26">
      <c r="A26" s="6" t="inlineStr">
        <is>
          <t>灰色の文字＝記入例（ログイン機能。案件に合わせて書き換えるか、消してください）</t>
        </is>
      </c>
    </row>
    <row r="28">
      <c r="A28" s="3" t="inlineStr">
        <is>
          <t>■ 書き方のコツ</t>
        </is>
      </c>
    </row>
    <row r="29">
      <c r="A29" s="2" t="inlineStr">
        <is>
          <t>・水準は同値分割で「有効」「無効」の両方を挙げ、境界値はそれと分かるように書く（例：2回（境界・未ロック））</t>
        </is>
      </c>
    </row>
    <row r="30">
      <c r="A30" s="2" t="inlineStr">
        <is>
          <t>・無効な水準には「（無効）」を付けると、テストケースで異常系を選んだことが分かりやすい</t>
        </is>
      </c>
    </row>
    <row r="31">
      <c r="A31" s="2" t="inlineStr">
        <is>
          <t>・分類は「値がどこから来るか」（入力／状態／データ…）、カテゴリは「画面のどこにあるか」。リスト選択やラジオボタンも、ユーザーが選ぶ値なら分類は「入力」</t>
        </is>
      </c>
    </row>
    <row r="32">
      <c r="A32" s="2" t="inlineStr">
        <is>
          <t>・カテゴリ名は画面仕様書の見出しに合わせ、同じカテゴリの因子は隣に並べる</t>
        </is>
      </c>
    </row>
    <row r="33">
      <c r="A33" s="2" t="inlineStr">
        <is>
          <t>・カテゴリ一覧の「組み合わせ数」が多すぎるときは、デシジョンテーブルやペアワイズで絞り込む</t>
        </is>
      </c>
    </row>
    <row r="34">
      <c r="A34" s="2" t="inlineStr">
        <is>
          <t>・期待結果は「何がどうなるか」を観察できる形で書く（画面遷移、表示メッセージの文言、状態の変化）</t>
        </is>
      </c>
    </row>
    <row r="35">
      <c r="A35" s="2" t="inlineStr">
        <is>
          <t>・仕様が決まっていない点は、テストケースの備考に「要確認」と書いて残す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s="1" t="inlineStr">
        <is>
          <t>因子水準表</t>
        </is>
      </c>
    </row>
    <row r="2">
      <c r="A2" s="3" t="inlineStr">
        <is>
          <t>対象機能</t>
        </is>
      </c>
      <c r="B2" s="7" t="inlineStr">
        <is>
          <t>ログイン機能</t>
        </is>
      </c>
      <c r="C2" s="3" t="inlineStr">
        <is>
          <t>根拠</t>
        </is>
      </c>
      <c r="D2" s="7" t="inlineStr">
        <is>
          <t>要件サンプル/ログイン機能_要件.md</t>
        </is>
      </c>
      <c r="E2" s="8" t="n"/>
      <c r="F2" s="9" t="n"/>
    </row>
    <row r="4">
      <c r="A4" s="10" t="inlineStr">
        <is>
          <t>因子ID</t>
        </is>
      </c>
      <c r="B4" s="11" t="inlineStr">
        <is>
          <t>F1</t>
        </is>
      </c>
      <c r="C4" s="11" t="inlineStr">
        <is>
          <t>F2</t>
        </is>
      </c>
      <c r="D4" s="11" t="inlineStr">
        <is>
          <t>F3</t>
        </is>
      </c>
      <c r="E4" s="11" t="inlineStr">
        <is>
          <t>F4</t>
        </is>
      </c>
      <c r="F4" s="11" t="inlineStr">
        <is>
          <t>F5</t>
        </is>
      </c>
      <c r="G4" s="11" t="inlineStr">
        <is>
          <t>F6</t>
        </is>
      </c>
      <c r="H4" s="11" t="inlineStr">
        <is>
          <t>F7</t>
        </is>
      </c>
      <c r="I4" s="11" t="inlineStr">
        <is>
          <t>F8</t>
        </is>
      </c>
      <c r="J4" s="11" t="inlineStr">
        <is>
          <t>F9</t>
        </is>
      </c>
      <c r="K4" s="11" t="inlineStr">
        <is>
          <t>F10</t>
        </is>
      </c>
      <c r="L4" s="11" t="inlineStr">
        <is>
          <t>F11</t>
        </is>
      </c>
      <c r="M4" s="11" t="inlineStr">
        <is>
          <t>F12</t>
        </is>
      </c>
      <c r="N4" s="11" t="inlineStr">
        <is>
          <t>F13</t>
        </is>
      </c>
      <c r="O4" s="11" t="inlineStr">
        <is>
          <t>F14</t>
        </is>
      </c>
      <c r="P4" s="11" t="inlineStr">
        <is>
          <t>F15</t>
        </is>
      </c>
      <c r="Q4" s="11" t="inlineStr">
        <is>
          <t>F16</t>
        </is>
      </c>
      <c r="R4" s="11" t="inlineStr">
        <is>
          <t>F17</t>
        </is>
      </c>
      <c r="S4" s="11" t="inlineStr">
        <is>
          <t>F18</t>
        </is>
      </c>
      <c r="T4" s="11" t="inlineStr">
        <is>
          <t>F19</t>
        </is>
      </c>
      <c r="U4" s="11" t="inlineStr">
        <is>
          <t>F20</t>
        </is>
      </c>
      <c r="V4" s="11" t="inlineStr">
        <is>
          <t>F21</t>
        </is>
      </c>
      <c r="W4" s="11" t="inlineStr">
        <is>
          <t>F22</t>
        </is>
      </c>
      <c r="X4" s="11" t="inlineStr">
        <is>
          <t>F23</t>
        </is>
      </c>
      <c r="Y4" s="11" t="inlineStr">
        <is>
          <t>F24</t>
        </is>
      </c>
      <c r="Z4" s="11" t="inlineStr">
        <is>
          <t>F25</t>
        </is>
      </c>
      <c r="AA4" s="11" t="inlineStr">
        <is>
          <t>F26</t>
        </is>
      </c>
      <c r="AB4" s="11" t="inlineStr">
        <is>
          <t>F27</t>
        </is>
      </c>
      <c r="AC4" s="11" t="inlineStr">
        <is>
          <t>F28</t>
        </is>
      </c>
      <c r="AD4" s="11" t="inlineStr">
        <is>
          <t>F29</t>
        </is>
      </c>
      <c r="AE4" s="11" t="inlineStr">
        <is>
          <t>F30</t>
        </is>
      </c>
    </row>
    <row r="5">
      <c r="A5" s="10" t="inlineStr">
        <is>
          <t>カテゴリ</t>
        </is>
      </c>
      <c r="B5" s="7" t="inlineStr">
        <is>
          <t>ログインフォーム</t>
        </is>
      </c>
      <c r="C5" s="7" t="inlineStr">
        <is>
          <t>ログインフォーム</t>
        </is>
      </c>
      <c r="D5" s="7" t="inlineStr">
        <is>
          <t>アカウント</t>
        </is>
      </c>
      <c r="E5" s="7" t="inlineStr">
        <is>
          <t>アカウント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</row>
    <row r="6">
      <c r="A6" s="10" t="inlineStr">
        <is>
          <t>因子名</t>
        </is>
      </c>
      <c r="B6" s="7" t="inlineStr">
        <is>
          <t>メールアドレス</t>
        </is>
      </c>
      <c r="C6" s="7" t="inlineStr">
        <is>
          <t>パスワード</t>
        </is>
      </c>
      <c r="D6" s="7" t="inlineStr">
        <is>
          <t>アカウント状態</t>
        </is>
      </c>
      <c r="E6" s="7" t="inlineStr">
        <is>
          <t>直前の連続失敗回数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</row>
    <row r="7">
      <c r="A7" s="10" t="inlineStr">
        <is>
          <t>分類</t>
        </is>
      </c>
      <c r="B7" s="7" t="inlineStr">
        <is>
          <t>入力</t>
        </is>
      </c>
      <c r="C7" s="7" t="inlineStr">
        <is>
          <t>入力</t>
        </is>
      </c>
      <c r="D7" s="7" t="inlineStr">
        <is>
          <t>状態</t>
        </is>
      </c>
      <c r="E7" s="7" t="inlineStr">
        <is>
          <t>状態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</row>
    <row r="8">
      <c r="A8" s="10" t="inlineStr">
        <is>
          <t>根拠（要件ID）</t>
        </is>
      </c>
      <c r="B8" s="7" t="inlineStr">
        <is>
          <t>R-10, R-11</t>
        </is>
      </c>
      <c r="C8" s="7" t="inlineStr">
        <is>
          <t>R-01</t>
        </is>
      </c>
      <c r="D8" s="7" t="inlineStr">
        <is>
          <t>R-05</t>
        </is>
      </c>
      <c r="E8" s="7" t="inlineStr">
        <is>
          <t>R-01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</row>
    <row r="9">
      <c r="A9" s="10" t="inlineStr">
        <is>
          <t>水準1</t>
        </is>
      </c>
      <c r="B9" s="7" t="inlineStr">
        <is>
          <t>登録済み</t>
        </is>
      </c>
      <c r="C9" s="7" t="inlineStr">
        <is>
          <t>正しい</t>
        </is>
      </c>
      <c r="D9" s="7" t="inlineStr">
        <is>
          <t>アクティブ</t>
        </is>
      </c>
      <c r="E9" s="7" t="inlineStr">
        <is>
          <t>0〜1回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</row>
    <row r="10">
      <c r="A10" s="10" t="inlineStr">
        <is>
          <t>水準2</t>
        </is>
      </c>
      <c r="B10" s="7" t="inlineStr">
        <is>
          <t>未登録</t>
        </is>
      </c>
      <c r="C10" s="7" t="inlineStr">
        <is>
          <t>間違っている</t>
        </is>
      </c>
      <c r="D10" s="7" t="inlineStr">
        <is>
          <t>ロック済み</t>
        </is>
      </c>
      <c r="E10" s="7" t="inlineStr">
        <is>
          <t>2回（境界・未ロック）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</row>
    <row r="11">
      <c r="A11" s="10" t="inlineStr">
        <is>
          <t>水準3</t>
        </is>
      </c>
      <c r="B11" s="7" t="inlineStr">
        <is>
          <t>空欄（無効）</t>
        </is>
      </c>
      <c r="C11" s="7" t="inlineStr">
        <is>
          <t>空欄（無効）</t>
        </is>
      </c>
      <c r="D11" s="7" t="n"/>
      <c r="E11" s="7" t="inlineStr">
        <is>
          <t>3回（境界・ロック発動）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</row>
    <row r="12">
      <c r="A12" s="10" t="inlineStr">
        <is>
          <t>水準4</t>
        </is>
      </c>
      <c r="B12" s="7" t="inlineStr">
        <is>
          <t>形式不正（無効）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</row>
    <row r="13">
      <c r="A13" s="10" t="inlineStr">
        <is>
          <t>水準5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</row>
    <row r="14">
      <c r="A14" s="10" t="inlineStr">
        <is>
          <t>水準6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</row>
    <row r="15">
      <c r="A15" s="10" t="inlineStr">
        <is>
          <t>水準7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</row>
    <row r="16">
      <c r="A16" s="10" t="inlineStr">
        <is>
          <t>水準8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</row>
    <row r="17">
      <c r="A17" s="10" t="inlineStr">
        <is>
          <t>水準9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</row>
    <row r="18">
      <c r="A18" s="10" t="inlineStr">
        <is>
          <t>水準10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</row>
    <row r="19">
      <c r="A19" s="10" t="inlineStr">
        <is>
          <t>水準数</t>
        </is>
      </c>
      <c r="B19" s="12">
        <f>COUNTA(B9:B18)</f>
        <v/>
      </c>
      <c r="C19" s="12">
        <f>COUNTA(C9:C18)</f>
        <v/>
      </c>
      <c r="D19" s="12">
        <f>COUNTA(D9:D18)</f>
        <v/>
      </c>
      <c r="E19" s="12">
        <f>COUNTA(E9:E18)</f>
        <v/>
      </c>
      <c r="F19" s="12">
        <f>COUNTA(F9:F18)</f>
        <v/>
      </c>
      <c r="G19" s="12">
        <f>COUNTA(G9:G18)</f>
        <v/>
      </c>
      <c r="H19" s="12">
        <f>COUNTA(H9:H18)</f>
        <v/>
      </c>
      <c r="I19" s="12">
        <f>COUNTA(I9:I18)</f>
        <v/>
      </c>
      <c r="J19" s="12">
        <f>COUNTA(J9:J18)</f>
        <v/>
      </c>
      <c r="K19" s="12">
        <f>COUNTA(K9:K18)</f>
        <v/>
      </c>
      <c r="L19" s="12">
        <f>COUNTA(L9:L18)</f>
        <v/>
      </c>
      <c r="M19" s="12">
        <f>COUNTA(M9:M18)</f>
        <v/>
      </c>
      <c r="N19" s="12">
        <f>COUNTA(N9:N18)</f>
        <v/>
      </c>
      <c r="O19" s="12">
        <f>COUNTA(O9:O18)</f>
        <v/>
      </c>
      <c r="P19" s="12">
        <f>COUNTA(P9:P18)</f>
        <v/>
      </c>
      <c r="Q19" s="12">
        <f>COUNTA(Q9:Q18)</f>
        <v/>
      </c>
      <c r="R19" s="12">
        <f>COUNTA(R9:R18)</f>
        <v/>
      </c>
      <c r="S19" s="12">
        <f>COUNTA(S9:S18)</f>
        <v/>
      </c>
      <c r="T19" s="12">
        <f>COUNTA(T9:T18)</f>
        <v/>
      </c>
      <c r="U19" s="12">
        <f>COUNTA(U9:U18)</f>
        <v/>
      </c>
      <c r="V19" s="12">
        <f>COUNTA(V9:V18)</f>
        <v/>
      </c>
      <c r="W19" s="12">
        <f>COUNTA(W9:W18)</f>
        <v/>
      </c>
      <c r="X19" s="12">
        <f>COUNTA(X9:X18)</f>
        <v/>
      </c>
      <c r="Y19" s="12">
        <f>COUNTA(Y9:Y18)</f>
        <v/>
      </c>
      <c r="Z19" s="12">
        <f>COUNTA(Z9:Z18)</f>
        <v/>
      </c>
      <c r="AA19" s="12">
        <f>COUNTA(AA9:AA18)</f>
        <v/>
      </c>
      <c r="AB19" s="12">
        <f>COUNTA(AB9:AB18)</f>
        <v/>
      </c>
      <c r="AC19" s="12">
        <f>COUNTA(AC9:AC18)</f>
        <v/>
      </c>
      <c r="AD19" s="12">
        <f>COUNTA(AD9:AD18)</f>
        <v/>
      </c>
      <c r="AE19" s="12">
        <f>COUNTA(AE9:AE18)</f>
        <v/>
      </c>
    </row>
    <row r="21">
      <c r="A21" s="10" t="inlineStr">
        <is>
          <t>全組み合わせ数</t>
        </is>
      </c>
      <c r="B21" s="13">
        <f>IF(COUNTIF($B$19:$AE$19,"&gt;0")=0,0,ROUND(EXP(SUMPRODUCT(LN($B$19:$AE$19+($B$19:$AE$19=0)))),0))</f>
        <v/>
      </c>
      <c r="C21" s="14" t="inlineStr">
        <is>
          <t>← 全因子の掛け算。カテゴリごとの数は下のカテゴリ一覧を参照</t>
        </is>
      </c>
    </row>
    <row r="23">
      <c r="A23" s="2" t="inlineStr">
        <is>
          <t>分類の例：入力（画面の入力値。リスト選択・ラジオボタンも含む）／状態（データやアカウントの状態）／環境（ブラウザ・端末・OS）／操作（ボタン・画面遷移）／データ（件数・種類）</t>
        </is>
      </c>
    </row>
    <row r="25">
      <c r="A25" s="15" t="inlineStr">
        <is>
          <t>カテゴリ一覧</t>
        </is>
      </c>
    </row>
    <row r="26">
      <c r="A26" s="2" t="inlineStr">
        <is>
          <t>画面のエリア名を書きます（画面仕様書の見出しに合わせる）。因子のカテゴリ行とテストケースのカテゴリ列は、ここからプルダウンで選びます。因子数と組み合わせ数は自動計算です。</t>
        </is>
      </c>
    </row>
    <row r="27">
      <c r="A27" s="11" t="inlineStr">
        <is>
          <t>No</t>
        </is>
      </c>
      <c r="B27" s="11" t="inlineStr">
        <is>
          <t>カテゴリ</t>
        </is>
      </c>
      <c r="C27" s="11" t="inlineStr">
        <is>
          <t>説明</t>
        </is>
      </c>
      <c r="D27" s="8" t="n"/>
      <c r="E27" s="9" t="n"/>
      <c r="F27" s="11" t="inlineStr">
        <is>
          <t>因子数</t>
        </is>
      </c>
      <c r="G27" s="11" t="inlineStr">
        <is>
          <t>組み合わせ数</t>
        </is>
      </c>
    </row>
    <row r="28">
      <c r="A28" s="16" t="n">
        <v>1</v>
      </c>
      <c r="B28" s="7" t="inlineStr">
        <is>
          <t>ログインフォーム</t>
        </is>
      </c>
      <c r="C28" s="7" t="inlineStr">
        <is>
          <t>メールアドレス・パスワードの入力欄とログインボタン</t>
        </is>
      </c>
      <c r="D28" s="8" t="n"/>
      <c r="E28" s="9" t="n"/>
      <c r="F28" s="17">
        <f>IF(B28="","",COUNTIF($B$5:$AE$5,B28))</f>
        <v/>
      </c>
      <c r="G28" s="18">
        <f>IF(OR(B28="",F28=0),"",ROUND(EXP(SUMPRODUCT(($B$5:$AE$5=B28)*LN($B$19:$AE$19+($B$19:$AE$19=0)))),0))</f>
        <v/>
      </c>
    </row>
    <row r="29">
      <c r="A29" s="16" t="n">
        <v>2</v>
      </c>
      <c r="B29" s="7" t="inlineStr">
        <is>
          <t>アカウント</t>
        </is>
      </c>
      <c r="C29" s="7" t="inlineStr">
        <is>
          <t>アカウントの状態やログイン失敗回数など、画面の裏側の状態</t>
        </is>
      </c>
      <c r="D29" s="8" t="n"/>
      <c r="E29" s="9" t="n"/>
      <c r="F29" s="17">
        <f>IF(B29="","",COUNTIF($B$5:$AE$5,B29))</f>
        <v/>
      </c>
      <c r="G29" s="18">
        <f>IF(OR(B29="",F29=0),"",ROUND(EXP(SUMPRODUCT(($B$5:$AE$5=B29)*LN($B$19:$AE$19+($B$19:$AE$19=0)))),0))</f>
        <v/>
      </c>
    </row>
    <row r="30">
      <c r="A30" s="16" t="n">
        <v>3</v>
      </c>
      <c r="B30" s="7" t="n"/>
      <c r="C30" s="7" t="n"/>
      <c r="D30" s="8" t="n"/>
      <c r="E30" s="9" t="n"/>
      <c r="F30" s="17">
        <f>IF(B30="","",COUNTIF($B$5:$AE$5,B30))</f>
        <v/>
      </c>
      <c r="G30" s="18">
        <f>IF(OR(B30="",F30=0),"",ROUND(EXP(SUMPRODUCT(($B$5:$AE$5=B30)*LN($B$19:$AE$19+($B$19:$AE$19=0)))),0))</f>
        <v/>
      </c>
    </row>
    <row r="31">
      <c r="A31" s="16" t="n">
        <v>4</v>
      </c>
      <c r="B31" s="7" t="n"/>
      <c r="C31" s="7" t="n"/>
      <c r="D31" s="8" t="n"/>
      <c r="E31" s="9" t="n"/>
      <c r="F31" s="17">
        <f>IF(B31="","",COUNTIF($B$5:$AE$5,B31))</f>
        <v/>
      </c>
      <c r="G31" s="18">
        <f>IF(OR(B31="",F31=0),"",ROUND(EXP(SUMPRODUCT(($B$5:$AE$5=B31)*LN($B$19:$AE$19+($B$19:$AE$19=0)))),0))</f>
        <v/>
      </c>
    </row>
    <row r="32">
      <c r="A32" s="16" t="n">
        <v>5</v>
      </c>
      <c r="B32" s="7" t="n"/>
      <c r="C32" s="7" t="n"/>
      <c r="D32" s="8" t="n"/>
      <c r="E32" s="9" t="n"/>
      <c r="F32" s="17">
        <f>IF(B32="","",COUNTIF($B$5:$AE$5,B32))</f>
        <v/>
      </c>
      <c r="G32" s="18">
        <f>IF(OR(B32="",F32=0),"",ROUND(EXP(SUMPRODUCT(($B$5:$AE$5=B32)*LN($B$19:$AE$19+($B$19:$AE$19=0)))),0))</f>
        <v/>
      </c>
    </row>
    <row r="33">
      <c r="A33" s="16" t="n">
        <v>6</v>
      </c>
      <c r="B33" s="7" t="n"/>
      <c r="C33" s="7" t="n"/>
      <c r="D33" s="8" t="n"/>
      <c r="E33" s="9" t="n"/>
      <c r="F33" s="17">
        <f>IF(B33="","",COUNTIF($B$5:$AE$5,B33))</f>
        <v/>
      </c>
      <c r="G33" s="18">
        <f>IF(OR(B33="",F33=0),"",ROUND(EXP(SUMPRODUCT(($B$5:$AE$5=B33)*LN($B$19:$AE$19+($B$19:$AE$19=0)))),0))</f>
        <v/>
      </c>
    </row>
    <row r="34">
      <c r="A34" s="16" t="n">
        <v>7</v>
      </c>
      <c r="B34" s="7" t="n"/>
      <c r="C34" s="7" t="n"/>
      <c r="D34" s="8" t="n"/>
      <c r="E34" s="9" t="n"/>
      <c r="F34" s="17">
        <f>IF(B34="","",COUNTIF($B$5:$AE$5,B34))</f>
        <v/>
      </c>
      <c r="G34" s="18">
        <f>IF(OR(B34="",F34=0),"",ROUND(EXP(SUMPRODUCT(($B$5:$AE$5=B34)*LN($B$19:$AE$19+($B$19:$AE$19=0)))),0))</f>
        <v/>
      </c>
    </row>
    <row r="35">
      <c r="A35" s="16" t="n">
        <v>8</v>
      </c>
      <c r="B35" s="7" t="n"/>
      <c r="C35" s="7" t="n"/>
      <c r="D35" s="8" t="n"/>
      <c r="E35" s="9" t="n"/>
      <c r="F35" s="17">
        <f>IF(B35="","",COUNTIF($B$5:$AE$5,B35))</f>
        <v/>
      </c>
      <c r="G35" s="18">
        <f>IF(OR(B35="",F35=0),"",ROUND(EXP(SUMPRODUCT(($B$5:$AE$5=B35)*LN($B$19:$AE$19+($B$19:$AE$19=0)))),0))</f>
        <v/>
      </c>
    </row>
    <row r="36">
      <c r="A36" s="16" t="n">
        <v>9</v>
      </c>
      <c r="B36" s="7" t="n"/>
      <c r="C36" s="7" t="n"/>
      <c r="D36" s="8" t="n"/>
      <c r="E36" s="9" t="n"/>
      <c r="F36" s="17">
        <f>IF(B36="","",COUNTIF($B$5:$AE$5,B36))</f>
        <v/>
      </c>
      <c r="G36" s="18">
        <f>IF(OR(B36="",F36=0),"",ROUND(EXP(SUMPRODUCT(($B$5:$AE$5=B36)*LN($B$19:$AE$19+($B$19:$AE$19=0)))),0))</f>
        <v/>
      </c>
    </row>
    <row r="37">
      <c r="A37" s="16" t="n">
        <v>10</v>
      </c>
      <c r="B37" s="7" t="n"/>
      <c r="C37" s="7" t="n"/>
      <c r="D37" s="8" t="n"/>
      <c r="E37" s="9" t="n"/>
      <c r="F37" s="17">
        <f>IF(B37="","",COUNTIF($B$5:$AE$5,B37))</f>
        <v/>
      </c>
      <c r="G37" s="18">
        <f>IF(OR(B37="",F37=0),"",ROUND(EXP(SUMPRODUCT(($B$5:$AE$5=B37)*LN($B$19:$AE$19+($B$19:$AE$19=0)))),0))</f>
        <v/>
      </c>
    </row>
    <row r="38">
      <c r="A38" s="16" t="n">
        <v>11</v>
      </c>
      <c r="B38" s="7" t="n"/>
      <c r="C38" s="7" t="n"/>
      <c r="D38" s="8" t="n"/>
      <c r="E38" s="9" t="n"/>
      <c r="F38" s="17">
        <f>IF(B38="","",COUNTIF($B$5:$AE$5,B38))</f>
        <v/>
      </c>
      <c r="G38" s="18">
        <f>IF(OR(B38="",F38=0),"",ROUND(EXP(SUMPRODUCT(($B$5:$AE$5=B38)*LN($B$19:$AE$19+($B$19:$AE$19=0)))),0))</f>
        <v/>
      </c>
    </row>
    <row r="39">
      <c r="A39" s="16" t="n">
        <v>12</v>
      </c>
      <c r="B39" s="7" t="n"/>
      <c r="C39" s="7" t="n"/>
      <c r="D39" s="8" t="n"/>
      <c r="E39" s="9" t="n"/>
      <c r="F39" s="17">
        <f>IF(B39="","",COUNTIF($B$5:$AE$5,B39))</f>
        <v/>
      </c>
      <c r="G39" s="18">
        <f>IF(OR(B39="",F39=0),"",ROUND(EXP(SUMPRODUCT(($B$5:$AE$5=B39)*LN($B$19:$AE$19+($B$19:$AE$19=0)))),0))</f>
        <v/>
      </c>
    </row>
    <row r="40">
      <c r="A40" s="16" t="n">
        <v>13</v>
      </c>
      <c r="B40" s="7" t="n"/>
      <c r="C40" s="7" t="n"/>
      <c r="D40" s="8" t="n"/>
      <c r="E40" s="9" t="n"/>
      <c r="F40" s="17">
        <f>IF(B40="","",COUNTIF($B$5:$AE$5,B40))</f>
        <v/>
      </c>
      <c r="G40" s="18">
        <f>IF(OR(B40="",F40=0),"",ROUND(EXP(SUMPRODUCT(($B$5:$AE$5=B40)*LN($B$19:$AE$19+($B$19:$AE$19=0)))),0))</f>
        <v/>
      </c>
    </row>
    <row r="41">
      <c r="A41" s="16" t="n">
        <v>14</v>
      </c>
      <c r="B41" s="7" t="n"/>
      <c r="C41" s="7" t="n"/>
      <c r="D41" s="8" t="n"/>
      <c r="E41" s="9" t="n"/>
      <c r="F41" s="17">
        <f>IF(B41="","",COUNTIF($B$5:$AE$5,B41))</f>
        <v/>
      </c>
      <c r="G41" s="18">
        <f>IF(OR(B41="",F41=0),"",ROUND(EXP(SUMPRODUCT(($B$5:$AE$5=B41)*LN($B$19:$AE$19+($B$19:$AE$19=0)))),0))</f>
        <v/>
      </c>
    </row>
    <row r="42">
      <c r="A42" s="16" t="n">
        <v>15</v>
      </c>
      <c r="B42" s="7" t="n"/>
      <c r="C42" s="7" t="n"/>
      <c r="D42" s="8" t="n"/>
      <c r="E42" s="9" t="n"/>
      <c r="F42" s="17">
        <f>IF(B42="","",COUNTIF($B$5:$AE$5,B42))</f>
        <v/>
      </c>
      <c r="G42" s="18">
        <f>IF(OR(B42="",F42=0),"",ROUND(EXP(SUMPRODUCT(($B$5:$AE$5=B42)*LN($B$19:$AE$19+($B$19:$AE$19=0)))),0))</f>
        <v/>
      </c>
    </row>
    <row r="43">
      <c r="A43" s="16" t="n">
        <v>16</v>
      </c>
      <c r="B43" s="7" t="n"/>
      <c r="C43" s="7" t="n"/>
      <c r="D43" s="8" t="n"/>
      <c r="E43" s="9" t="n"/>
      <c r="F43" s="17">
        <f>IF(B43="","",COUNTIF($B$5:$AE$5,B43))</f>
        <v/>
      </c>
      <c r="G43" s="18">
        <f>IF(OR(B43="",F43=0),"",ROUND(EXP(SUMPRODUCT(($B$5:$AE$5=B43)*LN($B$19:$AE$19+($B$19:$AE$19=0)))),0))</f>
        <v/>
      </c>
    </row>
    <row r="44">
      <c r="A44" s="16" t="n">
        <v>17</v>
      </c>
      <c r="B44" s="7" t="n"/>
      <c r="C44" s="7" t="n"/>
      <c r="D44" s="8" t="n"/>
      <c r="E44" s="9" t="n"/>
      <c r="F44" s="17">
        <f>IF(B44="","",COUNTIF($B$5:$AE$5,B44))</f>
        <v/>
      </c>
      <c r="G44" s="18">
        <f>IF(OR(B44="",F44=0),"",ROUND(EXP(SUMPRODUCT(($B$5:$AE$5=B44)*LN($B$19:$AE$19+($B$19:$AE$19=0)))),0))</f>
        <v/>
      </c>
    </row>
    <row r="45">
      <c r="A45" s="16" t="n">
        <v>18</v>
      </c>
      <c r="B45" s="7" t="n"/>
      <c r="C45" s="7" t="n"/>
      <c r="D45" s="8" t="n"/>
      <c r="E45" s="9" t="n"/>
      <c r="F45" s="17">
        <f>IF(B45="","",COUNTIF($B$5:$AE$5,B45))</f>
        <v/>
      </c>
      <c r="G45" s="18">
        <f>IF(OR(B45="",F45=0),"",ROUND(EXP(SUMPRODUCT(($B$5:$AE$5=B45)*LN($B$19:$AE$19+($B$19:$AE$19=0)))),0))</f>
        <v/>
      </c>
    </row>
    <row r="46">
      <c r="A46" s="16" t="n">
        <v>19</v>
      </c>
      <c r="B46" s="7" t="n"/>
      <c r="C46" s="7" t="n"/>
      <c r="D46" s="8" t="n"/>
      <c r="E46" s="9" t="n"/>
      <c r="F46" s="17">
        <f>IF(B46="","",COUNTIF($B$5:$AE$5,B46))</f>
        <v/>
      </c>
      <c r="G46" s="18">
        <f>IF(OR(B46="",F46=0),"",ROUND(EXP(SUMPRODUCT(($B$5:$AE$5=B46)*LN($B$19:$AE$19+($B$19:$AE$19=0)))),0))</f>
        <v/>
      </c>
    </row>
    <row r="47">
      <c r="A47" s="16" t="n">
        <v>20</v>
      </c>
      <c r="B47" s="7" t="n"/>
      <c r="C47" s="7" t="n"/>
      <c r="D47" s="8" t="n"/>
      <c r="E47" s="9" t="n"/>
      <c r="F47" s="17">
        <f>IF(B47="","",COUNTIF($B$5:$AE$5,B47))</f>
        <v/>
      </c>
      <c r="G47" s="18">
        <f>IF(OR(B47="",F47=0),"",ROUND(EXP(SUMPRODUCT(($B$5:$AE$5=B47)*LN($B$19:$AE$19+($B$19:$AE$19=0)))),0))</f>
        <v/>
      </c>
    </row>
  </sheetData>
  <mergeCells count="22">
    <mergeCell ref="D2:F2"/>
    <mergeCell ref="C44:E44"/>
    <mergeCell ref="C41:E41"/>
    <mergeCell ref="C31:E31"/>
    <mergeCell ref="C40:E40"/>
    <mergeCell ref="C43:E43"/>
    <mergeCell ref="C46:E46"/>
    <mergeCell ref="C36:E36"/>
    <mergeCell ref="C27:E27"/>
    <mergeCell ref="C39:E39"/>
    <mergeCell ref="C32:E32"/>
    <mergeCell ref="C38:E38"/>
    <mergeCell ref="C28:E28"/>
    <mergeCell ref="C37:E37"/>
    <mergeCell ref="C30:E30"/>
    <mergeCell ref="C34:E34"/>
    <mergeCell ref="C42:E42"/>
    <mergeCell ref="C33:E33"/>
    <mergeCell ref="C45:E45"/>
    <mergeCell ref="C29:E29"/>
    <mergeCell ref="C35:E35"/>
    <mergeCell ref="C47:E47"/>
  </mergeCells>
  <dataValidations count="2">
    <dataValidation sqref="B7:AE7" showDropDown="0" showInputMessage="0" showErrorMessage="0" allowBlank="1" type="list">
      <formula1>"入力,状態,環境,操作,データ,その他"</formula1>
    </dataValidation>
    <dataValidation sqref="B5:AE5" showDropDown="0" showInputMessage="0" showErrorMessage="0" allowBlank="1" type="list">
      <formula1>'因子水準表'!$B$28:$B$47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4" customWidth="1" min="4" max="4"/>
    <col width="18" customWidth="1" min="5" max="5"/>
    <col width="8" customWidth="1" min="6" max="6"/>
    <col width="9" customWidth="1" min="7" max="7"/>
    <col width="14" customWidth="1" min="8" max="8"/>
  </cols>
  <sheetData>
    <row r="1">
      <c r="A1" s="1" t="inlineStr">
        <is>
          <t>テスト条件</t>
        </is>
      </c>
    </row>
    <row r="2">
      <c r="A2" s="2" t="inlineStr">
        <is>
          <t>テスト条件＝テストで確認すること。ケース数（全テストケースシートの合計）と状態は自動計算です。</t>
        </is>
      </c>
    </row>
    <row r="4">
      <c r="A4" s="11" t="inlineStr">
        <is>
          <t>条件ID</t>
        </is>
      </c>
      <c r="B4" s="11" t="inlineStr">
        <is>
          <t>テスト条件</t>
        </is>
      </c>
      <c r="C4" s="11" t="inlineStr">
        <is>
          <t>要件ID</t>
        </is>
      </c>
      <c r="D4" s="11" t="inlineStr">
        <is>
          <t>関連因子</t>
        </is>
      </c>
      <c r="E4" s="11" t="inlineStr">
        <is>
          <t>技法</t>
        </is>
      </c>
      <c r="F4" s="11" t="inlineStr">
        <is>
          <t>優先度</t>
        </is>
      </c>
      <c r="G4" s="11" t="inlineStr">
        <is>
          <t>ケース数</t>
        </is>
      </c>
      <c r="H4" s="11" t="inlineStr">
        <is>
          <t>状態</t>
        </is>
      </c>
    </row>
    <row r="5">
      <c r="A5" s="7" t="inlineStr">
        <is>
          <t>TC-A</t>
        </is>
      </c>
      <c r="B5" s="7" t="inlineStr">
        <is>
          <t>正しい資格情報でログインできる</t>
        </is>
      </c>
      <c r="C5" s="7" t="inlineStr">
        <is>
          <t>R-01</t>
        </is>
      </c>
      <c r="D5" s="7" t="inlineStr">
        <is>
          <t>F1, F2, F3</t>
        </is>
      </c>
      <c r="E5" s="7" t="inlineStr">
        <is>
          <t>同値分割</t>
        </is>
      </c>
      <c r="F5" s="7" t="inlineStr">
        <is>
          <t>高</t>
        </is>
      </c>
      <c r="G5" s="17">
        <f>IF(A5="","",COUNTIF('テストケース1'!$B$6:$B$105,A5)+COUNTIF('テストケース2'!$B$6:$B$105,A5)+COUNTIF('テストケース3'!$B$6:$B$105,A5)+COUNTIF('テストケース4'!$B$6:$B$105,A5)+COUNTIF('テストケース5'!$B$6:$B$105,A5))</f>
        <v/>
      </c>
      <c r="H5" s="17">
        <f>IF(A5="","",IF(G5=0,"ケース未作成","OK"))</f>
        <v/>
      </c>
    </row>
    <row r="6">
      <c r="A6" s="7" t="inlineStr">
        <is>
          <t>TC-B</t>
        </is>
      </c>
      <c r="B6" s="7" t="inlineStr">
        <is>
          <t>連続失敗が2回では未ロック、3回でロックされる（境界）</t>
        </is>
      </c>
      <c r="C6" s="7" t="inlineStr">
        <is>
          <t>R-01</t>
        </is>
      </c>
      <c r="D6" s="7" t="inlineStr">
        <is>
          <t>F2, F4</t>
        </is>
      </c>
      <c r="E6" s="7" t="inlineStr">
        <is>
          <t>境界値分析</t>
        </is>
      </c>
      <c r="F6" s="7" t="inlineStr">
        <is>
          <t>高</t>
        </is>
      </c>
      <c r="G6" s="17">
        <f>IF(A6="","",COUNTIF('テストケース1'!$B$6:$B$105,A6)+COUNTIF('テストケース2'!$B$6:$B$105,A6)+COUNTIF('テストケース3'!$B$6:$B$105,A6)+COUNTIF('テストケース4'!$B$6:$B$105,A6)+COUNTIF('テストケース5'!$B$6:$B$105,A6))</f>
        <v/>
      </c>
      <c r="H6" s="17">
        <f>IF(A6="","",IF(G6=0,"ケース未作成","OK"))</f>
        <v/>
      </c>
    </row>
    <row r="7">
      <c r="A7" s="7" t="inlineStr">
        <is>
          <t>TC-C</t>
        </is>
      </c>
      <c r="B7" s="7" t="inlineStr">
        <is>
          <t>ロック済みアカウントは資格情報が正しくてもログインできない</t>
        </is>
      </c>
      <c r="C7" s="7" t="inlineStr">
        <is>
          <t>R-05</t>
        </is>
      </c>
      <c r="D7" s="7" t="inlineStr">
        <is>
          <t>F3</t>
        </is>
      </c>
      <c r="E7" s="7" t="inlineStr">
        <is>
          <t>デシジョンテーブル</t>
        </is>
      </c>
      <c r="F7" s="7" t="inlineStr">
        <is>
          <t>高</t>
        </is>
      </c>
      <c r="G7" s="17">
        <f>IF(A7="","",COUNTIF('テストケース1'!$B$6:$B$105,A7)+COUNTIF('テストケース2'!$B$6:$B$105,A7)+COUNTIF('テストケース3'!$B$6:$B$105,A7)+COUNTIF('テストケース4'!$B$6:$B$105,A7)+COUNTIF('テストケース5'!$B$6:$B$105,A7))</f>
        <v/>
      </c>
      <c r="H7" s="17">
        <f>IF(A7="","",IF(G7=0,"ケース未作成","OK"))</f>
        <v/>
      </c>
    </row>
    <row r="8">
      <c r="A8" s="7" t="inlineStr">
        <is>
          <t>TC-D</t>
        </is>
      </c>
      <c r="B8" s="7" t="inlineStr">
        <is>
          <t>メールアドレス空欄・形式不正のときにエラーを表示する</t>
        </is>
      </c>
      <c r="C8" s="7" t="inlineStr">
        <is>
          <t>R-10, R-11</t>
        </is>
      </c>
      <c r="D8" s="7" t="inlineStr">
        <is>
          <t>F1</t>
        </is>
      </c>
      <c r="E8" s="7" t="inlineStr">
        <is>
          <t>同値分割</t>
        </is>
      </c>
      <c r="F8" s="7" t="inlineStr">
        <is>
          <t>中</t>
        </is>
      </c>
      <c r="G8" s="17">
        <f>IF(A8="","",COUNTIF('テストケース1'!$B$6:$B$105,A8)+COUNTIF('テストケース2'!$B$6:$B$105,A8)+COUNTIF('テストケース3'!$B$6:$B$105,A8)+COUNTIF('テストケース4'!$B$6:$B$105,A8)+COUNTIF('テストケース5'!$B$6:$B$105,A8))</f>
        <v/>
      </c>
      <c r="H8" s="17">
        <f>IF(A8="","",IF(G8=0,"ケース未作成","OK"))</f>
        <v/>
      </c>
    </row>
    <row r="9">
      <c r="A9" s="7" t="n"/>
      <c r="B9" s="7" t="n"/>
      <c r="C9" s="7" t="n"/>
      <c r="D9" s="7" t="n"/>
      <c r="E9" s="7" t="n"/>
      <c r="F9" s="7" t="n"/>
      <c r="G9" s="17">
        <f>IF(A9="","",COUNTIF('テストケース1'!$B$6:$B$105,A9)+COUNTIF('テストケース2'!$B$6:$B$105,A9)+COUNTIF('テストケース3'!$B$6:$B$105,A9)+COUNTIF('テストケース4'!$B$6:$B$105,A9)+COUNTIF('テストケース5'!$B$6:$B$105,A9))</f>
        <v/>
      </c>
      <c r="H9" s="17">
        <f>IF(A9="","",IF(G9=0,"ケース未作成","OK"))</f>
        <v/>
      </c>
    </row>
    <row r="10">
      <c r="A10" s="7" t="n"/>
      <c r="B10" s="7" t="n"/>
      <c r="C10" s="7" t="n"/>
      <c r="D10" s="7" t="n"/>
      <c r="E10" s="7" t="n"/>
      <c r="F10" s="7" t="n"/>
      <c r="G10" s="17">
        <f>IF(A10="","",COUNTIF('テストケース1'!$B$6:$B$105,A10)+COUNTIF('テストケース2'!$B$6:$B$105,A10)+COUNTIF('テストケース3'!$B$6:$B$105,A10)+COUNTIF('テストケース4'!$B$6:$B$105,A10)+COUNTIF('テストケース5'!$B$6:$B$105,A10))</f>
        <v/>
      </c>
      <c r="H10" s="17">
        <f>IF(A10="","",IF(G10=0,"ケース未作成","OK"))</f>
        <v/>
      </c>
    </row>
    <row r="11">
      <c r="A11" s="7" t="n"/>
      <c r="B11" s="7" t="n"/>
      <c r="C11" s="7" t="n"/>
      <c r="D11" s="7" t="n"/>
      <c r="E11" s="7" t="n"/>
      <c r="F11" s="7" t="n"/>
      <c r="G11" s="17">
        <f>IF(A11="","",COUNTIF('テストケース1'!$B$6:$B$105,A11)+COUNTIF('テストケース2'!$B$6:$B$105,A11)+COUNTIF('テストケース3'!$B$6:$B$105,A11)+COUNTIF('テストケース4'!$B$6:$B$105,A11)+COUNTIF('テストケース5'!$B$6:$B$105,A11))</f>
        <v/>
      </c>
      <c r="H11" s="17">
        <f>IF(A11="","",IF(G11=0,"ケース未作成","OK"))</f>
        <v/>
      </c>
    </row>
    <row r="12">
      <c r="A12" s="7" t="n"/>
      <c r="B12" s="7" t="n"/>
      <c r="C12" s="7" t="n"/>
      <c r="D12" s="7" t="n"/>
      <c r="E12" s="7" t="n"/>
      <c r="F12" s="7" t="n"/>
      <c r="G12" s="17">
        <f>IF(A12="","",COUNTIF('テストケース1'!$B$6:$B$105,A12)+COUNTIF('テストケース2'!$B$6:$B$105,A12)+COUNTIF('テストケース3'!$B$6:$B$105,A12)+COUNTIF('テストケース4'!$B$6:$B$105,A12)+COUNTIF('テストケース5'!$B$6:$B$105,A12))</f>
        <v/>
      </c>
      <c r="H12" s="17">
        <f>IF(A12="","",IF(G12=0,"ケース未作成","OK"))</f>
        <v/>
      </c>
    </row>
    <row r="13">
      <c r="A13" s="7" t="n"/>
      <c r="B13" s="7" t="n"/>
      <c r="C13" s="7" t="n"/>
      <c r="D13" s="7" t="n"/>
      <c r="E13" s="7" t="n"/>
      <c r="F13" s="7" t="n"/>
      <c r="G13" s="17">
        <f>IF(A13="","",COUNTIF('テストケース1'!$B$6:$B$105,A13)+COUNTIF('テストケース2'!$B$6:$B$105,A13)+COUNTIF('テストケース3'!$B$6:$B$105,A13)+COUNTIF('テストケース4'!$B$6:$B$105,A13)+COUNTIF('テストケース5'!$B$6:$B$105,A13))</f>
        <v/>
      </c>
      <c r="H13" s="17">
        <f>IF(A13="","",IF(G13=0,"ケース未作成","OK"))</f>
        <v/>
      </c>
    </row>
    <row r="14">
      <c r="A14" s="7" t="n"/>
      <c r="B14" s="7" t="n"/>
      <c r="C14" s="7" t="n"/>
      <c r="D14" s="7" t="n"/>
      <c r="E14" s="7" t="n"/>
      <c r="F14" s="7" t="n"/>
      <c r="G14" s="17">
        <f>IF(A14="","",COUNTIF('テストケース1'!$B$6:$B$105,A14)+COUNTIF('テストケース2'!$B$6:$B$105,A14)+COUNTIF('テストケース3'!$B$6:$B$105,A14)+COUNTIF('テストケース4'!$B$6:$B$105,A14)+COUNTIF('テストケース5'!$B$6:$B$105,A14))</f>
        <v/>
      </c>
      <c r="H14" s="17">
        <f>IF(A14="","",IF(G14=0,"ケース未作成","OK"))</f>
        <v/>
      </c>
    </row>
    <row r="15">
      <c r="A15" s="7" t="n"/>
      <c r="B15" s="7" t="n"/>
      <c r="C15" s="7" t="n"/>
      <c r="D15" s="7" t="n"/>
      <c r="E15" s="7" t="n"/>
      <c r="F15" s="7" t="n"/>
      <c r="G15" s="17">
        <f>IF(A15="","",COUNTIF('テストケース1'!$B$6:$B$105,A15)+COUNTIF('テストケース2'!$B$6:$B$105,A15)+COUNTIF('テストケース3'!$B$6:$B$105,A15)+COUNTIF('テストケース4'!$B$6:$B$105,A15)+COUNTIF('テストケース5'!$B$6:$B$105,A15))</f>
        <v/>
      </c>
      <c r="H15" s="17">
        <f>IF(A15="","",IF(G15=0,"ケース未作成","OK"))</f>
        <v/>
      </c>
    </row>
    <row r="16">
      <c r="A16" s="7" t="n"/>
      <c r="B16" s="7" t="n"/>
      <c r="C16" s="7" t="n"/>
      <c r="D16" s="7" t="n"/>
      <c r="E16" s="7" t="n"/>
      <c r="F16" s="7" t="n"/>
      <c r="G16" s="17">
        <f>IF(A16="","",COUNTIF('テストケース1'!$B$6:$B$105,A16)+COUNTIF('テストケース2'!$B$6:$B$105,A16)+COUNTIF('テストケース3'!$B$6:$B$105,A16)+COUNTIF('テストケース4'!$B$6:$B$105,A16)+COUNTIF('テストケース5'!$B$6:$B$105,A16))</f>
        <v/>
      </c>
      <c r="H16" s="17">
        <f>IF(A16="","",IF(G16=0,"ケース未作成","OK"))</f>
        <v/>
      </c>
    </row>
    <row r="17">
      <c r="A17" s="7" t="n"/>
      <c r="B17" s="7" t="n"/>
      <c r="C17" s="7" t="n"/>
      <c r="D17" s="7" t="n"/>
      <c r="E17" s="7" t="n"/>
      <c r="F17" s="7" t="n"/>
      <c r="G17" s="17">
        <f>IF(A17="","",COUNTIF('テストケース1'!$B$6:$B$105,A17)+COUNTIF('テストケース2'!$B$6:$B$105,A17)+COUNTIF('テストケース3'!$B$6:$B$105,A17)+COUNTIF('テストケース4'!$B$6:$B$105,A17)+COUNTIF('テストケース5'!$B$6:$B$105,A17))</f>
        <v/>
      </c>
      <c r="H17" s="17">
        <f>IF(A17="","",IF(G17=0,"ケース未作成","OK"))</f>
        <v/>
      </c>
    </row>
    <row r="18">
      <c r="A18" s="7" t="n"/>
      <c r="B18" s="7" t="n"/>
      <c r="C18" s="7" t="n"/>
      <c r="D18" s="7" t="n"/>
      <c r="E18" s="7" t="n"/>
      <c r="F18" s="7" t="n"/>
      <c r="G18" s="17">
        <f>IF(A18="","",COUNTIF('テストケース1'!$B$6:$B$105,A18)+COUNTIF('テストケース2'!$B$6:$B$105,A18)+COUNTIF('テストケース3'!$B$6:$B$105,A18)+COUNTIF('テストケース4'!$B$6:$B$105,A18)+COUNTIF('テストケース5'!$B$6:$B$105,A18))</f>
        <v/>
      </c>
      <c r="H18" s="17">
        <f>IF(A18="","",IF(G18=0,"ケース未作成","OK"))</f>
        <v/>
      </c>
    </row>
    <row r="19">
      <c r="A19" s="7" t="n"/>
      <c r="B19" s="7" t="n"/>
      <c r="C19" s="7" t="n"/>
      <c r="D19" s="7" t="n"/>
      <c r="E19" s="7" t="n"/>
      <c r="F19" s="7" t="n"/>
      <c r="G19" s="17">
        <f>IF(A19="","",COUNTIF('テストケース1'!$B$6:$B$105,A19)+COUNTIF('テストケース2'!$B$6:$B$105,A19)+COUNTIF('テストケース3'!$B$6:$B$105,A19)+COUNTIF('テストケース4'!$B$6:$B$105,A19)+COUNTIF('テストケース5'!$B$6:$B$105,A19))</f>
        <v/>
      </c>
      <c r="H19" s="17">
        <f>IF(A19="","",IF(G19=0,"ケース未作成","OK"))</f>
        <v/>
      </c>
    </row>
    <row r="20">
      <c r="A20" s="7" t="n"/>
      <c r="B20" s="7" t="n"/>
      <c r="C20" s="7" t="n"/>
      <c r="D20" s="7" t="n"/>
      <c r="E20" s="7" t="n"/>
      <c r="F20" s="7" t="n"/>
      <c r="G20" s="17">
        <f>IF(A20="","",COUNTIF('テストケース1'!$B$6:$B$105,A20)+COUNTIF('テストケース2'!$B$6:$B$105,A20)+COUNTIF('テストケース3'!$B$6:$B$105,A20)+COUNTIF('テストケース4'!$B$6:$B$105,A20)+COUNTIF('テストケース5'!$B$6:$B$105,A20))</f>
        <v/>
      </c>
      <c r="H20" s="17">
        <f>IF(A20="","",IF(G20=0,"ケース未作成","OK"))</f>
        <v/>
      </c>
    </row>
    <row r="21">
      <c r="A21" s="7" t="n"/>
      <c r="B21" s="7" t="n"/>
      <c r="C21" s="7" t="n"/>
      <c r="D21" s="7" t="n"/>
      <c r="E21" s="7" t="n"/>
      <c r="F21" s="7" t="n"/>
      <c r="G21" s="17">
        <f>IF(A21="","",COUNTIF('テストケース1'!$B$6:$B$105,A21)+COUNTIF('テストケース2'!$B$6:$B$105,A21)+COUNTIF('テストケース3'!$B$6:$B$105,A21)+COUNTIF('テストケース4'!$B$6:$B$105,A21)+COUNTIF('テストケース5'!$B$6:$B$105,A21))</f>
        <v/>
      </c>
      <c r="H21" s="17">
        <f>IF(A21="","",IF(G21=0,"ケース未作成","OK"))</f>
        <v/>
      </c>
    </row>
    <row r="22">
      <c r="A22" s="7" t="n"/>
      <c r="B22" s="7" t="n"/>
      <c r="C22" s="7" t="n"/>
      <c r="D22" s="7" t="n"/>
      <c r="E22" s="7" t="n"/>
      <c r="F22" s="7" t="n"/>
      <c r="G22" s="17">
        <f>IF(A22="","",COUNTIF('テストケース1'!$B$6:$B$105,A22)+COUNTIF('テストケース2'!$B$6:$B$105,A22)+COUNTIF('テストケース3'!$B$6:$B$105,A22)+COUNTIF('テストケース4'!$B$6:$B$105,A22)+COUNTIF('テストケース5'!$B$6:$B$105,A22))</f>
        <v/>
      </c>
      <c r="H22" s="17">
        <f>IF(A22="","",IF(G22=0,"ケース未作成","OK"))</f>
        <v/>
      </c>
    </row>
    <row r="23">
      <c r="A23" s="7" t="n"/>
      <c r="B23" s="7" t="n"/>
      <c r="C23" s="7" t="n"/>
      <c r="D23" s="7" t="n"/>
      <c r="E23" s="7" t="n"/>
      <c r="F23" s="7" t="n"/>
      <c r="G23" s="17">
        <f>IF(A23="","",COUNTIF('テストケース1'!$B$6:$B$105,A23)+COUNTIF('テストケース2'!$B$6:$B$105,A23)+COUNTIF('テストケース3'!$B$6:$B$105,A23)+COUNTIF('テストケース4'!$B$6:$B$105,A23)+COUNTIF('テストケース5'!$B$6:$B$105,A23))</f>
        <v/>
      </c>
      <c r="H23" s="17">
        <f>IF(A23="","",IF(G23=0,"ケース未作成","OK"))</f>
        <v/>
      </c>
    </row>
    <row r="24">
      <c r="A24" s="7" t="n"/>
      <c r="B24" s="7" t="n"/>
      <c r="C24" s="7" t="n"/>
      <c r="D24" s="7" t="n"/>
      <c r="E24" s="7" t="n"/>
      <c r="F24" s="7" t="n"/>
      <c r="G24" s="17">
        <f>IF(A24="","",COUNTIF('テストケース1'!$B$6:$B$105,A24)+COUNTIF('テストケース2'!$B$6:$B$105,A24)+COUNTIF('テストケース3'!$B$6:$B$105,A24)+COUNTIF('テストケース4'!$B$6:$B$105,A24)+COUNTIF('テストケース5'!$B$6:$B$105,A24))</f>
        <v/>
      </c>
      <c r="H24" s="17">
        <f>IF(A24="","",IF(G24=0,"ケース未作成","OK"))</f>
        <v/>
      </c>
    </row>
    <row r="25">
      <c r="A25" s="7" t="n"/>
      <c r="B25" s="7" t="n"/>
      <c r="C25" s="7" t="n"/>
      <c r="D25" s="7" t="n"/>
      <c r="E25" s="7" t="n"/>
      <c r="F25" s="7" t="n"/>
      <c r="G25" s="17">
        <f>IF(A25="","",COUNTIF('テストケース1'!$B$6:$B$105,A25)+COUNTIF('テストケース2'!$B$6:$B$105,A25)+COUNTIF('テストケース3'!$B$6:$B$105,A25)+COUNTIF('テストケース4'!$B$6:$B$105,A25)+COUNTIF('テストケース5'!$B$6:$B$105,A25))</f>
        <v/>
      </c>
      <c r="H25" s="17">
        <f>IF(A25="","",IF(G25=0,"ケース未作成","OK"))</f>
        <v/>
      </c>
    </row>
    <row r="26">
      <c r="A26" s="7" t="n"/>
      <c r="B26" s="7" t="n"/>
      <c r="C26" s="7" t="n"/>
      <c r="D26" s="7" t="n"/>
      <c r="E26" s="7" t="n"/>
      <c r="F26" s="7" t="n"/>
      <c r="G26" s="17">
        <f>IF(A26="","",COUNTIF('テストケース1'!$B$6:$B$105,A26)+COUNTIF('テストケース2'!$B$6:$B$105,A26)+COUNTIF('テストケース3'!$B$6:$B$105,A26)+COUNTIF('テストケース4'!$B$6:$B$105,A26)+COUNTIF('テストケース5'!$B$6:$B$105,A26))</f>
        <v/>
      </c>
      <c r="H26" s="17">
        <f>IF(A26="","",IF(G26=0,"ケース未作成","OK"))</f>
        <v/>
      </c>
    </row>
    <row r="27">
      <c r="A27" s="7" t="n"/>
      <c r="B27" s="7" t="n"/>
      <c r="C27" s="7" t="n"/>
      <c r="D27" s="7" t="n"/>
      <c r="E27" s="7" t="n"/>
      <c r="F27" s="7" t="n"/>
      <c r="G27" s="17">
        <f>IF(A27="","",COUNTIF('テストケース1'!$B$6:$B$105,A27)+COUNTIF('テストケース2'!$B$6:$B$105,A27)+COUNTIF('テストケース3'!$B$6:$B$105,A27)+COUNTIF('テストケース4'!$B$6:$B$105,A27)+COUNTIF('テストケース5'!$B$6:$B$105,A27))</f>
        <v/>
      </c>
      <c r="H27" s="17">
        <f>IF(A27="","",IF(G27=0,"ケース未作成","OK"))</f>
        <v/>
      </c>
    </row>
    <row r="28">
      <c r="A28" s="7" t="n"/>
      <c r="B28" s="7" t="n"/>
      <c r="C28" s="7" t="n"/>
      <c r="D28" s="7" t="n"/>
      <c r="E28" s="7" t="n"/>
      <c r="F28" s="7" t="n"/>
      <c r="G28" s="17">
        <f>IF(A28="","",COUNTIF('テストケース1'!$B$6:$B$105,A28)+COUNTIF('テストケース2'!$B$6:$B$105,A28)+COUNTIF('テストケース3'!$B$6:$B$105,A28)+COUNTIF('テストケース4'!$B$6:$B$105,A28)+COUNTIF('テストケース5'!$B$6:$B$105,A28))</f>
        <v/>
      </c>
      <c r="H28" s="17">
        <f>IF(A28="","",IF(G28=0,"ケース未作成","OK"))</f>
        <v/>
      </c>
    </row>
    <row r="29">
      <c r="A29" s="7" t="n"/>
      <c r="B29" s="7" t="n"/>
      <c r="C29" s="7" t="n"/>
      <c r="D29" s="7" t="n"/>
      <c r="E29" s="7" t="n"/>
      <c r="F29" s="7" t="n"/>
      <c r="G29" s="17">
        <f>IF(A29="","",COUNTIF('テストケース1'!$B$6:$B$105,A29)+COUNTIF('テストケース2'!$B$6:$B$105,A29)+COUNTIF('テストケース3'!$B$6:$B$105,A29)+COUNTIF('テストケース4'!$B$6:$B$105,A29)+COUNTIF('テストケース5'!$B$6:$B$105,A29))</f>
        <v/>
      </c>
      <c r="H29" s="17">
        <f>IF(A29="","",IF(G29=0,"ケース未作成","OK"))</f>
        <v/>
      </c>
    </row>
    <row r="30">
      <c r="A30" s="7" t="n"/>
      <c r="B30" s="7" t="n"/>
      <c r="C30" s="7" t="n"/>
      <c r="D30" s="7" t="n"/>
      <c r="E30" s="7" t="n"/>
      <c r="F30" s="7" t="n"/>
      <c r="G30" s="17">
        <f>IF(A30="","",COUNTIF('テストケース1'!$B$6:$B$105,A30)+COUNTIF('テストケース2'!$B$6:$B$105,A30)+COUNTIF('テストケース3'!$B$6:$B$105,A30)+COUNTIF('テストケース4'!$B$6:$B$105,A30)+COUNTIF('テストケース5'!$B$6:$B$105,A30))</f>
        <v/>
      </c>
      <c r="H30" s="17">
        <f>IF(A30="","",IF(G30=0,"ケース未作成","OK"))</f>
        <v/>
      </c>
    </row>
    <row r="31">
      <c r="A31" s="7" t="n"/>
      <c r="B31" s="7" t="n"/>
      <c r="C31" s="7" t="n"/>
      <c r="D31" s="7" t="n"/>
      <c r="E31" s="7" t="n"/>
      <c r="F31" s="7" t="n"/>
      <c r="G31" s="17">
        <f>IF(A31="","",COUNTIF('テストケース1'!$B$6:$B$105,A31)+COUNTIF('テストケース2'!$B$6:$B$105,A31)+COUNTIF('テストケース3'!$B$6:$B$105,A31)+COUNTIF('テストケース4'!$B$6:$B$105,A31)+COUNTIF('テストケース5'!$B$6:$B$105,A31))</f>
        <v/>
      </c>
      <c r="H31" s="17">
        <f>IF(A31="","",IF(G31=0,"ケース未作成","OK"))</f>
        <v/>
      </c>
    </row>
    <row r="32">
      <c r="A32" s="7" t="n"/>
      <c r="B32" s="7" t="n"/>
      <c r="C32" s="7" t="n"/>
      <c r="D32" s="7" t="n"/>
      <c r="E32" s="7" t="n"/>
      <c r="F32" s="7" t="n"/>
      <c r="G32" s="17">
        <f>IF(A32="","",COUNTIF('テストケース1'!$B$6:$B$105,A32)+COUNTIF('テストケース2'!$B$6:$B$105,A32)+COUNTIF('テストケース3'!$B$6:$B$105,A32)+COUNTIF('テストケース4'!$B$6:$B$105,A32)+COUNTIF('テストケース5'!$B$6:$B$105,A32))</f>
        <v/>
      </c>
      <c r="H32" s="17">
        <f>IF(A32="","",IF(G32=0,"ケース未作成","OK"))</f>
        <v/>
      </c>
    </row>
    <row r="33">
      <c r="A33" s="7" t="n"/>
      <c r="B33" s="7" t="n"/>
      <c r="C33" s="7" t="n"/>
      <c r="D33" s="7" t="n"/>
      <c r="E33" s="7" t="n"/>
      <c r="F33" s="7" t="n"/>
      <c r="G33" s="17">
        <f>IF(A33="","",COUNTIF('テストケース1'!$B$6:$B$105,A33)+COUNTIF('テストケース2'!$B$6:$B$105,A33)+COUNTIF('テストケース3'!$B$6:$B$105,A33)+COUNTIF('テストケース4'!$B$6:$B$105,A33)+COUNTIF('テストケース5'!$B$6:$B$105,A33))</f>
        <v/>
      </c>
      <c r="H33" s="17">
        <f>IF(A33="","",IF(G33=0,"ケース未作成","OK"))</f>
        <v/>
      </c>
    </row>
    <row r="34">
      <c r="A34" s="7" t="n"/>
      <c r="B34" s="7" t="n"/>
      <c r="C34" s="7" t="n"/>
      <c r="D34" s="7" t="n"/>
      <c r="E34" s="7" t="n"/>
      <c r="F34" s="7" t="n"/>
      <c r="G34" s="17">
        <f>IF(A34="","",COUNTIF('テストケース1'!$B$6:$B$105,A34)+COUNTIF('テストケース2'!$B$6:$B$105,A34)+COUNTIF('テストケース3'!$B$6:$B$105,A34)+COUNTIF('テストケース4'!$B$6:$B$105,A34)+COUNTIF('テストケース5'!$B$6:$B$105,A34))</f>
        <v/>
      </c>
      <c r="H34" s="17">
        <f>IF(A34="","",IF(G34=0,"ケース未作成","OK"))</f>
        <v/>
      </c>
    </row>
    <row r="35">
      <c r="A35" s="7" t="n"/>
      <c r="B35" s="7" t="n"/>
      <c r="C35" s="7" t="n"/>
      <c r="D35" s="7" t="n"/>
      <c r="E35" s="7" t="n"/>
      <c r="F35" s="7" t="n"/>
      <c r="G35" s="17">
        <f>IF(A35="","",COUNTIF('テストケース1'!$B$6:$B$105,A35)+COUNTIF('テストケース2'!$B$6:$B$105,A35)+COUNTIF('テストケース3'!$B$6:$B$105,A35)+COUNTIF('テストケース4'!$B$6:$B$105,A35)+COUNTIF('テストケース5'!$B$6:$B$105,A35))</f>
        <v/>
      </c>
      <c r="H35" s="17">
        <f>IF(A35="","",IF(G35=0,"ケース未作成","OK"))</f>
        <v/>
      </c>
    </row>
    <row r="36">
      <c r="A36" s="7" t="n"/>
      <c r="B36" s="7" t="n"/>
      <c r="C36" s="7" t="n"/>
      <c r="D36" s="7" t="n"/>
      <c r="E36" s="7" t="n"/>
      <c r="F36" s="7" t="n"/>
      <c r="G36" s="17">
        <f>IF(A36="","",COUNTIF('テストケース1'!$B$6:$B$105,A36)+COUNTIF('テストケース2'!$B$6:$B$105,A36)+COUNTIF('テストケース3'!$B$6:$B$105,A36)+COUNTIF('テストケース4'!$B$6:$B$105,A36)+COUNTIF('テストケース5'!$B$6:$B$105,A36))</f>
        <v/>
      </c>
      <c r="H36" s="17">
        <f>IF(A36="","",IF(G36=0,"ケース未作成","OK"))</f>
        <v/>
      </c>
    </row>
    <row r="37">
      <c r="A37" s="7" t="n"/>
      <c r="B37" s="7" t="n"/>
      <c r="C37" s="7" t="n"/>
      <c r="D37" s="7" t="n"/>
      <c r="E37" s="7" t="n"/>
      <c r="F37" s="7" t="n"/>
      <c r="G37" s="17">
        <f>IF(A37="","",COUNTIF('テストケース1'!$B$6:$B$105,A37)+COUNTIF('テストケース2'!$B$6:$B$105,A37)+COUNTIF('テストケース3'!$B$6:$B$105,A37)+COUNTIF('テストケース4'!$B$6:$B$105,A37)+COUNTIF('テストケース5'!$B$6:$B$105,A37))</f>
        <v/>
      </c>
      <c r="H37" s="17">
        <f>IF(A37="","",IF(G37=0,"ケース未作成","OK"))</f>
        <v/>
      </c>
    </row>
    <row r="38">
      <c r="A38" s="7" t="n"/>
      <c r="B38" s="7" t="n"/>
      <c r="C38" s="7" t="n"/>
      <c r="D38" s="7" t="n"/>
      <c r="E38" s="7" t="n"/>
      <c r="F38" s="7" t="n"/>
      <c r="G38" s="17">
        <f>IF(A38="","",COUNTIF('テストケース1'!$B$6:$B$105,A38)+COUNTIF('テストケース2'!$B$6:$B$105,A38)+COUNTIF('テストケース3'!$B$6:$B$105,A38)+COUNTIF('テストケース4'!$B$6:$B$105,A38)+COUNTIF('テストケース5'!$B$6:$B$105,A38))</f>
        <v/>
      </c>
      <c r="H38" s="17">
        <f>IF(A38="","",IF(G38=0,"ケース未作成","OK"))</f>
        <v/>
      </c>
    </row>
    <row r="39">
      <c r="A39" s="7" t="n"/>
      <c r="B39" s="7" t="n"/>
      <c r="C39" s="7" t="n"/>
      <c r="D39" s="7" t="n"/>
      <c r="E39" s="7" t="n"/>
      <c r="F39" s="7" t="n"/>
      <c r="G39" s="17">
        <f>IF(A39="","",COUNTIF('テストケース1'!$B$6:$B$105,A39)+COUNTIF('テストケース2'!$B$6:$B$105,A39)+COUNTIF('テストケース3'!$B$6:$B$105,A39)+COUNTIF('テストケース4'!$B$6:$B$105,A39)+COUNTIF('テストケース5'!$B$6:$B$105,A39))</f>
        <v/>
      </c>
      <c r="H39" s="17">
        <f>IF(A39="","",IF(G39=0,"ケース未作成","OK"))</f>
        <v/>
      </c>
    </row>
    <row r="40">
      <c r="A40" s="7" t="n"/>
      <c r="B40" s="7" t="n"/>
      <c r="C40" s="7" t="n"/>
      <c r="D40" s="7" t="n"/>
      <c r="E40" s="7" t="n"/>
      <c r="F40" s="7" t="n"/>
      <c r="G40" s="17">
        <f>IF(A40="","",COUNTIF('テストケース1'!$B$6:$B$105,A40)+COUNTIF('テストケース2'!$B$6:$B$105,A40)+COUNTIF('テストケース3'!$B$6:$B$105,A40)+COUNTIF('テストケース4'!$B$6:$B$105,A40)+COUNTIF('テストケース5'!$B$6:$B$105,A40))</f>
        <v/>
      </c>
      <c r="H40" s="17">
        <f>IF(A40="","",IF(G40=0,"ケース未作成","OK"))</f>
        <v/>
      </c>
    </row>
    <row r="41">
      <c r="A41" s="7" t="n"/>
      <c r="B41" s="7" t="n"/>
      <c r="C41" s="7" t="n"/>
      <c r="D41" s="7" t="n"/>
      <c r="E41" s="7" t="n"/>
      <c r="F41" s="7" t="n"/>
      <c r="G41" s="17">
        <f>IF(A41="","",COUNTIF('テストケース1'!$B$6:$B$105,A41)+COUNTIF('テストケース2'!$B$6:$B$105,A41)+COUNTIF('テストケース3'!$B$6:$B$105,A41)+COUNTIF('テストケース4'!$B$6:$B$105,A41)+COUNTIF('テストケース5'!$B$6:$B$105,A41))</f>
        <v/>
      </c>
      <c r="H41" s="17">
        <f>IF(A41="","",IF(G41=0,"ケース未作成","OK"))</f>
        <v/>
      </c>
    </row>
    <row r="42">
      <c r="A42" s="7" t="n"/>
      <c r="B42" s="7" t="n"/>
      <c r="C42" s="7" t="n"/>
      <c r="D42" s="7" t="n"/>
      <c r="E42" s="7" t="n"/>
      <c r="F42" s="7" t="n"/>
      <c r="G42" s="17">
        <f>IF(A42="","",COUNTIF('テストケース1'!$B$6:$B$105,A42)+COUNTIF('テストケース2'!$B$6:$B$105,A42)+COUNTIF('テストケース3'!$B$6:$B$105,A42)+COUNTIF('テストケース4'!$B$6:$B$105,A42)+COUNTIF('テストケース5'!$B$6:$B$105,A42))</f>
        <v/>
      </c>
      <c r="H42" s="17">
        <f>IF(A42="","",IF(G42=0,"ケース未作成","OK"))</f>
        <v/>
      </c>
    </row>
    <row r="43">
      <c r="A43" s="7" t="n"/>
      <c r="B43" s="7" t="n"/>
      <c r="C43" s="7" t="n"/>
      <c r="D43" s="7" t="n"/>
      <c r="E43" s="7" t="n"/>
      <c r="F43" s="7" t="n"/>
      <c r="G43" s="17">
        <f>IF(A43="","",COUNTIF('テストケース1'!$B$6:$B$105,A43)+COUNTIF('テストケース2'!$B$6:$B$105,A43)+COUNTIF('テストケース3'!$B$6:$B$105,A43)+COUNTIF('テストケース4'!$B$6:$B$105,A43)+COUNTIF('テストケース5'!$B$6:$B$105,A43))</f>
        <v/>
      </c>
      <c r="H43" s="17">
        <f>IF(A43="","",IF(G43=0,"ケース未作成","OK"))</f>
        <v/>
      </c>
    </row>
    <row r="44">
      <c r="A44" s="7" t="n"/>
      <c r="B44" s="7" t="n"/>
      <c r="C44" s="7" t="n"/>
      <c r="D44" s="7" t="n"/>
      <c r="E44" s="7" t="n"/>
      <c r="F44" s="7" t="n"/>
      <c r="G44" s="17">
        <f>IF(A44="","",COUNTIF('テストケース1'!$B$6:$B$105,A44)+COUNTIF('テストケース2'!$B$6:$B$105,A44)+COUNTIF('テストケース3'!$B$6:$B$105,A44)+COUNTIF('テストケース4'!$B$6:$B$105,A44)+COUNTIF('テストケース5'!$B$6:$B$105,A44))</f>
        <v/>
      </c>
      <c r="H44" s="17">
        <f>IF(A44="","",IF(G44=0,"ケース未作成","OK"))</f>
        <v/>
      </c>
    </row>
    <row r="45">
      <c r="A45" s="7" t="n"/>
      <c r="B45" s="7" t="n"/>
      <c r="C45" s="7" t="n"/>
      <c r="D45" s="7" t="n"/>
      <c r="E45" s="7" t="n"/>
      <c r="F45" s="7" t="n"/>
      <c r="G45" s="17">
        <f>IF(A45="","",COUNTIF('テストケース1'!$B$6:$B$105,A45)+COUNTIF('テストケース2'!$B$6:$B$105,A45)+COUNTIF('テストケース3'!$B$6:$B$105,A45)+COUNTIF('テストケース4'!$B$6:$B$105,A45)+COUNTIF('テストケース5'!$B$6:$B$105,A45))</f>
        <v/>
      </c>
      <c r="H45" s="17">
        <f>IF(A45="","",IF(G45=0,"ケース未作成","OK"))</f>
        <v/>
      </c>
    </row>
    <row r="46">
      <c r="A46" s="7" t="n"/>
      <c r="B46" s="7" t="n"/>
      <c r="C46" s="7" t="n"/>
      <c r="D46" s="7" t="n"/>
      <c r="E46" s="7" t="n"/>
      <c r="F46" s="7" t="n"/>
      <c r="G46" s="17">
        <f>IF(A46="","",COUNTIF('テストケース1'!$B$6:$B$105,A46)+COUNTIF('テストケース2'!$B$6:$B$105,A46)+COUNTIF('テストケース3'!$B$6:$B$105,A46)+COUNTIF('テストケース4'!$B$6:$B$105,A46)+COUNTIF('テストケース5'!$B$6:$B$105,A46))</f>
        <v/>
      </c>
      <c r="H46" s="17">
        <f>IF(A46="","",IF(G46=0,"ケース未作成","OK"))</f>
        <v/>
      </c>
    </row>
    <row r="47">
      <c r="A47" s="7" t="n"/>
      <c r="B47" s="7" t="n"/>
      <c r="C47" s="7" t="n"/>
      <c r="D47" s="7" t="n"/>
      <c r="E47" s="7" t="n"/>
      <c r="F47" s="7" t="n"/>
      <c r="G47" s="17">
        <f>IF(A47="","",COUNTIF('テストケース1'!$B$6:$B$105,A47)+COUNTIF('テストケース2'!$B$6:$B$105,A47)+COUNTIF('テストケース3'!$B$6:$B$105,A47)+COUNTIF('テストケース4'!$B$6:$B$105,A47)+COUNTIF('テストケース5'!$B$6:$B$105,A47))</f>
        <v/>
      </c>
      <c r="H47" s="17">
        <f>IF(A47="","",IF(G47=0,"ケース未作成","OK"))</f>
        <v/>
      </c>
    </row>
    <row r="48">
      <c r="A48" s="7" t="n"/>
      <c r="B48" s="7" t="n"/>
      <c r="C48" s="7" t="n"/>
      <c r="D48" s="7" t="n"/>
      <c r="E48" s="7" t="n"/>
      <c r="F48" s="7" t="n"/>
      <c r="G48" s="17">
        <f>IF(A48="","",COUNTIF('テストケース1'!$B$6:$B$105,A48)+COUNTIF('テストケース2'!$B$6:$B$105,A48)+COUNTIF('テストケース3'!$B$6:$B$105,A48)+COUNTIF('テストケース4'!$B$6:$B$105,A48)+COUNTIF('テストケース5'!$B$6:$B$105,A48))</f>
        <v/>
      </c>
      <c r="H48" s="17">
        <f>IF(A48="","",IF(G48=0,"ケース未作成","OK"))</f>
        <v/>
      </c>
    </row>
    <row r="49">
      <c r="A49" s="7" t="n"/>
      <c r="B49" s="7" t="n"/>
      <c r="C49" s="7" t="n"/>
      <c r="D49" s="7" t="n"/>
      <c r="E49" s="7" t="n"/>
      <c r="F49" s="7" t="n"/>
      <c r="G49" s="17">
        <f>IF(A49="","",COUNTIF('テストケース1'!$B$6:$B$105,A49)+COUNTIF('テストケース2'!$B$6:$B$105,A49)+COUNTIF('テストケース3'!$B$6:$B$105,A49)+COUNTIF('テストケース4'!$B$6:$B$105,A49)+COUNTIF('テストケース5'!$B$6:$B$105,A49))</f>
        <v/>
      </c>
      <c r="H49" s="17">
        <f>IF(A49="","",IF(G49=0,"ケース未作成","OK"))</f>
        <v/>
      </c>
    </row>
    <row r="50">
      <c r="A50" s="7" t="n"/>
      <c r="B50" s="7" t="n"/>
      <c r="C50" s="7" t="n"/>
      <c r="D50" s="7" t="n"/>
      <c r="E50" s="7" t="n"/>
      <c r="F50" s="7" t="n"/>
      <c r="G50" s="17">
        <f>IF(A50="","",COUNTIF('テストケース1'!$B$6:$B$105,A50)+COUNTIF('テストケース2'!$B$6:$B$105,A50)+COUNTIF('テストケース3'!$B$6:$B$105,A50)+COUNTIF('テストケース4'!$B$6:$B$105,A50)+COUNTIF('テストケース5'!$B$6:$B$105,A50))</f>
        <v/>
      </c>
      <c r="H50" s="17">
        <f>IF(A50="","",IF(G50=0,"ケース未作成","OK"))</f>
        <v/>
      </c>
    </row>
    <row r="51">
      <c r="A51" s="7" t="n"/>
      <c r="B51" s="7" t="n"/>
      <c r="C51" s="7" t="n"/>
      <c r="D51" s="7" t="n"/>
      <c r="E51" s="7" t="n"/>
      <c r="F51" s="7" t="n"/>
      <c r="G51" s="17">
        <f>IF(A51="","",COUNTIF('テストケース1'!$B$6:$B$105,A51)+COUNTIF('テストケース2'!$B$6:$B$105,A51)+COUNTIF('テストケース3'!$B$6:$B$105,A51)+COUNTIF('テストケース4'!$B$6:$B$105,A51)+COUNTIF('テストケース5'!$B$6:$B$105,A51))</f>
        <v/>
      </c>
      <c r="H51" s="17">
        <f>IF(A51="","",IF(G51=0,"ケース未作成","OK"))</f>
        <v/>
      </c>
    </row>
    <row r="52">
      <c r="A52" s="7" t="n"/>
      <c r="B52" s="7" t="n"/>
      <c r="C52" s="7" t="n"/>
      <c r="D52" s="7" t="n"/>
      <c r="E52" s="7" t="n"/>
      <c r="F52" s="7" t="n"/>
      <c r="G52" s="17">
        <f>IF(A52="","",COUNTIF('テストケース1'!$B$6:$B$105,A52)+COUNTIF('テストケース2'!$B$6:$B$105,A52)+COUNTIF('テストケース3'!$B$6:$B$105,A52)+COUNTIF('テストケース4'!$B$6:$B$105,A52)+COUNTIF('テストケース5'!$B$6:$B$105,A52))</f>
        <v/>
      </c>
      <c r="H52" s="17">
        <f>IF(A52="","",IF(G52=0,"ケース未作成","OK"))</f>
        <v/>
      </c>
    </row>
    <row r="53">
      <c r="A53" s="7" t="n"/>
      <c r="B53" s="7" t="n"/>
      <c r="C53" s="7" t="n"/>
      <c r="D53" s="7" t="n"/>
      <c r="E53" s="7" t="n"/>
      <c r="F53" s="7" t="n"/>
      <c r="G53" s="17">
        <f>IF(A53="","",COUNTIF('テストケース1'!$B$6:$B$105,A53)+COUNTIF('テストケース2'!$B$6:$B$105,A53)+COUNTIF('テストケース3'!$B$6:$B$105,A53)+COUNTIF('テストケース4'!$B$6:$B$105,A53)+COUNTIF('テストケース5'!$B$6:$B$105,A53))</f>
        <v/>
      </c>
      <c r="H53" s="17">
        <f>IF(A53="","",IF(G53=0,"ケース未作成","OK"))</f>
        <v/>
      </c>
    </row>
    <row r="54">
      <c r="A54" s="7" t="n"/>
      <c r="B54" s="7" t="n"/>
      <c r="C54" s="7" t="n"/>
      <c r="D54" s="7" t="n"/>
      <c r="E54" s="7" t="n"/>
      <c r="F54" s="7" t="n"/>
      <c r="G54" s="17">
        <f>IF(A54="","",COUNTIF('テストケース1'!$B$6:$B$105,A54)+COUNTIF('テストケース2'!$B$6:$B$105,A54)+COUNTIF('テストケース3'!$B$6:$B$105,A54)+COUNTIF('テストケース4'!$B$6:$B$105,A54)+COUNTIF('テストケース5'!$B$6:$B$105,A54))</f>
        <v/>
      </c>
      <c r="H54" s="17">
        <f>IF(A54="","",IF(G54=0,"ケース未作成","OK"))</f>
        <v/>
      </c>
    </row>
    <row r="56">
      <c r="A56" s="10" t="inlineStr">
        <is>
          <t>優先度</t>
        </is>
      </c>
      <c r="B56" s="10" t="inlineStr">
        <is>
          <t>意味</t>
        </is>
      </c>
    </row>
    <row r="57">
      <c r="A57" s="16" t="inlineStr">
        <is>
          <t>高</t>
        </is>
      </c>
      <c r="B57" s="19" t="inlineStr">
        <is>
          <t>中核機能・セキュリティに直結。必ず実施</t>
        </is>
      </c>
    </row>
    <row r="58">
      <c r="A58" s="16" t="inlineStr">
        <is>
          <t>中</t>
        </is>
      </c>
      <c r="B58" s="19" t="inlineStr">
        <is>
          <t>バリデーションなど。実施を推奨</t>
        </is>
      </c>
    </row>
    <row r="59">
      <c r="A59" s="16" t="inlineStr">
        <is>
          <t>低</t>
        </is>
      </c>
      <c r="B59" s="19" t="inlineStr">
        <is>
          <t>余力があれば実施</t>
        </is>
      </c>
    </row>
  </sheetData>
  <dataValidations count="2">
    <dataValidation sqref="F5:F54" showDropDown="0" showInputMessage="0" showErrorMessage="0" allowBlank="1" type="list">
      <formula1>"高,中,低"</formula1>
    </dataValidation>
    <dataValidation sqref="E5:E54" showDropDown="0" showInputMessage="0" showErrorMessage="0" allowBlank="1" type="list">
      <formula1>"同値分割,境界値分析,デシジョンテーブル,状態遷移テスト,ペアワイズ,エラー推測,探索的テスト,チェックリスト"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Z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  <col width="34" customWidth="1" min="38" max="38"/>
    <col width="14" customWidth="1" min="39" max="39"/>
    <col width="9" customWidth="1" min="40" max="40"/>
    <col width="11" customWidth="1" min="41" max="41"/>
    <col width="10" customWidth="1" min="42" max="42"/>
    <col width="9" customWidth="1" min="43" max="43"/>
    <col width="10" customWidth="1" min="44" max="44"/>
    <col width="24" customWidth="1" min="45" max="45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</cols>
  <sheetData>
    <row r="1">
      <c r="A1" s="1" t="inlineStr">
        <is>
          <t>テストケース</t>
        </is>
      </c>
      <c r="E1" s="2" t="inlineStr">
        <is>
          <t>因子列の見出しは因子水準表から自動で入り、セルは水準のプルダウンから選べます。使わない因子の列は非表示にしてください。</t>
        </is>
      </c>
    </row>
    <row r="2">
      <c r="A2" s="10" t="inlineStr">
        <is>
          <t>対象</t>
        </is>
      </c>
      <c r="B2" s="7" t="inlineStr">
        <is>
          <t>ログイン画面</t>
        </is>
      </c>
      <c r="C2" s="8" t="n"/>
      <c r="D2" s="9" t="n"/>
    </row>
    <row r="3">
      <c r="A3" s="20" t="inlineStr">
        <is>
          <t>テストケース</t>
        </is>
      </c>
      <c r="B3" s="8" t="n"/>
      <c r="C3" s="8" t="n"/>
      <c r="D3" s="8" t="n"/>
      <c r="E3" s="8" t="n"/>
      <c r="F3" s="9" t="n"/>
      <c r="G3" s="20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9" t="n"/>
      <c r="AK3" s="20" t="inlineStr">
        <is>
          <t>内容</t>
        </is>
      </c>
      <c r="AL3" s="8" t="n"/>
      <c r="AM3" s="8" t="n"/>
      <c r="AN3" s="9" t="n"/>
      <c r="AO3" s="20" t="inlineStr">
        <is>
          <t>実行結果</t>
        </is>
      </c>
      <c r="AP3" s="8" t="n"/>
      <c r="AQ3" s="8" t="n"/>
      <c r="AR3" s="8" t="n"/>
      <c r="AS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1">
        <f>IF('因子水準表'!B$5="","",'因子水準表'!B$5)</f>
        <v/>
      </c>
      <c r="H4" s="21">
        <f>IF('因子水準表'!C$5="","",'因子水準表'!C$5)</f>
        <v/>
      </c>
      <c r="I4" s="21">
        <f>IF('因子水準表'!D$5="","",'因子水準表'!D$5)</f>
        <v/>
      </c>
      <c r="J4" s="21">
        <f>IF('因子水準表'!E$5="","",'因子水準表'!E$5)</f>
        <v/>
      </c>
      <c r="K4" s="21">
        <f>IF('因子水準表'!F$5="","",'因子水準表'!F$5)</f>
        <v/>
      </c>
      <c r="L4" s="21">
        <f>IF('因子水準表'!G$5="","",'因子水準表'!G$5)</f>
        <v/>
      </c>
      <c r="M4" s="21">
        <f>IF('因子水準表'!H$5="","",'因子水準表'!H$5)</f>
        <v/>
      </c>
      <c r="N4" s="21">
        <f>IF('因子水準表'!I$5="","",'因子水準表'!I$5)</f>
        <v/>
      </c>
      <c r="O4" s="21">
        <f>IF('因子水準表'!J$5="","",'因子水準表'!J$5)</f>
        <v/>
      </c>
      <c r="P4" s="21">
        <f>IF('因子水準表'!K$5="","",'因子水準表'!K$5)</f>
        <v/>
      </c>
      <c r="Q4" s="21">
        <f>IF('因子水準表'!L$5="","",'因子水準表'!L$5)</f>
        <v/>
      </c>
      <c r="R4" s="21">
        <f>IF('因子水準表'!M$5="","",'因子水準表'!M$5)</f>
        <v/>
      </c>
      <c r="S4" s="21">
        <f>IF('因子水準表'!N$5="","",'因子水準表'!N$5)</f>
        <v/>
      </c>
      <c r="T4" s="21">
        <f>IF('因子水準表'!O$5="","",'因子水準表'!O$5)</f>
        <v/>
      </c>
      <c r="U4" s="21">
        <f>IF('因子水準表'!P$5="","",'因子水準表'!P$5)</f>
        <v/>
      </c>
      <c r="V4" s="21">
        <f>IF('因子水準表'!Q$5="","",'因子水準表'!Q$5)</f>
        <v/>
      </c>
      <c r="W4" s="21">
        <f>IF('因子水準表'!R$5="","",'因子水準表'!R$5)</f>
        <v/>
      </c>
      <c r="X4" s="21">
        <f>IF('因子水準表'!S$5="","",'因子水準表'!S$5)</f>
        <v/>
      </c>
      <c r="Y4" s="21">
        <f>IF('因子水準表'!T$5="","",'因子水準表'!T$5)</f>
        <v/>
      </c>
      <c r="Z4" s="21">
        <f>IF('因子水準表'!U$5="","",'因子水準表'!U$5)</f>
        <v/>
      </c>
      <c r="AA4" s="21">
        <f>IF('因子水準表'!V$5="","",'因子水準表'!V$5)</f>
        <v/>
      </c>
      <c r="AB4" s="21">
        <f>IF('因子水準表'!W$5="","",'因子水準表'!W$5)</f>
        <v/>
      </c>
      <c r="AC4" s="21">
        <f>IF('因子水準表'!X$5="","",'因子水準表'!X$5)</f>
        <v/>
      </c>
      <c r="AD4" s="21">
        <f>IF('因子水準表'!Y$5="","",'因子水準表'!Y$5)</f>
        <v/>
      </c>
      <c r="AE4" s="21">
        <f>IF('因子水準表'!Z$5="","",'因子水準表'!Z$5)</f>
        <v/>
      </c>
      <c r="AF4" s="21">
        <f>IF('因子水準表'!AA$5="","",'因子水準表'!AA$5)</f>
        <v/>
      </c>
      <c r="AG4" s="21">
        <f>IF('因子水準表'!AB$5="","",'因子水準表'!AB$5)</f>
        <v/>
      </c>
      <c r="AH4" s="21">
        <f>IF('因子水準表'!AC$5="","",'因子水準表'!AC$5)</f>
        <v/>
      </c>
      <c r="AI4" s="21">
        <f>IF('因子水準表'!AD$5="","",'因子水準表'!AD$5)</f>
        <v/>
      </c>
      <c r="AJ4" s="21">
        <f>IF('因子水準表'!AE$5="","",'因子水準表'!AE$5)</f>
        <v/>
      </c>
      <c r="AK4" s="11" t="inlineStr">
        <is>
          <t>手順</t>
        </is>
      </c>
      <c r="AL4" s="11" t="inlineStr">
        <is>
          <t>期待結果</t>
        </is>
      </c>
      <c r="AM4" s="11" t="inlineStr">
        <is>
          <t>技法</t>
        </is>
      </c>
      <c r="AN4" s="11" t="inlineStr">
        <is>
          <t>自動化</t>
        </is>
      </c>
      <c r="AO4" s="11" t="inlineStr">
        <is>
          <t>実行日</t>
        </is>
      </c>
      <c r="AP4" s="11" t="inlineStr">
        <is>
          <t>実行者</t>
        </is>
      </c>
      <c r="AQ4" s="11" t="inlineStr">
        <is>
          <t>結果</t>
        </is>
      </c>
      <c r="AR4" s="11" t="inlineStr">
        <is>
          <t>欠陥ID</t>
        </is>
      </c>
      <c r="AS4" s="11" t="inlineStr">
        <is>
          <t>備考</t>
        </is>
      </c>
      <c r="AU4" s="20" t="inlineStr">
        <is>
          <t>プルダウン用（非表示・編集しない）</t>
        </is>
      </c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9" t="n"/>
    </row>
    <row r="5">
      <c r="A5" s="22" t="n"/>
      <c r="B5" s="22" t="n"/>
      <c r="C5" s="22" t="n"/>
      <c r="D5" s="22" t="n"/>
      <c r="E5" s="22" t="n"/>
      <c r="F5" s="22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11">
        <f>IF('因子水準表'!J$6="","因子9（未使用）",'因子水準表'!J$6)</f>
        <v/>
      </c>
      <c r="P5" s="11">
        <f>IF('因子水準表'!K$6="","因子10（未使用）",'因子水準表'!K$6)</f>
        <v/>
      </c>
      <c r="Q5" s="11">
        <f>IF('因子水準表'!L$6="","因子11（未使用）",'因子水準表'!L$6)</f>
        <v/>
      </c>
      <c r="R5" s="11">
        <f>IF('因子水準表'!M$6="","因子12（未使用）",'因子水準表'!M$6)</f>
        <v/>
      </c>
      <c r="S5" s="11">
        <f>IF('因子水準表'!N$6="","因子13（未使用）",'因子水準表'!N$6)</f>
        <v/>
      </c>
      <c r="T5" s="11">
        <f>IF('因子水準表'!O$6="","因子14（未使用）",'因子水準表'!O$6)</f>
        <v/>
      </c>
      <c r="U5" s="11">
        <f>IF('因子水準表'!P$6="","因子15（未使用）",'因子水準表'!P$6)</f>
        <v/>
      </c>
      <c r="V5" s="11">
        <f>IF('因子水準表'!Q$6="","因子16（未使用）",'因子水準表'!Q$6)</f>
        <v/>
      </c>
      <c r="W5" s="11">
        <f>IF('因子水準表'!R$6="","因子17（未使用）",'因子水準表'!R$6)</f>
        <v/>
      </c>
      <c r="X5" s="11">
        <f>IF('因子水準表'!S$6="","因子18（未使用）",'因子水準表'!S$6)</f>
        <v/>
      </c>
      <c r="Y5" s="11">
        <f>IF('因子水準表'!T$6="","因子19（未使用）",'因子水準表'!T$6)</f>
        <v/>
      </c>
      <c r="Z5" s="11">
        <f>IF('因子水準表'!U$6="","因子20（未使用）",'因子水準表'!U$6)</f>
        <v/>
      </c>
      <c r="AA5" s="11">
        <f>IF('因子水準表'!V$6="","因子21（未使用）",'因子水準表'!V$6)</f>
        <v/>
      </c>
      <c r="AB5" s="11">
        <f>IF('因子水準表'!W$6="","因子22（未使用）",'因子水準表'!W$6)</f>
        <v/>
      </c>
      <c r="AC5" s="11">
        <f>IF('因子水準表'!X$6="","因子23（未使用）",'因子水準表'!X$6)</f>
        <v/>
      </c>
      <c r="AD5" s="11">
        <f>IF('因子水準表'!Y$6="","因子24（未使用）",'因子水準表'!Y$6)</f>
        <v/>
      </c>
      <c r="AE5" s="11">
        <f>IF('因子水準表'!Z$6="","因子25（未使用）",'因子水準表'!Z$6)</f>
        <v/>
      </c>
      <c r="AF5" s="11">
        <f>IF('因子水準表'!AA$6="","因子26（未使用）",'因子水準表'!AA$6)</f>
        <v/>
      </c>
      <c r="AG5" s="11">
        <f>IF('因子水準表'!AB$6="","因子27（未使用）",'因子水準表'!AB$6)</f>
        <v/>
      </c>
      <c r="AH5" s="11">
        <f>IF('因子水準表'!AC$6="","因子28（未使用）",'因子水準表'!AC$6)</f>
        <v/>
      </c>
      <c r="AI5" s="11">
        <f>IF('因子水準表'!AD$6="","因子29（未使用）",'因子水準表'!AD$6)</f>
        <v/>
      </c>
      <c r="AJ5" s="11">
        <f>IF('因子水準表'!AE$6="","因子30（未使用）",'因子水準表'!AE$6)</f>
        <v/>
      </c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U5" s="11" t="inlineStr">
        <is>
          <t>F1 水準</t>
        </is>
      </c>
      <c r="AV5" s="11" t="inlineStr">
        <is>
          <t>F2 水準</t>
        </is>
      </c>
      <c r="AW5" s="11" t="inlineStr">
        <is>
          <t>F3 水準</t>
        </is>
      </c>
      <c r="AX5" s="11" t="inlineStr">
        <is>
          <t>F4 水準</t>
        </is>
      </c>
      <c r="AY5" s="11" t="inlineStr">
        <is>
          <t>F5 水準</t>
        </is>
      </c>
      <c r="AZ5" s="11" t="inlineStr">
        <is>
          <t>F6 水準</t>
        </is>
      </c>
      <c r="BA5" s="11" t="inlineStr">
        <is>
          <t>F7 水準</t>
        </is>
      </c>
      <c r="BB5" s="11" t="inlineStr">
        <is>
          <t>F8 水準</t>
        </is>
      </c>
      <c r="BC5" s="11" t="inlineStr">
        <is>
          <t>F9 水準</t>
        </is>
      </c>
      <c r="BD5" s="11" t="inlineStr">
        <is>
          <t>F10 水準</t>
        </is>
      </c>
      <c r="BE5" s="11" t="inlineStr">
        <is>
          <t>F11 水準</t>
        </is>
      </c>
      <c r="BF5" s="11" t="inlineStr">
        <is>
          <t>F12 水準</t>
        </is>
      </c>
      <c r="BG5" s="11" t="inlineStr">
        <is>
          <t>F13 水準</t>
        </is>
      </c>
      <c r="BH5" s="11" t="inlineStr">
        <is>
          <t>F14 水準</t>
        </is>
      </c>
      <c r="BI5" s="11" t="inlineStr">
        <is>
          <t>F15 水準</t>
        </is>
      </c>
      <c r="BJ5" s="11" t="inlineStr">
        <is>
          <t>F16 水準</t>
        </is>
      </c>
      <c r="BK5" s="11" t="inlineStr">
        <is>
          <t>F17 水準</t>
        </is>
      </c>
      <c r="BL5" s="11" t="inlineStr">
        <is>
          <t>F18 水準</t>
        </is>
      </c>
      <c r="BM5" s="11" t="inlineStr">
        <is>
          <t>F19 水準</t>
        </is>
      </c>
      <c r="BN5" s="11" t="inlineStr">
        <is>
          <t>F20 水準</t>
        </is>
      </c>
      <c r="BO5" s="11" t="inlineStr">
        <is>
          <t>F21 水準</t>
        </is>
      </c>
      <c r="BP5" s="11" t="inlineStr">
        <is>
          <t>F22 水準</t>
        </is>
      </c>
      <c r="BQ5" s="11" t="inlineStr">
        <is>
          <t>F23 水準</t>
        </is>
      </c>
      <c r="BR5" s="11" t="inlineStr">
        <is>
          <t>F24 水準</t>
        </is>
      </c>
      <c r="BS5" s="11" t="inlineStr">
        <is>
          <t>F25 水準</t>
        </is>
      </c>
      <c r="BT5" s="11" t="inlineStr">
        <is>
          <t>F26 水準</t>
        </is>
      </c>
      <c r="BU5" s="11" t="inlineStr">
        <is>
          <t>F27 水準</t>
        </is>
      </c>
      <c r="BV5" s="11" t="inlineStr">
        <is>
          <t>F28 水準</t>
        </is>
      </c>
      <c r="BW5" s="11" t="inlineStr">
        <is>
          <t>F29 水準</t>
        </is>
      </c>
      <c r="BX5" s="11" t="inlineStr">
        <is>
          <t>F30 水準</t>
        </is>
      </c>
      <c r="BY5" s="11" t="inlineStr">
        <is>
          <t>カテゴリ</t>
        </is>
      </c>
      <c r="BZ5" s="11" t="inlineStr">
        <is>
          <t>条件ID</t>
        </is>
      </c>
    </row>
    <row r="6">
      <c r="A6" s="7" t="inlineStr">
        <is>
          <t>T-01</t>
        </is>
      </c>
      <c r="B6" s="7" t="inlineStr">
        <is>
          <t>TC-A</t>
        </is>
      </c>
      <c r="C6" s="7" t="inlineStr">
        <is>
          <t>ログインフォーム</t>
        </is>
      </c>
      <c r="D6" s="7" t="inlineStr">
        <is>
          <t>正常ログイン</t>
        </is>
      </c>
      <c r="E6" s="7" t="inlineStr">
        <is>
          <t>高</t>
        </is>
      </c>
      <c r="F6" s="7" t="inlineStr">
        <is>
          <t>─</t>
        </is>
      </c>
      <c r="G6" s="7" t="inlineStr">
        <is>
          <t>登録済み</t>
        </is>
      </c>
      <c r="H6" s="7" t="inlineStr">
        <is>
          <t>正しい</t>
        </is>
      </c>
      <c r="I6" s="7" t="inlineStr">
        <is>
          <t>アクティブ</t>
        </is>
      </c>
      <c r="J6" s="7" t="inlineStr">
        <is>
          <t>0〜1回</t>
        </is>
      </c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inlineStr">
        <is>
          <t>1. ログイン画面を開く
2. メールアドレスとパスワードを入力
3. ログインボタンを押す</t>
        </is>
      </c>
      <c r="AL6" s="7" t="inlineStr">
        <is>
          <t>マイページに遷移する</t>
        </is>
      </c>
      <c r="AM6" s="7" t="inlineStr">
        <is>
          <t>同値分割</t>
        </is>
      </c>
      <c r="AN6" s="7" t="inlineStr">
        <is>
          <t>要</t>
        </is>
      </c>
      <c r="AO6" s="23" t="n"/>
      <c r="AP6" s="7" t="n"/>
      <c r="AQ6" s="7" t="n"/>
      <c r="AR6" s="7" t="n"/>
      <c r="AS6" s="7" t="n"/>
      <c r="AU6" s="24">
        <f>IF('因子水準表'!B9="","",'因子水準表'!B9)</f>
        <v/>
      </c>
      <c r="AV6" s="24">
        <f>IF('因子水準表'!C9="","",'因子水準表'!C9)</f>
        <v/>
      </c>
      <c r="AW6" s="24">
        <f>IF('因子水準表'!D9="","",'因子水準表'!D9)</f>
        <v/>
      </c>
      <c r="AX6" s="24">
        <f>IF('因子水準表'!E9="","",'因子水準表'!E9)</f>
        <v/>
      </c>
      <c r="AY6" s="24">
        <f>IF('因子水準表'!F9="","",'因子水準表'!F9)</f>
        <v/>
      </c>
      <c r="AZ6" s="24">
        <f>IF('因子水準表'!G9="","",'因子水準表'!G9)</f>
        <v/>
      </c>
      <c r="BA6" s="24">
        <f>IF('因子水準表'!H9="","",'因子水準表'!H9)</f>
        <v/>
      </c>
      <c r="BB6" s="24">
        <f>IF('因子水準表'!I9="","",'因子水準表'!I9)</f>
        <v/>
      </c>
      <c r="BC6" s="24">
        <f>IF('因子水準表'!J9="","",'因子水準表'!J9)</f>
        <v/>
      </c>
      <c r="BD6" s="24">
        <f>IF('因子水準表'!K9="","",'因子水準表'!K9)</f>
        <v/>
      </c>
      <c r="BE6" s="24">
        <f>IF('因子水準表'!L9="","",'因子水準表'!L9)</f>
        <v/>
      </c>
      <c r="BF6" s="24">
        <f>IF('因子水準表'!M9="","",'因子水準表'!M9)</f>
        <v/>
      </c>
      <c r="BG6" s="24">
        <f>IF('因子水準表'!N9="","",'因子水準表'!N9)</f>
        <v/>
      </c>
      <c r="BH6" s="24">
        <f>IF('因子水準表'!O9="","",'因子水準表'!O9)</f>
        <v/>
      </c>
      <c r="BI6" s="24">
        <f>IF('因子水準表'!P9="","",'因子水準表'!P9)</f>
        <v/>
      </c>
      <c r="BJ6" s="24">
        <f>IF('因子水準表'!Q9="","",'因子水準表'!Q9)</f>
        <v/>
      </c>
      <c r="BK6" s="24">
        <f>IF('因子水準表'!R9="","",'因子水準表'!R9)</f>
        <v/>
      </c>
      <c r="BL6" s="24">
        <f>IF('因子水準表'!S9="","",'因子水準表'!S9)</f>
        <v/>
      </c>
      <c r="BM6" s="24">
        <f>IF('因子水準表'!T9="","",'因子水準表'!T9)</f>
        <v/>
      </c>
      <c r="BN6" s="24">
        <f>IF('因子水準表'!U9="","",'因子水準表'!U9)</f>
        <v/>
      </c>
      <c r="BO6" s="24">
        <f>IF('因子水準表'!V9="","",'因子水準表'!V9)</f>
        <v/>
      </c>
      <c r="BP6" s="24">
        <f>IF('因子水準表'!W9="","",'因子水準表'!W9)</f>
        <v/>
      </c>
      <c r="BQ6" s="24">
        <f>IF('因子水準表'!X9="","",'因子水準表'!X9)</f>
        <v/>
      </c>
      <c r="BR6" s="24">
        <f>IF('因子水準表'!Y9="","",'因子水準表'!Y9)</f>
        <v/>
      </c>
      <c r="BS6" s="24">
        <f>IF('因子水準表'!Z9="","",'因子水準表'!Z9)</f>
        <v/>
      </c>
      <c r="BT6" s="24">
        <f>IF('因子水準表'!AA9="","",'因子水準表'!AA9)</f>
        <v/>
      </c>
      <c r="BU6" s="24">
        <f>IF('因子水準表'!AB9="","",'因子水準表'!AB9)</f>
        <v/>
      </c>
      <c r="BV6" s="24">
        <f>IF('因子水準表'!AC9="","",'因子水準表'!AC9)</f>
        <v/>
      </c>
      <c r="BW6" s="24">
        <f>IF('因子水準表'!AD9="","",'因子水準表'!AD9)</f>
        <v/>
      </c>
      <c r="BX6" s="24">
        <f>IF('因子水準表'!AE9="","",'因子水準表'!AE9)</f>
        <v/>
      </c>
      <c r="BY6" s="24">
        <f>IF('因子水準表'!B28="","",'因子水準表'!B28)</f>
        <v/>
      </c>
      <c r="BZ6" s="24">
        <f>IF('テスト条件'!A5="","",'テスト条件'!A5)</f>
        <v/>
      </c>
    </row>
    <row r="7">
      <c r="A7" s="7" t="inlineStr">
        <is>
          <t>T-02</t>
        </is>
      </c>
      <c r="B7" s="7" t="inlineStr">
        <is>
          <t>TC-B</t>
        </is>
      </c>
      <c r="C7" s="7" t="inlineStr">
        <is>
          <t>アカウント</t>
        </is>
      </c>
      <c r="D7" s="7" t="inlineStr">
        <is>
          <t>境界：2回目の失敗では未ロック</t>
        </is>
      </c>
      <c r="E7" s="7" t="inlineStr">
        <is>
          <t>高</t>
        </is>
      </c>
      <c r="F7" s="7" t="inlineStr">
        <is>
          <t>直前に1回失敗している</t>
        </is>
      </c>
      <c r="G7" s="7" t="inlineStr">
        <is>
          <t>登録済み</t>
        </is>
      </c>
      <c r="H7" s="7" t="inlineStr">
        <is>
          <t>間違っている</t>
        </is>
      </c>
      <c r="I7" s="7" t="inlineStr">
        <is>
          <t>アクティブ</t>
        </is>
      </c>
      <c r="J7" s="7" t="inlineStr">
        <is>
          <t>2回（境界・未ロック）</t>
        </is>
      </c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inlineStr">
        <is>
          <t>1. 間違ったパスワードでログインする</t>
        </is>
      </c>
      <c r="AL7" s="7" t="inlineStr">
        <is>
          <t>「メールまたはパスワードが正しくありません」と表示され、ロックされない</t>
        </is>
      </c>
      <c r="AM7" s="7" t="inlineStr">
        <is>
          <t>境界値分析</t>
        </is>
      </c>
      <c r="AN7" s="7" t="inlineStr">
        <is>
          <t>要</t>
        </is>
      </c>
      <c r="AO7" s="23" t="n"/>
      <c r="AP7" s="7" t="n"/>
      <c r="AQ7" s="7" t="n"/>
      <c r="AR7" s="7" t="n"/>
      <c r="AS7" s="7" t="n"/>
      <c r="AU7" s="24">
        <f>IF('因子水準表'!B10="","",'因子水準表'!B10)</f>
        <v/>
      </c>
      <c r="AV7" s="24">
        <f>IF('因子水準表'!C10="","",'因子水準表'!C10)</f>
        <v/>
      </c>
      <c r="AW7" s="24">
        <f>IF('因子水準表'!D10="","",'因子水準表'!D10)</f>
        <v/>
      </c>
      <c r="AX7" s="24">
        <f>IF('因子水準表'!E10="","",'因子水準表'!E10)</f>
        <v/>
      </c>
      <c r="AY7" s="24">
        <f>IF('因子水準表'!F10="","",'因子水準表'!F10)</f>
        <v/>
      </c>
      <c r="AZ7" s="24">
        <f>IF('因子水準表'!G10="","",'因子水準表'!G10)</f>
        <v/>
      </c>
      <c r="BA7" s="24">
        <f>IF('因子水準表'!H10="","",'因子水準表'!H10)</f>
        <v/>
      </c>
      <c r="BB7" s="24">
        <f>IF('因子水準表'!I10="","",'因子水準表'!I10)</f>
        <v/>
      </c>
      <c r="BC7" s="24">
        <f>IF('因子水準表'!J10="","",'因子水準表'!J10)</f>
        <v/>
      </c>
      <c r="BD7" s="24">
        <f>IF('因子水準表'!K10="","",'因子水準表'!K10)</f>
        <v/>
      </c>
      <c r="BE7" s="24">
        <f>IF('因子水準表'!L10="","",'因子水準表'!L10)</f>
        <v/>
      </c>
      <c r="BF7" s="24">
        <f>IF('因子水準表'!M10="","",'因子水準表'!M10)</f>
        <v/>
      </c>
      <c r="BG7" s="24">
        <f>IF('因子水準表'!N10="","",'因子水準表'!N10)</f>
        <v/>
      </c>
      <c r="BH7" s="24">
        <f>IF('因子水準表'!O10="","",'因子水準表'!O10)</f>
        <v/>
      </c>
      <c r="BI7" s="24">
        <f>IF('因子水準表'!P10="","",'因子水準表'!P10)</f>
        <v/>
      </c>
      <c r="BJ7" s="24">
        <f>IF('因子水準表'!Q10="","",'因子水準表'!Q10)</f>
        <v/>
      </c>
      <c r="BK7" s="24">
        <f>IF('因子水準表'!R10="","",'因子水準表'!R10)</f>
        <v/>
      </c>
      <c r="BL7" s="24">
        <f>IF('因子水準表'!S10="","",'因子水準表'!S10)</f>
        <v/>
      </c>
      <c r="BM7" s="24">
        <f>IF('因子水準表'!T10="","",'因子水準表'!T10)</f>
        <v/>
      </c>
      <c r="BN7" s="24">
        <f>IF('因子水準表'!U10="","",'因子水準表'!U10)</f>
        <v/>
      </c>
      <c r="BO7" s="24">
        <f>IF('因子水準表'!V10="","",'因子水準表'!V10)</f>
        <v/>
      </c>
      <c r="BP7" s="24">
        <f>IF('因子水準表'!W10="","",'因子水準表'!W10)</f>
        <v/>
      </c>
      <c r="BQ7" s="24">
        <f>IF('因子水準表'!X10="","",'因子水準表'!X10)</f>
        <v/>
      </c>
      <c r="BR7" s="24">
        <f>IF('因子水準表'!Y10="","",'因子水準表'!Y10)</f>
        <v/>
      </c>
      <c r="BS7" s="24">
        <f>IF('因子水準表'!Z10="","",'因子水準表'!Z10)</f>
        <v/>
      </c>
      <c r="BT7" s="24">
        <f>IF('因子水準表'!AA10="","",'因子水準表'!AA10)</f>
        <v/>
      </c>
      <c r="BU7" s="24">
        <f>IF('因子水準表'!AB10="","",'因子水準表'!AB10)</f>
        <v/>
      </c>
      <c r="BV7" s="24">
        <f>IF('因子水準表'!AC10="","",'因子水準表'!AC10)</f>
        <v/>
      </c>
      <c r="BW7" s="24">
        <f>IF('因子水準表'!AD10="","",'因子水準表'!AD10)</f>
        <v/>
      </c>
      <c r="BX7" s="24">
        <f>IF('因子水準表'!AE10="","",'因子水準表'!AE10)</f>
        <v/>
      </c>
      <c r="BY7" s="24">
        <f>IF('因子水準表'!B29="","",'因子水準表'!B29)</f>
        <v/>
      </c>
      <c r="BZ7" s="24">
        <f>IF('テスト条件'!A6="","",'テスト条件'!A6)</f>
        <v/>
      </c>
    </row>
    <row r="8">
      <c r="A8" s="7" t="inlineStr">
        <is>
          <t>T-03</t>
        </is>
      </c>
      <c r="B8" s="7" t="inlineStr">
        <is>
          <t>TC-B</t>
        </is>
      </c>
      <c r="C8" s="7" t="inlineStr">
        <is>
          <t>アカウント</t>
        </is>
      </c>
      <c r="D8" s="7" t="inlineStr">
        <is>
          <t>境界：3回目の失敗でロック</t>
        </is>
      </c>
      <c r="E8" s="7" t="inlineStr">
        <is>
          <t>高</t>
        </is>
      </c>
      <c r="F8" s="7" t="inlineStr">
        <is>
          <t>直前に2回失敗している</t>
        </is>
      </c>
      <c r="G8" s="7" t="inlineStr">
        <is>
          <t>登録済み</t>
        </is>
      </c>
      <c r="H8" s="7" t="inlineStr">
        <is>
          <t>間違っている</t>
        </is>
      </c>
      <c r="I8" s="7" t="inlineStr">
        <is>
          <t>アクティブ</t>
        </is>
      </c>
      <c r="J8" s="7" t="inlineStr">
        <is>
          <t>3回（境界・ロック発動）</t>
        </is>
      </c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inlineStr">
        <is>
          <t>1. 間違ったパスワードでログインする</t>
        </is>
      </c>
      <c r="AL8" s="7" t="inlineStr">
        <is>
          <t>ロックのメッセージが表示され、アカウント状態がロック済みになる</t>
        </is>
      </c>
      <c r="AM8" s="7" t="inlineStr">
        <is>
          <t>境界値分析</t>
        </is>
      </c>
      <c r="AN8" s="7" t="inlineStr">
        <is>
          <t>要</t>
        </is>
      </c>
      <c r="AO8" s="23" t="n"/>
      <c r="AP8" s="7" t="n"/>
      <c r="AQ8" s="7" t="n"/>
      <c r="AR8" s="7" t="n"/>
      <c r="AS8" s="7" t="n"/>
      <c r="AU8" s="24">
        <f>IF('因子水準表'!B11="","",'因子水準表'!B11)</f>
        <v/>
      </c>
      <c r="AV8" s="24">
        <f>IF('因子水準表'!C11="","",'因子水準表'!C11)</f>
        <v/>
      </c>
      <c r="AW8" s="24">
        <f>IF('因子水準表'!D11="","",'因子水準表'!D11)</f>
        <v/>
      </c>
      <c r="AX8" s="24">
        <f>IF('因子水準表'!E11="","",'因子水準表'!E11)</f>
        <v/>
      </c>
      <c r="AY8" s="24">
        <f>IF('因子水準表'!F11="","",'因子水準表'!F11)</f>
        <v/>
      </c>
      <c r="AZ8" s="24">
        <f>IF('因子水準表'!G11="","",'因子水準表'!G11)</f>
        <v/>
      </c>
      <c r="BA8" s="24">
        <f>IF('因子水準表'!H11="","",'因子水準表'!H11)</f>
        <v/>
      </c>
      <c r="BB8" s="24">
        <f>IF('因子水準表'!I11="","",'因子水準表'!I11)</f>
        <v/>
      </c>
      <c r="BC8" s="24">
        <f>IF('因子水準表'!J11="","",'因子水準表'!J11)</f>
        <v/>
      </c>
      <c r="BD8" s="24">
        <f>IF('因子水準表'!K11="","",'因子水準表'!K11)</f>
        <v/>
      </c>
      <c r="BE8" s="24">
        <f>IF('因子水準表'!L11="","",'因子水準表'!L11)</f>
        <v/>
      </c>
      <c r="BF8" s="24">
        <f>IF('因子水準表'!M11="","",'因子水準表'!M11)</f>
        <v/>
      </c>
      <c r="BG8" s="24">
        <f>IF('因子水準表'!N11="","",'因子水準表'!N11)</f>
        <v/>
      </c>
      <c r="BH8" s="24">
        <f>IF('因子水準表'!O11="","",'因子水準表'!O11)</f>
        <v/>
      </c>
      <c r="BI8" s="24">
        <f>IF('因子水準表'!P11="","",'因子水準表'!P11)</f>
        <v/>
      </c>
      <c r="BJ8" s="24">
        <f>IF('因子水準表'!Q11="","",'因子水準表'!Q11)</f>
        <v/>
      </c>
      <c r="BK8" s="24">
        <f>IF('因子水準表'!R11="","",'因子水準表'!R11)</f>
        <v/>
      </c>
      <c r="BL8" s="24">
        <f>IF('因子水準表'!S11="","",'因子水準表'!S11)</f>
        <v/>
      </c>
      <c r="BM8" s="24">
        <f>IF('因子水準表'!T11="","",'因子水準表'!T11)</f>
        <v/>
      </c>
      <c r="BN8" s="24">
        <f>IF('因子水準表'!U11="","",'因子水準表'!U11)</f>
        <v/>
      </c>
      <c r="BO8" s="24">
        <f>IF('因子水準表'!V11="","",'因子水準表'!V11)</f>
        <v/>
      </c>
      <c r="BP8" s="24">
        <f>IF('因子水準表'!W11="","",'因子水準表'!W11)</f>
        <v/>
      </c>
      <c r="BQ8" s="24">
        <f>IF('因子水準表'!X11="","",'因子水準表'!X11)</f>
        <v/>
      </c>
      <c r="BR8" s="24">
        <f>IF('因子水準表'!Y11="","",'因子水準表'!Y11)</f>
        <v/>
      </c>
      <c r="BS8" s="24">
        <f>IF('因子水準表'!Z11="","",'因子水準表'!Z11)</f>
        <v/>
      </c>
      <c r="BT8" s="24">
        <f>IF('因子水準表'!AA11="","",'因子水準表'!AA11)</f>
        <v/>
      </c>
      <c r="BU8" s="24">
        <f>IF('因子水準表'!AB11="","",'因子水準表'!AB11)</f>
        <v/>
      </c>
      <c r="BV8" s="24">
        <f>IF('因子水準表'!AC11="","",'因子水準表'!AC11)</f>
        <v/>
      </c>
      <c r="BW8" s="24">
        <f>IF('因子水準表'!AD11="","",'因子水準表'!AD11)</f>
        <v/>
      </c>
      <c r="BX8" s="24">
        <f>IF('因子水準表'!AE11="","",'因子水準表'!AE11)</f>
        <v/>
      </c>
      <c r="BY8" s="24">
        <f>IF('因子水準表'!B30="","",'因子水準表'!B30)</f>
        <v/>
      </c>
      <c r="BZ8" s="24">
        <f>IF('テスト条件'!A7="","",'テスト条件'!A7)</f>
        <v/>
      </c>
    </row>
    <row r="9">
      <c r="A9" s="7" t="inlineStr">
        <is>
          <t>T-04</t>
        </is>
      </c>
      <c r="B9" s="7" t="inlineStr">
        <is>
          <t>TC-D</t>
        </is>
      </c>
      <c r="C9" s="7" t="inlineStr">
        <is>
          <t>ログインフォーム</t>
        </is>
      </c>
      <c r="D9" s="7" t="inlineStr">
        <is>
          <t>メールアドレス空欄</t>
        </is>
      </c>
      <c r="E9" s="7" t="inlineStr">
        <is>
          <t>中</t>
        </is>
      </c>
      <c r="F9" s="7" t="inlineStr">
        <is>
          <t>─</t>
        </is>
      </c>
      <c r="G9" s="7" t="inlineStr">
        <is>
          <t>空欄（無効）</t>
        </is>
      </c>
      <c r="H9" s="7" t="inlineStr">
        <is>
          <t>正しい</t>
        </is>
      </c>
      <c r="I9" s="7" t="inlineStr">
        <is>
          <t>アクティブ</t>
        </is>
      </c>
      <c r="J9" s="7" t="inlineStr">
        <is>
          <t>0〜1回</t>
        </is>
      </c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inlineStr">
        <is>
          <t>1. メールアドレスを空のままログインボタンを押す</t>
        </is>
      </c>
      <c r="AL9" s="7" t="inlineStr">
        <is>
          <t>「メールアドレスを入力してください」と表示される</t>
        </is>
      </c>
      <c r="AM9" s="7" t="inlineStr">
        <is>
          <t>同値分割</t>
        </is>
      </c>
      <c r="AN9" s="7" t="inlineStr">
        <is>
          <t>否</t>
        </is>
      </c>
      <c r="AO9" s="23" t="n"/>
      <c r="AP9" s="7" t="n"/>
      <c r="AQ9" s="7" t="n"/>
      <c r="AR9" s="7" t="n"/>
      <c r="AS9" s="7" t="n"/>
      <c r="AU9" s="24">
        <f>IF('因子水準表'!B12="","",'因子水準表'!B12)</f>
        <v/>
      </c>
      <c r="AV9" s="24">
        <f>IF('因子水準表'!C12="","",'因子水準表'!C12)</f>
        <v/>
      </c>
      <c r="AW9" s="24">
        <f>IF('因子水準表'!D12="","",'因子水準表'!D12)</f>
        <v/>
      </c>
      <c r="AX9" s="24">
        <f>IF('因子水準表'!E12="","",'因子水準表'!E12)</f>
        <v/>
      </c>
      <c r="AY9" s="24">
        <f>IF('因子水準表'!F12="","",'因子水準表'!F12)</f>
        <v/>
      </c>
      <c r="AZ9" s="24">
        <f>IF('因子水準表'!G12="","",'因子水準表'!G12)</f>
        <v/>
      </c>
      <c r="BA9" s="24">
        <f>IF('因子水準表'!H12="","",'因子水準表'!H12)</f>
        <v/>
      </c>
      <c r="BB9" s="24">
        <f>IF('因子水準表'!I12="","",'因子水準表'!I12)</f>
        <v/>
      </c>
      <c r="BC9" s="24">
        <f>IF('因子水準表'!J12="","",'因子水準表'!J12)</f>
        <v/>
      </c>
      <c r="BD9" s="24">
        <f>IF('因子水準表'!K12="","",'因子水準表'!K12)</f>
        <v/>
      </c>
      <c r="BE9" s="24">
        <f>IF('因子水準表'!L12="","",'因子水準表'!L12)</f>
        <v/>
      </c>
      <c r="BF9" s="24">
        <f>IF('因子水準表'!M12="","",'因子水準表'!M12)</f>
        <v/>
      </c>
      <c r="BG9" s="24">
        <f>IF('因子水準表'!N12="","",'因子水準表'!N12)</f>
        <v/>
      </c>
      <c r="BH9" s="24">
        <f>IF('因子水準表'!O12="","",'因子水準表'!O12)</f>
        <v/>
      </c>
      <c r="BI9" s="24">
        <f>IF('因子水準表'!P12="","",'因子水準表'!P12)</f>
        <v/>
      </c>
      <c r="BJ9" s="24">
        <f>IF('因子水準表'!Q12="","",'因子水準表'!Q12)</f>
        <v/>
      </c>
      <c r="BK9" s="24">
        <f>IF('因子水準表'!R12="","",'因子水準表'!R12)</f>
        <v/>
      </c>
      <c r="BL9" s="24">
        <f>IF('因子水準表'!S12="","",'因子水準表'!S12)</f>
        <v/>
      </c>
      <c r="BM9" s="24">
        <f>IF('因子水準表'!T12="","",'因子水準表'!T12)</f>
        <v/>
      </c>
      <c r="BN9" s="24">
        <f>IF('因子水準表'!U12="","",'因子水準表'!U12)</f>
        <v/>
      </c>
      <c r="BO9" s="24">
        <f>IF('因子水準表'!V12="","",'因子水準表'!V12)</f>
        <v/>
      </c>
      <c r="BP9" s="24">
        <f>IF('因子水準表'!W12="","",'因子水準表'!W12)</f>
        <v/>
      </c>
      <c r="BQ9" s="24">
        <f>IF('因子水準表'!X12="","",'因子水準表'!X12)</f>
        <v/>
      </c>
      <c r="BR9" s="24">
        <f>IF('因子水準表'!Y12="","",'因子水準表'!Y12)</f>
        <v/>
      </c>
      <c r="BS9" s="24">
        <f>IF('因子水準表'!Z12="","",'因子水準表'!Z12)</f>
        <v/>
      </c>
      <c r="BT9" s="24">
        <f>IF('因子水準表'!AA12="","",'因子水準表'!AA12)</f>
        <v/>
      </c>
      <c r="BU9" s="24">
        <f>IF('因子水準表'!AB12="","",'因子水準表'!AB12)</f>
        <v/>
      </c>
      <c r="BV9" s="24">
        <f>IF('因子水準表'!AC12="","",'因子水準表'!AC12)</f>
        <v/>
      </c>
      <c r="BW9" s="24">
        <f>IF('因子水準表'!AD12="","",'因子水準表'!AD12)</f>
        <v/>
      </c>
      <c r="BX9" s="24">
        <f>IF('因子水準表'!AE12="","",'因子水準表'!AE12)</f>
        <v/>
      </c>
      <c r="BY9" s="24">
        <f>IF('因子水準表'!B31="","",'因子水準表'!B31)</f>
        <v/>
      </c>
      <c r="BZ9" s="24">
        <f>IF('テスト条件'!A8="","",'テスト条件'!A8)</f>
        <v/>
      </c>
    </row>
    <row r="10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6" t="n"/>
      <c r="AP10" s="25" t="n"/>
      <c r="AQ10" s="25" t="n"/>
      <c r="AR10" s="25" t="n"/>
      <c r="AS10" s="25" t="n"/>
      <c r="AU10" s="24">
        <f>IF('因子水準表'!B13="","",'因子水準表'!B13)</f>
        <v/>
      </c>
      <c r="AV10" s="24">
        <f>IF('因子水準表'!C13="","",'因子水準表'!C13)</f>
        <v/>
      </c>
      <c r="AW10" s="24">
        <f>IF('因子水準表'!D13="","",'因子水準表'!D13)</f>
        <v/>
      </c>
      <c r="AX10" s="24">
        <f>IF('因子水準表'!E13="","",'因子水準表'!E13)</f>
        <v/>
      </c>
      <c r="AY10" s="24">
        <f>IF('因子水準表'!F13="","",'因子水準表'!F13)</f>
        <v/>
      </c>
      <c r="AZ10" s="24">
        <f>IF('因子水準表'!G13="","",'因子水準表'!G13)</f>
        <v/>
      </c>
      <c r="BA10" s="24">
        <f>IF('因子水準表'!H13="","",'因子水準表'!H13)</f>
        <v/>
      </c>
      <c r="BB10" s="24">
        <f>IF('因子水準表'!I13="","",'因子水準表'!I13)</f>
        <v/>
      </c>
      <c r="BC10" s="24">
        <f>IF('因子水準表'!J13="","",'因子水準表'!J13)</f>
        <v/>
      </c>
      <c r="BD10" s="24">
        <f>IF('因子水準表'!K13="","",'因子水準表'!K13)</f>
        <v/>
      </c>
      <c r="BE10" s="24">
        <f>IF('因子水準表'!L13="","",'因子水準表'!L13)</f>
        <v/>
      </c>
      <c r="BF10" s="24">
        <f>IF('因子水準表'!M13="","",'因子水準表'!M13)</f>
        <v/>
      </c>
      <c r="BG10" s="24">
        <f>IF('因子水準表'!N13="","",'因子水準表'!N13)</f>
        <v/>
      </c>
      <c r="BH10" s="24">
        <f>IF('因子水準表'!O13="","",'因子水準表'!O13)</f>
        <v/>
      </c>
      <c r="BI10" s="24">
        <f>IF('因子水準表'!P13="","",'因子水準表'!P13)</f>
        <v/>
      </c>
      <c r="BJ10" s="24">
        <f>IF('因子水準表'!Q13="","",'因子水準表'!Q13)</f>
        <v/>
      </c>
      <c r="BK10" s="24">
        <f>IF('因子水準表'!R13="","",'因子水準表'!R13)</f>
        <v/>
      </c>
      <c r="BL10" s="24">
        <f>IF('因子水準表'!S13="","",'因子水準表'!S13)</f>
        <v/>
      </c>
      <c r="BM10" s="24">
        <f>IF('因子水準表'!T13="","",'因子水準表'!T13)</f>
        <v/>
      </c>
      <c r="BN10" s="24">
        <f>IF('因子水準表'!U13="","",'因子水準表'!U13)</f>
        <v/>
      </c>
      <c r="BO10" s="24">
        <f>IF('因子水準表'!V13="","",'因子水準表'!V13)</f>
        <v/>
      </c>
      <c r="BP10" s="24">
        <f>IF('因子水準表'!W13="","",'因子水準表'!W13)</f>
        <v/>
      </c>
      <c r="BQ10" s="24">
        <f>IF('因子水準表'!X13="","",'因子水準表'!X13)</f>
        <v/>
      </c>
      <c r="BR10" s="24">
        <f>IF('因子水準表'!Y13="","",'因子水準表'!Y13)</f>
        <v/>
      </c>
      <c r="BS10" s="24">
        <f>IF('因子水準表'!Z13="","",'因子水準表'!Z13)</f>
        <v/>
      </c>
      <c r="BT10" s="24">
        <f>IF('因子水準表'!AA13="","",'因子水準表'!AA13)</f>
        <v/>
      </c>
      <c r="BU10" s="24">
        <f>IF('因子水準表'!AB13="","",'因子水準表'!AB13)</f>
        <v/>
      </c>
      <c r="BV10" s="24">
        <f>IF('因子水準表'!AC13="","",'因子水準表'!AC13)</f>
        <v/>
      </c>
      <c r="BW10" s="24">
        <f>IF('因子水準表'!AD13="","",'因子水準表'!AD13)</f>
        <v/>
      </c>
      <c r="BX10" s="24">
        <f>IF('因子水準表'!AE13="","",'因子水準表'!AE13)</f>
        <v/>
      </c>
      <c r="BY10" s="24">
        <f>IF('因子水準表'!B32="","",'因子水準表'!B32)</f>
        <v/>
      </c>
      <c r="BZ10" s="24">
        <f>IF('テスト条件'!A9="","",'テスト条件'!A9)</f>
        <v/>
      </c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6" t="n"/>
      <c r="AP11" s="25" t="n"/>
      <c r="AQ11" s="25" t="n"/>
      <c r="AR11" s="25" t="n"/>
      <c r="AS11" s="25" t="n"/>
      <c r="AU11" s="24">
        <f>IF('因子水準表'!B14="","",'因子水準表'!B14)</f>
        <v/>
      </c>
      <c r="AV11" s="24">
        <f>IF('因子水準表'!C14="","",'因子水準表'!C14)</f>
        <v/>
      </c>
      <c r="AW11" s="24">
        <f>IF('因子水準表'!D14="","",'因子水準表'!D14)</f>
        <v/>
      </c>
      <c r="AX11" s="24">
        <f>IF('因子水準表'!E14="","",'因子水準表'!E14)</f>
        <v/>
      </c>
      <c r="AY11" s="24">
        <f>IF('因子水準表'!F14="","",'因子水準表'!F14)</f>
        <v/>
      </c>
      <c r="AZ11" s="24">
        <f>IF('因子水準表'!G14="","",'因子水準表'!G14)</f>
        <v/>
      </c>
      <c r="BA11" s="24">
        <f>IF('因子水準表'!H14="","",'因子水準表'!H14)</f>
        <v/>
      </c>
      <c r="BB11" s="24">
        <f>IF('因子水準表'!I14="","",'因子水準表'!I14)</f>
        <v/>
      </c>
      <c r="BC11" s="24">
        <f>IF('因子水準表'!J14="","",'因子水準表'!J14)</f>
        <v/>
      </c>
      <c r="BD11" s="24">
        <f>IF('因子水準表'!K14="","",'因子水準表'!K14)</f>
        <v/>
      </c>
      <c r="BE11" s="24">
        <f>IF('因子水準表'!L14="","",'因子水準表'!L14)</f>
        <v/>
      </c>
      <c r="BF11" s="24">
        <f>IF('因子水準表'!M14="","",'因子水準表'!M14)</f>
        <v/>
      </c>
      <c r="BG11" s="24">
        <f>IF('因子水準表'!N14="","",'因子水準表'!N14)</f>
        <v/>
      </c>
      <c r="BH11" s="24">
        <f>IF('因子水準表'!O14="","",'因子水準表'!O14)</f>
        <v/>
      </c>
      <c r="BI11" s="24">
        <f>IF('因子水準表'!P14="","",'因子水準表'!P14)</f>
        <v/>
      </c>
      <c r="BJ11" s="24">
        <f>IF('因子水準表'!Q14="","",'因子水準表'!Q14)</f>
        <v/>
      </c>
      <c r="BK11" s="24">
        <f>IF('因子水準表'!R14="","",'因子水準表'!R14)</f>
        <v/>
      </c>
      <c r="BL11" s="24">
        <f>IF('因子水準表'!S14="","",'因子水準表'!S14)</f>
        <v/>
      </c>
      <c r="BM11" s="24">
        <f>IF('因子水準表'!T14="","",'因子水準表'!T14)</f>
        <v/>
      </c>
      <c r="BN11" s="24">
        <f>IF('因子水準表'!U14="","",'因子水準表'!U14)</f>
        <v/>
      </c>
      <c r="BO11" s="24">
        <f>IF('因子水準表'!V14="","",'因子水準表'!V14)</f>
        <v/>
      </c>
      <c r="BP11" s="24">
        <f>IF('因子水準表'!W14="","",'因子水準表'!W14)</f>
        <v/>
      </c>
      <c r="BQ11" s="24">
        <f>IF('因子水準表'!X14="","",'因子水準表'!X14)</f>
        <v/>
      </c>
      <c r="BR11" s="24">
        <f>IF('因子水準表'!Y14="","",'因子水準表'!Y14)</f>
        <v/>
      </c>
      <c r="BS11" s="24">
        <f>IF('因子水準表'!Z14="","",'因子水準表'!Z14)</f>
        <v/>
      </c>
      <c r="BT11" s="24">
        <f>IF('因子水準表'!AA14="","",'因子水準表'!AA14)</f>
        <v/>
      </c>
      <c r="BU11" s="24">
        <f>IF('因子水準表'!AB14="","",'因子水準表'!AB14)</f>
        <v/>
      </c>
      <c r="BV11" s="24">
        <f>IF('因子水準表'!AC14="","",'因子水準表'!AC14)</f>
        <v/>
      </c>
      <c r="BW11" s="24">
        <f>IF('因子水準表'!AD14="","",'因子水準表'!AD14)</f>
        <v/>
      </c>
      <c r="BX11" s="24">
        <f>IF('因子水準表'!AE14="","",'因子水準表'!AE14)</f>
        <v/>
      </c>
      <c r="BY11" s="24">
        <f>IF('因子水準表'!B33="","",'因子水準表'!B33)</f>
        <v/>
      </c>
      <c r="BZ11" s="24">
        <f>IF('テスト条件'!A10="","",'テスト条件'!A10)</f>
        <v/>
      </c>
    </row>
    <row r="12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6" t="n"/>
      <c r="AP12" s="25" t="n"/>
      <c r="AQ12" s="25" t="n"/>
      <c r="AR12" s="25" t="n"/>
      <c r="AS12" s="25" t="n"/>
      <c r="AU12" s="24">
        <f>IF('因子水準表'!B15="","",'因子水準表'!B15)</f>
        <v/>
      </c>
      <c r="AV12" s="24">
        <f>IF('因子水準表'!C15="","",'因子水準表'!C15)</f>
        <v/>
      </c>
      <c r="AW12" s="24">
        <f>IF('因子水準表'!D15="","",'因子水準表'!D15)</f>
        <v/>
      </c>
      <c r="AX12" s="24">
        <f>IF('因子水準表'!E15="","",'因子水準表'!E15)</f>
        <v/>
      </c>
      <c r="AY12" s="24">
        <f>IF('因子水準表'!F15="","",'因子水準表'!F15)</f>
        <v/>
      </c>
      <c r="AZ12" s="24">
        <f>IF('因子水準表'!G15="","",'因子水準表'!G15)</f>
        <v/>
      </c>
      <c r="BA12" s="24">
        <f>IF('因子水準表'!H15="","",'因子水準表'!H15)</f>
        <v/>
      </c>
      <c r="BB12" s="24">
        <f>IF('因子水準表'!I15="","",'因子水準表'!I15)</f>
        <v/>
      </c>
      <c r="BC12" s="24">
        <f>IF('因子水準表'!J15="","",'因子水準表'!J15)</f>
        <v/>
      </c>
      <c r="BD12" s="24">
        <f>IF('因子水準表'!K15="","",'因子水準表'!K15)</f>
        <v/>
      </c>
      <c r="BE12" s="24">
        <f>IF('因子水準表'!L15="","",'因子水準表'!L15)</f>
        <v/>
      </c>
      <c r="BF12" s="24">
        <f>IF('因子水準表'!M15="","",'因子水準表'!M15)</f>
        <v/>
      </c>
      <c r="BG12" s="24">
        <f>IF('因子水準表'!N15="","",'因子水準表'!N15)</f>
        <v/>
      </c>
      <c r="BH12" s="24">
        <f>IF('因子水準表'!O15="","",'因子水準表'!O15)</f>
        <v/>
      </c>
      <c r="BI12" s="24">
        <f>IF('因子水準表'!P15="","",'因子水準表'!P15)</f>
        <v/>
      </c>
      <c r="BJ12" s="24">
        <f>IF('因子水準表'!Q15="","",'因子水準表'!Q15)</f>
        <v/>
      </c>
      <c r="BK12" s="24">
        <f>IF('因子水準表'!R15="","",'因子水準表'!R15)</f>
        <v/>
      </c>
      <c r="BL12" s="24">
        <f>IF('因子水準表'!S15="","",'因子水準表'!S15)</f>
        <v/>
      </c>
      <c r="BM12" s="24">
        <f>IF('因子水準表'!T15="","",'因子水準表'!T15)</f>
        <v/>
      </c>
      <c r="BN12" s="24">
        <f>IF('因子水準表'!U15="","",'因子水準表'!U15)</f>
        <v/>
      </c>
      <c r="BO12" s="24">
        <f>IF('因子水準表'!V15="","",'因子水準表'!V15)</f>
        <v/>
      </c>
      <c r="BP12" s="24">
        <f>IF('因子水準表'!W15="","",'因子水準表'!W15)</f>
        <v/>
      </c>
      <c r="BQ12" s="24">
        <f>IF('因子水準表'!X15="","",'因子水準表'!X15)</f>
        <v/>
      </c>
      <c r="BR12" s="24">
        <f>IF('因子水準表'!Y15="","",'因子水準表'!Y15)</f>
        <v/>
      </c>
      <c r="BS12" s="24">
        <f>IF('因子水準表'!Z15="","",'因子水準表'!Z15)</f>
        <v/>
      </c>
      <c r="BT12" s="24">
        <f>IF('因子水準表'!AA15="","",'因子水準表'!AA15)</f>
        <v/>
      </c>
      <c r="BU12" s="24">
        <f>IF('因子水準表'!AB15="","",'因子水準表'!AB15)</f>
        <v/>
      </c>
      <c r="BV12" s="24">
        <f>IF('因子水準表'!AC15="","",'因子水準表'!AC15)</f>
        <v/>
      </c>
      <c r="BW12" s="24">
        <f>IF('因子水準表'!AD15="","",'因子水準表'!AD15)</f>
        <v/>
      </c>
      <c r="BX12" s="24">
        <f>IF('因子水準表'!AE15="","",'因子水準表'!AE15)</f>
        <v/>
      </c>
      <c r="BY12" s="24">
        <f>IF('因子水準表'!B34="","",'因子水準表'!B34)</f>
        <v/>
      </c>
      <c r="BZ12" s="24">
        <f>IF('テスト条件'!A11="","",'テスト条件'!A11)</f>
        <v/>
      </c>
    </row>
    <row r="13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6" t="n"/>
      <c r="AP13" s="25" t="n"/>
      <c r="AQ13" s="25" t="n"/>
      <c r="AR13" s="25" t="n"/>
      <c r="AS13" s="25" t="n"/>
      <c r="AU13" s="24">
        <f>IF('因子水準表'!B16="","",'因子水準表'!B16)</f>
        <v/>
      </c>
      <c r="AV13" s="24">
        <f>IF('因子水準表'!C16="","",'因子水準表'!C16)</f>
        <v/>
      </c>
      <c r="AW13" s="24">
        <f>IF('因子水準表'!D16="","",'因子水準表'!D16)</f>
        <v/>
      </c>
      <c r="AX13" s="24">
        <f>IF('因子水準表'!E16="","",'因子水準表'!E16)</f>
        <v/>
      </c>
      <c r="AY13" s="24">
        <f>IF('因子水準表'!F16="","",'因子水準表'!F16)</f>
        <v/>
      </c>
      <c r="AZ13" s="24">
        <f>IF('因子水準表'!G16="","",'因子水準表'!G16)</f>
        <v/>
      </c>
      <c r="BA13" s="24">
        <f>IF('因子水準表'!H16="","",'因子水準表'!H16)</f>
        <v/>
      </c>
      <c r="BB13" s="24">
        <f>IF('因子水準表'!I16="","",'因子水準表'!I16)</f>
        <v/>
      </c>
      <c r="BC13" s="24">
        <f>IF('因子水準表'!J16="","",'因子水準表'!J16)</f>
        <v/>
      </c>
      <c r="BD13" s="24">
        <f>IF('因子水準表'!K16="","",'因子水準表'!K16)</f>
        <v/>
      </c>
      <c r="BE13" s="24">
        <f>IF('因子水準表'!L16="","",'因子水準表'!L16)</f>
        <v/>
      </c>
      <c r="BF13" s="24">
        <f>IF('因子水準表'!M16="","",'因子水準表'!M16)</f>
        <v/>
      </c>
      <c r="BG13" s="24">
        <f>IF('因子水準表'!N16="","",'因子水準表'!N16)</f>
        <v/>
      </c>
      <c r="BH13" s="24">
        <f>IF('因子水準表'!O16="","",'因子水準表'!O16)</f>
        <v/>
      </c>
      <c r="BI13" s="24">
        <f>IF('因子水準表'!P16="","",'因子水準表'!P16)</f>
        <v/>
      </c>
      <c r="BJ13" s="24">
        <f>IF('因子水準表'!Q16="","",'因子水準表'!Q16)</f>
        <v/>
      </c>
      <c r="BK13" s="24">
        <f>IF('因子水準表'!R16="","",'因子水準表'!R16)</f>
        <v/>
      </c>
      <c r="BL13" s="24">
        <f>IF('因子水準表'!S16="","",'因子水準表'!S16)</f>
        <v/>
      </c>
      <c r="BM13" s="24">
        <f>IF('因子水準表'!T16="","",'因子水準表'!T16)</f>
        <v/>
      </c>
      <c r="BN13" s="24">
        <f>IF('因子水準表'!U16="","",'因子水準表'!U16)</f>
        <v/>
      </c>
      <c r="BO13" s="24">
        <f>IF('因子水準表'!V16="","",'因子水準表'!V16)</f>
        <v/>
      </c>
      <c r="BP13" s="24">
        <f>IF('因子水準表'!W16="","",'因子水準表'!W16)</f>
        <v/>
      </c>
      <c r="BQ13" s="24">
        <f>IF('因子水準表'!X16="","",'因子水準表'!X16)</f>
        <v/>
      </c>
      <c r="BR13" s="24">
        <f>IF('因子水準表'!Y16="","",'因子水準表'!Y16)</f>
        <v/>
      </c>
      <c r="BS13" s="24">
        <f>IF('因子水準表'!Z16="","",'因子水準表'!Z16)</f>
        <v/>
      </c>
      <c r="BT13" s="24">
        <f>IF('因子水準表'!AA16="","",'因子水準表'!AA16)</f>
        <v/>
      </c>
      <c r="BU13" s="24">
        <f>IF('因子水準表'!AB16="","",'因子水準表'!AB16)</f>
        <v/>
      </c>
      <c r="BV13" s="24">
        <f>IF('因子水準表'!AC16="","",'因子水準表'!AC16)</f>
        <v/>
      </c>
      <c r="BW13" s="24">
        <f>IF('因子水準表'!AD16="","",'因子水準表'!AD16)</f>
        <v/>
      </c>
      <c r="BX13" s="24">
        <f>IF('因子水準表'!AE16="","",'因子水準表'!AE16)</f>
        <v/>
      </c>
      <c r="BY13" s="24">
        <f>IF('因子水準表'!B35="","",'因子水準表'!B35)</f>
        <v/>
      </c>
      <c r="BZ13" s="24">
        <f>IF('テスト条件'!A12="","",'テスト条件'!A12)</f>
        <v/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6" t="n"/>
      <c r="AP14" s="25" t="n"/>
      <c r="AQ14" s="25" t="n"/>
      <c r="AR14" s="25" t="n"/>
      <c r="AS14" s="25" t="n"/>
      <c r="AU14" s="24">
        <f>IF('因子水準表'!B17="","",'因子水準表'!B17)</f>
        <v/>
      </c>
      <c r="AV14" s="24">
        <f>IF('因子水準表'!C17="","",'因子水準表'!C17)</f>
        <v/>
      </c>
      <c r="AW14" s="24">
        <f>IF('因子水準表'!D17="","",'因子水準表'!D17)</f>
        <v/>
      </c>
      <c r="AX14" s="24">
        <f>IF('因子水準表'!E17="","",'因子水準表'!E17)</f>
        <v/>
      </c>
      <c r="AY14" s="24">
        <f>IF('因子水準表'!F17="","",'因子水準表'!F17)</f>
        <v/>
      </c>
      <c r="AZ14" s="24">
        <f>IF('因子水準表'!G17="","",'因子水準表'!G17)</f>
        <v/>
      </c>
      <c r="BA14" s="24">
        <f>IF('因子水準表'!H17="","",'因子水準表'!H17)</f>
        <v/>
      </c>
      <c r="BB14" s="24">
        <f>IF('因子水準表'!I17="","",'因子水準表'!I17)</f>
        <v/>
      </c>
      <c r="BC14" s="24">
        <f>IF('因子水準表'!J17="","",'因子水準表'!J17)</f>
        <v/>
      </c>
      <c r="BD14" s="24">
        <f>IF('因子水準表'!K17="","",'因子水準表'!K17)</f>
        <v/>
      </c>
      <c r="BE14" s="24">
        <f>IF('因子水準表'!L17="","",'因子水準表'!L17)</f>
        <v/>
      </c>
      <c r="BF14" s="24">
        <f>IF('因子水準表'!M17="","",'因子水準表'!M17)</f>
        <v/>
      </c>
      <c r="BG14" s="24">
        <f>IF('因子水準表'!N17="","",'因子水準表'!N17)</f>
        <v/>
      </c>
      <c r="BH14" s="24">
        <f>IF('因子水準表'!O17="","",'因子水準表'!O17)</f>
        <v/>
      </c>
      <c r="BI14" s="24">
        <f>IF('因子水準表'!P17="","",'因子水準表'!P17)</f>
        <v/>
      </c>
      <c r="BJ14" s="24">
        <f>IF('因子水準表'!Q17="","",'因子水準表'!Q17)</f>
        <v/>
      </c>
      <c r="BK14" s="24">
        <f>IF('因子水準表'!R17="","",'因子水準表'!R17)</f>
        <v/>
      </c>
      <c r="BL14" s="24">
        <f>IF('因子水準表'!S17="","",'因子水準表'!S17)</f>
        <v/>
      </c>
      <c r="BM14" s="24">
        <f>IF('因子水準表'!T17="","",'因子水準表'!T17)</f>
        <v/>
      </c>
      <c r="BN14" s="24">
        <f>IF('因子水準表'!U17="","",'因子水準表'!U17)</f>
        <v/>
      </c>
      <c r="BO14" s="24">
        <f>IF('因子水準表'!V17="","",'因子水準表'!V17)</f>
        <v/>
      </c>
      <c r="BP14" s="24">
        <f>IF('因子水準表'!W17="","",'因子水準表'!W17)</f>
        <v/>
      </c>
      <c r="BQ14" s="24">
        <f>IF('因子水準表'!X17="","",'因子水準表'!X17)</f>
        <v/>
      </c>
      <c r="BR14" s="24">
        <f>IF('因子水準表'!Y17="","",'因子水準表'!Y17)</f>
        <v/>
      </c>
      <c r="BS14" s="24">
        <f>IF('因子水準表'!Z17="","",'因子水準表'!Z17)</f>
        <v/>
      </c>
      <c r="BT14" s="24">
        <f>IF('因子水準表'!AA17="","",'因子水準表'!AA17)</f>
        <v/>
      </c>
      <c r="BU14" s="24">
        <f>IF('因子水準表'!AB17="","",'因子水準表'!AB17)</f>
        <v/>
      </c>
      <c r="BV14" s="24">
        <f>IF('因子水準表'!AC17="","",'因子水準表'!AC17)</f>
        <v/>
      </c>
      <c r="BW14" s="24">
        <f>IF('因子水準表'!AD17="","",'因子水準表'!AD17)</f>
        <v/>
      </c>
      <c r="BX14" s="24">
        <f>IF('因子水準表'!AE17="","",'因子水準表'!AE17)</f>
        <v/>
      </c>
      <c r="BY14" s="24">
        <f>IF('因子水準表'!B36="","",'因子水準表'!B36)</f>
        <v/>
      </c>
      <c r="BZ14" s="24">
        <f>IF('テスト条件'!A13="","",'テスト条件'!A13)</f>
        <v/>
      </c>
    </row>
    <row r="15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6" t="n"/>
      <c r="AP15" s="25" t="n"/>
      <c r="AQ15" s="25" t="n"/>
      <c r="AR15" s="25" t="n"/>
      <c r="AS15" s="25" t="n"/>
      <c r="AU15" s="24">
        <f>IF('因子水準表'!B18="","",'因子水準表'!B18)</f>
        <v/>
      </c>
      <c r="AV15" s="24">
        <f>IF('因子水準表'!C18="","",'因子水準表'!C18)</f>
        <v/>
      </c>
      <c r="AW15" s="24">
        <f>IF('因子水準表'!D18="","",'因子水準表'!D18)</f>
        <v/>
      </c>
      <c r="AX15" s="24">
        <f>IF('因子水準表'!E18="","",'因子水準表'!E18)</f>
        <v/>
      </c>
      <c r="AY15" s="24">
        <f>IF('因子水準表'!F18="","",'因子水準表'!F18)</f>
        <v/>
      </c>
      <c r="AZ15" s="24">
        <f>IF('因子水準表'!G18="","",'因子水準表'!G18)</f>
        <v/>
      </c>
      <c r="BA15" s="24">
        <f>IF('因子水準表'!H18="","",'因子水準表'!H18)</f>
        <v/>
      </c>
      <c r="BB15" s="24">
        <f>IF('因子水準表'!I18="","",'因子水準表'!I18)</f>
        <v/>
      </c>
      <c r="BC15" s="24">
        <f>IF('因子水準表'!J18="","",'因子水準表'!J18)</f>
        <v/>
      </c>
      <c r="BD15" s="24">
        <f>IF('因子水準表'!K18="","",'因子水準表'!K18)</f>
        <v/>
      </c>
      <c r="BE15" s="24">
        <f>IF('因子水準表'!L18="","",'因子水準表'!L18)</f>
        <v/>
      </c>
      <c r="BF15" s="24">
        <f>IF('因子水準表'!M18="","",'因子水準表'!M18)</f>
        <v/>
      </c>
      <c r="BG15" s="24">
        <f>IF('因子水準表'!N18="","",'因子水準表'!N18)</f>
        <v/>
      </c>
      <c r="BH15" s="24">
        <f>IF('因子水準表'!O18="","",'因子水準表'!O18)</f>
        <v/>
      </c>
      <c r="BI15" s="24">
        <f>IF('因子水準表'!P18="","",'因子水準表'!P18)</f>
        <v/>
      </c>
      <c r="BJ15" s="24">
        <f>IF('因子水準表'!Q18="","",'因子水準表'!Q18)</f>
        <v/>
      </c>
      <c r="BK15" s="24">
        <f>IF('因子水準表'!R18="","",'因子水準表'!R18)</f>
        <v/>
      </c>
      <c r="BL15" s="24">
        <f>IF('因子水準表'!S18="","",'因子水準表'!S18)</f>
        <v/>
      </c>
      <c r="BM15" s="24">
        <f>IF('因子水準表'!T18="","",'因子水準表'!T18)</f>
        <v/>
      </c>
      <c r="BN15" s="24">
        <f>IF('因子水準表'!U18="","",'因子水準表'!U18)</f>
        <v/>
      </c>
      <c r="BO15" s="24">
        <f>IF('因子水準表'!V18="","",'因子水準表'!V18)</f>
        <v/>
      </c>
      <c r="BP15" s="24">
        <f>IF('因子水準表'!W18="","",'因子水準表'!W18)</f>
        <v/>
      </c>
      <c r="BQ15" s="24">
        <f>IF('因子水準表'!X18="","",'因子水準表'!X18)</f>
        <v/>
      </c>
      <c r="BR15" s="24">
        <f>IF('因子水準表'!Y18="","",'因子水準表'!Y18)</f>
        <v/>
      </c>
      <c r="BS15" s="24">
        <f>IF('因子水準表'!Z18="","",'因子水準表'!Z18)</f>
        <v/>
      </c>
      <c r="BT15" s="24">
        <f>IF('因子水準表'!AA18="","",'因子水準表'!AA18)</f>
        <v/>
      </c>
      <c r="BU15" s="24">
        <f>IF('因子水準表'!AB18="","",'因子水準表'!AB18)</f>
        <v/>
      </c>
      <c r="BV15" s="24">
        <f>IF('因子水準表'!AC18="","",'因子水準表'!AC18)</f>
        <v/>
      </c>
      <c r="BW15" s="24">
        <f>IF('因子水準表'!AD18="","",'因子水準表'!AD18)</f>
        <v/>
      </c>
      <c r="BX15" s="24">
        <f>IF('因子水準表'!AE18="","",'因子水準表'!AE18)</f>
        <v/>
      </c>
      <c r="BY15" s="24">
        <f>IF('因子水準表'!B37="","",'因子水準表'!B37)</f>
        <v/>
      </c>
      <c r="BZ15" s="24">
        <f>IF('テスト条件'!A14="","",'テスト条件'!A14)</f>
        <v/>
      </c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6" t="n"/>
      <c r="AP16" s="25" t="n"/>
      <c r="AQ16" s="25" t="n"/>
      <c r="AR16" s="25" t="n"/>
      <c r="AS16" s="25" t="n"/>
      <c r="BY16" s="24">
        <f>IF('因子水準表'!B38="","",'因子水準表'!B38)</f>
        <v/>
      </c>
      <c r="BZ16" s="24">
        <f>IF('テスト条件'!A15="","",'テスト条件'!A15)</f>
        <v/>
      </c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6" t="n"/>
      <c r="AP17" s="25" t="n"/>
      <c r="AQ17" s="25" t="n"/>
      <c r="AR17" s="25" t="n"/>
      <c r="AS17" s="25" t="n"/>
      <c r="BY17" s="24">
        <f>IF('因子水準表'!B39="","",'因子水準表'!B39)</f>
        <v/>
      </c>
      <c r="BZ17" s="24">
        <f>IF('テスト条件'!A16="","",'テスト条件'!A16)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6" t="n"/>
      <c r="AP18" s="25" t="n"/>
      <c r="AQ18" s="25" t="n"/>
      <c r="AR18" s="25" t="n"/>
      <c r="AS18" s="25" t="n"/>
      <c r="BY18" s="24">
        <f>IF('因子水準表'!B40="","",'因子水準表'!B40)</f>
        <v/>
      </c>
      <c r="BZ18" s="24">
        <f>IF('テスト条件'!A17="","",'テスト条件'!A17)</f>
        <v/>
      </c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6" t="n"/>
      <c r="AP19" s="25" t="n"/>
      <c r="AQ19" s="25" t="n"/>
      <c r="AR19" s="25" t="n"/>
      <c r="AS19" s="25" t="n"/>
      <c r="BY19" s="24">
        <f>IF('因子水準表'!B41="","",'因子水準表'!B41)</f>
        <v/>
      </c>
      <c r="BZ19" s="24">
        <f>IF('テスト条件'!A18="","",'テスト条件'!A18)</f>
        <v/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6" t="n"/>
      <c r="AP20" s="25" t="n"/>
      <c r="AQ20" s="25" t="n"/>
      <c r="AR20" s="25" t="n"/>
      <c r="AS20" s="25" t="n"/>
      <c r="BY20" s="24">
        <f>IF('因子水準表'!B42="","",'因子水準表'!B42)</f>
        <v/>
      </c>
      <c r="BZ20" s="24">
        <f>IF('テスト条件'!A19="","",'テスト条件'!A19)</f>
        <v/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6" t="n"/>
      <c r="AP21" s="25" t="n"/>
      <c r="AQ21" s="25" t="n"/>
      <c r="AR21" s="25" t="n"/>
      <c r="AS21" s="25" t="n"/>
      <c r="BY21" s="24">
        <f>IF('因子水準表'!B43="","",'因子水準表'!B43)</f>
        <v/>
      </c>
      <c r="BZ21" s="24">
        <f>IF('テスト条件'!A20="","",'テスト条件'!A20)</f>
        <v/>
      </c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6" t="n"/>
      <c r="AP22" s="25" t="n"/>
      <c r="AQ22" s="25" t="n"/>
      <c r="AR22" s="25" t="n"/>
      <c r="AS22" s="25" t="n"/>
      <c r="BY22" s="24">
        <f>IF('因子水準表'!B44="","",'因子水準表'!B44)</f>
        <v/>
      </c>
      <c r="BZ22" s="24">
        <f>IF('テスト条件'!A21="","",'テスト条件'!A21)</f>
        <v/>
      </c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6" t="n"/>
      <c r="AP23" s="25" t="n"/>
      <c r="AQ23" s="25" t="n"/>
      <c r="AR23" s="25" t="n"/>
      <c r="AS23" s="25" t="n"/>
      <c r="BY23" s="24">
        <f>IF('因子水準表'!B45="","",'因子水準表'!B45)</f>
        <v/>
      </c>
      <c r="BZ23" s="24">
        <f>IF('テスト条件'!A22="","",'テスト条件'!A22)</f>
        <v/>
      </c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6" t="n"/>
      <c r="AP24" s="25" t="n"/>
      <c r="AQ24" s="25" t="n"/>
      <c r="AR24" s="25" t="n"/>
      <c r="AS24" s="25" t="n"/>
      <c r="BY24" s="24">
        <f>IF('因子水準表'!B46="","",'因子水準表'!B46)</f>
        <v/>
      </c>
      <c r="BZ24" s="24">
        <f>IF('テスト条件'!A23="","",'テスト条件'!A23)</f>
        <v/>
      </c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6" t="n"/>
      <c r="AP25" s="25" t="n"/>
      <c r="AQ25" s="25" t="n"/>
      <c r="AR25" s="25" t="n"/>
      <c r="AS25" s="25" t="n"/>
      <c r="BY25" s="24">
        <f>IF('因子水準表'!B47="","",'因子水準表'!B47)</f>
        <v/>
      </c>
      <c r="BZ25" s="24">
        <f>IF('テスト条件'!A24="","",'テスト条件'!A24)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6" t="n"/>
      <c r="AP26" s="25" t="n"/>
      <c r="AQ26" s="25" t="n"/>
      <c r="AR26" s="25" t="n"/>
      <c r="AS26" s="25" t="n"/>
      <c r="BZ26" s="24">
        <f>IF('テスト条件'!A25="","",'テスト条件'!A25)</f>
        <v/>
      </c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6" t="n"/>
      <c r="AP27" s="25" t="n"/>
      <c r="AQ27" s="25" t="n"/>
      <c r="AR27" s="25" t="n"/>
      <c r="AS27" s="25" t="n"/>
      <c r="BZ27" s="24">
        <f>IF('テスト条件'!A26="","",'テスト条件'!A26)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6" t="n"/>
      <c r="AP28" s="25" t="n"/>
      <c r="AQ28" s="25" t="n"/>
      <c r="AR28" s="25" t="n"/>
      <c r="AS28" s="25" t="n"/>
      <c r="BZ28" s="24">
        <f>IF('テスト条件'!A27="","",'テスト条件'!A27)</f>
        <v/>
      </c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6" t="n"/>
      <c r="AP29" s="25" t="n"/>
      <c r="AQ29" s="25" t="n"/>
      <c r="AR29" s="25" t="n"/>
      <c r="AS29" s="25" t="n"/>
      <c r="BZ29" s="24">
        <f>IF('テスト条件'!A28="","",'テスト条件'!A28)</f>
        <v/>
      </c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6" t="n"/>
      <c r="AP30" s="25" t="n"/>
      <c r="AQ30" s="25" t="n"/>
      <c r="AR30" s="25" t="n"/>
      <c r="AS30" s="25" t="n"/>
      <c r="BZ30" s="24">
        <f>IF('テスト条件'!A29="","",'テスト条件'!A29)</f>
        <v/>
      </c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6" t="n"/>
      <c r="AP31" s="25" t="n"/>
      <c r="AQ31" s="25" t="n"/>
      <c r="AR31" s="25" t="n"/>
      <c r="AS31" s="25" t="n"/>
      <c r="BZ31" s="24">
        <f>IF('テスト条件'!A30="","",'テスト条件'!A30)</f>
        <v/>
      </c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6" t="n"/>
      <c r="AP32" s="25" t="n"/>
      <c r="AQ32" s="25" t="n"/>
      <c r="AR32" s="25" t="n"/>
      <c r="AS32" s="25" t="n"/>
      <c r="BZ32" s="24">
        <f>IF('テスト条件'!A31="","",'テスト条件'!A31)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6" t="n"/>
      <c r="AP33" s="25" t="n"/>
      <c r="AQ33" s="25" t="n"/>
      <c r="AR33" s="25" t="n"/>
      <c r="AS33" s="25" t="n"/>
      <c r="BZ33" s="24">
        <f>IF('テスト条件'!A32="","",'テスト条件'!A32)</f>
        <v/>
      </c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6" t="n"/>
      <c r="AP34" s="25" t="n"/>
      <c r="AQ34" s="25" t="n"/>
      <c r="AR34" s="25" t="n"/>
      <c r="AS34" s="25" t="n"/>
      <c r="BZ34" s="24">
        <f>IF('テスト条件'!A33="","",'テスト条件'!A33)</f>
        <v/>
      </c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6" t="n"/>
      <c r="AP35" s="25" t="n"/>
      <c r="AQ35" s="25" t="n"/>
      <c r="AR35" s="25" t="n"/>
      <c r="AS35" s="25" t="n"/>
      <c r="BZ35" s="24">
        <f>IF('テスト条件'!A34="","",'テスト条件'!A34)</f>
        <v/>
      </c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6" t="n"/>
      <c r="AP36" s="25" t="n"/>
      <c r="AQ36" s="25" t="n"/>
      <c r="AR36" s="25" t="n"/>
      <c r="AS36" s="25" t="n"/>
      <c r="BZ36" s="24">
        <f>IF('テスト条件'!A35="","",'テスト条件'!A35)</f>
        <v/>
      </c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6" t="n"/>
      <c r="AP37" s="25" t="n"/>
      <c r="AQ37" s="25" t="n"/>
      <c r="AR37" s="25" t="n"/>
      <c r="AS37" s="25" t="n"/>
      <c r="BZ37" s="24">
        <f>IF('テスト条件'!A36="","",'テスト条件'!A36)</f>
        <v/>
      </c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6" t="n"/>
      <c r="AP38" s="25" t="n"/>
      <c r="AQ38" s="25" t="n"/>
      <c r="AR38" s="25" t="n"/>
      <c r="AS38" s="25" t="n"/>
      <c r="BZ38" s="24">
        <f>IF('テスト条件'!A37="","",'テスト条件'!A37)</f>
        <v/>
      </c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6" t="n"/>
      <c r="AP39" s="25" t="n"/>
      <c r="AQ39" s="25" t="n"/>
      <c r="AR39" s="25" t="n"/>
      <c r="AS39" s="25" t="n"/>
      <c r="BZ39" s="24">
        <f>IF('テスト条件'!A38="","",'テスト条件'!A38)</f>
        <v/>
      </c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6" t="n"/>
      <c r="AP40" s="25" t="n"/>
      <c r="AQ40" s="25" t="n"/>
      <c r="AR40" s="25" t="n"/>
      <c r="AS40" s="25" t="n"/>
      <c r="BZ40" s="24">
        <f>IF('テスト条件'!A39="","",'テスト条件'!A39)</f>
        <v/>
      </c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6" t="n"/>
      <c r="AP41" s="25" t="n"/>
      <c r="AQ41" s="25" t="n"/>
      <c r="AR41" s="25" t="n"/>
      <c r="AS41" s="25" t="n"/>
      <c r="BZ41" s="24">
        <f>IF('テスト条件'!A40="","",'テスト条件'!A40)</f>
        <v/>
      </c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6" t="n"/>
      <c r="AP42" s="25" t="n"/>
      <c r="AQ42" s="25" t="n"/>
      <c r="AR42" s="25" t="n"/>
      <c r="AS42" s="25" t="n"/>
      <c r="BZ42" s="24">
        <f>IF('テスト条件'!A41="","",'テスト条件'!A41)</f>
        <v/>
      </c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6" t="n"/>
      <c r="AP43" s="25" t="n"/>
      <c r="AQ43" s="25" t="n"/>
      <c r="AR43" s="25" t="n"/>
      <c r="AS43" s="25" t="n"/>
      <c r="BZ43" s="24">
        <f>IF('テスト条件'!A42="","",'テスト条件'!A42)</f>
        <v/>
      </c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6" t="n"/>
      <c r="AP44" s="25" t="n"/>
      <c r="AQ44" s="25" t="n"/>
      <c r="AR44" s="25" t="n"/>
      <c r="AS44" s="25" t="n"/>
      <c r="BZ44" s="24">
        <f>IF('テスト条件'!A43="","",'テスト条件'!A43)</f>
        <v/>
      </c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6" t="n"/>
      <c r="AP45" s="25" t="n"/>
      <c r="AQ45" s="25" t="n"/>
      <c r="AR45" s="25" t="n"/>
      <c r="AS45" s="25" t="n"/>
      <c r="BZ45" s="24">
        <f>IF('テスト条件'!A44="","",'テスト条件'!A44)</f>
        <v/>
      </c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6" t="n"/>
      <c r="AP46" s="25" t="n"/>
      <c r="AQ46" s="25" t="n"/>
      <c r="AR46" s="25" t="n"/>
      <c r="AS46" s="25" t="n"/>
      <c r="BZ46" s="24">
        <f>IF('テスト条件'!A45="","",'テスト条件'!A45)</f>
        <v/>
      </c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6" t="n"/>
      <c r="AP47" s="25" t="n"/>
      <c r="AQ47" s="25" t="n"/>
      <c r="AR47" s="25" t="n"/>
      <c r="AS47" s="25" t="n"/>
      <c r="BZ47" s="24">
        <f>IF('テスト条件'!A46="","",'テスト条件'!A46)</f>
        <v/>
      </c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6" t="n"/>
      <c r="AP48" s="25" t="n"/>
      <c r="AQ48" s="25" t="n"/>
      <c r="AR48" s="25" t="n"/>
      <c r="AS48" s="25" t="n"/>
      <c r="BZ48" s="24">
        <f>IF('テスト条件'!A47="","",'テスト条件'!A47)</f>
        <v/>
      </c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6" t="n"/>
      <c r="AP49" s="25" t="n"/>
      <c r="AQ49" s="25" t="n"/>
      <c r="AR49" s="25" t="n"/>
      <c r="AS49" s="25" t="n"/>
      <c r="BZ49" s="24">
        <f>IF('テスト条件'!A48="","",'テスト条件'!A48)</f>
        <v/>
      </c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6" t="n"/>
      <c r="AP50" s="25" t="n"/>
      <c r="AQ50" s="25" t="n"/>
      <c r="AR50" s="25" t="n"/>
      <c r="AS50" s="25" t="n"/>
      <c r="BZ50" s="24">
        <f>IF('テスト条件'!A49="","",'テスト条件'!A49)</f>
        <v/>
      </c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6" t="n"/>
      <c r="AP51" s="25" t="n"/>
      <c r="AQ51" s="25" t="n"/>
      <c r="AR51" s="25" t="n"/>
      <c r="AS51" s="25" t="n"/>
      <c r="BZ51" s="24">
        <f>IF('テスト条件'!A50="","",'テスト条件'!A50)</f>
        <v/>
      </c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6" t="n"/>
      <c r="AP52" s="25" t="n"/>
      <c r="AQ52" s="25" t="n"/>
      <c r="AR52" s="25" t="n"/>
      <c r="AS52" s="25" t="n"/>
      <c r="BZ52" s="24">
        <f>IF('テスト条件'!A51="","",'テスト条件'!A51)</f>
        <v/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6" t="n"/>
      <c r="AP53" s="25" t="n"/>
      <c r="AQ53" s="25" t="n"/>
      <c r="AR53" s="25" t="n"/>
      <c r="AS53" s="25" t="n"/>
      <c r="BZ53" s="24">
        <f>IF('テスト条件'!A52="","",'テスト条件'!A52)</f>
        <v/>
      </c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6" t="n"/>
      <c r="AP54" s="25" t="n"/>
      <c r="AQ54" s="25" t="n"/>
      <c r="AR54" s="25" t="n"/>
      <c r="AS54" s="25" t="n"/>
      <c r="BZ54" s="24">
        <f>IF('テスト条件'!A53="","",'テスト条件'!A53)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6" t="n"/>
      <c r="AP55" s="25" t="n"/>
      <c r="AQ55" s="25" t="n"/>
      <c r="AR55" s="25" t="n"/>
      <c r="AS55" s="25" t="n"/>
      <c r="BZ55" s="24">
        <f>IF('テスト条件'!A54="","",'テスト条件'!A54)</f>
        <v/>
      </c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6" t="n"/>
      <c r="AP56" s="25" t="n"/>
      <c r="AQ56" s="25" t="n"/>
      <c r="AR56" s="25" t="n"/>
      <c r="AS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6" t="n"/>
      <c r="AP57" s="25" t="n"/>
      <c r="AQ57" s="25" t="n"/>
      <c r="AR57" s="25" t="n"/>
      <c r="AS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6" t="n"/>
      <c r="AP58" s="25" t="n"/>
      <c r="AQ58" s="25" t="n"/>
      <c r="AR58" s="25" t="n"/>
      <c r="AS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6" t="n"/>
      <c r="AP59" s="25" t="n"/>
      <c r="AQ59" s="25" t="n"/>
      <c r="AR59" s="25" t="n"/>
      <c r="AS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6" t="n"/>
      <c r="AP60" s="25" t="n"/>
      <c r="AQ60" s="25" t="n"/>
      <c r="AR60" s="25" t="n"/>
      <c r="AS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6" t="n"/>
      <c r="AP61" s="25" t="n"/>
      <c r="AQ61" s="25" t="n"/>
      <c r="AR61" s="25" t="n"/>
      <c r="AS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6" t="n"/>
      <c r="AP62" s="25" t="n"/>
      <c r="AQ62" s="25" t="n"/>
      <c r="AR62" s="25" t="n"/>
      <c r="AS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6" t="n"/>
      <c r="AP63" s="25" t="n"/>
      <c r="AQ63" s="25" t="n"/>
      <c r="AR63" s="25" t="n"/>
      <c r="AS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6" t="n"/>
      <c r="AP64" s="25" t="n"/>
      <c r="AQ64" s="25" t="n"/>
      <c r="AR64" s="25" t="n"/>
      <c r="AS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6" t="n"/>
      <c r="AP65" s="25" t="n"/>
      <c r="AQ65" s="25" t="n"/>
      <c r="AR65" s="25" t="n"/>
      <c r="AS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6" t="n"/>
      <c r="AP66" s="25" t="n"/>
      <c r="AQ66" s="25" t="n"/>
      <c r="AR66" s="25" t="n"/>
      <c r="AS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6" t="n"/>
      <c r="AP67" s="25" t="n"/>
      <c r="AQ67" s="25" t="n"/>
      <c r="AR67" s="25" t="n"/>
      <c r="AS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6" t="n"/>
      <c r="AP68" s="25" t="n"/>
      <c r="AQ68" s="25" t="n"/>
      <c r="AR68" s="25" t="n"/>
      <c r="AS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6" t="n"/>
      <c r="AP69" s="25" t="n"/>
      <c r="AQ69" s="25" t="n"/>
      <c r="AR69" s="25" t="n"/>
      <c r="AS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6" t="n"/>
      <c r="AP70" s="25" t="n"/>
      <c r="AQ70" s="25" t="n"/>
      <c r="AR70" s="25" t="n"/>
      <c r="AS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6" t="n"/>
      <c r="AP71" s="25" t="n"/>
      <c r="AQ71" s="25" t="n"/>
      <c r="AR71" s="25" t="n"/>
      <c r="AS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6" t="n"/>
      <c r="AP72" s="25" t="n"/>
      <c r="AQ72" s="25" t="n"/>
      <c r="AR72" s="25" t="n"/>
      <c r="AS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6" t="n"/>
      <c r="AP73" s="25" t="n"/>
      <c r="AQ73" s="25" t="n"/>
      <c r="AR73" s="25" t="n"/>
      <c r="AS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6" t="n"/>
      <c r="AP74" s="25" t="n"/>
      <c r="AQ74" s="25" t="n"/>
      <c r="AR74" s="25" t="n"/>
      <c r="AS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6" t="n"/>
      <c r="AP75" s="25" t="n"/>
      <c r="AQ75" s="25" t="n"/>
      <c r="AR75" s="25" t="n"/>
      <c r="AS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6" t="n"/>
      <c r="AP76" s="25" t="n"/>
      <c r="AQ76" s="25" t="n"/>
      <c r="AR76" s="25" t="n"/>
      <c r="AS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6" t="n"/>
      <c r="AP77" s="25" t="n"/>
      <c r="AQ77" s="25" t="n"/>
      <c r="AR77" s="25" t="n"/>
      <c r="AS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6" t="n"/>
      <c r="AP78" s="25" t="n"/>
      <c r="AQ78" s="25" t="n"/>
      <c r="AR78" s="25" t="n"/>
      <c r="AS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6" t="n"/>
      <c r="AP79" s="25" t="n"/>
      <c r="AQ79" s="25" t="n"/>
      <c r="AR79" s="25" t="n"/>
      <c r="AS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6" t="n"/>
      <c r="AP80" s="25" t="n"/>
      <c r="AQ80" s="25" t="n"/>
      <c r="AR80" s="25" t="n"/>
      <c r="AS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6" t="n"/>
      <c r="AP81" s="25" t="n"/>
      <c r="AQ81" s="25" t="n"/>
      <c r="AR81" s="25" t="n"/>
      <c r="AS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6" t="n"/>
      <c r="AP82" s="25" t="n"/>
      <c r="AQ82" s="25" t="n"/>
      <c r="AR82" s="25" t="n"/>
      <c r="AS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6" t="n"/>
      <c r="AP83" s="25" t="n"/>
      <c r="AQ83" s="25" t="n"/>
      <c r="AR83" s="25" t="n"/>
      <c r="AS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6" t="n"/>
      <c r="AP84" s="25" t="n"/>
      <c r="AQ84" s="25" t="n"/>
      <c r="AR84" s="25" t="n"/>
      <c r="AS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6" t="n"/>
      <c r="AP85" s="25" t="n"/>
      <c r="AQ85" s="25" t="n"/>
      <c r="AR85" s="25" t="n"/>
      <c r="AS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6" t="n"/>
      <c r="AP86" s="25" t="n"/>
      <c r="AQ86" s="25" t="n"/>
      <c r="AR86" s="25" t="n"/>
      <c r="AS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6" t="n"/>
      <c r="AP87" s="25" t="n"/>
      <c r="AQ87" s="25" t="n"/>
      <c r="AR87" s="25" t="n"/>
      <c r="AS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6" t="n"/>
      <c r="AP88" s="25" t="n"/>
      <c r="AQ88" s="25" t="n"/>
      <c r="AR88" s="25" t="n"/>
      <c r="AS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6" t="n"/>
      <c r="AP89" s="25" t="n"/>
      <c r="AQ89" s="25" t="n"/>
      <c r="AR89" s="25" t="n"/>
      <c r="AS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6" t="n"/>
      <c r="AP90" s="25" t="n"/>
      <c r="AQ90" s="25" t="n"/>
      <c r="AR90" s="25" t="n"/>
      <c r="AS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6" t="n"/>
      <c r="AP91" s="25" t="n"/>
      <c r="AQ91" s="25" t="n"/>
      <c r="AR91" s="25" t="n"/>
      <c r="AS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6" t="n"/>
      <c r="AP92" s="25" t="n"/>
      <c r="AQ92" s="25" t="n"/>
      <c r="AR92" s="25" t="n"/>
      <c r="AS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6" t="n"/>
      <c r="AP93" s="25" t="n"/>
      <c r="AQ93" s="25" t="n"/>
      <c r="AR93" s="25" t="n"/>
      <c r="AS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6" t="n"/>
      <c r="AP94" s="25" t="n"/>
      <c r="AQ94" s="25" t="n"/>
      <c r="AR94" s="25" t="n"/>
      <c r="AS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6" t="n"/>
      <c r="AP95" s="25" t="n"/>
      <c r="AQ95" s="25" t="n"/>
      <c r="AR95" s="25" t="n"/>
      <c r="AS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6" t="n"/>
      <c r="AP96" s="25" t="n"/>
      <c r="AQ96" s="25" t="n"/>
      <c r="AR96" s="25" t="n"/>
      <c r="AS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6" t="n"/>
      <c r="AP97" s="25" t="n"/>
      <c r="AQ97" s="25" t="n"/>
      <c r="AR97" s="25" t="n"/>
      <c r="AS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6" t="n"/>
      <c r="AP98" s="25" t="n"/>
      <c r="AQ98" s="25" t="n"/>
      <c r="AR98" s="25" t="n"/>
      <c r="AS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6" t="n"/>
      <c r="AP99" s="25" t="n"/>
      <c r="AQ99" s="25" t="n"/>
      <c r="AR99" s="25" t="n"/>
      <c r="AS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6" t="n"/>
      <c r="AP100" s="25" t="n"/>
      <c r="AQ100" s="25" t="n"/>
      <c r="AR100" s="25" t="n"/>
      <c r="AS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6" t="n"/>
      <c r="AP101" s="25" t="n"/>
      <c r="AQ101" s="25" t="n"/>
      <c r="AR101" s="25" t="n"/>
      <c r="AS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6" t="n"/>
      <c r="AP102" s="25" t="n"/>
      <c r="AQ102" s="25" t="n"/>
      <c r="AR102" s="25" t="n"/>
      <c r="AS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6" t="n"/>
      <c r="AP103" s="25" t="n"/>
      <c r="AQ103" s="25" t="n"/>
      <c r="AR103" s="25" t="n"/>
      <c r="AS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6" t="n"/>
      <c r="AP104" s="25" t="n"/>
      <c r="AQ104" s="25" t="n"/>
      <c r="AR104" s="25" t="n"/>
      <c r="AS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6" t="n"/>
      <c r="AP105" s="25" t="n"/>
      <c r="AQ105" s="25" t="n"/>
      <c r="AR105" s="25" t="n"/>
      <c r="AS105" s="25" t="n"/>
    </row>
  </sheetData>
  <autoFilter ref="A5:AS105"/>
  <mergeCells count="21">
    <mergeCell ref="C4:C5"/>
    <mergeCell ref="E4:E5"/>
    <mergeCell ref="AN4:AN5"/>
    <mergeCell ref="A3:F3"/>
    <mergeCell ref="G3:AJ3"/>
    <mergeCell ref="AO3:AS3"/>
    <mergeCell ref="D4:D5"/>
    <mergeCell ref="AR4:AR5"/>
    <mergeCell ref="AQ4:AQ5"/>
    <mergeCell ref="AM4:AM5"/>
    <mergeCell ref="AO4:AO5"/>
    <mergeCell ref="AU4:BZ4"/>
    <mergeCell ref="A4:A5"/>
    <mergeCell ref="AK3:AN3"/>
    <mergeCell ref="AL4:AL5"/>
    <mergeCell ref="B4:B5"/>
    <mergeCell ref="F4:F5"/>
    <mergeCell ref="AP4:AP5"/>
    <mergeCell ref="AS4:AS5"/>
    <mergeCell ref="AK4:AK5"/>
    <mergeCell ref="B2:D2"/>
  </mergeCells>
  <dataValidations count="35">
    <dataValidation sqref="G6:G105" showDropDown="0" showInputMessage="0" showErrorMessage="0" allowBlank="1" type="list">
      <formula1>'テストケース1'!$AU$6:$AU$15</formula1>
    </dataValidation>
    <dataValidation sqref="H6:H105" showDropDown="0" showInputMessage="0" showErrorMessage="0" allowBlank="1" type="list">
      <formula1>'テストケース1'!$AV$6:$AV$15</formula1>
    </dataValidation>
    <dataValidation sqref="I6:I105" showDropDown="0" showInputMessage="0" showErrorMessage="0" allowBlank="1" type="list">
      <formula1>'テストケース1'!$AW$6:$AW$15</formula1>
    </dataValidation>
    <dataValidation sqref="J6:J105" showDropDown="0" showInputMessage="0" showErrorMessage="0" allowBlank="1" type="list">
      <formula1>'テストケース1'!$AX$6:$AX$15</formula1>
    </dataValidation>
    <dataValidation sqref="K6:K105" showDropDown="0" showInputMessage="0" showErrorMessage="0" allowBlank="1" type="list">
      <formula1>'テストケース1'!$AY$6:$AY$15</formula1>
    </dataValidation>
    <dataValidation sqref="L6:L105" showDropDown="0" showInputMessage="0" showErrorMessage="0" allowBlank="1" type="list">
      <formula1>'テストケース1'!$AZ$6:$AZ$15</formula1>
    </dataValidation>
    <dataValidation sqref="M6:M105" showDropDown="0" showInputMessage="0" showErrorMessage="0" allowBlank="1" type="list">
      <formula1>'テストケース1'!$BA$6:$BA$15</formula1>
    </dataValidation>
    <dataValidation sqref="N6:N105" showDropDown="0" showInputMessage="0" showErrorMessage="0" allowBlank="1" type="list">
      <formula1>'テストケース1'!$BB$6:$BB$15</formula1>
    </dataValidation>
    <dataValidation sqref="O6:O105" showDropDown="0" showInputMessage="0" showErrorMessage="0" allowBlank="1" type="list">
      <formula1>'テストケース1'!$BC$6:$BC$15</formula1>
    </dataValidation>
    <dataValidation sqref="P6:P105" showDropDown="0" showInputMessage="0" showErrorMessage="0" allowBlank="1" type="list">
      <formula1>'テストケース1'!$BD$6:$BD$15</formula1>
    </dataValidation>
    <dataValidation sqref="Q6:Q105" showDropDown="0" showInputMessage="0" showErrorMessage="0" allowBlank="1" type="list">
      <formula1>'テストケース1'!$BE$6:$BE$15</formula1>
    </dataValidation>
    <dataValidation sqref="R6:R105" showDropDown="0" showInputMessage="0" showErrorMessage="0" allowBlank="1" type="list">
      <formula1>'テストケース1'!$BF$6:$BF$15</formula1>
    </dataValidation>
    <dataValidation sqref="S6:S105" showDropDown="0" showInputMessage="0" showErrorMessage="0" allowBlank="1" type="list">
      <formula1>'テストケース1'!$BG$6:$BG$15</formula1>
    </dataValidation>
    <dataValidation sqref="T6:T105" showDropDown="0" showInputMessage="0" showErrorMessage="0" allowBlank="1" type="list">
      <formula1>'テストケース1'!$BH$6:$BH$15</formula1>
    </dataValidation>
    <dataValidation sqref="U6:U105" showDropDown="0" showInputMessage="0" showErrorMessage="0" allowBlank="1" type="list">
      <formula1>'テストケース1'!$BI$6:$BI$15</formula1>
    </dataValidation>
    <dataValidation sqref="V6:V105" showDropDown="0" showInputMessage="0" showErrorMessage="0" allowBlank="1" type="list">
      <formula1>'テストケース1'!$BJ$6:$BJ$15</formula1>
    </dataValidation>
    <dataValidation sqref="W6:W105" showDropDown="0" showInputMessage="0" showErrorMessage="0" allowBlank="1" type="list">
      <formula1>'テストケース1'!$BK$6:$BK$15</formula1>
    </dataValidation>
    <dataValidation sqref="X6:X105" showDropDown="0" showInputMessage="0" showErrorMessage="0" allowBlank="1" type="list">
      <formula1>'テストケース1'!$BL$6:$BL$15</formula1>
    </dataValidation>
    <dataValidation sqref="Y6:Y105" showDropDown="0" showInputMessage="0" showErrorMessage="0" allowBlank="1" type="list">
      <formula1>'テストケース1'!$BM$6:$BM$15</formula1>
    </dataValidation>
    <dataValidation sqref="Z6:Z105" showDropDown="0" showInputMessage="0" showErrorMessage="0" allowBlank="1" type="list">
      <formula1>'テストケース1'!$BN$6:$BN$15</formula1>
    </dataValidation>
    <dataValidation sqref="AA6:AA105" showDropDown="0" showInputMessage="0" showErrorMessage="0" allowBlank="1" type="list">
      <formula1>'テストケース1'!$BO$6:$BO$15</formula1>
    </dataValidation>
    <dataValidation sqref="AB6:AB105" showDropDown="0" showInputMessage="0" showErrorMessage="0" allowBlank="1" type="list">
      <formula1>'テストケース1'!$BP$6:$BP$15</formula1>
    </dataValidation>
    <dataValidation sqref="AC6:AC105" showDropDown="0" showInputMessage="0" showErrorMessage="0" allowBlank="1" type="list">
      <formula1>'テストケース1'!$BQ$6:$BQ$15</formula1>
    </dataValidation>
    <dataValidation sqref="AD6:AD105" showDropDown="0" showInputMessage="0" showErrorMessage="0" allowBlank="1" type="list">
      <formula1>'テストケース1'!$BR$6:$BR$15</formula1>
    </dataValidation>
    <dataValidation sqref="AE6:AE105" showDropDown="0" showInputMessage="0" showErrorMessage="0" allowBlank="1" type="list">
      <formula1>'テストケース1'!$BS$6:$BS$15</formula1>
    </dataValidation>
    <dataValidation sqref="AF6:AF105" showDropDown="0" showInputMessage="0" showErrorMessage="0" allowBlank="1" type="list">
      <formula1>'テストケース1'!$BT$6:$BT$15</formula1>
    </dataValidation>
    <dataValidation sqref="AG6:AG105" showDropDown="0" showInputMessage="0" showErrorMessage="0" allowBlank="1" type="list">
      <formula1>'テストケース1'!$BU$6:$BU$15</formula1>
    </dataValidation>
    <dataValidation sqref="AH6:AH105" showDropDown="0" showInputMessage="0" showErrorMessage="0" allowBlank="1" type="list">
      <formula1>'テストケース1'!$BV$6:$BV$15</formula1>
    </dataValidation>
    <dataValidation sqref="AI6:AI105" showDropDown="0" showInputMessage="0" showErrorMessage="0" allowBlank="1" type="list">
      <formula1>'テストケース1'!$BW$6:$BW$15</formula1>
    </dataValidation>
    <dataValidation sqref="AJ6:AJ105" showDropDown="0" showInputMessage="0" showErrorMessage="0" allowBlank="1" type="list">
      <formula1>'テストケース1'!$BX$6:$BX$15</formula1>
    </dataValidation>
    <dataValidation sqref="C6:C105" showDropDown="0" showInputMessage="0" showErrorMessage="0" allowBlank="1" type="list">
      <formula1>'テストケース1'!$BY$6:$BY$25</formula1>
    </dataValidation>
    <dataValidation sqref="B6:B105" showDropDown="0" showInputMessage="0" showErrorMessage="0" allowBlank="1" type="list">
      <formula1>'テストケース1'!$BZ$6:$BZ$55</formula1>
    </dataValidation>
    <dataValidation sqref="E6:E105" showDropDown="0" showInputMessage="0" showErrorMessage="0" allowBlank="1" type="list">
      <formula1>"高,中,低"</formula1>
    </dataValidation>
    <dataValidation sqref="AN6:AN105" showDropDown="0" showInputMessage="0" showErrorMessage="0" allowBlank="1" type="list">
      <formula1>"要,否,済"</formula1>
    </dataValidation>
    <dataValidation sqref="AQ6:AQ1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Z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  <col width="34" customWidth="1" min="38" max="38"/>
    <col width="14" customWidth="1" min="39" max="39"/>
    <col width="9" customWidth="1" min="40" max="40"/>
    <col width="11" customWidth="1" min="41" max="41"/>
    <col width="10" customWidth="1" min="42" max="42"/>
    <col width="9" customWidth="1" min="43" max="43"/>
    <col width="10" customWidth="1" min="44" max="44"/>
    <col width="24" customWidth="1" min="45" max="45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</cols>
  <sheetData>
    <row r="1">
      <c r="A1" s="1" t="inlineStr">
        <is>
          <t>テストケース</t>
        </is>
      </c>
      <c r="E1" s="2" t="inlineStr">
        <is>
          <t>因子列の見出しは因子水準表から自動で入り、セルは水準のプルダウンから選べます。使わない因子の列は非表示にしてください。</t>
        </is>
      </c>
    </row>
    <row r="2">
      <c r="A2" s="10" t="inlineStr">
        <is>
          <t>対象</t>
        </is>
      </c>
      <c r="B2" s="7" t="n"/>
      <c r="C2" s="8" t="n"/>
      <c r="D2" s="9" t="n"/>
    </row>
    <row r="3">
      <c r="A3" s="20" t="inlineStr">
        <is>
          <t>テストケース</t>
        </is>
      </c>
      <c r="B3" s="8" t="n"/>
      <c r="C3" s="8" t="n"/>
      <c r="D3" s="8" t="n"/>
      <c r="E3" s="8" t="n"/>
      <c r="F3" s="9" t="n"/>
      <c r="G3" s="20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9" t="n"/>
      <c r="AK3" s="20" t="inlineStr">
        <is>
          <t>内容</t>
        </is>
      </c>
      <c r="AL3" s="8" t="n"/>
      <c r="AM3" s="8" t="n"/>
      <c r="AN3" s="9" t="n"/>
      <c r="AO3" s="20" t="inlineStr">
        <is>
          <t>実行結果</t>
        </is>
      </c>
      <c r="AP3" s="8" t="n"/>
      <c r="AQ3" s="8" t="n"/>
      <c r="AR3" s="8" t="n"/>
      <c r="AS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1">
        <f>IF('因子水準表'!B$5="","",'因子水準表'!B$5)</f>
        <v/>
      </c>
      <c r="H4" s="21">
        <f>IF('因子水準表'!C$5="","",'因子水準表'!C$5)</f>
        <v/>
      </c>
      <c r="I4" s="21">
        <f>IF('因子水準表'!D$5="","",'因子水準表'!D$5)</f>
        <v/>
      </c>
      <c r="J4" s="21">
        <f>IF('因子水準表'!E$5="","",'因子水準表'!E$5)</f>
        <v/>
      </c>
      <c r="K4" s="21">
        <f>IF('因子水準表'!F$5="","",'因子水準表'!F$5)</f>
        <v/>
      </c>
      <c r="L4" s="21">
        <f>IF('因子水準表'!G$5="","",'因子水準表'!G$5)</f>
        <v/>
      </c>
      <c r="M4" s="21">
        <f>IF('因子水準表'!H$5="","",'因子水準表'!H$5)</f>
        <v/>
      </c>
      <c r="N4" s="21">
        <f>IF('因子水準表'!I$5="","",'因子水準表'!I$5)</f>
        <v/>
      </c>
      <c r="O4" s="21">
        <f>IF('因子水準表'!J$5="","",'因子水準表'!J$5)</f>
        <v/>
      </c>
      <c r="P4" s="21">
        <f>IF('因子水準表'!K$5="","",'因子水準表'!K$5)</f>
        <v/>
      </c>
      <c r="Q4" s="21">
        <f>IF('因子水準表'!L$5="","",'因子水準表'!L$5)</f>
        <v/>
      </c>
      <c r="R4" s="21">
        <f>IF('因子水準表'!M$5="","",'因子水準表'!M$5)</f>
        <v/>
      </c>
      <c r="S4" s="21">
        <f>IF('因子水準表'!N$5="","",'因子水準表'!N$5)</f>
        <v/>
      </c>
      <c r="T4" s="21">
        <f>IF('因子水準表'!O$5="","",'因子水準表'!O$5)</f>
        <v/>
      </c>
      <c r="U4" s="21">
        <f>IF('因子水準表'!P$5="","",'因子水準表'!P$5)</f>
        <v/>
      </c>
      <c r="V4" s="21">
        <f>IF('因子水準表'!Q$5="","",'因子水準表'!Q$5)</f>
        <v/>
      </c>
      <c r="W4" s="21">
        <f>IF('因子水準表'!R$5="","",'因子水準表'!R$5)</f>
        <v/>
      </c>
      <c r="X4" s="21">
        <f>IF('因子水準表'!S$5="","",'因子水準表'!S$5)</f>
        <v/>
      </c>
      <c r="Y4" s="21">
        <f>IF('因子水準表'!T$5="","",'因子水準表'!T$5)</f>
        <v/>
      </c>
      <c r="Z4" s="21">
        <f>IF('因子水準表'!U$5="","",'因子水準表'!U$5)</f>
        <v/>
      </c>
      <c r="AA4" s="21">
        <f>IF('因子水準表'!V$5="","",'因子水準表'!V$5)</f>
        <v/>
      </c>
      <c r="AB4" s="21">
        <f>IF('因子水準表'!W$5="","",'因子水準表'!W$5)</f>
        <v/>
      </c>
      <c r="AC4" s="21">
        <f>IF('因子水準表'!X$5="","",'因子水準表'!X$5)</f>
        <v/>
      </c>
      <c r="AD4" s="21">
        <f>IF('因子水準表'!Y$5="","",'因子水準表'!Y$5)</f>
        <v/>
      </c>
      <c r="AE4" s="21">
        <f>IF('因子水準表'!Z$5="","",'因子水準表'!Z$5)</f>
        <v/>
      </c>
      <c r="AF4" s="21">
        <f>IF('因子水準表'!AA$5="","",'因子水準表'!AA$5)</f>
        <v/>
      </c>
      <c r="AG4" s="21">
        <f>IF('因子水準表'!AB$5="","",'因子水準表'!AB$5)</f>
        <v/>
      </c>
      <c r="AH4" s="21">
        <f>IF('因子水準表'!AC$5="","",'因子水準表'!AC$5)</f>
        <v/>
      </c>
      <c r="AI4" s="21">
        <f>IF('因子水準表'!AD$5="","",'因子水準表'!AD$5)</f>
        <v/>
      </c>
      <c r="AJ4" s="21">
        <f>IF('因子水準表'!AE$5="","",'因子水準表'!AE$5)</f>
        <v/>
      </c>
      <c r="AK4" s="11" t="inlineStr">
        <is>
          <t>手順</t>
        </is>
      </c>
      <c r="AL4" s="11" t="inlineStr">
        <is>
          <t>期待結果</t>
        </is>
      </c>
      <c r="AM4" s="11" t="inlineStr">
        <is>
          <t>技法</t>
        </is>
      </c>
      <c r="AN4" s="11" t="inlineStr">
        <is>
          <t>自動化</t>
        </is>
      </c>
      <c r="AO4" s="11" t="inlineStr">
        <is>
          <t>実行日</t>
        </is>
      </c>
      <c r="AP4" s="11" t="inlineStr">
        <is>
          <t>実行者</t>
        </is>
      </c>
      <c r="AQ4" s="11" t="inlineStr">
        <is>
          <t>結果</t>
        </is>
      </c>
      <c r="AR4" s="11" t="inlineStr">
        <is>
          <t>欠陥ID</t>
        </is>
      </c>
      <c r="AS4" s="11" t="inlineStr">
        <is>
          <t>備考</t>
        </is>
      </c>
      <c r="AU4" s="20" t="inlineStr">
        <is>
          <t>プルダウン用（非表示・編集しない）</t>
        </is>
      </c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9" t="n"/>
    </row>
    <row r="5">
      <c r="A5" s="22" t="n"/>
      <c r="B5" s="22" t="n"/>
      <c r="C5" s="22" t="n"/>
      <c r="D5" s="22" t="n"/>
      <c r="E5" s="22" t="n"/>
      <c r="F5" s="22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11">
        <f>IF('因子水準表'!J$6="","因子9（未使用）",'因子水準表'!J$6)</f>
        <v/>
      </c>
      <c r="P5" s="11">
        <f>IF('因子水準表'!K$6="","因子10（未使用）",'因子水準表'!K$6)</f>
        <v/>
      </c>
      <c r="Q5" s="11">
        <f>IF('因子水準表'!L$6="","因子11（未使用）",'因子水準表'!L$6)</f>
        <v/>
      </c>
      <c r="R5" s="11">
        <f>IF('因子水準表'!M$6="","因子12（未使用）",'因子水準表'!M$6)</f>
        <v/>
      </c>
      <c r="S5" s="11">
        <f>IF('因子水準表'!N$6="","因子13（未使用）",'因子水準表'!N$6)</f>
        <v/>
      </c>
      <c r="T5" s="11">
        <f>IF('因子水準表'!O$6="","因子14（未使用）",'因子水準表'!O$6)</f>
        <v/>
      </c>
      <c r="U5" s="11">
        <f>IF('因子水準表'!P$6="","因子15（未使用）",'因子水準表'!P$6)</f>
        <v/>
      </c>
      <c r="V5" s="11">
        <f>IF('因子水準表'!Q$6="","因子16（未使用）",'因子水準表'!Q$6)</f>
        <v/>
      </c>
      <c r="W5" s="11">
        <f>IF('因子水準表'!R$6="","因子17（未使用）",'因子水準表'!R$6)</f>
        <v/>
      </c>
      <c r="X5" s="11">
        <f>IF('因子水準表'!S$6="","因子18（未使用）",'因子水準表'!S$6)</f>
        <v/>
      </c>
      <c r="Y5" s="11">
        <f>IF('因子水準表'!T$6="","因子19（未使用）",'因子水準表'!T$6)</f>
        <v/>
      </c>
      <c r="Z5" s="11">
        <f>IF('因子水準表'!U$6="","因子20（未使用）",'因子水準表'!U$6)</f>
        <v/>
      </c>
      <c r="AA5" s="11">
        <f>IF('因子水準表'!V$6="","因子21（未使用）",'因子水準表'!V$6)</f>
        <v/>
      </c>
      <c r="AB5" s="11">
        <f>IF('因子水準表'!W$6="","因子22（未使用）",'因子水準表'!W$6)</f>
        <v/>
      </c>
      <c r="AC5" s="11">
        <f>IF('因子水準表'!X$6="","因子23（未使用）",'因子水準表'!X$6)</f>
        <v/>
      </c>
      <c r="AD5" s="11">
        <f>IF('因子水準表'!Y$6="","因子24（未使用）",'因子水準表'!Y$6)</f>
        <v/>
      </c>
      <c r="AE5" s="11">
        <f>IF('因子水準表'!Z$6="","因子25（未使用）",'因子水準表'!Z$6)</f>
        <v/>
      </c>
      <c r="AF5" s="11">
        <f>IF('因子水準表'!AA$6="","因子26（未使用）",'因子水準表'!AA$6)</f>
        <v/>
      </c>
      <c r="AG5" s="11">
        <f>IF('因子水準表'!AB$6="","因子27（未使用）",'因子水準表'!AB$6)</f>
        <v/>
      </c>
      <c r="AH5" s="11">
        <f>IF('因子水準表'!AC$6="","因子28（未使用）",'因子水準表'!AC$6)</f>
        <v/>
      </c>
      <c r="AI5" s="11">
        <f>IF('因子水準表'!AD$6="","因子29（未使用）",'因子水準表'!AD$6)</f>
        <v/>
      </c>
      <c r="AJ5" s="11">
        <f>IF('因子水準表'!AE$6="","因子30（未使用）",'因子水準表'!AE$6)</f>
        <v/>
      </c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U5" s="11" t="inlineStr">
        <is>
          <t>F1 水準</t>
        </is>
      </c>
      <c r="AV5" s="11" t="inlineStr">
        <is>
          <t>F2 水準</t>
        </is>
      </c>
      <c r="AW5" s="11" t="inlineStr">
        <is>
          <t>F3 水準</t>
        </is>
      </c>
      <c r="AX5" s="11" t="inlineStr">
        <is>
          <t>F4 水準</t>
        </is>
      </c>
      <c r="AY5" s="11" t="inlineStr">
        <is>
          <t>F5 水準</t>
        </is>
      </c>
      <c r="AZ5" s="11" t="inlineStr">
        <is>
          <t>F6 水準</t>
        </is>
      </c>
      <c r="BA5" s="11" t="inlineStr">
        <is>
          <t>F7 水準</t>
        </is>
      </c>
      <c r="BB5" s="11" t="inlineStr">
        <is>
          <t>F8 水準</t>
        </is>
      </c>
      <c r="BC5" s="11" t="inlineStr">
        <is>
          <t>F9 水準</t>
        </is>
      </c>
      <c r="BD5" s="11" t="inlineStr">
        <is>
          <t>F10 水準</t>
        </is>
      </c>
      <c r="BE5" s="11" t="inlineStr">
        <is>
          <t>F11 水準</t>
        </is>
      </c>
      <c r="BF5" s="11" t="inlineStr">
        <is>
          <t>F12 水準</t>
        </is>
      </c>
      <c r="BG5" s="11" t="inlineStr">
        <is>
          <t>F13 水準</t>
        </is>
      </c>
      <c r="BH5" s="11" t="inlineStr">
        <is>
          <t>F14 水準</t>
        </is>
      </c>
      <c r="BI5" s="11" t="inlineStr">
        <is>
          <t>F15 水準</t>
        </is>
      </c>
      <c r="BJ5" s="11" t="inlineStr">
        <is>
          <t>F16 水準</t>
        </is>
      </c>
      <c r="BK5" s="11" t="inlineStr">
        <is>
          <t>F17 水準</t>
        </is>
      </c>
      <c r="BL5" s="11" t="inlineStr">
        <is>
          <t>F18 水準</t>
        </is>
      </c>
      <c r="BM5" s="11" t="inlineStr">
        <is>
          <t>F19 水準</t>
        </is>
      </c>
      <c r="BN5" s="11" t="inlineStr">
        <is>
          <t>F20 水準</t>
        </is>
      </c>
      <c r="BO5" s="11" t="inlineStr">
        <is>
          <t>F21 水準</t>
        </is>
      </c>
      <c r="BP5" s="11" t="inlineStr">
        <is>
          <t>F22 水準</t>
        </is>
      </c>
      <c r="BQ5" s="11" t="inlineStr">
        <is>
          <t>F23 水準</t>
        </is>
      </c>
      <c r="BR5" s="11" t="inlineStr">
        <is>
          <t>F24 水準</t>
        </is>
      </c>
      <c r="BS5" s="11" t="inlineStr">
        <is>
          <t>F25 水準</t>
        </is>
      </c>
      <c r="BT5" s="11" t="inlineStr">
        <is>
          <t>F26 水準</t>
        </is>
      </c>
      <c r="BU5" s="11" t="inlineStr">
        <is>
          <t>F27 水準</t>
        </is>
      </c>
      <c r="BV5" s="11" t="inlineStr">
        <is>
          <t>F28 水準</t>
        </is>
      </c>
      <c r="BW5" s="11" t="inlineStr">
        <is>
          <t>F29 水準</t>
        </is>
      </c>
      <c r="BX5" s="11" t="inlineStr">
        <is>
          <t>F30 水準</t>
        </is>
      </c>
      <c r="BY5" s="11" t="inlineStr">
        <is>
          <t>カテゴリ</t>
        </is>
      </c>
      <c r="BZ5" s="11" t="inlineStr">
        <is>
          <t>条件ID</t>
        </is>
      </c>
    </row>
    <row r="6">
      <c r="A6" s="25" t="n"/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6" t="n"/>
      <c r="AP6" s="25" t="n"/>
      <c r="AQ6" s="25" t="n"/>
      <c r="AR6" s="25" t="n"/>
      <c r="AS6" s="25" t="n"/>
      <c r="AU6" s="24">
        <f>IF('因子水準表'!B9="","",'因子水準表'!B9)</f>
        <v/>
      </c>
      <c r="AV6" s="24">
        <f>IF('因子水準表'!C9="","",'因子水準表'!C9)</f>
        <v/>
      </c>
      <c r="AW6" s="24">
        <f>IF('因子水準表'!D9="","",'因子水準表'!D9)</f>
        <v/>
      </c>
      <c r="AX6" s="24">
        <f>IF('因子水準表'!E9="","",'因子水準表'!E9)</f>
        <v/>
      </c>
      <c r="AY6" s="24">
        <f>IF('因子水準表'!F9="","",'因子水準表'!F9)</f>
        <v/>
      </c>
      <c r="AZ6" s="24">
        <f>IF('因子水準表'!G9="","",'因子水準表'!G9)</f>
        <v/>
      </c>
      <c r="BA6" s="24">
        <f>IF('因子水準表'!H9="","",'因子水準表'!H9)</f>
        <v/>
      </c>
      <c r="BB6" s="24">
        <f>IF('因子水準表'!I9="","",'因子水準表'!I9)</f>
        <v/>
      </c>
      <c r="BC6" s="24">
        <f>IF('因子水準表'!J9="","",'因子水準表'!J9)</f>
        <v/>
      </c>
      <c r="BD6" s="24">
        <f>IF('因子水準表'!K9="","",'因子水準表'!K9)</f>
        <v/>
      </c>
      <c r="BE6" s="24">
        <f>IF('因子水準表'!L9="","",'因子水準表'!L9)</f>
        <v/>
      </c>
      <c r="BF6" s="24">
        <f>IF('因子水準表'!M9="","",'因子水準表'!M9)</f>
        <v/>
      </c>
      <c r="BG6" s="24">
        <f>IF('因子水準表'!N9="","",'因子水準表'!N9)</f>
        <v/>
      </c>
      <c r="BH6" s="24">
        <f>IF('因子水準表'!O9="","",'因子水準表'!O9)</f>
        <v/>
      </c>
      <c r="BI6" s="24">
        <f>IF('因子水準表'!P9="","",'因子水準表'!P9)</f>
        <v/>
      </c>
      <c r="BJ6" s="24">
        <f>IF('因子水準表'!Q9="","",'因子水準表'!Q9)</f>
        <v/>
      </c>
      <c r="BK6" s="24">
        <f>IF('因子水準表'!R9="","",'因子水準表'!R9)</f>
        <v/>
      </c>
      <c r="BL6" s="24">
        <f>IF('因子水準表'!S9="","",'因子水準表'!S9)</f>
        <v/>
      </c>
      <c r="BM6" s="24">
        <f>IF('因子水準表'!T9="","",'因子水準表'!T9)</f>
        <v/>
      </c>
      <c r="BN6" s="24">
        <f>IF('因子水準表'!U9="","",'因子水準表'!U9)</f>
        <v/>
      </c>
      <c r="BO6" s="24">
        <f>IF('因子水準表'!V9="","",'因子水準表'!V9)</f>
        <v/>
      </c>
      <c r="BP6" s="24">
        <f>IF('因子水準表'!W9="","",'因子水準表'!W9)</f>
        <v/>
      </c>
      <c r="BQ6" s="24">
        <f>IF('因子水準表'!X9="","",'因子水準表'!X9)</f>
        <v/>
      </c>
      <c r="BR6" s="24">
        <f>IF('因子水準表'!Y9="","",'因子水準表'!Y9)</f>
        <v/>
      </c>
      <c r="BS6" s="24">
        <f>IF('因子水準表'!Z9="","",'因子水準表'!Z9)</f>
        <v/>
      </c>
      <c r="BT6" s="24">
        <f>IF('因子水準表'!AA9="","",'因子水準表'!AA9)</f>
        <v/>
      </c>
      <c r="BU6" s="24">
        <f>IF('因子水準表'!AB9="","",'因子水準表'!AB9)</f>
        <v/>
      </c>
      <c r="BV6" s="24">
        <f>IF('因子水準表'!AC9="","",'因子水準表'!AC9)</f>
        <v/>
      </c>
      <c r="BW6" s="24">
        <f>IF('因子水準表'!AD9="","",'因子水準表'!AD9)</f>
        <v/>
      </c>
      <c r="BX6" s="24">
        <f>IF('因子水準表'!AE9="","",'因子水準表'!AE9)</f>
        <v/>
      </c>
      <c r="BY6" s="24">
        <f>IF('因子水準表'!B28="","",'因子水準表'!B28)</f>
        <v/>
      </c>
      <c r="BZ6" s="24">
        <f>IF('テスト条件'!A5="","",'テスト条件'!A5)</f>
        <v/>
      </c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6" t="n"/>
      <c r="AP7" s="25" t="n"/>
      <c r="AQ7" s="25" t="n"/>
      <c r="AR7" s="25" t="n"/>
      <c r="AS7" s="25" t="n"/>
      <c r="AU7" s="24">
        <f>IF('因子水準表'!B10="","",'因子水準表'!B10)</f>
        <v/>
      </c>
      <c r="AV7" s="24">
        <f>IF('因子水準表'!C10="","",'因子水準表'!C10)</f>
        <v/>
      </c>
      <c r="AW7" s="24">
        <f>IF('因子水準表'!D10="","",'因子水準表'!D10)</f>
        <v/>
      </c>
      <c r="AX7" s="24">
        <f>IF('因子水準表'!E10="","",'因子水準表'!E10)</f>
        <v/>
      </c>
      <c r="AY7" s="24">
        <f>IF('因子水準表'!F10="","",'因子水準表'!F10)</f>
        <v/>
      </c>
      <c r="AZ7" s="24">
        <f>IF('因子水準表'!G10="","",'因子水準表'!G10)</f>
        <v/>
      </c>
      <c r="BA7" s="24">
        <f>IF('因子水準表'!H10="","",'因子水準表'!H10)</f>
        <v/>
      </c>
      <c r="BB7" s="24">
        <f>IF('因子水準表'!I10="","",'因子水準表'!I10)</f>
        <v/>
      </c>
      <c r="BC7" s="24">
        <f>IF('因子水準表'!J10="","",'因子水準表'!J10)</f>
        <v/>
      </c>
      <c r="BD7" s="24">
        <f>IF('因子水準表'!K10="","",'因子水準表'!K10)</f>
        <v/>
      </c>
      <c r="BE7" s="24">
        <f>IF('因子水準表'!L10="","",'因子水準表'!L10)</f>
        <v/>
      </c>
      <c r="BF7" s="24">
        <f>IF('因子水準表'!M10="","",'因子水準表'!M10)</f>
        <v/>
      </c>
      <c r="BG7" s="24">
        <f>IF('因子水準表'!N10="","",'因子水準表'!N10)</f>
        <v/>
      </c>
      <c r="BH7" s="24">
        <f>IF('因子水準表'!O10="","",'因子水準表'!O10)</f>
        <v/>
      </c>
      <c r="BI7" s="24">
        <f>IF('因子水準表'!P10="","",'因子水準表'!P10)</f>
        <v/>
      </c>
      <c r="BJ7" s="24">
        <f>IF('因子水準表'!Q10="","",'因子水準表'!Q10)</f>
        <v/>
      </c>
      <c r="BK7" s="24">
        <f>IF('因子水準表'!R10="","",'因子水準表'!R10)</f>
        <v/>
      </c>
      <c r="BL7" s="24">
        <f>IF('因子水準表'!S10="","",'因子水準表'!S10)</f>
        <v/>
      </c>
      <c r="BM7" s="24">
        <f>IF('因子水準表'!T10="","",'因子水準表'!T10)</f>
        <v/>
      </c>
      <c r="BN7" s="24">
        <f>IF('因子水準表'!U10="","",'因子水準表'!U10)</f>
        <v/>
      </c>
      <c r="BO7" s="24">
        <f>IF('因子水準表'!V10="","",'因子水準表'!V10)</f>
        <v/>
      </c>
      <c r="BP7" s="24">
        <f>IF('因子水準表'!W10="","",'因子水準表'!W10)</f>
        <v/>
      </c>
      <c r="BQ7" s="24">
        <f>IF('因子水準表'!X10="","",'因子水準表'!X10)</f>
        <v/>
      </c>
      <c r="BR7" s="24">
        <f>IF('因子水準表'!Y10="","",'因子水準表'!Y10)</f>
        <v/>
      </c>
      <c r="BS7" s="24">
        <f>IF('因子水準表'!Z10="","",'因子水準表'!Z10)</f>
        <v/>
      </c>
      <c r="BT7" s="24">
        <f>IF('因子水準表'!AA10="","",'因子水準表'!AA10)</f>
        <v/>
      </c>
      <c r="BU7" s="24">
        <f>IF('因子水準表'!AB10="","",'因子水準表'!AB10)</f>
        <v/>
      </c>
      <c r="BV7" s="24">
        <f>IF('因子水準表'!AC10="","",'因子水準表'!AC10)</f>
        <v/>
      </c>
      <c r="BW7" s="24">
        <f>IF('因子水準表'!AD10="","",'因子水準表'!AD10)</f>
        <v/>
      </c>
      <c r="BX7" s="24">
        <f>IF('因子水準表'!AE10="","",'因子水準表'!AE10)</f>
        <v/>
      </c>
      <c r="BY7" s="24">
        <f>IF('因子水準表'!B29="","",'因子水準表'!B29)</f>
        <v/>
      </c>
      <c r="BZ7" s="24">
        <f>IF('テスト条件'!A6="","",'テスト条件'!A6)</f>
        <v/>
      </c>
    </row>
    <row r="8">
      <c r="A8" s="25" t="n"/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6" t="n"/>
      <c r="AP8" s="25" t="n"/>
      <c r="AQ8" s="25" t="n"/>
      <c r="AR8" s="25" t="n"/>
      <c r="AS8" s="25" t="n"/>
      <c r="AU8" s="24">
        <f>IF('因子水準表'!B11="","",'因子水準表'!B11)</f>
        <v/>
      </c>
      <c r="AV8" s="24">
        <f>IF('因子水準表'!C11="","",'因子水準表'!C11)</f>
        <v/>
      </c>
      <c r="AW8" s="24">
        <f>IF('因子水準表'!D11="","",'因子水準表'!D11)</f>
        <v/>
      </c>
      <c r="AX8" s="24">
        <f>IF('因子水準表'!E11="","",'因子水準表'!E11)</f>
        <v/>
      </c>
      <c r="AY8" s="24">
        <f>IF('因子水準表'!F11="","",'因子水準表'!F11)</f>
        <v/>
      </c>
      <c r="AZ8" s="24">
        <f>IF('因子水準表'!G11="","",'因子水準表'!G11)</f>
        <v/>
      </c>
      <c r="BA8" s="24">
        <f>IF('因子水準表'!H11="","",'因子水準表'!H11)</f>
        <v/>
      </c>
      <c r="BB8" s="24">
        <f>IF('因子水準表'!I11="","",'因子水準表'!I11)</f>
        <v/>
      </c>
      <c r="BC8" s="24">
        <f>IF('因子水準表'!J11="","",'因子水準表'!J11)</f>
        <v/>
      </c>
      <c r="BD8" s="24">
        <f>IF('因子水準表'!K11="","",'因子水準表'!K11)</f>
        <v/>
      </c>
      <c r="BE8" s="24">
        <f>IF('因子水準表'!L11="","",'因子水準表'!L11)</f>
        <v/>
      </c>
      <c r="BF8" s="24">
        <f>IF('因子水準表'!M11="","",'因子水準表'!M11)</f>
        <v/>
      </c>
      <c r="BG8" s="24">
        <f>IF('因子水準表'!N11="","",'因子水準表'!N11)</f>
        <v/>
      </c>
      <c r="BH8" s="24">
        <f>IF('因子水準表'!O11="","",'因子水準表'!O11)</f>
        <v/>
      </c>
      <c r="BI8" s="24">
        <f>IF('因子水準表'!P11="","",'因子水準表'!P11)</f>
        <v/>
      </c>
      <c r="BJ8" s="24">
        <f>IF('因子水準表'!Q11="","",'因子水準表'!Q11)</f>
        <v/>
      </c>
      <c r="BK8" s="24">
        <f>IF('因子水準表'!R11="","",'因子水準表'!R11)</f>
        <v/>
      </c>
      <c r="BL8" s="24">
        <f>IF('因子水準表'!S11="","",'因子水準表'!S11)</f>
        <v/>
      </c>
      <c r="BM8" s="24">
        <f>IF('因子水準表'!T11="","",'因子水準表'!T11)</f>
        <v/>
      </c>
      <c r="BN8" s="24">
        <f>IF('因子水準表'!U11="","",'因子水準表'!U11)</f>
        <v/>
      </c>
      <c r="BO8" s="24">
        <f>IF('因子水準表'!V11="","",'因子水準表'!V11)</f>
        <v/>
      </c>
      <c r="BP8" s="24">
        <f>IF('因子水準表'!W11="","",'因子水準表'!W11)</f>
        <v/>
      </c>
      <c r="BQ8" s="24">
        <f>IF('因子水準表'!X11="","",'因子水準表'!X11)</f>
        <v/>
      </c>
      <c r="BR8" s="24">
        <f>IF('因子水準表'!Y11="","",'因子水準表'!Y11)</f>
        <v/>
      </c>
      <c r="BS8" s="24">
        <f>IF('因子水準表'!Z11="","",'因子水準表'!Z11)</f>
        <v/>
      </c>
      <c r="BT8" s="24">
        <f>IF('因子水準表'!AA11="","",'因子水準表'!AA11)</f>
        <v/>
      </c>
      <c r="BU8" s="24">
        <f>IF('因子水準表'!AB11="","",'因子水準表'!AB11)</f>
        <v/>
      </c>
      <c r="BV8" s="24">
        <f>IF('因子水準表'!AC11="","",'因子水準表'!AC11)</f>
        <v/>
      </c>
      <c r="BW8" s="24">
        <f>IF('因子水準表'!AD11="","",'因子水準表'!AD11)</f>
        <v/>
      </c>
      <c r="BX8" s="24">
        <f>IF('因子水準表'!AE11="","",'因子水準表'!AE11)</f>
        <v/>
      </c>
      <c r="BY8" s="24">
        <f>IF('因子水準表'!B30="","",'因子水準表'!B30)</f>
        <v/>
      </c>
      <c r="BZ8" s="24">
        <f>IF('テスト条件'!A7="","",'テスト条件'!A7)</f>
        <v/>
      </c>
    </row>
    <row r="9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6" t="n"/>
      <c r="AP9" s="25" t="n"/>
      <c r="AQ9" s="25" t="n"/>
      <c r="AR9" s="25" t="n"/>
      <c r="AS9" s="25" t="n"/>
      <c r="AU9" s="24">
        <f>IF('因子水準表'!B12="","",'因子水準表'!B12)</f>
        <v/>
      </c>
      <c r="AV9" s="24">
        <f>IF('因子水準表'!C12="","",'因子水準表'!C12)</f>
        <v/>
      </c>
      <c r="AW9" s="24">
        <f>IF('因子水準表'!D12="","",'因子水準表'!D12)</f>
        <v/>
      </c>
      <c r="AX9" s="24">
        <f>IF('因子水準表'!E12="","",'因子水準表'!E12)</f>
        <v/>
      </c>
      <c r="AY9" s="24">
        <f>IF('因子水準表'!F12="","",'因子水準表'!F12)</f>
        <v/>
      </c>
      <c r="AZ9" s="24">
        <f>IF('因子水準表'!G12="","",'因子水準表'!G12)</f>
        <v/>
      </c>
      <c r="BA9" s="24">
        <f>IF('因子水準表'!H12="","",'因子水準表'!H12)</f>
        <v/>
      </c>
      <c r="BB9" s="24">
        <f>IF('因子水準表'!I12="","",'因子水準表'!I12)</f>
        <v/>
      </c>
      <c r="BC9" s="24">
        <f>IF('因子水準表'!J12="","",'因子水準表'!J12)</f>
        <v/>
      </c>
      <c r="BD9" s="24">
        <f>IF('因子水準表'!K12="","",'因子水準表'!K12)</f>
        <v/>
      </c>
      <c r="BE9" s="24">
        <f>IF('因子水準表'!L12="","",'因子水準表'!L12)</f>
        <v/>
      </c>
      <c r="BF9" s="24">
        <f>IF('因子水準表'!M12="","",'因子水準表'!M12)</f>
        <v/>
      </c>
      <c r="BG9" s="24">
        <f>IF('因子水準表'!N12="","",'因子水準表'!N12)</f>
        <v/>
      </c>
      <c r="BH9" s="24">
        <f>IF('因子水準表'!O12="","",'因子水準表'!O12)</f>
        <v/>
      </c>
      <c r="BI9" s="24">
        <f>IF('因子水準表'!P12="","",'因子水準表'!P12)</f>
        <v/>
      </c>
      <c r="BJ9" s="24">
        <f>IF('因子水準表'!Q12="","",'因子水準表'!Q12)</f>
        <v/>
      </c>
      <c r="BK9" s="24">
        <f>IF('因子水準表'!R12="","",'因子水準表'!R12)</f>
        <v/>
      </c>
      <c r="BL9" s="24">
        <f>IF('因子水準表'!S12="","",'因子水準表'!S12)</f>
        <v/>
      </c>
      <c r="BM9" s="24">
        <f>IF('因子水準表'!T12="","",'因子水準表'!T12)</f>
        <v/>
      </c>
      <c r="BN9" s="24">
        <f>IF('因子水準表'!U12="","",'因子水準表'!U12)</f>
        <v/>
      </c>
      <c r="BO9" s="24">
        <f>IF('因子水準表'!V12="","",'因子水準表'!V12)</f>
        <v/>
      </c>
      <c r="BP9" s="24">
        <f>IF('因子水準表'!W12="","",'因子水準表'!W12)</f>
        <v/>
      </c>
      <c r="BQ9" s="24">
        <f>IF('因子水準表'!X12="","",'因子水準表'!X12)</f>
        <v/>
      </c>
      <c r="BR9" s="24">
        <f>IF('因子水準表'!Y12="","",'因子水準表'!Y12)</f>
        <v/>
      </c>
      <c r="BS9" s="24">
        <f>IF('因子水準表'!Z12="","",'因子水準表'!Z12)</f>
        <v/>
      </c>
      <c r="BT9" s="24">
        <f>IF('因子水準表'!AA12="","",'因子水準表'!AA12)</f>
        <v/>
      </c>
      <c r="BU9" s="24">
        <f>IF('因子水準表'!AB12="","",'因子水準表'!AB12)</f>
        <v/>
      </c>
      <c r="BV9" s="24">
        <f>IF('因子水準表'!AC12="","",'因子水準表'!AC12)</f>
        <v/>
      </c>
      <c r="BW9" s="24">
        <f>IF('因子水準表'!AD12="","",'因子水準表'!AD12)</f>
        <v/>
      </c>
      <c r="BX9" s="24">
        <f>IF('因子水準表'!AE12="","",'因子水準表'!AE12)</f>
        <v/>
      </c>
      <c r="BY9" s="24">
        <f>IF('因子水準表'!B31="","",'因子水準表'!B31)</f>
        <v/>
      </c>
      <c r="BZ9" s="24">
        <f>IF('テスト条件'!A8="","",'テスト条件'!A8)</f>
        <v/>
      </c>
    </row>
    <row r="10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6" t="n"/>
      <c r="AP10" s="25" t="n"/>
      <c r="AQ10" s="25" t="n"/>
      <c r="AR10" s="25" t="n"/>
      <c r="AS10" s="25" t="n"/>
      <c r="AU10" s="24">
        <f>IF('因子水準表'!B13="","",'因子水準表'!B13)</f>
        <v/>
      </c>
      <c r="AV10" s="24">
        <f>IF('因子水準表'!C13="","",'因子水準表'!C13)</f>
        <v/>
      </c>
      <c r="AW10" s="24">
        <f>IF('因子水準表'!D13="","",'因子水準表'!D13)</f>
        <v/>
      </c>
      <c r="AX10" s="24">
        <f>IF('因子水準表'!E13="","",'因子水準表'!E13)</f>
        <v/>
      </c>
      <c r="AY10" s="24">
        <f>IF('因子水準表'!F13="","",'因子水準表'!F13)</f>
        <v/>
      </c>
      <c r="AZ10" s="24">
        <f>IF('因子水準表'!G13="","",'因子水準表'!G13)</f>
        <v/>
      </c>
      <c r="BA10" s="24">
        <f>IF('因子水準表'!H13="","",'因子水準表'!H13)</f>
        <v/>
      </c>
      <c r="BB10" s="24">
        <f>IF('因子水準表'!I13="","",'因子水準表'!I13)</f>
        <v/>
      </c>
      <c r="BC10" s="24">
        <f>IF('因子水準表'!J13="","",'因子水準表'!J13)</f>
        <v/>
      </c>
      <c r="BD10" s="24">
        <f>IF('因子水準表'!K13="","",'因子水準表'!K13)</f>
        <v/>
      </c>
      <c r="BE10" s="24">
        <f>IF('因子水準表'!L13="","",'因子水準表'!L13)</f>
        <v/>
      </c>
      <c r="BF10" s="24">
        <f>IF('因子水準表'!M13="","",'因子水準表'!M13)</f>
        <v/>
      </c>
      <c r="BG10" s="24">
        <f>IF('因子水準表'!N13="","",'因子水準表'!N13)</f>
        <v/>
      </c>
      <c r="BH10" s="24">
        <f>IF('因子水準表'!O13="","",'因子水準表'!O13)</f>
        <v/>
      </c>
      <c r="BI10" s="24">
        <f>IF('因子水準表'!P13="","",'因子水準表'!P13)</f>
        <v/>
      </c>
      <c r="BJ10" s="24">
        <f>IF('因子水準表'!Q13="","",'因子水準表'!Q13)</f>
        <v/>
      </c>
      <c r="BK10" s="24">
        <f>IF('因子水準表'!R13="","",'因子水準表'!R13)</f>
        <v/>
      </c>
      <c r="BL10" s="24">
        <f>IF('因子水準表'!S13="","",'因子水準表'!S13)</f>
        <v/>
      </c>
      <c r="BM10" s="24">
        <f>IF('因子水準表'!T13="","",'因子水準表'!T13)</f>
        <v/>
      </c>
      <c r="BN10" s="24">
        <f>IF('因子水準表'!U13="","",'因子水準表'!U13)</f>
        <v/>
      </c>
      <c r="BO10" s="24">
        <f>IF('因子水準表'!V13="","",'因子水準表'!V13)</f>
        <v/>
      </c>
      <c r="BP10" s="24">
        <f>IF('因子水準表'!W13="","",'因子水準表'!W13)</f>
        <v/>
      </c>
      <c r="BQ10" s="24">
        <f>IF('因子水準表'!X13="","",'因子水準表'!X13)</f>
        <v/>
      </c>
      <c r="BR10" s="24">
        <f>IF('因子水準表'!Y13="","",'因子水準表'!Y13)</f>
        <v/>
      </c>
      <c r="BS10" s="24">
        <f>IF('因子水準表'!Z13="","",'因子水準表'!Z13)</f>
        <v/>
      </c>
      <c r="BT10" s="24">
        <f>IF('因子水準表'!AA13="","",'因子水準表'!AA13)</f>
        <v/>
      </c>
      <c r="BU10" s="24">
        <f>IF('因子水準表'!AB13="","",'因子水準表'!AB13)</f>
        <v/>
      </c>
      <c r="BV10" s="24">
        <f>IF('因子水準表'!AC13="","",'因子水準表'!AC13)</f>
        <v/>
      </c>
      <c r="BW10" s="24">
        <f>IF('因子水準表'!AD13="","",'因子水準表'!AD13)</f>
        <v/>
      </c>
      <c r="BX10" s="24">
        <f>IF('因子水準表'!AE13="","",'因子水準表'!AE13)</f>
        <v/>
      </c>
      <c r="BY10" s="24">
        <f>IF('因子水準表'!B32="","",'因子水準表'!B32)</f>
        <v/>
      </c>
      <c r="BZ10" s="24">
        <f>IF('テスト条件'!A9="","",'テスト条件'!A9)</f>
        <v/>
      </c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6" t="n"/>
      <c r="AP11" s="25" t="n"/>
      <c r="AQ11" s="25" t="n"/>
      <c r="AR11" s="25" t="n"/>
      <c r="AS11" s="25" t="n"/>
      <c r="AU11" s="24">
        <f>IF('因子水準表'!B14="","",'因子水準表'!B14)</f>
        <v/>
      </c>
      <c r="AV11" s="24">
        <f>IF('因子水準表'!C14="","",'因子水準表'!C14)</f>
        <v/>
      </c>
      <c r="AW11" s="24">
        <f>IF('因子水準表'!D14="","",'因子水準表'!D14)</f>
        <v/>
      </c>
      <c r="AX11" s="24">
        <f>IF('因子水準表'!E14="","",'因子水準表'!E14)</f>
        <v/>
      </c>
      <c r="AY11" s="24">
        <f>IF('因子水準表'!F14="","",'因子水準表'!F14)</f>
        <v/>
      </c>
      <c r="AZ11" s="24">
        <f>IF('因子水準表'!G14="","",'因子水準表'!G14)</f>
        <v/>
      </c>
      <c r="BA11" s="24">
        <f>IF('因子水準表'!H14="","",'因子水準表'!H14)</f>
        <v/>
      </c>
      <c r="BB11" s="24">
        <f>IF('因子水準表'!I14="","",'因子水準表'!I14)</f>
        <v/>
      </c>
      <c r="BC11" s="24">
        <f>IF('因子水準表'!J14="","",'因子水準表'!J14)</f>
        <v/>
      </c>
      <c r="BD11" s="24">
        <f>IF('因子水準表'!K14="","",'因子水準表'!K14)</f>
        <v/>
      </c>
      <c r="BE11" s="24">
        <f>IF('因子水準表'!L14="","",'因子水準表'!L14)</f>
        <v/>
      </c>
      <c r="BF11" s="24">
        <f>IF('因子水準表'!M14="","",'因子水準表'!M14)</f>
        <v/>
      </c>
      <c r="BG11" s="24">
        <f>IF('因子水準表'!N14="","",'因子水準表'!N14)</f>
        <v/>
      </c>
      <c r="BH11" s="24">
        <f>IF('因子水準表'!O14="","",'因子水準表'!O14)</f>
        <v/>
      </c>
      <c r="BI11" s="24">
        <f>IF('因子水準表'!P14="","",'因子水準表'!P14)</f>
        <v/>
      </c>
      <c r="BJ11" s="24">
        <f>IF('因子水準表'!Q14="","",'因子水準表'!Q14)</f>
        <v/>
      </c>
      <c r="BK11" s="24">
        <f>IF('因子水準表'!R14="","",'因子水準表'!R14)</f>
        <v/>
      </c>
      <c r="BL11" s="24">
        <f>IF('因子水準表'!S14="","",'因子水準表'!S14)</f>
        <v/>
      </c>
      <c r="BM11" s="24">
        <f>IF('因子水準表'!T14="","",'因子水準表'!T14)</f>
        <v/>
      </c>
      <c r="BN11" s="24">
        <f>IF('因子水準表'!U14="","",'因子水準表'!U14)</f>
        <v/>
      </c>
      <c r="BO11" s="24">
        <f>IF('因子水準表'!V14="","",'因子水準表'!V14)</f>
        <v/>
      </c>
      <c r="BP11" s="24">
        <f>IF('因子水準表'!W14="","",'因子水準表'!W14)</f>
        <v/>
      </c>
      <c r="BQ11" s="24">
        <f>IF('因子水準表'!X14="","",'因子水準表'!X14)</f>
        <v/>
      </c>
      <c r="BR11" s="24">
        <f>IF('因子水準表'!Y14="","",'因子水準表'!Y14)</f>
        <v/>
      </c>
      <c r="BS11" s="24">
        <f>IF('因子水準表'!Z14="","",'因子水準表'!Z14)</f>
        <v/>
      </c>
      <c r="BT11" s="24">
        <f>IF('因子水準表'!AA14="","",'因子水準表'!AA14)</f>
        <v/>
      </c>
      <c r="BU11" s="24">
        <f>IF('因子水準表'!AB14="","",'因子水準表'!AB14)</f>
        <v/>
      </c>
      <c r="BV11" s="24">
        <f>IF('因子水準表'!AC14="","",'因子水準表'!AC14)</f>
        <v/>
      </c>
      <c r="BW11" s="24">
        <f>IF('因子水準表'!AD14="","",'因子水準表'!AD14)</f>
        <v/>
      </c>
      <c r="BX11" s="24">
        <f>IF('因子水準表'!AE14="","",'因子水準表'!AE14)</f>
        <v/>
      </c>
      <c r="BY11" s="24">
        <f>IF('因子水準表'!B33="","",'因子水準表'!B33)</f>
        <v/>
      </c>
      <c r="BZ11" s="24">
        <f>IF('テスト条件'!A10="","",'テスト条件'!A10)</f>
        <v/>
      </c>
    </row>
    <row r="12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6" t="n"/>
      <c r="AP12" s="25" t="n"/>
      <c r="AQ12" s="25" t="n"/>
      <c r="AR12" s="25" t="n"/>
      <c r="AS12" s="25" t="n"/>
      <c r="AU12" s="24">
        <f>IF('因子水準表'!B15="","",'因子水準表'!B15)</f>
        <v/>
      </c>
      <c r="AV12" s="24">
        <f>IF('因子水準表'!C15="","",'因子水準表'!C15)</f>
        <v/>
      </c>
      <c r="AW12" s="24">
        <f>IF('因子水準表'!D15="","",'因子水準表'!D15)</f>
        <v/>
      </c>
      <c r="AX12" s="24">
        <f>IF('因子水準表'!E15="","",'因子水準表'!E15)</f>
        <v/>
      </c>
      <c r="AY12" s="24">
        <f>IF('因子水準表'!F15="","",'因子水準表'!F15)</f>
        <v/>
      </c>
      <c r="AZ12" s="24">
        <f>IF('因子水準表'!G15="","",'因子水準表'!G15)</f>
        <v/>
      </c>
      <c r="BA12" s="24">
        <f>IF('因子水準表'!H15="","",'因子水準表'!H15)</f>
        <v/>
      </c>
      <c r="BB12" s="24">
        <f>IF('因子水準表'!I15="","",'因子水準表'!I15)</f>
        <v/>
      </c>
      <c r="BC12" s="24">
        <f>IF('因子水準表'!J15="","",'因子水準表'!J15)</f>
        <v/>
      </c>
      <c r="BD12" s="24">
        <f>IF('因子水準表'!K15="","",'因子水準表'!K15)</f>
        <v/>
      </c>
      <c r="BE12" s="24">
        <f>IF('因子水準表'!L15="","",'因子水準表'!L15)</f>
        <v/>
      </c>
      <c r="BF12" s="24">
        <f>IF('因子水準表'!M15="","",'因子水準表'!M15)</f>
        <v/>
      </c>
      <c r="BG12" s="24">
        <f>IF('因子水準表'!N15="","",'因子水準表'!N15)</f>
        <v/>
      </c>
      <c r="BH12" s="24">
        <f>IF('因子水準表'!O15="","",'因子水準表'!O15)</f>
        <v/>
      </c>
      <c r="BI12" s="24">
        <f>IF('因子水準表'!P15="","",'因子水準表'!P15)</f>
        <v/>
      </c>
      <c r="BJ12" s="24">
        <f>IF('因子水準表'!Q15="","",'因子水準表'!Q15)</f>
        <v/>
      </c>
      <c r="BK12" s="24">
        <f>IF('因子水準表'!R15="","",'因子水準表'!R15)</f>
        <v/>
      </c>
      <c r="BL12" s="24">
        <f>IF('因子水準表'!S15="","",'因子水準表'!S15)</f>
        <v/>
      </c>
      <c r="BM12" s="24">
        <f>IF('因子水準表'!T15="","",'因子水準表'!T15)</f>
        <v/>
      </c>
      <c r="BN12" s="24">
        <f>IF('因子水準表'!U15="","",'因子水準表'!U15)</f>
        <v/>
      </c>
      <c r="BO12" s="24">
        <f>IF('因子水準表'!V15="","",'因子水準表'!V15)</f>
        <v/>
      </c>
      <c r="BP12" s="24">
        <f>IF('因子水準表'!W15="","",'因子水準表'!W15)</f>
        <v/>
      </c>
      <c r="BQ12" s="24">
        <f>IF('因子水準表'!X15="","",'因子水準表'!X15)</f>
        <v/>
      </c>
      <c r="BR12" s="24">
        <f>IF('因子水準表'!Y15="","",'因子水準表'!Y15)</f>
        <v/>
      </c>
      <c r="BS12" s="24">
        <f>IF('因子水準表'!Z15="","",'因子水準表'!Z15)</f>
        <v/>
      </c>
      <c r="BT12" s="24">
        <f>IF('因子水準表'!AA15="","",'因子水準表'!AA15)</f>
        <v/>
      </c>
      <c r="BU12" s="24">
        <f>IF('因子水準表'!AB15="","",'因子水準表'!AB15)</f>
        <v/>
      </c>
      <c r="BV12" s="24">
        <f>IF('因子水準表'!AC15="","",'因子水準表'!AC15)</f>
        <v/>
      </c>
      <c r="BW12" s="24">
        <f>IF('因子水準表'!AD15="","",'因子水準表'!AD15)</f>
        <v/>
      </c>
      <c r="BX12" s="24">
        <f>IF('因子水準表'!AE15="","",'因子水準表'!AE15)</f>
        <v/>
      </c>
      <c r="BY12" s="24">
        <f>IF('因子水準表'!B34="","",'因子水準表'!B34)</f>
        <v/>
      </c>
      <c r="BZ12" s="24">
        <f>IF('テスト条件'!A11="","",'テスト条件'!A11)</f>
        <v/>
      </c>
    </row>
    <row r="13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6" t="n"/>
      <c r="AP13" s="25" t="n"/>
      <c r="AQ13" s="25" t="n"/>
      <c r="AR13" s="25" t="n"/>
      <c r="AS13" s="25" t="n"/>
      <c r="AU13" s="24">
        <f>IF('因子水準表'!B16="","",'因子水準表'!B16)</f>
        <v/>
      </c>
      <c r="AV13" s="24">
        <f>IF('因子水準表'!C16="","",'因子水準表'!C16)</f>
        <v/>
      </c>
      <c r="AW13" s="24">
        <f>IF('因子水準表'!D16="","",'因子水準表'!D16)</f>
        <v/>
      </c>
      <c r="AX13" s="24">
        <f>IF('因子水準表'!E16="","",'因子水準表'!E16)</f>
        <v/>
      </c>
      <c r="AY13" s="24">
        <f>IF('因子水準表'!F16="","",'因子水準表'!F16)</f>
        <v/>
      </c>
      <c r="AZ13" s="24">
        <f>IF('因子水準表'!G16="","",'因子水準表'!G16)</f>
        <v/>
      </c>
      <c r="BA13" s="24">
        <f>IF('因子水準表'!H16="","",'因子水準表'!H16)</f>
        <v/>
      </c>
      <c r="BB13" s="24">
        <f>IF('因子水準表'!I16="","",'因子水準表'!I16)</f>
        <v/>
      </c>
      <c r="BC13" s="24">
        <f>IF('因子水準表'!J16="","",'因子水準表'!J16)</f>
        <v/>
      </c>
      <c r="BD13" s="24">
        <f>IF('因子水準表'!K16="","",'因子水準表'!K16)</f>
        <v/>
      </c>
      <c r="BE13" s="24">
        <f>IF('因子水準表'!L16="","",'因子水準表'!L16)</f>
        <v/>
      </c>
      <c r="BF13" s="24">
        <f>IF('因子水準表'!M16="","",'因子水準表'!M16)</f>
        <v/>
      </c>
      <c r="BG13" s="24">
        <f>IF('因子水準表'!N16="","",'因子水準表'!N16)</f>
        <v/>
      </c>
      <c r="BH13" s="24">
        <f>IF('因子水準表'!O16="","",'因子水準表'!O16)</f>
        <v/>
      </c>
      <c r="BI13" s="24">
        <f>IF('因子水準表'!P16="","",'因子水準表'!P16)</f>
        <v/>
      </c>
      <c r="BJ13" s="24">
        <f>IF('因子水準表'!Q16="","",'因子水準表'!Q16)</f>
        <v/>
      </c>
      <c r="BK13" s="24">
        <f>IF('因子水準表'!R16="","",'因子水準表'!R16)</f>
        <v/>
      </c>
      <c r="BL13" s="24">
        <f>IF('因子水準表'!S16="","",'因子水準表'!S16)</f>
        <v/>
      </c>
      <c r="BM13" s="24">
        <f>IF('因子水準表'!T16="","",'因子水準表'!T16)</f>
        <v/>
      </c>
      <c r="BN13" s="24">
        <f>IF('因子水準表'!U16="","",'因子水準表'!U16)</f>
        <v/>
      </c>
      <c r="BO13" s="24">
        <f>IF('因子水準表'!V16="","",'因子水準表'!V16)</f>
        <v/>
      </c>
      <c r="BP13" s="24">
        <f>IF('因子水準表'!W16="","",'因子水準表'!W16)</f>
        <v/>
      </c>
      <c r="BQ13" s="24">
        <f>IF('因子水準表'!X16="","",'因子水準表'!X16)</f>
        <v/>
      </c>
      <c r="BR13" s="24">
        <f>IF('因子水準表'!Y16="","",'因子水準表'!Y16)</f>
        <v/>
      </c>
      <c r="BS13" s="24">
        <f>IF('因子水準表'!Z16="","",'因子水準表'!Z16)</f>
        <v/>
      </c>
      <c r="BT13" s="24">
        <f>IF('因子水準表'!AA16="","",'因子水準表'!AA16)</f>
        <v/>
      </c>
      <c r="BU13" s="24">
        <f>IF('因子水準表'!AB16="","",'因子水準表'!AB16)</f>
        <v/>
      </c>
      <c r="BV13" s="24">
        <f>IF('因子水準表'!AC16="","",'因子水準表'!AC16)</f>
        <v/>
      </c>
      <c r="BW13" s="24">
        <f>IF('因子水準表'!AD16="","",'因子水準表'!AD16)</f>
        <v/>
      </c>
      <c r="BX13" s="24">
        <f>IF('因子水準表'!AE16="","",'因子水準表'!AE16)</f>
        <v/>
      </c>
      <c r="BY13" s="24">
        <f>IF('因子水準表'!B35="","",'因子水準表'!B35)</f>
        <v/>
      </c>
      <c r="BZ13" s="24">
        <f>IF('テスト条件'!A12="","",'テスト条件'!A12)</f>
        <v/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6" t="n"/>
      <c r="AP14" s="25" t="n"/>
      <c r="AQ14" s="25" t="n"/>
      <c r="AR14" s="25" t="n"/>
      <c r="AS14" s="25" t="n"/>
      <c r="AU14" s="24">
        <f>IF('因子水準表'!B17="","",'因子水準表'!B17)</f>
        <v/>
      </c>
      <c r="AV14" s="24">
        <f>IF('因子水準表'!C17="","",'因子水準表'!C17)</f>
        <v/>
      </c>
      <c r="AW14" s="24">
        <f>IF('因子水準表'!D17="","",'因子水準表'!D17)</f>
        <v/>
      </c>
      <c r="AX14" s="24">
        <f>IF('因子水準表'!E17="","",'因子水準表'!E17)</f>
        <v/>
      </c>
      <c r="AY14" s="24">
        <f>IF('因子水準表'!F17="","",'因子水準表'!F17)</f>
        <v/>
      </c>
      <c r="AZ14" s="24">
        <f>IF('因子水準表'!G17="","",'因子水準表'!G17)</f>
        <v/>
      </c>
      <c r="BA14" s="24">
        <f>IF('因子水準表'!H17="","",'因子水準表'!H17)</f>
        <v/>
      </c>
      <c r="BB14" s="24">
        <f>IF('因子水準表'!I17="","",'因子水準表'!I17)</f>
        <v/>
      </c>
      <c r="BC14" s="24">
        <f>IF('因子水準表'!J17="","",'因子水準表'!J17)</f>
        <v/>
      </c>
      <c r="BD14" s="24">
        <f>IF('因子水準表'!K17="","",'因子水準表'!K17)</f>
        <v/>
      </c>
      <c r="BE14" s="24">
        <f>IF('因子水準表'!L17="","",'因子水準表'!L17)</f>
        <v/>
      </c>
      <c r="BF14" s="24">
        <f>IF('因子水準表'!M17="","",'因子水準表'!M17)</f>
        <v/>
      </c>
      <c r="BG14" s="24">
        <f>IF('因子水準表'!N17="","",'因子水準表'!N17)</f>
        <v/>
      </c>
      <c r="BH14" s="24">
        <f>IF('因子水準表'!O17="","",'因子水準表'!O17)</f>
        <v/>
      </c>
      <c r="BI14" s="24">
        <f>IF('因子水準表'!P17="","",'因子水準表'!P17)</f>
        <v/>
      </c>
      <c r="BJ14" s="24">
        <f>IF('因子水準表'!Q17="","",'因子水準表'!Q17)</f>
        <v/>
      </c>
      <c r="BK14" s="24">
        <f>IF('因子水準表'!R17="","",'因子水準表'!R17)</f>
        <v/>
      </c>
      <c r="BL14" s="24">
        <f>IF('因子水準表'!S17="","",'因子水準表'!S17)</f>
        <v/>
      </c>
      <c r="BM14" s="24">
        <f>IF('因子水準表'!T17="","",'因子水準表'!T17)</f>
        <v/>
      </c>
      <c r="BN14" s="24">
        <f>IF('因子水準表'!U17="","",'因子水準表'!U17)</f>
        <v/>
      </c>
      <c r="BO14" s="24">
        <f>IF('因子水準表'!V17="","",'因子水準表'!V17)</f>
        <v/>
      </c>
      <c r="BP14" s="24">
        <f>IF('因子水準表'!W17="","",'因子水準表'!W17)</f>
        <v/>
      </c>
      <c r="BQ14" s="24">
        <f>IF('因子水準表'!X17="","",'因子水準表'!X17)</f>
        <v/>
      </c>
      <c r="BR14" s="24">
        <f>IF('因子水準表'!Y17="","",'因子水準表'!Y17)</f>
        <v/>
      </c>
      <c r="BS14" s="24">
        <f>IF('因子水準表'!Z17="","",'因子水準表'!Z17)</f>
        <v/>
      </c>
      <c r="BT14" s="24">
        <f>IF('因子水準表'!AA17="","",'因子水準表'!AA17)</f>
        <v/>
      </c>
      <c r="BU14" s="24">
        <f>IF('因子水準表'!AB17="","",'因子水準表'!AB17)</f>
        <v/>
      </c>
      <c r="BV14" s="24">
        <f>IF('因子水準表'!AC17="","",'因子水準表'!AC17)</f>
        <v/>
      </c>
      <c r="BW14" s="24">
        <f>IF('因子水準表'!AD17="","",'因子水準表'!AD17)</f>
        <v/>
      </c>
      <c r="BX14" s="24">
        <f>IF('因子水準表'!AE17="","",'因子水準表'!AE17)</f>
        <v/>
      </c>
      <c r="BY14" s="24">
        <f>IF('因子水準表'!B36="","",'因子水準表'!B36)</f>
        <v/>
      </c>
      <c r="BZ14" s="24">
        <f>IF('テスト条件'!A13="","",'テスト条件'!A13)</f>
        <v/>
      </c>
    </row>
    <row r="15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6" t="n"/>
      <c r="AP15" s="25" t="n"/>
      <c r="AQ15" s="25" t="n"/>
      <c r="AR15" s="25" t="n"/>
      <c r="AS15" s="25" t="n"/>
      <c r="AU15" s="24">
        <f>IF('因子水準表'!B18="","",'因子水準表'!B18)</f>
        <v/>
      </c>
      <c r="AV15" s="24">
        <f>IF('因子水準表'!C18="","",'因子水準表'!C18)</f>
        <v/>
      </c>
      <c r="AW15" s="24">
        <f>IF('因子水準表'!D18="","",'因子水準表'!D18)</f>
        <v/>
      </c>
      <c r="AX15" s="24">
        <f>IF('因子水準表'!E18="","",'因子水準表'!E18)</f>
        <v/>
      </c>
      <c r="AY15" s="24">
        <f>IF('因子水準表'!F18="","",'因子水準表'!F18)</f>
        <v/>
      </c>
      <c r="AZ15" s="24">
        <f>IF('因子水準表'!G18="","",'因子水準表'!G18)</f>
        <v/>
      </c>
      <c r="BA15" s="24">
        <f>IF('因子水準表'!H18="","",'因子水準表'!H18)</f>
        <v/>
      </c>
      <c r="BB15" s="24">
        <f>IF('因子水準表'!I18="","",'因子水準表'!I18)</f>
        <v/>
      </c>
      <c r="BC15" s="24">
        <f>IF('因子水準表'!J18="","",'因子水準表'!J18)</f>
        <v/>
      </c>
      <c r="BD15" s="24">
        <f>IF('因子水準表'!K18="","",'因子水準表'!K18)</f>
        <v/>
      </c>
      <c r="BE15" s="24">
        <f>IF('因子水準表'!L18="","",'因子水準表'!L18)</f>
        <v/>
      </c>
      <c r="BF15" s="24">
        <f>IF('因子水準表'!M18="","",'因子水準表'!M18)</f>
        <v/>
      </c>
      <c r="BG15" s="24">
        <f>IF('因子水準表'!N18="","",'因子水準表'!N18)</f>
        <v/>
      </c>
      <c r="BH15" s="24">
        <f>IF('因子水準表'!O18="","",'因子水準表'!O18)</f>
        <v/>
      </c>
      <c r="BI15" s="24">
        <f>IF('因子水準表'!P18="","",'因子水準表'!P18)</f>
        <v/>
      </c>
      <c r="BJ15" s="24">
        <f>IF('因子水準表'!Q18="","",'因子水準表'!Q18)</f>
        <v/>
      </c>
      <c r="BK15" s="24">
        <f>IF('因子水準表'!R18="","",'因子水準表'!R18)</f>
        <v/>
      </c>
      <c r="BL15" s="24">
        <f>IF('因子水準表'!S18="","",'因子水準表'!S18)</f>
        <v/>
      </c>
      <c r="BM15" s="24">
        <f>IF('因子水準表'!T18="","",'因子水準表'!T18)</f>
        <v/>
      </c>
      <c r="BN15" s="24">
        <f>IF('因子水準表'!U18="","",'因子水準表'!U18)</f>
        <v/>
      </c>
      <c r="BO15" s="24">
        <f>IF('因子水準表'!V18="","",'因子水準表'!V18)</f>
        <v/>
      </c>
      <c r="BP15" s="24">
        <f>IF('因子水準表'!W18="","",'因子水準表'!W18)</f>
        <v/>
      </c>
      <c r="BQ15" s="24">
        <f>IF('因子水準表'!X18="","",'因子水準表'!X18)</f>
        <v/>
      </c>
      <c r="BR15" s="24">
        <f>IF('因子水準表'!Y18="","",'因子水準表'!Y18)</f>
        <v/>
      </c>
      <c r="BS15" s="24">
        <f>IF('因子水準表'!Z18="","",'因子水準表'!Z18)</f>
        <v/>
      </c>
      <c r="BT15" s="24">
        <f>IF('因子水準表'!AA18="","",'因子水準表'!AA18)</f>
        <v/>
      </c>
      <c r="BU15" s="24">
        <f>IF('因子水準表'!AB18="","",'因子水準表'!AB18)</f>
        <v/>
      </c>
      <c r="BV15" s="24">
        <f>IF('因子水準表'!AC18="","",'因子水準表'!AC18)</f>
        <v/>
      </c>
      <c r="BW15" s="24">
        <f>IF('因子水準表'!AD18="","",'因子水準表'!AD18)</f>
        <v/>
      </c>
      <c r="BX15" s="24">
        <f>IF('因子水準表'!AE18="","",'因子水準表'!AE18)</f>
        <v/>
      </c>
      <c r="BY15" s="24">
        <f>IF('因子水準表'!B37="","",'因子水準表'!B37)</f>
        <v/>
      </c>
      <c r="BZ15" s="24">
        <f>IF('テスト条件'!A14="","",'テスト条件'!A14)</f>
        <v/>
      </c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6" t="n"/>
      <c r="AP16" s="25" t="n"/>
      <c r="AQ16" s="25" t="n"/>
      <c r="AR16" s="25" t="n"/>
      <c r="AS16" s="25" t="n"/>
      <c r="BY16" s="24">
        <f>IF('因子水準表'!B38="","",'因子水準表'!B38)</f>
        <v/>
      </c>
      <c r="BZ16" s="24">
        <f>IF('テスト条件'!A15="","",'テスト条件'!A15)</f>
        <v/>
      </c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6" t="n"/>
      <c r="AP17" s="25" t="n"/>
      <c r="AQ17" s="25" t="n"/>
      <c r="AR17" s="25" t="n"/>
      <c r="AS17" s="25" t="n"/>
      <c r="BY17" s="24">
        <f>IF('因子水準表'!B39="","",'因子水準表'!B39)</f>
        <v/>
      </c>
      <c r="BZ17" s="24">
        <f>IF('テスト条件'!A16="","",'テスト条件'!A16)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6" t="n"/>
      <c r="AP18" s="25" t="n"/>
      <c r="AQ18" s="25" t="n"/>
      <c r="AR18" s="25" t="n"/>
      <c r="AS18" s="25" t="n"/>
      <c r="BY18" s="24">
        <f>IF('因子水準表'!B40="","",'因子水準表'!B40)</f>
        <v/>
      </c>
      <c r="BZ18" s="24">
        <f>IF('テスト条件'!A17="","",'テスト条件'!A17)</f>
        <v/>
      </c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6" t="n"/>
      <c r="AP19" s="25" t="n"/>
      <c r="AQ19" s="25" t="n"/>
      <c r="AR19" s="25" t="n"/>
      <c r="AS19" s="25" t="n"/>
      <c r="BY19" s="24">
        <f>IF('因子水準表'!B41="","",'因子水準表'!B41)</f>
        <v/>
      </c>
      <c r="BZ19" s="24">
        <f>IF('テスト条件'!A18="","",'テスト条件'!A18)</f>
        <v/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6" t="n"/>
      <c r="AP20" s="25" t="n"/>
      <c r="AQ20" s="25" t="n"/>
      <c r="AR20" s="25" t="n"/>
      <c r="AS20" s="25" t="n"/>
      <c r="BY20" s="24">
        <f>IF('因子水準表'!B42="","",'因子水準表'!B42)</f>
        <v/>
      </c>
      <c r="BZ20" s="24">
        <f>IF('テスト条件'!A19="","",'テスト条件'!A19)</f>
        <v/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6" t="n"/>
      <c r="AP21" s="25" t="n"/>
      <c r="AQ21" s="25" t="n"/>
      <c r="AR21" s="25" t="n"/>
      <c r="AS21" s="25" t="n"/>
      <c r="BY21" s="24">
        <f>IF('因子水準表'!B43="","",'因子水準表'!B43)</f>
        <v/>
      </c>
      <c r="BZ21" s="24">
        <f>IF('テスト条件'!A20="","",'テスト条件'!A20)</f>
        <v/>
      </c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6" t="n"/>
      <c r="AP22" s="25" t="n"/>
      <c r="AQ22" s="25" t="n"/>
      <c r="AR22" s="25" t="n"/>
      <c r="AS22" s="25" t="n"/>
      <c r="BY22" s="24">
        <f>IF('因子水準表'!B44="","",'因子水準表'!B44)</f>
        <v/>
      </c>
      <c r="BZ22" s="24">
        <f>IF('テスト条件'!A21="","",'テスト条件'!A21)</f>
        <v/>
      </c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6" t="n"/>
      <c r="AP23" s="25" t="n"/>
      <c r="AQ23" s="25" t="n"/>
      <c r="AR23" s="25" t="n"/>
      <c r="AS23" s="25" t="n"/>
      <c r="BY23" s="24">
        <f>IF('因子水準表'!B45="","",'因子水準表'!B45)</f>
        <v/>
      </c>
      <c r="BZ23" s="24">
        <f>IF('テスト条件'!A22="","",'テスト条件'!A22)</f>
        <v/>
      </c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6" t="n"/>
      <c r="AP24" s="25" t="n"/>
      <c r="AQ24" s="25" t="n"/>
      <c r="AR24" s="25" t="n"/>
      <c r="AS24" s="25" t="n"/>
      <c r="BY24" s="24">
        <f>IF('因子水準表'!B46="","",'因子水準表'!B46)</f>
        <v/>
      </c>
      <c r="BZ24" s="24">
        <f>IF('テスト条件'!A23="","",'テスト条件'!A23)</f>
        <v/>
      </c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6" t="n"/>
      <c r="AP25" s="25" t="n"/>
      <c r="AQ25" s="25" t="n"/>
      <c r="AR25" s="25" t="n"/>
      <c r="AS25" s="25" t="n"/>
      <c r="BY25" s="24">
        <f>IF('因子水準表'!B47="","",'因子水準表'!B47)</f>
        <v/>
      </c>
      <c r="BZ25" s="24">
        <f>IF('テスト条件'!A24="","",'テスト条件'!A24)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6" t="n"/>
      <c r="AP26" s="25" t="n"/>
      <c r="AQ26" s="25" t="n"/>
      <c r="AR26" s="25" t="n"/>
      <c r="AS26" s="25" t="n"/>
      <c r="BZ26" s="24">
        <f>IF('テスト条件'!A25="","",'テスト条件'!A25)</f>
        <v/>
      </c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6" t="n"/>
      <c r="AP27" s="25" t="n"/>
      <c r="AQ27" s="25" t="n"/>
      <c r="AR27" s="25" t="n"/>
      <c r="AS27" s="25" t="n"/>
      <c r="BZ27" s="24">
        <f>IF('テスト条件'!A26="","",'テスト条件'!A26)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6" t="n"/>
      <c r="AP28" s="25" t="n"/>
      <c r="AQ28" s="25" t="n"/>
      <c r="AR28" s="25" t="n"/>
      <c r="AS28" s="25" t="n"/>
      <c r="BZ28" s="24">
        <f>IF('テスト条件'!A27="","",'テスト条件'!A27)</f>
        <v/>
      </c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6" t="n"/>
      <c r="AP29" s="25" t="n"/>
      <c r="AQ29" s="25" t="n"/>
      <c r="AR29" s="25" t="n"/>
      <c r="AS29" s="25" t="n"/>
      <c r="BZ29" s="24">
        <f>IF('テスト条件'!A28="","",'テスト条件'!A28)</f>
        <v/>
      </c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6" t="n"/>
      <c r="AP30" s="25" t="n"/>
      <c r="AQ30" s="25" t="n"/>
      <c r="AR30" s="25" t="n"/>
      <c r="AS30" s="25" t="n"/>
      <c r="BZ30" s="24">
        <f>IF('テスト条件'!A29="","",'テスト条件'!A29)</f>
        <v/>
      </c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6" t="n"/>
      <c r="AP31" s="25" t="n"/>
      <c r="AQ31" s="25" t="n"/>
      <c r="AR31" s="25" t="n"/>
      <c r="AS31" s="25" t="n"/>
      <c r="BZ31" s="24">
        <f>IF('テスト条件'!A30="","",'テスト条件'!A30)</f>
        <v/>
      </c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6" t="n"/>
      <c r="AP32" s="25" t="n"/>
      <c r="AQ32" s="25" t="n"/>
      <c r="AR32" s="25" t="n"/>
      <c r="AS32" s="25" t="n"/>
      <c r="BZ32" s="24">
        <f>IF('テスト条件'!A31="","",'テスト条件'!A31)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6" t="n"/>
      <c r="AP33" s="25" t="n"/>
      <c r="AQ33" s="25" t="n"/>
      <c r="AR33" s="25" t="n"/>
      <c r="AS33" s="25" t="n"/>
      <c r="BZ33" s="24">
        <f>IF('テスト条件'!A32="","",'テスト条件'!A32)</f>
        <v/>
      </c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6" t="n"/>
      <c r="AP34" s="25" t="n"/>
      <c r="AQ34" s="25" t="n"/>
      <c r="AR34" s="25" t="n"/>
      <c r="AS34" s="25" t="n"/>
      <c r="BZ34" s="24">
        <f>IF('テスト条件'!A33="","",'テスト条件'!A33)</f>
        <v/>
      </c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6" t="n"/>
      <c r="AP35" s="25" t="n"/>
      <c r="AQ35" s="25" t="n"/>
      <c r="AR35" s="25" t="n"/>
      <c r="AS35" s="25" t="n"/>
      <c r="BZ35" s="24">
        <f>IF('テスト条件'!A34="","",'テスト条件'!A34)</f>
        <v/>
      </c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6" t="n"/>
      <c r="AP36" s="25" t="n"/>
      <c r="AQ36" s="25" t="n"/>
      <c r="AR36" s="25" t="n"/>
      <c r="AS36" s="25" t="n"/>
      <c r="BZ36" s="24">
        <f>IF('テスト条件'!A35="","",'テスト条件'!A35)</f>
        <v/>
      </c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6" t="n"/>
      <c r="AP37" s="25" t="n"/>
      <c r="AQ37" s="25" t="n"/>
      <c r="AR37" s="25" t="n"/>
      <c r="AS37" s="25" t="n"/>
      <c r="BZ37" s="24">
        <f>IF('テスト条件'!A36="","",'テスト条件'!A36)</f>
        <v/>
      </c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6" t="n"/>
      <c r="AP38" s="25" t="n"/>
      <c r="AQ38" s="25" t="n"/>
      <c r="AR38" s="25" t="n"/>
      <c r="AS38" s="25" t="n"/>
      <c r="BZ38" s="24">
        <f>IF('テスト条件'!A37="","",'テスト条件'!A37)</f>
        <v/>
      </c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6" t="n"/>
      <c r="AP39" s="25" t="n"/>
      <c r="AQ39" s="25" t="n"/>
      <c r="AR39" s="25" t="n"/>
      <c r="AS39" s="25" t="n"/>
      <c r="BZ39" s="24">
        <f>IF('テスト条件'!A38="","",'テスト条件'!A38)</f>
        <v/>
      </c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6" t="n"/>
      <c r="AP40" s="25" t="n"/>
      <c r="AQ40" s="25" t="n"/>
      <c r="AR40" s="25" t="n"/>
      <c r="AS40" s="25" t="n"/>
      <c r="BZ40" s="24">
        <f>IF('テスト条件'!A39="","",'テスト条件'!A39)</f>
        <v/>
      </c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6" t="n"/>
      <c r="AP41" s="25" t="n"/>
      <c r="AQ41" s="25" t="n"/>
      <c r="AR41" s="25" t="n"/>
      <c r="AS41" s="25" t="n"/>
      <c r="BZ41" s="24">
        <f>IF('テスト条件'!A40="","",'テスト条件'!A40)</f>
        <v/>
      </c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6" t="n"/>
      <c r="AP42" s="25" t="n"/>
      <c r="AQ42" s="25" t="n"/>
      <c r="AR42" s="25" t="n"/>
      <c r="AS42" s="25" t="n"/>
      <c r="BZ42" s="24">
        <f>IF('テスト条件'!A41="","",'テスト条件'!A41)</f>
        <v/>
      </c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6" t="n"/>
      <c r="AP43" s="25" t="n"/>
      <c r="AQ43" s="25" t="n"/>
      <c r="AR43" s="25" t="n"/>
      <c r="AS43" s="25" t="n"/>
      <c r="BZ43" s="24">
        <f>IF('テスト条件'!A42="","",'テスト条件'!A42)</f>
        <v/>
      </c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6" t="n"/>
      <c r="AP44" s="25" t="n"/>
      <c r="AQ44" s="25" t="n"/>
      <c r="AR44" s="25" t="n"/>
      <c r="AS44" s="25" t="n"/>
      <c r="BZ44" s="24">
        <f>IF('テスト条件'!A43="","",'テスト条件'!A43)</f>
        <v/>
      </c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6" t="n"/>
      <c r="AP45" s="25" t="n"/>
      <c r="AQ45" s="25" t="n"/>
      <c r="AR45" s="25" t="n"/>
      <c r="AS45" s="25" t="n"/>
      <c r="BZ45" s="24">
        <f>IF('テスト条件'!A44="","",'テスト条件'!A44)</f>
        <v/>
      </c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6" t="n"/>
      <c r="AP46" s="25" t="n"/>
      <c r="AQ46" s="25" t="n"/>
      <c r="AR46" s="25" t="n"/>
      <c r="AS46" s="25" t="n"/>
      <c r="BZ46" s="24">
        <f>IF('テスト条件'!A45="","",'テスト条件'!A45)</f>
        <v/>
      </c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6" t="n"/>
      <c r="AP47" s="25" t="n"/>
      <c r="AQ47" s="25" t="n"/>
      <c r="AR47" s="25" t="n"/>
      <c r="AS47" s="25" t="n"/>
      <c r="BZ47" s="24">
        <f>IF('テスト条件'!A46="","",'テスト条件'!A46)</f>
        <v/>
      </c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6" t="n"/>
      <c r="AP48" s="25" t="n"/>
      <c r="AQ48" s="25" t="n"/>
      <c r="AR48" s="25" t="n"/>
      <c r="AS48" s="25" t="n"/>
      <c r="BZ48" s="24">
        <f>IF('テスト条件'!A47="","",'テスト条件'!A47)</f>
        <v/>
      </c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6" t="n"/>
      <c r="AP49" s="25" t="n"/>
      <c r="AQ49" s="25" t="n"/>
      <c r="AR49" s="25" t="n"/>
      <c r="AS49" s="25" t="n"/>
      <c r="BZ49" s="24">
        <f>IF('テスト条件'!A48="","",'テスト条件'!A48)</f>
        <v/>
      </c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6" t="n"/>
      <c r="AP50" s="25" t="n"/>
      <c r="AQ50" s="25" t="n"/>
      <c r="AR50" s="25" t="n"/>
      <c r="AS50" s="25" t="n"/>
      <c r="BZ50" s="24">
        <f>IF('テスト条件'!A49="","",'テスト条件'!A49)</f>
        <v/>
      </c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6" t="n"/>
      <c r="AP51" s="25" t="n"/>
      <c r="AQ51" s="25" t="n"/>
      <c r="AR51" s="25" t="n"/>
      <c r="AS51" s="25" t="n"/>
      <c r="BZ51" s="24">
        <f>IF('テスト条件'!A50="","",'テスト条件'!A50)</f>
        <v/>
      </c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6" t="n"/>
      <c r="AP52" s="25" t="n"/>
      <c r="AQ52" s="25" t="n"/>
      <c r="AR52" s="25" t="n"/>
      <c r="AS52" s="25" t="n"/>
      <c r="BZ52" s="24">
        <f>IF('テスト条件'!A51="","",'テスト条件'!A51)</f>
        <v/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6" t="n"/>
      <c r="AP53" s="25" t="n"/>
      <c r="AQ53" s="25" t="n"/>
      <c r="AR53" s="25" t="n"/>
      <c r="AS53" s="25" t="n"/>
      <c r="BZ53" s="24">
        <f>IF('テスト条件'!A52="","",'テスト条件'!A52)</f>
        <v/>
      </c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6" t="n"/>
      <c r="AP54" s="25" t="n"/>
      <c r="AQ54" s="25" t="n"/>
      <c r="AR54" s="25" t="n"/>
      <c r="AS54" s="25" t="n"/>
      <c r="BZ54" s="24">
        <f>IF('テスト条件'!A53="","",'テスト条件'!A53)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6" t="n"/>
      <c r="AP55" s="25" t="n"/>
      <c r="AQ55" s="25" t="n"/>
      <c r="AR55" s="25" t="n"/>
      <c r="AS55" s="25" t="n"/>
      <c r="BZ55" s="24">
        <f>IF('テスト条件'!A54="","",'テスト条件'!A54)</f>
        <v/>
      </c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6" t="n"/>
      <c r="AP56" s="25" t="n"/>
      <c r="AQ56" s="25" t="n"/>
      <c r="AR56" s="25" t="n"/>
      <c r="AS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6" t="n"/>
      <c r="AP57" s="25" t="n"/>
      <c r="AQ57" s="25" t="n"/>
      <c r="AR57" s="25" t="n"/>
      <c r="AS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6" t="n"/>
      <c r="AP58" s="25" t="n"/>
      <c r="AQ58" s="25" t="n"/>
      <c r="AR58" s="25" t="n"/>
      <c r="AS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6" t="n"/>
      <c r="AP59" s="25" t="n"/>
      <c r="AQ59" s="25" t="n"/>
      <c r="AR59" s="25" t="n"/>
      <c r="AS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6" t="n"/>
      <c r="AP60" s="25" t="n"/>
      <c r="AQ60" s="25" t="n"/>
      <c r="AR60" s="25" t="n"/>
      <c r="AS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6" t="n"/>
      <c r="AP61" s="25" t="n"/>
      <c r="AQ61" s="25" t="n"/>
      <c r="AR61" s="25" t="n"/>
      <c r="AS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6" t="n"/>
      <c r="AP62" s="25" t="n"/>
      <c r="AQ62" s="25" t="n"/>
      <c r="AR62" s="25" t="n"/>
      <c r="AS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6" t="n"/>
      <c r="AP63" s="25" t="n"/>
      <c r="AQ63" s="25" t="n"/>
      <c r="AR63" s="25" t="n"/>
      <c r="AS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6" t="n"/>
      <c r="AP64" s="25" t="n"/>
      <c r="AQ64" s="25" t="n"/>
      <c r="AR64" s="25" t="n"/>
      <c r="AS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6" t="n"/>
      <c r="AP65" s="25" t="n"/>
      <c r="AQ65" s="25" t="n"/>
      <c r="AR65" s="25" t="n"/>
      <c r="AS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6" t="n"/>
      <c r="AP66" s="25" t="n"/>
      <c r="AQ66" s="25" t="n"/>
      <c r="AR66" s="25" t="n"/>
      <c r="AS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6" t="n"/>
      <c r="AP67" s="25" t="n"/>
      <c r="AQ67" s="25" t="n"/>
      <c r="AR67" s="25" t="n"/>
      <c r="AS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6" t="n"/>
      <c r="AP68" s="25" t="n"/>
      <c r="AQ68" s="25" t="n"/>
      <c r="AR68" s="25" t="n"/>
      <c r="AS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6" t="n"/>
      <c r="AP69" s="25" t="n"/>
      <c r="AQ69" s="25" t="n"/>
      <c r="AR69" s="25" t="n"/>
      <c r="AS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6" t="n"/>
      <c r="AP70" s="25" t="n"/>
      <c r="AQ70" s="25" t="n"/>
      <c r="AR70" s="25" t="n"/>
      <c r="AS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6" t="n"/>
      <c r="AP71" s="25" t="n"/>
      <c r="AQ71" s="25" t="n"/>
      <c r="AR71" s="25" t="n"/>
      <c r="AS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6" t="n"/>
      <c r="AP72" s="25" t="n"/>
      <c r="AQ72" s="25" t="n"/>
      <c r="AR72" s="25" t="n"/>
      <c r="AS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6" t="n"/>
      <c r="AP73" s="25" t="n"/>
      <c r="AQ73" s="25" t="n"/>
      <c r="AR73" s="25" t="n"/>
      <c r="AS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6" t="n"/>
      <c r="AP74" s="25" t="n"/>
      <c r="AQ74" s="25" t="n"/>
      <c r="AR74" s="25" t="n"/>
      <c r="AS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6" t="n"/>
      <c r="AP75" s="25" t="n"/>
      <c r="AQ75" s="25" t="n"/>
      <c r="AR75" s="25" t="n"/>
      <c r="AS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6" t="n"/>
      <c r="AP76" s="25" t="n"/>
      <c r="AQ76" s="25" t="n"/>
      <c r="AR76" s="25" t="n"/>
      <c r="AS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6" t="n"/>
      <c r="AP77" s="25" t="n"/>
      <c r="AQ77" s="25" t="n"/>
      <c r="AR77" s="25" t="n"/>
      <c r="AS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6" t="n"/>
      <c r="AP78" s="25" t="n"/>
      <c r="AQ78" s="25" t="n"/>
      <c r="AR78" s="25" t="n"/>
      <c r="AS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6" t="n"/>
      <c r="AP79" s="25" t="n"/>
      <c r="AQ79" s="25" t="n"/>
      <c r="AR79" s="25" t="n"/>
      <c r="AS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6" t="n"/>
      <c r="AP80" s="25" t="n"/>
      <c r="AQ80" s="25" t="n"/>
      <c r="AR80" s="25" t="n"/>
      <c r="AS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6" t="n"/>
      <c r="AP81" s="25" t="n"/>
      <c r="AQ81" s="25" t="n"/>
      <c r="AR81" s="25" t="n"/>
      <c r="AS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6" t="n"/>
      <c r="AP82" s="25" t="n"/>
      <c r="AQ82" s="25" t="n"/>
      <c r="AR82" s="25" t="n"/>
      <c r="AS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6" t="n"/>
      <c r="AP83" s="25" t="n"/>
      <c r="AQ83" s="25" t="n"/>
      <c r="AR83" s="25" t="n"/>
      <c r="AS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6" t="n"/>
      <c r="AP84" s="25" t="n"/>
      <c r="AQ84" s="25" t="n"/>
      <c r="AR84" s="25" t="n"/>
      <c r="AS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6" t="n"/>
      <c r="AP85" s="25" t="n"/>
      <c r="AQ85" s="25" t="n"/>
      <c r="AR85" s="25" t="n"/>
      <c r="AS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6" t="n"/>
      <c r="AP86" s="25" t="n"/>
      <c r="AQ86" s="25" t="n"/>
      <c r="AR86" s="25" t="n"/>
      <c r="AS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6" t="n"/>
      <c r="AP87" s="25" t="n"/>
      <c r="AQ87" s="25" t="n"/>
      <c r="AR87" s="25" t="n"/>
      <c r="AS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6" t="n"/>
      <c r="AP88" s="25" t="n"/>
      <c r="AQ88" s="25" t="n"/>
      <c r="AR88" s="25" t="n"/>
      <c r="AS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6" t="n"/>
      <c r="AP89" s="25" t="n"/>
      <c r="AQ89" s="25" t="n"/>
      <c r="AR89" s="25" t="n"/>
      <c r="AS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6" t="n"/>
      <c r="AP90" s="25" t="n"/>
      <c r="AQ90" s="25" t="n"/>
      <c r="AR90" s="25" t="n"/>
      <c r="AS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6" t="n"/>
      <c r="AP91" s="25" t="n"/>
      <c r="AQ91" s="25" t="n"/>
      <c r="AR91" s="25" t="n"/>
      <c r="AS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6" t="n"/>
      <c r="AP92" s="25" t="n"/>
      <c r="AQ92" s="25" t="n"/>
      <c r="AR92" s="25" t="n"/>
      <c r="AS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6" t="n"/>
      <c r="AP93" s="25" t="n"/>
      <c r="AQ93" s="25" t="n"/>
      <c r="AR93" s="25" t="n"/>
      <c r="AS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6" t="n"/>
      <c r="AP94" s="25" t="n"/>
      <c r="AQ94" s="25" t="n"/>
      <c r="AR94" s="25" t="n"/>
      <c r="AS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6" t="n"/>
      <c r="AP95" s="25" t="n"/>
      <c r="AQ95" s="25" t="n"/>
      <c r="AR95" s="25" t="n"/>
      <c r="AS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6" t="n"/>
      <c r="AP96" s="25" t="n"/>
      <c r="AQ96" s="25" t="n"/>
      <c r="AR96" s="25" t="n"/>
      <c r="AS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6" t="n"/>
      <c r="AP97" s="25" t="n"/>
      <c r="AQ97" s="25" t="n"/>
      <c r="AR97" s="25" t="n"/>
      <c r="AS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6" t="n"/>
      <c r="AP98" s="25" t="n"/>
      <c r="AQ98" s="25" t="n"/>
      <c r="AR98" s="25" t="n"/>
      <c r="AS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6" t="n"/>
      <c r="AP99" s="25" t="n"/>
      <c r="AQ99" s="25" t="n"/>
      <c r="AR99" s="25" t="n"/>
      <c r="AS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6" t="n"/>
      <c r="AP100" s="25" t="n"/>
      <c r="AQ100" s="25" t="n"/>
      <c r="AR100" s="25" t="n"/>
      <c r="AS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6" t="n"/>
      <c r="AP101" s="25" t="n"/>
      <c r="AQ101" s="25" t="n"/>
      <c r="AR101" s="25" t="n"/>
      <c r="AS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6" t="n"/>
      <c r="AP102" s="25" t="n"/>
      <c r="AQ102" s="25" t="n"/>
      <c r="AR102" s="25" t="n"/>
      <c r="AS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6" t="n"/>
      <c r="AP103" s="25" t="n"/>
      <c r="AQ103" s="25" t="n"/>
      <c r="AR103" s="25" t="n"/>
      <c r="AS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6" t="n"/>
      <c r="AP104" s="25" t="n"/>
      <c r="AQ104" s="25" t="n"/>
      <c r="AR104" s="25" t="n"/>
      <c r="AS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6" t="n"/>
      <c r="AP105" s="25" t="n"/>
      <c r="AQ105" s="25" t="n"/>
      <c r="AR105" s="25" t="n"/>
      <c r="AS105" s="25" t="n"/>
    </row>
  </sheetData>
  <autoFilter ref="A5:AS105"/>
  <mergeCells count="21">
    <mergeCell ref="C4:C5"/>
    <mergeCell ref="E4:E5"/>
    <mergeCell ref="AN4:AN5"/>
    <mergeCell ref="A3:F3"/>
    <mergeCell ref="G3:AJ3"/>
    <mergeCell ref="AO3:AS3"/>
    <mergeCell ref="D4:D5"/>
    <mergeCell ref="AR4:AR5"/>
    <mergeCell ref="AQ4:AQ5"/>
    <mergeCell ref="AM4:AM5"/>
    <mergeCell ref="AO4:AO5"/>
    <mergeCell ref="AU4:BZ4"/>
    <mergeCell ref="A4:A5"/>
    <mergeCell ref="AK3:AN3"/>
    <mergeCell ref="AL4:AL5"/>
    <mergeCell ref="B4:B5"/>
    <mergeCell ref="F4:F5"/>
    <mergeCell ref="AP4:AP5"/>
    <mergeCell ref="AS4:AS5"/>
    <mergeCell ref="AK4:AK5"/>
    <mergeCell ref="B2:D2"/>
  </mergeCells>
  <dataValidations count="35">
    <dataValidation sqref="G6:G105" showDropDown="0" showInputMessage="0" showErrorMessage="0" allowBlank="1" type="list">
      <formula1>'テストケース2'!$AU$6:$AU$15</formula1>
    </dataValidation>
    <dataValidation sqref="H6:H105" showDropDown="0" showInputMessage="0" showErrorMessage="0" allowBlank="1" type="list">
      <formula1>'テストケース2'!$AV$6:$AV$15</formula1>
    </dataValidation>
    <dataValidation sqref="I6:I105" showDropDown="0" showInputMessage="0" showErrorMessage="0" allowBlank="1" type="list">
      <formula1>'テストケース2'!$AW$6:$AW$15</formula1>
    </dataValidation>
    <dataValidation sqref="J6:J105" showDropDown="0" showInputMessage="0" showErrorMessage="0" allowBlank="1" type="list">
      <formula1>'テストケース2'!$AX$6:$AX$15</formula1>
    </dataValidation>
    <dataValidation sqref="K6:K105" showDropDown="0" showInputMessage="0" showErrorMessage="0" allowBlank="1" type="list">
      <formula1>'テストケース2'!$AY$6:$AY$15</formula1>
    </dataValidation>
    <dataValidation sqref="L6:L105" showDropDown="0" showInputMessage="0" showErrorMessage="0" allowBlank="1" type="list">
      <formula1>'テストケース2'!$AZ$6:$AZ$15</formula1>
    </dataValidation>
    <dataValidation sqref="M6:M105" showDropDown="0" showInputMessage="0" showErrorMessage="0" allowBlank="1" type="list">
      <formula1>'テストケース2'!$BA$6:$BA$15</formula1>
    </dataValidation>
    <dataValidation sqref="N6:N105" showDropDown="0" showInputMessage="0" showErrorMessage="0" allowBlank="1" type="list">
      <formula1>'テストケース2'!$BB$6:$BB$15</formula1>
    </dataValidation>
    <dataValidation sqref="O6:O105" showDropDown="0" showInputMessage="0" showErrorMessage="0" allowBlank="1" type="list">
      <formula1>'テストケース2'!$BC$6:$BC$15</formula1>
    </dataValidation>
    <dataValidation sqref="P6:P105" showDropDown="0" showInputMessage="0" showErrorMessage="0" allowBlank="1" type="list">
      <formula1>'テストケース2'!$BD$6:$BD$15</formula1>
    </dataValidation>
    <dataValidation sqref="Q6:Q105" showDropDown="0" showInputMessage="0" showErrorMessage="0" allowBlank="1" type="list">
      <formula1>'テストケース2'!$BE$6:$BE$15</formula1>
    </dataValidation>
    <dataValidation sqref="R6:R105" showDropDown="0" showInputMessage="0" showErrorMessage="0" allowBlank="1" type="list">
      <formula1>'テストケース2'!$BF$6:$BF$15</formula1>
    </dataValidation>
    <dataValidation sqref="S6:S105" showDropDown="0" showInputMessage="0" showErrorMessage="0" allowBlank="1" type="list">
      <formula1>'テストケース2'!$BG$6:$BG$15</formula1>
    </dataValidation>
    <dataValidation sqref="T6:T105" showDropDown="0" showInputMessage="0" showErrorMessage="0" allowBlank="1" type="list">
      <formula1>'テストケース2'!$BH$6:$BH$15</formula1>
    </dataValidation>
    <dataValidation sqref="U6:U105" showDropDown="0" showInputMessage="0" showErrorMessage="0" allowBlank="1" type="list">
      <formula1>'テストケース2'!$BI$6:$BI$15</formula1>
    </dataValidation>
    <dataValidation sqref="V6:V105" showDropDown="0" showInputMessage="0" showErrorMessage="0" allowBlank="1" type="list">
      <formula1>'テストケース2'!$BJ$6:$BJ$15</formula1>
    </dataValidation>
    <dataValidation sqref="W6:W105" showDropDown="0" showInputMessage="0" showErrorMessage="0" allowBlank="1" type="list">
      <formula1>'テストケース2'!$BK$6:$BK$15</formula1>
    </dataValidation>
    <dataValidation sqref="X6:X105" showDropDown="0" showInputMessage="0" showErrorMessage="0" allowBlank="1" type="list">
      <formula1>'テストケース2'!$BL$6:$BL$15</formula1>
    </dataValidation>
    <dataValidation sqref="Y6:Y105" showDropDown="0" showInputMessage="0" showErrorMessage="0" allowBlank="1" type="list">
      <formula1>'テストケース2'!$BM$6:$BM$15</formula1>
    </dataValidation>
    <dataValidation sqref="Z6:Z105" showDropDown="0" showInputMessage="0" showErrorMessage="0" allowBlank="1" type="list">
      <formula1>'テストケース2'!$BN$6:$BN$15</formula1>
    </dataValidation>
    <dataValidation sqref="AA6:AA105" showDropDown="0" showInputMessage="0" showErrorMessage="0" allowBlank="1" type="list">
      <formula1>'テストケース2'!$BO$6:$BO$15</formula1>
    </dataValidation>
    <dataValidation sqref="AB6:AB105" showDropDown="0" showInputMessage="0" showErrorMessage="0" allowBlank="1" type="list">
      <formula1>'テストケース2'!$BP$6:$BP$15</formula1>
    </dataValidation>
    <dataValidation sqref="AC6:AC105" showDropDown="0" showInputMessage="0" showErrorMessage="0" allowBlank="1" type="list">
      <formula1>'テストケース2'!$BQ$6:$BQ$15</formula1>
    </dataValidation>
    <dataValidation sqref="AD6:AD105" showDropDown="0" showInputMessage="0" showErrorMessage="0" allowBlank="1" type="list">
      <formula1>'テストケース2'!$BR$6:$BR$15</formula1>
    </dataValidation>
    <dataValidation sqref="AE6:AE105" showDropDown="0" showInputMessage="0" showErrorMessage="0" allowBlank="1" type="list">
      <formula1>'テストケース2'!$BS$6:$BS$15</formula1>
    </dataValidation>
    <dataValidation sqref="AF6:AF105" showDropDown="0" showInputMessage="0" showErrorMessage="0" allowBlank="1" type="list">
      <formula1>'テストケース2'!$BT$6:$BT$15</formula1>
    </dataValidation>
    <dataValidation sqref="AG6:AG105" showDropDown="0" showInputMessage="0" showErrorMessage="0" allowBlank="1" type="list">
      <formula1>'テストケース2'!$BU$6:$BU$15</formula1>
    </dataValidation>
    <dataValidation sqref="AH6:AH105" showDropDown="0" showInputMessage="0" showErrorMessage="0" allowBlank="1" type="list">
      <formula1>'テストケース2'!$BV$6:$BV$15</formula1>
    </dataValidation>
    <dataValidation sqref="AI6:AI105" showDropDown="0" showInputMessage="0" showErrorMessage="0" allowBlank="1" type="list">
      <formula1>'テストケース2'!$BW$6:$BW$15</formula1>
    </dataValidation>
    <dataValidation sqref="AJ6:AJ105" showDropDown="0" showInputMessage="0" showErrorMessage="0" allowBlank="1" type="list">
      <formula1>'テストケース2'!$BX$6:$BX$15</formula1>
    </dataValidation>
    <dataValidation sqref="C6:C105" showDropDown="0" showInputMessage="0" showErrorMessage="0" allowBlank="1" type="list">
      <formula1>'テストケース2'!$BY$6:$BY$25</formula1>
    </dataValidation>
    <dataValidation sqref="B6:B105" showDropDown="0" showInputMessage="0" showErrorMessage="0" allowBlank="1" type="list">
      <formula1>'テストケース2'!$BZ$6:$BZ$55</formula1>
    </dataValidation>
    <dataValidation sqref="E6:E105" showDropDown="0" showInputMessage="0" showErrorMessage="0" allowBlank="1" type="list">
      <formula1>"高,中,低"</formula1>
    </dataValidation>
    <dataValidation sqref="AN6:AN105" showDropDown="0" showInputMessage="0" showErrorMessage="0" allowBlank="1" type="list">
      <formula1>"要,否,済"</formula1>
    </dataValidation>
    <dataValidation sqref="AQ6:AQ1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Z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  <col width="34" customWidth="1" min="38" max="38"/>
    <col width="14" customWidth="1" min="39" max="39"/>
    <col width="9" customWidth="1" min="40" max="40"/>
    <col width="11" customWidth="1" min="41" max="41"/>
    <col width="10" customWidth="1" min="42" max="42"/>
    <col width="9" customWidth="1" min="43" max="43"/>
    <col width="10" customWidth="1" min="44" max="44"/>
    <col width="24" customWidth="1" min="45" max="45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</cols>
  <sheetData>
    <row r="1">
      <c r="A1" s="1" t="inlineStr">
        <is>
          <t>テストケース</t>
        </is>
      </c>
      <c r="E1" s="2" t="inlineStr">
        <is>
          <t>因子列の見出しは因子水準表から自動で入り、セルは水準のプルダウンから選べます。使わない因子の列は非表示にしてください。</t>
        </is>
      </c>
    </row>
    <row r="2">
      <c r="A2" s="10" t="inlineStr">
        <is>
          <t>対象</t>
        </is>
      </c>
      <c r="B2" s="7" t="n"/>
      <c r="C2" s="8" t="n"/>
      <c r="D2" s="9" t="n"/>
    </row>
    <row r="3">
      <c r="A3" s="20" t="inlineStr">
        <is>
          <t>テストケース</t>
        </is>
      </c>
      <c r="B3" s="8" t="n"/>
      <c r="C3" s="8" t="n"/>
      <c r="D3" s="8" t="n"/>
      <c r="E3" s="8" t="n"/>
      <c r="F3" s="9" t="n"/>
      <c r="G3" s="20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9" t="n"/>
      <c r="AK3" s="20" t="inlineStr">
        <is>
          <t>内容</t>
        </is>
      </c>
      <c r="AL3" s="8" t="n"/>
      <c r="AM3" s="8" t="n"/>
      <c r="AN3" s="9" t="n"/>
      <c r="AO3" s="20" t="inlineStr">
        <is>
          <t>実行結果</t>
        </is>
      </c>
      <c r="AP3" s="8" t="n"/>
      <c r="AQ3" s="8" t="n"/>
      <c r="AR3" s="8" t="n"/>
      <c r="AS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1">
        <f>IF('因子水準表'!B$5="","",'因子水準表'!B$5)</f>
        <v/>
      </c>
      <c r="H4" s="21">
        <f>IF('因子水準表'!C$5="","",'因子水準表'!C$5)</f>
        <v/>
      </c>
      <c r="I4" s="21">
        <f>IF('因子水準表'!D$5="","",'因子水準表'!D$5)</f>
        <v/>
      </c>
      <c r="J4" s="21">
        <f>IF('因子水準表'!E$5="","",'因子水準表'!E$5)</f>
        <v/>
      </c>
      <c r="K4" s="21">
        <f>IF('因子水準表'!F$5="","",'因子水準表'!F$5)</f>
        <v/>
      </c>
      <c r="L4" s="21">
        <f>IF('因子水準表'!G$5="","",'因子水準表'!G$5)</f>
        <v/>
      </c>
      <c r="M4" s="21">
        <f>IF('因子水準表'!H$5="","",'因子水準表'!H$5)</f>
        <v/>
      </c>
      <c r="N4" s="21">
        <f>IF('因子水準表'!I$5="","",'因子水準表'!I$5)</f>
        <v/>
      </c>
      <c r="O4" s="21">
        <f>IF('因子水準表'!J$5="","",'因子水準表'!J$5)</f>
        <v/>
      </c>
      <c r="P4" s="21">
        <f>IF('因子水準表'!K$5="","",'因子水準表'!K$5)</f>
        <v/>
      </c>
      <c r="Q4" s="21">
        <f>IF('因子水準表'!L$5="","",'因子水準表'!L$5)</f>
        <v/>
      </c>
      <c r="R4" s="21">
        <f>IF('因子水準表'!M$5="","",'因子水準表'!M$5)</f>
        <v/>
      </c>
      <c r="S4" s="21">
        <f>IF('因子水準表'!N$5="","",'因子水準表'!N$5)</f>
        <v/>
      </c>
      <c r="T4" s="21">
        <f>IF('因子水準表'!O$5="","",'因子水準表'!O$5)</f>
        <v/>
      </c>
      <c r="U4" s="21">
        <f>IF('因子水準表'!P$5="","",'因子水準表'!P$5)</f>
        <v/>
      </c>
      <c r="V4" s="21">
        <f>IF('因子水準表'!Q$5="","",'因子水準表'!Q$5)</f>
        <v/>
      </c>
      <c r="W4" s="21">
        <f>IF('因子水準表'!R$5="","",'因子水準表'!R$5)</f>
        <v/>
      </c>
      <c r="X4" s="21">
        <f>IF('因子水準表'!S$5="","",'因子水準表'!S$5)</f>
        <v/>
      </c>
      <c r="Y4" s="21">
        <f>IF('因子水準表'!T$5="","",'因子水準表'!T$5)</f>
        <v/>
      </c>
      <c r="Z4" s="21">
        <f>IF('因子水準表'!U$5="","",'因子水準表'!U$5)</f>
        <v/>
      </c>
      <c r="AA4" s="21">
        <f>IF('因子水準表'!V$5="","",'因子水準表'!V$5)</f>
        <v/>
      </c>
      <c r="AB4" s="21">
        <f>IF('因子水準表'!W$5="","",'因子水準表'!W$5)</f>
        <v/>
      </c>
      <c r="AC4" s="21">
        <f>IF('因子水準表'!X$5="","",'因子水準表'!X$5)</f>
        <v/>
      </c>
      <c r="AD4" s="21">
        <f>IF('因子水準表'!Y$5="","",'因子水準表'!Y$5)</f>
        <v/>
      </c>
      <c r="AE4" s="21">
        <f>IF('因子水準表'!Z$5="","",'因子水準表'!Z$5)</f>
        <v/>
      </c>
      <c r="AF4" s="21">
        <f>IF('因子水準表'!AA$5="","",'因子水準表'!AA$5)</f>
        <v/>
      </c>
      <c r="AG4" s="21">
        <f>IF('因子水準表'!AB$5="","",'因子水準表'!AB$5)</f>
        <v/>
      </c>
      <c r="AH4" s="21">
        <f>IF('因子水準表'!AC$5="","",'因子水準表'!AC$5)</f>
        <v/>
      </c>
      <c r="AI4" s="21">
        <f>IF('因子水準表'!AD$5="","",'因子水準表'!AD$5)</f>
        <v/>
      </c>
      <c r="AJ4" s="21">
        <f>IF('因子水準表'!AE$5="","",'因子水準表'!AE$5)</f>
        <v/>
      </c>
      <c r="AK4" s="11" t="inlineStr">
        <is>
          <t>手順</t>
        </is>
      </c>
      <c r="AL4" s="11" t="inlineStr">
        <is>
          <t>期待結果</t>
        </is>
      </c>
      <c r="AM4" s="11" t="inlineStr">
        <is>
          <t>技法</t>
        </is>
      </c>
      <c r="AN4" s="11" t="inlineStr">
        <is>
          <t>自動化</t>
        </is>
      </c>
      <c r="AO4" s="11" t="inlineStr">
        <is>
          <t>実行日</t>
        </is>
      </c>
      <c r="AP4" s="11" t="inlineStr">
        <is>
          <t>実行者</t>
        </is>
      </c>
      <c r="AQ4" s="11" t="inlineStr">
        <is>
          <t>結果</t>
        </is>
      </c>
      <c r="AR4" s="11" t="inlineStr">
        <is>
          <t>欠陥ID</t>
        </is>
      </c>
      <c r="AS4" s="11" t="inlineStr">
        <is>
          <t>備考</t>
        </is>
      </c>
      <c r="AU4" s="20" t="inlineStr">
        <is>
          <t>プルダウン用（非表示・編集しない）</t>
        </is>
      </c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9" t="n"/>
    </row>
    <row r="5">
      <c r="A5" s="22" t="n"/>
      <c r="B5" s="22" t="n"/>
      <c r="C5" s="22" t="n"/>
      <c r="D5" s="22" t="n"/>
      <c r="E5" s="22" t="n"/>
      <c r="F5" s="22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11">
        <f>IF('因子水準表'!J$6="","因子9（未使用）",'因子水準表'!J$6)</f>
        <v/>
      </c>
      <c r="P5" s="11">
        <f>IF('因子水準表'!K$6="","因子10（未使用）",'因子水準表'!K$6)</f>
        <v/>
      </c>
      <c r="Q5" s="11">
        <f>IF('因子水準表'!L$6="","因子11（未使用）",'因子水準表'!L$6)</f>
        <v/>
      </c>
      <c r="R5" s="11">
        <f>IF('因子水準表'!M$6="","因子12（未使用）",'因子水準表'!M$6)</f>
        <v/>
      </c>
      <c r="S5" s="11">
        <f>IF('因子水準表'!N$6="","因子13（未使用）",'因子水準表'!N$6)</f>
        <v/>
      </c>
      <c r="T5" s="11">
        <f>IF('因子水準表'!O$6="","因子14（未使用）",'因子水準表'!O$6)</f>
        <v/>
      </c>
      <c r="U5" s="11">
        <f>IF('因子水準表'!P$6="","因子15（未使用）",'因子水準表'!P$6)</f>
        <v/>
      </c>
      <c r="V5" s="11">
        <f>IF('因子水準表'!Q$6="","因子16（未使用）",'因子水準表'!Q$6)</f>
        <v/>
      </c>
      <c r="W5" s="11">
        <f>IF('因子水準表'!R$6="","因子17（未使用）",'因子水準表'!R$6)</f>
        <v/>
      </c>
      <c r="X5" s="11">
        <f>IF('因子水準表'!S$6="","因子18（未使用）",'因子水準表'!S$6)</f>
        <v/>
      </c>
      <c r="Y5" s="11">
        <f>IF('因子水準表'!T$6="","因子19（未使用）",'因子水準表'!T$6)</f>
        <v/>
      </c>
      <c r="Z5" s="11">
        <f>IF('因子水準表'!U$6="","因子20（未使用）",'因子水準表'!U$6)</f>
        <v/>
      </c>
      <c r="AA5" s="11">
        <f>IF('因子水準表'!V$6="","因子21（未使用）",'因子水準表'!V$6)</f>
        <v/>
      </c>
      <c r="AB5" s="11">
        <f>IF('因子水準表'!W$6="","因子22（未使用）",'因子水準表'!W$6)</f>
        <v/>
      </c>
      <c r="AC5" s="11">
        <f>IF('因子水準表'!X$6="","因子23（未使用）",'因子水準表'!X$6)</f>
        <v/>
      </c>
      <c r="AD5" s="11">
        <f>IF('因子水準表'!Y$6="","因子24（未使用）",'因子水準表'!Y$6)</f>
        <v/>
      </c>
      <c r="AE5" s="11">
        <f>IF('因子水準表'!Z$6="","因子25（未使用）",'因子水準表'!Z$6)</f>
        <v/>
      </c>
      <c r="AF5" s="11">
        <f>IF('因子水準表'!AA$6="","因子26（未使用）",'因子水準表'!AA$6)</f>
        <v/>
      </c>
      <c r="AG5" s="11">
        <f>IF('因子水準表'!AB$6="","因子27（未使用）",'因子水準表'!AB$6)</f>
        <v/>
      </c>
      <c r="AH5" s="11">
        <f>IF('因子水準表'!AC$6="","因子28（未使用）",'因子水準表'!AC$6)</f>
        <v/>
      </c>
      <c r="AI5" s="11">
        <f>IF('因子水準表'!AD$6="","因子29（未使用）",'因子水準表'!AD$6)</f>
        <v/>
      </c>
      <c r="AJ5" s="11">
        <f>IF('因子水準表'!AE$6="","因子30（未使用）",'因子水準表'!AE$6)</f>
        <v/>
      </c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U5" s="11" t="inlineStr">
        <is>
          <t>F1 水準</t>
        </is>
      </c>
      <c r="AV5" s="11" t="inlineStr">
        <is>
          <t>F2 水準</t>
        </is>
      </c>
      <c r="AW5" s="11" t="inlineStr">
        <is>
          <t>F3 水準</t>
        </is>
      </c>
      <c r="AX5" s="11" t="inlineStr">
        <is>
          <t>F4 水準</t>
        </is>
      </c>
      <c r="AY5" s="11" t="inlineStr">
        <is>
          <t>F5 水準</t>
        </is>
      </c>
      <c r="AZ5" s="11" t="inlineStr">
        <is>
          <t>F6 水準</t>
        </is>
      </c>
      <c r="BA5" s="11" t="inlineStr">
        <is>
          <t>F7 水準</t>
        </is>
      </c>
      <c r="BB5" s="11" t="inlineStr">
        <is>
          <t>F8 水準</t>
        </is>
      </c>
      <c r="BC5" s="11" t="inlineStr">
        <is>
          <t>F9 水準</t>
        </is>
      </c>
      <c r="BD5" s="11" t="inlineStr">
        <is>
          <t>F10 水準</t>
        </is>
      </c>
      <c r="BE5" s="11" t="inlineStr">
        <is>
          <t>F11 水準</t>
        </is>
      </c>
      <c r="BF5" s="11" t="inlineStr">
        <is>
          <t>F12 水準</t>
        </is>
      </c>
      <c r="BG5" s="11" t="inlineStr">
        <is>
          <t>F13 水準</t>
        </is>
      </c>
      <c r="BH5" s="11" t="inlineStr">
        <is>
          <t>F14 水準</t>
        </is>
      </c>
      <c r="BI5" s="11" t="inlineStr">
        <is>
          <t>F15 水準</t>
        </is>
      </c>
      <c r="BJ5" s="11" t="inlineStr">
        <is>
          <t>F16 水準</t>
        </is>
      </c>
      <c r="BK5" s="11" t="inlineStr">
        <is>
          <t>F17 水準</t>
        </is>
      </c>
      <c r="BL5" s="11" t="inlineStr">
        <is>
          <t>F18 水準</t>
        </is>
      </c>
      <c r="BM5" s="11" t="inlineStr">
        <is>
          <t>F19 水準</t>
        </is>
      </c>
      <c r="BN5" s="11" t="inlineStr">
        <is>
          <t>F20 水準</t>
        </is>
      </c>
      <c r="BO5" s="11" t="inlineStr">
        <is>
          <t>F21 水準</t>
        </is>
      </c>
      <c r="BP5" s="11" t="inlineStr">
        <is>
          <t>F22 水準</t>
        </is>
      </c>
      <c r="BQ5" s="11" t="inlineStr">
        <is>
          <t>F23 水準</t>
        </is>
      </c>
      <c r="BR5" s="11" t="inlineStr">
        <is>
          <t>F24 水準</t>
        </is>
      </c>
      <c r="BS5" s="11" t="inlineStr">
        <is>
          <t>F25 水準</t>
        </is>
      </c>
      <c r="BT5" s="11" t="inlineStr">
        <is>
          <t>F26 水準</t>
        </is>
      </c>
      <c r="BU5" s="11" t="inlineStr">
        <is>
          <t>F27 水準</t>
        </is>
      </c>
      <c r="BV5" s="11" t="inlineStr">
        <is>
          <t>F28 水準</t>
        </is>
      </c>
      <c r="BW5" s="11" t="inlineStr">
        <is>
          <t>F29 水準</t>
        </is>
      </c>
      <c r="BX5" s="11" t="inlineStr">
        <is>
          <t>F30 水準</t>
        </is>
      </c>
      <c r="BY5" s="11" t="inlineStr">
        <is>
          <t>カテゴリ</t>
        </is>
      </c>
      <c r="BZ5" s="11" t="inlineStr">
        <is>
          <t>条件ID</t>
        </is>
      </c>
    </row>
    <row r="6">
      <c r="A6" s="25" t="n"/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6" t="n"/>
      <c r="AP6" s="25" t="n"/>
      <c r="AQ6" s="25" t="n"/>
      <c r="AR6" s="25" t="n"/>
      <c r="AS6" s="25" t="n"/>
      <c r="AU6" s="24">
        <f>IF('因子水準表'!B9="","",'因子水準表'!B9)</f>
        <v/>
      </c>
      <c r="AV6" s="24">
        <f>IF('因子水準表'!C9="","",'因子水準表'!C9)</f>
        <v/>
      </c>
      <c r="AW6" s="24">
        <f>IF('因子水準表'!D9="","",'因子水準表'!D9)</f>
        <v/>
      </c>
      <c r="AX6" s="24">
        <f>IF('因子水準表'!E9="","",'因子水準表'!E9)</f>
        <v/>
      </c>
      <c r="AY6" s="24">
        <f>IF('因子水準表'!F9="","",'因子水準表'!F9)</f>
        <v/>
      </c>
      <c r="AZ6" s="24">
        <f>IF('因子水準表'!G9="","",'因子水準表'!G9)</f>
        <v/>
      </c>
      <c r="BA6" s="24">
        <f>IF('因子水準表'!H9="","",'因子水準表'!H9)</f>
        <v/>
      </c>
      <c r="BB6" s="24">
        <f>IF('因子水準表'!I9="","",'因子水準表'!I9)</f>
        <v/>
      </c>
      <c r="BC6" s="24">
        <f>IF('因子水準表'!J9="","",'因子水準表'!J9)</f>
        <v/>
      </c>
      <c r="BD6" s="24">
        <f>IF('因子水準表'!K9="","",'因子水準表'!K9)</f>
        <v/>
      </c>
      <c r="BE6" s="24">
        <f>IF('因子水準表'!L9="","",'因子水準表'!L9)</f>
        <v/>
      </c>
      <c r="BF6" s="24">
        <f>IF('因子水準表'!M9="","",'因子水準表'!M9)</f>
        <v/>
      </c>
      <c r="BG6" s="24">
        <f>IF('因子水準表'!N9="","",'因子水準表'!N9)</f>
        <v/>
      </c>
      <c r="BH6" s="24">
        <f>IF('因子水準表'!O9="","",'因子水準表'!O9)</f>
        <v/>
      </c>
      <c r="BI6" s="24">
        <f>IF('因子水準表'!P9="","",'因子水準表'!P9)</f>
        <v/>
      </c>
      <c r="BJ6" s="24">
        <f>IF('因子水準表'!Q9="","",'因子水準表'!Q9)</f>
        <v/>
      </c>
      <c r="BK6" s="24">
        <f>IF('因子水準表'!R9="","",'因子水準表'!R9)</f>
        <v/>
      </c>
      <c r="BL6" s="24">
        <f>IF('因子水準表'!S9="","",'因子水準表'!S9)</f>
        <v/>
      </c>
      <c r="BM6" s="24">
        <f>IF('因子水準表'!T9="","",'因子水準表'!T9)</f>
        <v/>
      </c>
      <c r="BN6" s="24">
        <f>IF('因子水準表'!U9="","",'因子水準表'!U9)</f>
        <v/>
      </c>
      <c r="BO6" s="24">
        <f>IF('因子水準表'!V9="","",'因子水準表'!V9)</f>
        <v/>
      </c>
      <c r="BP6" s="24">
        <f>IF('因子水準表'!W9="","",'因子水準表'!W9)</f>
        <v/>
      </c>
      <c r="BQ6" s="24">
        <f>IF('因子水準表'!X9="","",'因子水準表'!X9)</f>
        <v/>
      </c>
      <c r="BR6" s="24">
        <f>IF('因子水準表'!Y9="","",'因子水準表'!Y9)</f>
        <v/>
      </c>
      <c r="BS6" s="24">
        <f>IF('因子水準表'!Z9="","",'因子水準表'!Z9)</f>
        <v/>
      </c>
      <c r="BT6" s="24">
        <f>IF('因子水準表'!AA9="","",'因子水準表'!AA9)</f>
        <v/>
      </c>
      <c r="BU6" s="24">
        <f>IF('因子水準表'!AB9="","",'因子水準表'!AB9)</f>
        <v/>
      </c>
      <c r="BV6" s="24">
        <f>IF('因子水準表'!AC9="","",'因子水準表'!AC9)</f>
        <v/>
      </c>
      <c r="BW6" s="24">
        <f>IF('因子水準表'!AD9="","",'因子水準表'!AD9)</f>
        <v/>
      </c>
      <c r="BX6" s="24">
        <f>IF('因子水準表'!AE9="","",'因子水準表'!AE9)</f>
        <v/>
      </c>
      <c r="BY6" s="24">
        <f>IF('因子水準表'!B28="","",'因子水準表'!B28)</f>
        <v/>
      </c>
      <c r="BZ6" s="24">
        <f>IF('テスト条件'!A5="","",'テスト条件'!A5)</f>
        <v/>
      </c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6" t="n"/>
      <c r="AP7" s="25" t="n"/>
      <c r="AQ7" s="25" t="n"/>
      <c r="AR7" s="25" t="n"/>
      <c r="AS7" s="25" t="n"/>
      <c r="AU7" s="24">
        <f>IF('因子水準表'!B10="","",'因子水準表'!B10)</f>
        <v/>
      </c>
      <c r="AV7" s="24">
        <f>IF('因子水準表'!C10="","",'因子水準表'!C10)</f>
        <v/>
      </c>
      <c r="AW7" s="24">
        <f>IF('因子水準表'!D10="","",'因子水準表'!D10)</f>
        <v/>
      </c>
      <c r="AX7" s="24">
        <f>IF('因子水準表'!E10="","",'因子水準表'!E10)</f>
        <v/>
      </c>
      <c r="AY7" s="24">
        <f>IF('因子水準表'!F10="","",'因子水準表'!F10)</f>
        <v/>
      </c>
      <c r="AZ7" s="24">
        <f>IF('因子水準表'!G10="","",'因子水準表'!G10)</f>
        <v/>
      </c>
      <c r="BA7" s="24">
        <f>IF('因子水準表'!H10="","",'因子水準表'!H10)</f>
        <v/>
      </c>
      <c r="BB7" s="24">
        <f>IF('因子水準表'!I10="","",'因子水準表'!I10)</f>
        <v/>
      </c>
      <c r="BC7" s="24">
        <f>IF('因子水準表'!J10="","",'因子水準表'!J10)</f>
        <v/>
      </c>
      <c r="BD7" s="24">
        <f>IF('因子水準表'!K10="","",'因子水準表'!K10)</f>
        <v/>
      </c>
      <c r="BE7" s="24">
        <f>IF('因子水準表'!L10="","",'因子水準表'!L10)</f>
        <v/>
      </c>
      <c r="BF7" s="24">
        <f>IF('因子水準表'!M10="","",'因子水準表'!M10)</f>
        <v/>
      </c>
      <c r="BG7" s="24">
        <f>IF('因子水準表'!N10="","",'因子水準表'!N10)</f>
        <v/>
      </c>
      <c r="BH7" s="24">
        <f>IF('因子水準表'!O10="","",'因子水準表'!O10)</f>
        <v/>
      </c>
      <c r="BI7" s="24">
        <f>IF('因子水準表'!P10="","",'因子水準表'!P10)</f>
        <v/>
      </c>
      <c r="BJ7" s="24">
        <f>IF('因子水準表'!Q10="","",'因子水準表'!Q10)</f>
        <v/>
      </c>
      <c r="BK7" s="24">
        <f>IF('因子水準表'!R10="","",'因子水準表'!R10)</f>
        <v/>
      </c>
      <c r="BL7" s="24">
        <f>IF('因子水準表'!S10="","",'因子水準表'!S10)</f>
        <v/>
      </c>
      <c r="BM7" s="24">
        <f>IF('因子水準表'!T10="","",'因子水準表'!T10)</f>
        <v/>
      </c>
      <c r="BN7" s="24">
        <f>IF('因子水準表'!U10="","",'因子水準表'!U10)</f>
        <v/>
      </c>
      <c r="BO7" s="24">
        <f>IF('因子水準表'!V10="","",'因子水準表'!V10)</f>
        <v/>
      </c>
      <c r="BP7" s="24">
        <f>IF('因子水準表'!W10="","",'因子水準表'!W10)</f>
        <v/>
      </c>
      <c r="BQ7" s="24">
        <f>IF('因子水準表'!X10="","",'因子水準表'!X10)</f>
        <v/>
      </c>
      <c r="BR7" s="24">
        <f>IF('因子水準表'!Y10="","",'因子水準表'!Y10)</f>
        <v/>
      </c>
      <c r="BS7" s="24">
        <f>IF('因子水準表'!Z10="","",'因子水準表'!Z10)</f>
        <v/>
      </c>
      <c r="BT7" s="24">
        <f>IF('因子水準表'!AA10="","",'因子水準表'!AA10)</f>
        <v/>
      </c>
      <c r="BU7" s="24">
        <f>IF('因子水準表'!AB10="","",'因子水準表'!AB10)</f>
        <v/>
      </c>
      <c r="BV7" s="24">
        <f>IF('因子水準表'!AC10="","",'因子水準表'!AC10)</f>
        <v/>
      </c>
      <c r="BW7" s="24">
        <f>IF('因子水準表'!AD10="","",'因子水準表'!AD10)</f>
        <v/>
      </c>
      <c r="BX7" s="24">
        <f>IF('因子水準表'!AE10="","",'因子水準表'!AE10)</f>
        <v/>
      </c>
      <c r="BY7" s="24">
        <f>IF('因子水準表'!B29="","",'因子水準表'!B29)</f>
        <v/>
      </c>
      <c r="BZ7" s="24">
        <f>IF('テスト条件'!A6="","",'テスト条件'!A6)</f>
        <v/>
      </c>
    </row>
    <row r="8">
      <c r="A8" s="25" t="n"/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6" t="n"/>
      <c r="AP8" s="25" t="n"/>
      <c r="AQ8" s="25" t="n"/>
      <c r="AR8" s="25" t="n"/>
      <c r="AS8" s="25" t="n"/>
      <c r="AU8" s="24">
        <f>IF('因子水準表'!B11="","",'因子水準表'!B11)</f>
        <v/>
      </c>
      <c r="AV8" s="24">
        <f>IF('因子水準表'!C11="","",'因子水準表'!C11)</f>
        <v/>
      </c>
      <c r="AW8" s="24">
        <f>IF('因子水準表'!D11="","",'因子水準表'!D11)</f>
        <v/>
      </c>
      <c r="AX8" s="24">
        <f>IF('因子水準表'!E11="","",'因子水準表'!E11)</f>
        <v/>
      </c>
      <c r="AY8" s="24">
        <f>IF('因子水準表'!F11="","",'因子水準表'!F11)</f>
        <v/>
      </c>
      <c r="AZ8" s="24">
        <f>IF('因子水準表'!G11="","",'因子水準表'!G11)</f>
        <v/>
      </c>
      <c r="BA8" s="24">
        <f>IF('因子水準表'!H11="","",'因子水準表'!H11)</f>
        <v/>
      </c>
      <c r="BB8" s="24">
        <f>IF('因子水準表'!I11="","",'因子水準表'!I11)</f>
        <v/>
      </c>
      <c r="BC8" s="24">
        <f>IF('因子水準表'!J11="","",'因子水準表'!J11)</f>
        <v/>
      </c>
      <c r="BD8" s="24">
        <f>IF('因子水準表'!K11="","",'因子水準表'!K11)</f>
        <v/>
      </c>
      <c r="BE8" s="24">
        <f>IF('因子水準表'!L11="","",'因子水準表'!L11)</f>
        <v/>
      </c>
      <c r="BF8" s="24">
        <f>IF('因子水準表'!M11="","",'因子水準表'!M11)</f>
        <v/>
      </c>
      <c r="BG8" s="24">
        <f>IF('因子水準表'!N11="","",'因子水準表'!N11)</f>
        <v/>
      </c>
      <c r="BH8" s="24">
        <f>IF('因子水準表'!O11="","",'因子水準表'!O11)</f>
        <v/>
      </c>
      <c r="BI8" s="24">
        <f>IF('因子水準表'!P11="","",'因子水準表'!P11)</f>
        <v/>
      </c>
      <c r="BJ8" s="24">
        <f>IF('因子水準表'!Q11="","",'因子水準表'!Q11)</f>
        <v/>
      </c>
      <c r="BK8" s="24">
        <f>IF('因子水準表'!R11="","",'因子水準表'!R11)</f>
        <v/>
      </c>
      <c r="BL8" s="24">
        <f>IF('因子水準表'!S11="","",'因子水準表'!S11)</f>
        <v/>
      </c>
      <c r="BM8" s="24">
        <f>IF('因子水準表'!T11="","",'因子水準表'!T11)</f>
        <v/>
      </c>
      <c r="BN8" s="24">
        <f>IF('因子水準表'!U11="","",'因子水準表'!U11)</f>
        <v/>
      </c>
      <c r="BO8" s="24">
        <f>IF('因子水準表'!V11="","",'因子水準表'!V11)</f>
        <v/>
      </c>
      <c r="BP8" s="24">
        <f>IF('因子水準表'!W11="","",'因子水準表'!W11)</f>
        <v/>
      </c>
      <c r="BQ8" s="24">
        <f>IF('因子水準表'!X11="","",'因子水準表'!X11)</f>
        <v/>
      </c>
      <c r="BR8" s="24">
        <f>IF('因子水準表'!Y11="","",'因子水準表'!Y11)</f>
        <v/>
      </c>
      <c r="BS8" s="24">
        <f>IF('因子水準表'!Z11="","",'因子水準表'!Z11)</f>
        <v/>
      </c>
      <c r="BT8" s="24">
        <f>IF('因子水準表'!AA11="","",'因子水準表'!AA11)</f>
        <v/>
      </c>
      <c r="BU8" s="24">
        <f>IF('因子水準表'!AB11="","",'因子水準表'!AB11)</f>
        <v/>
      </c>
      <c r="BV8" s="24">
        <f>IF('因子水準表'!AC11="","",'因子水準表'!AC11)</f>
        <v/>
      </c>
      <c r="BW8" s="24">
        <f>IF('因子水準表'!AD11="","",'因子水準表'!AD11)</f>
        <v/>
      </c>
      <c r="BX8" s="24">
        <f>IF('因子水準表'!AE11="","",'因子水準表'!AE11)</f>
        <v/>
      </c>
      <c r="BY8" s="24">
        <f>IF('因子水準表'!B30="","",'因子水準表'!B30)</f>
        <v/>
      </c>
      <c r="BZ8" s="24">
        <f>IF('テスト条件'!A7="","",'テスト条件'!A7)</f>
        <v/>
      </c>
    </row>
    <row r="9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6" t="n"/>
      <c r="AP9" s="25" t="n"/>
      <c r="AQ9" s="25" t="n"/>
      <c r="AR9" s="25" t="n"/>
      <c r="AS9" s="25" t="n"/>
      <c r="AU9" s="24">
        <f>IF('因子水準表'!B12="","",'因子水準表'!B12)</f>
        <v/>
      </c>
      <c r="AV9" s="24">
        <f>IF('因子水準表'!C12="","",'因子水準表'!C12)</f>
        <v/>
      </c>
      <c r="AW9" s="24">
        <f>IF('因子水準表'!D12="","",'因子水準表'!D12)</f>
        <v/>
      </c>
      <c r="AX9" s="24">
        <f>IF('因子水準表'!E12="","",'因子水準表'!E12)</f>
        <v/>
      </c>
      <c r="AY9" s="24">
        <f>IF('因子水準表'!F12="","",'因子水準表'!F12)</f>
        <v/>
      </c>
      <c r="AZ9" s="24">
        <f>IF('因子水準表'!G12="","",'因子水準表'!G12)</f>
        <v/>
      </c>
      <c r="BA9" s="24">
        <f>IF('因子水準表'!H12="","",'因子水準表'!H12)</f>
        <v/>
      </c>
      <c r="BB9" s="24">
        <f>IF('因子水準表'!I12="","",'因子水準表'!I12)</f>
        <v/>
      </c>
      <c r="BC9" s="24">
        <f>IF('因子水準表'!J12="","",'因子水準表'!J12)</f>
        <v/>
      </c>
      <c r="BD9" s="24">
        <f>IF('因子水準表'!K12="","",'因子水準表'!K12)</f>
        <v/>
      </c>
      <c r="BE9" s="24">
        <f>IF('因子水準表'!L12="","",'因子水準表'!L12)</f>
        <v/>
      </c>
      <c r="BF9" s="24">
        <f>IF('因子水準表'!M12="","",'因子水準表'!M12)</f>
        <v/>
      </c>
      <c r="BG9" s="24">
        <f>IF('因子水準表'!N12="","",'因子水準表'!N12)</f>
        <v/>
      </c>
      <c r="BH9" s="24">
        <f>IF('因子水準表'!O12="","",'因子水準表'!O12)</f>
        <v/>
      </c>
      <c r="BI9" s="24">
        <f>IF('因子水準表'!P12="","",'因子水準表'!P12)</f>
        <v/>
      </c>
      <c r="BJ9" s="24">
        <f>IF('因子水準表'!Q12="","",'因子水準表'!Q12)</f>
        <v/>
      </c>
      <c r="BK9" s="24">
        <f>IF('因子水準表'!R12="","",'因子水準表'!R12)</f>
        <v/>
      </c>
      <c r="BL9" s="24">
        <f>IF('因子水準表'!S12="","",'因子水準表'!S12)</f>
        <v/>
      </c>
      <c r="BM9" s="24">
        <f>IF('因子水準表'!T12="","",'因子水準表'!T12)</f>
        <v/>
      </c>
      <c r="BN9" s="24">
        <f>IF('因子水準表'!U12="","",'因子水準表'!U12)</f>
        <v/>
      </c>
      <c r="BO9" s="24">
        <f>IF('因子水準表'!V12="","",'因子水準表'!V12)</f>
        <v/>
      </c>
      <c r="BP9" s="24">
        <f>IF('因子水準表'!W12="","",'因子水準表'!W12)</f>
        <v/>
      </c>
      <c r="BQ9" s="24">
        <f>IF('因子水準表'!X12="","",'因子水準表'!X12)</f>
        <v/>
      </c>
      <c r="BR9" s="24">
        <f>IF('因子水準表'!Y12="","",'因子水準表'!Y12)</f>
        <v/>
      </c>
      <c r="BS9" s="24">
        <f>IF('因子水準表'!Z12="","",'因子水準表'!Z12)</f>
        <v/>
      </c>
      <c r="BT9" s="24">
        <f>IF('因子水準表'!AA12="","",'因子水準表'!AA12)</f>
        <v/>
      </c>
      <c r="BU9" s="24">
        <f>IF('因子水準表'!AB12="","",'因子水準表'!AB12)</f>
        <v/>
      </c>
      <c r="BV9" s="24">
        <f>IF('因子水準表'!AC12="","",'因子水準表'!AC12)</f>
        <v/>
      </c>
      <c r="BW9" s="24">
        <f>IF('因子水準表'!AD12="","",'因子水準表'!AD12)</f>
        <v/>
      </c>
      <c r="BX9" s="24">
        <f>IF('因子水準表'!AE12="","",'因子水準表'!AE12)</f>
        <v/>
      </c>
      <c r="BY9" s="24">
        <f>IF('因子水準表'!B31="","",'因子水準表'!B31)</f>
        <v/>
      </c>
      <c r="BZ9" s="24">
        <f>IF('テスト条件'!A8="","",'テスト条件'!A8)</f>
        <v/>
      </c>
    </row>
    <row r="10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6" t="n"/>
      <c r="AP10" s="25" t="n"/>
      <c r="AQ10" s="25" t="n"/>
      <c r="AR10" s="25" t="n"/>
      <c r="AS10" s="25" t="n"/>
      <c r="AU10" s="24">
        <f>IF('因子水準表'!B13="","",'因子水準表'!B13)</f>
        <v/>
      </c>
      <c r="AV10" s="24">
        <f>IF('因子水準表'!C13="","",'因子水準表'!C13)</f>
        <v/>
      </c>
      <c r="AW10" s="24">
        <f>IF('因子水準表'!D13="","",'因子水準表'!D13)</f>
        <v/>
      </c>
      <c r="AX10" s="24">
        <f>IF('因子水準表'!E13="","",'因子水準表'!E13)</f>
        <v/>
      </c>
      <c r="AY10" s="24">
        <f>IF('因子水準表'!F13="","",'因子水準表'!F13)</f>
        <v/>
      </c>
      <c r="AZ10" s="24">
        <f>IF('因子水準表'!G13="","",'因子水準表'!G13)</f>
        <v/>
      </c>
      <c r="BA10" s="24">
        <f>IF('因子水準表'!H13="","",'因子水準表'!H13)</f>
        <v/>
      </c>
      <c r="BB10" s="24">
        <f>IF('因子水準表'!I13="","",'因子水準表'!I13)</f>
        <v/>
      </c>
      <c r="BC10" s="24">
        <f>IF('因子水準表'!J13="","",'因子水準表'!J13)</f>
        <v/>
      </c>
      <c r="BD10" s="24">
        <f>IF('因子水準表'!K13="","",'因子水準表'!K13)</f>
        <v/>
      </c>
      <c r="BE10" s="24">
        <f>IF('因子水準表'!L13="","",'因子水準表'!L13)</f>
        <v/>
      </c>
      <c r="BF10" s="24">
        <f>IF('因子水準表'!M13="","",'因子水準表'!M13)</f>
        <v/>
      </c>
      <c r="BG10" s="24">
        <f>IF('因子水準表'!N13="","",'因子水準表'!N13)</f>
        <v/>
      </c>
      <c r="BH10" s="24">
        <f>IF('因子水準表'!O13="","",'因子水準表'!O13)</f>
        <v/>
      </c>
      <c r="BI10" s="24">
        <f>IF('因子水準表'!P13="","",'因子水準表'!P13)</f>
        <v/>
      </c>
      <c r="BJ10" s="24">
        <f>IF('因子水準表'!Q13="","",'因子水準表'!Q13)</f>
        <v/>
      </c>
      <c r="BK10" s="24">
        <f>IF('因子水準表'!R13="","",'因子水準表'!R13)</f>
        <v/>
      </c>
      <c r="BL10" s="24">
        <f>IF('因子水準表'!S13="","",'因子水準表'!S13)</f>
        <v/>
      </c>
      <c r="BM10" s="24">
        <f>IF('因子水準表'!T13="","",'因子水準表'!T13)</f>
        <v/>
      </c>
      <c r="BN10" s="24">
        <f>IF('因子水準表'!U13="","",'因子水準表'!U13)</f>
        <v/>
      </c>
      <c r="BO10" s="24">
        <f>IF('因子水準表'!V13="","",'因子水準表'!V13)</f>
        <v/>
      </c>
      <c r="BP10" s="24">
        <f>IF('因子水準表'!W13="","",'因子水準表'!W13)</f>
        <v/>
      </c>
      <c r="BQ10" s="24">
        <f>IF('因子水準表'!X13="","",'因子水準表'!X13)</f>
        <v/>
      </c>
      <c r="BR10" s="24">
        <f>IF('因子水準表'!Y13="","",'因子水準表'!Y13)</f>
        <v/>
      </c>
      <c r="BS10" s="24">
        <f>IF('因子水準表'!Z13="","",'因子水準表'!Z13)</f>
        <v/>
      </c>
      <c r="BT10" s="24">
        <f>IF('因子水準表'!AA13="","",'因子水準表'!AA13)</f>
        <v/>
      </c>
      <c r="BU10" s="24">
        <f>IF('因子水準表'!AB13="","",'因子水準表'!AB13)</f>
        <v/>
      </c>
      <c r="BV10" s="24">
        <f>IF('因子水準表'!AC13="","",'因子水準表'!AC13)</f>
        <v/>
      </c>
      <c r="BW10" s="24">
        <f>IF('因子水準表'!AD13="","",'因子水準表'!AD13)</f>
        <v/>
      </c>
      <c r="BX10" s="24">
        <f>IF('因子水準表'!AE13="","",'因子水準表'!AE13)</f>
        <v/>
      </c>
      <c r="BY10" s="24">
        <f>IF('因子水準表'!B32="","",'因子水準表'!B32)</f>
        <v/>
      </c>
      <c r="BZ10" s="24">
        <f>IF('テスト条件'!A9="","",'テスト条件'!A9)</f>
        <v/>
      </c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6" t="n"/>
      <c r="AP11" s="25" t="n"/>
      <c r="AQ11" s="25" t="n"/>
      <c r="AR11" s="25" t="n"/>
      <c r="AS11" s="25" t="n"/>
      <c r="AU11" s="24">
        <f>IF('因子水準表'!B14="","",'因子水準表'!B14)</f>
        <v/>
      </c>
      <c r="AV11" s="24">
        <f>IF('因子水準表'!C14="","",'因子水準表'!C14)</f>
        <v/>
      </c>
      <c r="AW11" s="24">
        <f>IF('因子水準表'!D14="","",'因子水準表'!D14)</f>
        <v/>
      </c>
      <c r="AX11" s="24">
        <f>IF('因子水準表'!E14="","",'因子水準表'!E14)</f>
        <v/>
      </c>
      <c r="AY11" s="24">
        <f>IF('因子水準表'!F14="","",'因子水準表'!F14)</f>
        <v/>
      </c>
      <c r="AZ11" s="24">
        <f>IF('因子水準表'!G14="","",'因子水準表'!G14)</f>
        <v/>
      </c>
      <c r="BA11" s="24">
        <f>IF('因子水準表'!H14="","",'因子水準表'!H14)</f>
        <v/>
      </c>
      <c r="BB11" s="24">
        <f>IF('因子水準表'!I14="","",'因子水準表'!I14)</f>
        <v/>
      </c>
      <c r="BC11" s="24">
        <f>IF('因子水準表'!J14="","",'因子水準表'!J14)</f>
        <v/>
      </c>
      <c r="BD11" s="24">
        <f>IF('因子水準表'!K14="","",'因子水準表'!K14)</f>
        <v/>
      </c>
      <c r="BE11" s="24">
        <f>IF('因子水準表'!L14="","",'因子水準表'!L14)</f>
        <v/>
      </c>
      <c r="BF11" s="24">
        <f>IF('因子水準表'!M14="","",'因子水準表'!M14)</f>
        <v/>
      </c>
      <c r="BG11" s="24">
        <f>IF('因子水準表'!N14="","",'因子水準表'!N14)</f>
        <v/>
      </c>
      <c r="BH11" s="24">
        <f>IF('因子水準表'!O14="","",'因子水準表'!O14)</f>
        <v/>
      </c>
      <c r="BI11" s="24">
        <f>IF('因子水準表'!P14="","",'因子水準表'!P14)</f>
        <v/>
      </c>
      <c r="BJ11" s="24">
        <f>IF('因子水準表'!Q14="","",'因子水準表'!Q14)</f>
        <v/>
      </c>
      <c r="BK11" s="24">
        <f>IF('因子水準表'!R14="","",'因子水準表'!R14)</f>
        <v/>
      </c>
      <c r="BL11" s="24">
        <f>IF('因子水準表'!S14="","",'因子水準表'!S14)</f>
        <v/>
      </c>
      <c r="BM11" s="24">
        <f>IF('因子水準表'!T14="","",'因子水準表'!T14)</f>
        <v/>
      </c>
      <c r="BN11" s="24">
        <f>IF('因子水準表'!U14="","",'因子水準表'!U14)</f>
        <v/>
      </c>
      <c r="BO11" s="24">
        <f>IF('因子水準表'!V14="","",'因子水準表'!V14)</f>
        <v/>
      </c>
      <c r="BP11" s="24">
        <f>IF('因子水準表'!W14="","",'因子水準表'!W14)</f>
        <v/>
      </c>
      <c r="BQ11" s="24">
        <f>IF('因子水準表'!X14="","",'因子水準表'!X14)</f>
        <v/>
      </c>
      <c r="BR11" s="24">
        <f>IF('因子水準表'!Y14="","",'因子水準表'!Y14)</f>
        <v/>
      </c>
      <c r="BS11" s="24">
        <f>IF('因子水準表'!Z14="","",'因子水準表'!Z14)</f>
        <v/>
      </c>
      <c r="BT11" s="24">
        <f>IF('因子水準表'!AA14="","",'因子水準表'!AA14)</f>
        <v/>
      </c>
      <c r="BU11" s="24">
        <f>IF('因子水準表'!AB14="","",'因子水準表'!AB14)</f>
        <v/>
      </c>
      <c r="BV11" s="24">
        <f>IF('因子水準表'!AC14="","",'因子水準表'!AC14)</f>
        <v/>
      </c>
      <c r="BW11" s="24">
        <f>IF('因子水準表'!AD14="","",'因子水準表'!AD14)</f>
        <v/>
      </c>
      <c r="BX11" s="24">
        <f>IF('因子水準表'!AE14="","",'因子水準表'!AE14)</f>
        <v/>
      </c>
      <c r="BY11" s="24">
        <f>IF('因子水準表'!B33="","",'因子水準表'!B33)</f>
        <v/>
      </c>
      <c r="BZ11" s="24">
        <f>IF('テスト条件'!A10="","",'テスト条件'!A10)</f>
        <v/>
      </c>
    </row>
    <row r="12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6" t="n"/>
      <c r="AP12" s="25" t="n"/>
      <c r="AQ12" s="25" t="n"/>
      <c r="AR12" s="25" t="n"/>
      <c r="AS12" s="25" t="n"/>
      <c r="AU12" s="24">
        <f>IF('因子水準表'!B15="","",'因子水準表'!B15)</f>
        <v/>
      </c>
      <c r="AV12" s="24">
        <f>IF('因子水準表'!C15="","",'因子水準表'!C15)</f>
        <v/>
      </c>
      <c r="AW12" s="24">
        <f>IF('因子水準表'!D15="","",'因子水準表'!D15)</f>
        <v/>
      </c>
      <c r="AX12" s="24">
        <f>IF('因子水準表'!E15="","",'因子水準表'!E15)</f>
        <v/>
      </c>
      <c r="AY12" s="24">
        <f>IF('因子水準表'!F15="","",'因子水準表'!F15)</f>
        <v/>
      </c>
      <c r="AZ12" s="24">
        <f>IF('因子水準表'!G15="","",'因子水準表'!G15)</f>
        <v/>
      </c>
      <c r="BA12" s="24">
        <f>IF('因子水準表'!H15="","",'因子水準表'!H15)</f>
        <v/>
      </c>
      <c r="BB12" s="24">
        <f>IF('因子水準表'!I15="","",'因子水準表'!I15)</f>
        <v/>
      </c>
      <c r="BC12" s="24">
        <f>IF('因子水準表'!J15="","",'因子水準表'!J15)</f>
        <v/>
      </c>
      <c r="BD12" s="24">
        <f>IF('因子水準表'!K15="","",'因子水準表'!K15)</f>
        <v/>
      </c>
      <c r="BE12" s="24">
        <f>IF('因子水準表'!L15="","",'因子水準表'!L15)</f>
        <v/>
      </c>
      <c r="BF12" s="24">
        <f>IF('因子水準表'!M15="","",'因子水準表'!M15)</f>
        <v/>
      </c>
      <c r="BG12" s="24">
        <f>IF('因子水準表'!N15="","",'因子水準表'!N15)</f>
        <v/>
      </c>
      <c r="BH12" s="24">
        <f>IF('因子水準表'!O15="","",'因子水準表'!O15)</f>
        <v/>
      </c>
      <c r="BI12" s="24">
        <f>IF('因子水準表'!P15="","",'因子水準表'!P15)</f>
        <v/>
      </c>
      <c r="BJ12" s="24">
        <f>IF('因子水準表'!Q15="","",'因子水準表'!Q15)</f>
        <v/>
      </c>
      <c r="BK12" s="24">
        <f>IF('因子水準表'!R15="","",'因子水準表'!R15)</f>
        <v/>
      </c>
      <c r="BL12" s="24">
        <f>IF('因子水準表'!S15="","",'因子水準表'!S15)</f>
        <v/>
      </c>
      <c r="BM12" s="24">
        <f>IF('因子水準表'!T15="","",'因子水準表'!T15)</f>
        <v/>
      </c>
      <c r="BN12" s="24">
        <f>IF('因子水準表'!U15="","",'因子水準表'!U15)</f>
        <v/>
      </c>
      <c r="BO12" s="24">
        <f>IF('因子水準表'!V15="","",'因子水準表'!V15)</f>
        <v/>
      </c>
      <c r="BP12" s="24">
        <f>IF('因子水準表'!W15="","",'因子水準表'!W15)</f>
        <v/>
      </c>
      <c r="BQ12" s="24">
        <f>IF('因子水準表'!X15="","",'因子水準表'!X15)</f>
        <v/>
      </c>
      <c r="BR12" s="24">
        <f>IF('因子水準表'!Y15="","",'因子水準表'!Y15)</f>
        <v/>
      </c>
      <c r="BS12" s="24">
        <f>IF('因子水準表'!Z15="","",'因子水準表'!Z15)</f>
        <v/>
      </c>
      <c r="BT12" s="24">
        <f>IF('因子水準表'!AA15="","",'因子水準表'!AA15)</f>
        <v/>
      </c>
      <c r="BU12" s="24">
        <f>IF('因子水準表'!AB15="","",'因子水準表'!AB15)</f>
        <v/>
      </c>
      <c r="BV12" s="24">
        <f>IF('因子水準表'!AC15="","",'因子水準表'!AC15)</f>
        <v/>
      </c>
      <c r="BW12" s="24">
        <f>IF('因子水準表'!AD15="","",'因子水準表'!AD15)</f>
        <v/>
      </c>
      <c r="BX12" s="24">
        <f>IF('因子水準表'!AE15="","",'因子水準表'!AE15)</f>
        <v/>
      </c>
      <c r="BY12" s="24">
        <f>IF('因子水準表'!B34="","",'因子水準表'!B34)</f>
        <v/>
      </c>
      <c r="BZ12" s="24">
        <f>IF('テスト条件'!A11="","",'テスト条件'!A11)</f>
        <v/>
      </c>
    </row>
    <row r="13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6" t="n"/>
      <c r="AP13" s="25" t="n"/>
      <c r="AQ13" s="25" t="n"/>
      <c r="AR13" s="25" t="n"/>
      <c r="AS13" s="25" t="n"/>
      <c r="AU13" s="24">
        <f>IF('因子水準表'!B16="","",'因子水準表'!B16)</f>
        <v/>
      </c>
      <c r="AV13" s="24">
        <f>IF('因子水準表'!C16="","",'因子水準表'!C16)</f>
        <v/>
      </c>
      <c r="AW13" s="24">
        <f>IF('因子水準表'!D16="","",'因子水準表'!D16)</f>
        <v/>
      </c>
      <c r="AX13" s="24">
        <f>IF('因子水準表'!E16="","",'因子水準表'!E16)</f>
        <v/>
      </c>
      <c r="AY13" s="24">
        <f>IF('因子水準表'!F16="","",'因子水準表'!F16)</f>
        <v/>
      </c>
      <c r="AZ13" s="24">
        <f>IF('因子水準表'!G16="","",'因子水準表'!G16)</f>
        <v/>
      </c>
      <c r="BA13" s="24">
        <f>IF('因子水準表'!H16="","",'因子水準表'!H16)</f>
        <v/>
      </c>
      <c r="BB13" s="24">
        <f>IF('因子水準表'!I16="","",'因子水準表'!I16)</f>
        <v/>
      </c>
      <c r="BC13" s="24">
        <f>IF('因子水準表'!J16="","",'因子水準表'!J16)</f>
        <v/>
      </c>
      <c r="BD13" s="24">
        <f>IF('因子水準表'!K16="","",'因子水準表'!K16)</f>
        <v/>
      </c>
      <c r="BE13" s="24">
        <f>IF('因子水準表'!L16="","",'因子水準表'!L16)</f>
        <v/>
      </c>
      <c r="BF13" s="24">
        <f>IF('因子水準表'!M16="","",'因子水準表'!M16)</f>
        <v/>
      </c>
      <c r="BG13" s="24">
        <f>IF('因子水準表'!N16="","",'因子水準表'!N16)</f>
        <v/>
      </c>
      <c r="BH13" s="24">
        <f>IF('因子水準表'!O16="","",'因子水準表'!O16)</f>
        <v/>
      </c>
      <c r="BI13" s="24">
        <f>IF('因子水準表'!P16="","",'因子水準表'!P16)</f>
        <v/>
      </c>
      <c r="BJ13" s="24">
        <f>IF('因子水準表'!Q16="","",'因子水準表'!Q16)</f>
        <v/>
      </c>
      <c r="BK13" s="24">
        <f>IF('因子水準表'!R16="","",'因子水準表'!R16)</f>
        <v/>
      </c>
      <c r="BL13" s="24">
        <f>IF('因子水準表'!S16="","",'因子水準表'!S16)</f>
        <v/>
      </c>
      <c r="BM13" s="24">
        <f>IF('因子水準表'!T16="","",'因子水準表'!T16)</f>
        <v/>
      </c>
      <c r="BN13" s="24">
        <f>IF('因子水準表'!U16="","",'因子水準表'!U16)</f>
        <v/>
      </c>
      <c r="BO13" s="24">
        <f>IF('因子水準表'!V16="","",'因子水準表'!V16)</f>
        <v/>
      </c>
      <c r="BP13" s="24">
        <f>IF('因子水準表'!W16="","",'因子水準表'!W16)</f>
        <v/>
      </c>
      <c r="BQ13" s="24">
        <f>IF('因子水準表'!X16="","",'因子水準表'!X16)</f>
        <v/>
      </c>
      <c r="BR13" s="24">
        <f>IF('因子水準表'!Y16="","",'因子水準表'!Y16)</f>
        <v/>
      </c>
      <c r="BS13" s="24">
        <f>IF('因子水準表'!Z16="","",'因子水準表'!Z16)</f>
        <v/>
      </c>
      <c r="BT13" s="24">
        <f>IF('因子水準表'!AA16="","",'因子水準表'!AA16)</f>
        <v/>
      </c>
      <c r="BU13" s="24">
        <f>IF('因子水準表'!AB16="","",'因子水準表'!AB16)</f>
        <v/>
      </c>
      <c r="BV13" s="24">
        <f>IF('因子水準表'!AC16="","",'因子水準表'!AC16)</f>
        <v/>
      </c>
      <c r="BW13" s="24">
        <f>IF('因子水準表'!AD16="","",'因子水準表'!AD16)</f>
        <v/>
      </c>
      <c r="BX13" s="24">
        <f>IF('因子水準表'!AE16="","",'因子水準表'!AE16)</f>
        <v/>
      </c>
      <c r="BY13" s="24">
        <f>IF('因子水準表'!B35="","",'因子水準表'!B35)</f>
        <v/>
      </c>
      <c r="BZ13" s="24">
        <f>IF('テスト条件'!A12="","",'テスト条件'!A12)</f>
        <v/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6" t="n"/>
      <c r="AP14" s="25" t="n"/>
      <c r="AQ14" s="25" t="n"/>
      <c r="AR14" s="25" t="n"/>
      <c r="AS14" s="25" t="n"/>
      <c r="AU14" s="24">
        <f>IF('因子水準表'!B17="","",'因子水準表'!B17)</f>
        <v/>
      </c>
      <c r="AV14" s="24">
        <f>IF('因子水準表'!C17="","",'因子水準表'!C17)</f>
        <v/>
      </c>
      <c r="AW14" s="24">
        <f>IF('因子水準表'!D17="","",'因子水準表'!D17)</f>
        <v/>
      </c>
      <c r="AX14" s="24">
        <f>IF('因子水準表'!E17="","",'因子水準表'!E17)</f>
        <v/>
      </c>
      <c r="AY14" s="24">
        <f>IF('因子水準表'!F17="","",'因子水準表'!F17)</f>
        <v/>
      </c>
      <c r="AZ14" s="24">
        <f>IF('因子水準表'!G17="","",'因子水準表'!G17)</f>
        <v/>
      </c>
      <c r="BA14" s="24">
        <f>IF('因子水準表'!H17="","",'因子水準表'!H17)</f>
        <v/>
      </c>
      <c r="BB14" s="24">
        <f>IF('因子水準表'!I17="","",'因子水準表'!I17)</f>
        <v/>
      </c>
      <c r="BC14" s="24">
        <f>IF('因子水準表'!J17="","",'因子水準表'!J17)</f>
        <v/>
      </c>
      <c r="BD14" s="24">
        <f>IF('因子水準表'!K17="","",'因子水準表'!K17)</f>
        <v/>
      </c>
      <c r="BE14" s="24">
        <f>IF('因子水準表'!L17="","",'因子水準表'!L17)</f>
        <v/>
      </c>
      <c r="BF14" s="24">
        <f>IF('因子水準表'!M17="","",'因子水準表'!M17)</f>
        <v/>
      </c>
      <c r="BG14" s="24">
        <f>IF('因子水準表'!N17="","",'因子水準表'!N17)</f>
        <v/>
      </c>
      <c r="BH14" s="24">
        <f>IF('因子水準表'!O17="","",'因子水準表'!O17)</f>
        <v/>
      </c>
      <c r="BI14" s="24">
        <f>IF('因子水準表'!P17="","",'因子水準表'!P17)</f>
        <v/>
      </c>
      <c r="BJ14" s="24">
        <f>IF('因子水準表'!Q17="","",'因子水準表'!Q17)</f>
        <v/>
      </c>
      <c r="BK14" s="24">
        <f>IF('因子水準表'!R17="","",'因子水準表'!R17)</f>
        <v/>
      </c>
      <c r="BL14" s="24">
        <f>IF('因子水準表'!S17="","",'因子水準表'!S17)</f>
        <v/>
      </c>
      <c r="BM14" s="24">
        <f>IF('因子水準表'!T17="","",'因子水準表'!T17)</f>
        <v/>
      </c>
      <c r="BN14" s="24">
        <f>IF('因子水準表'!U17="","",'因子水準表'!U17)</f>
        <v/>
      </c>
      <c r="BO14" s="24">
        <f>IF('因子水準表'!V17="","",'因子水準表'!V17)</f>
        <v/>
      </c>
      <c r="BP14" s="24">
        <f>IF('因子水準表'!W17="","",'因子水準表'!W17)</f>
        <v/>
      </c>
      <c r="BQ14" s="24">
        <f>IF('因子水準表'!X17="","",'因子水準表'!X17)</f>
        <v/>
      </c>
      <c r="BR14" s="24">
        <f>IF('因子水準表'!Y17="","",'因子水準表'!Y17)</f>
        <v/>
      </c>
      <c r="BS14" s="24">
        <f>IF('因子水準表'!Z17="","",'因子水準表'!Z17)</f>
        <v/>
      </c>
      <c r="BT14" s="24">
        <f>IF('因子水準表'!AA17="","",'因子水準表'!AA17)</f>
        <v/>
      </c>
      <c r="BU14" s="24">
        <f>IF('因子水準表'!AB17="","",'因子水準表'!AB17)</f>
        <v/>
      </c>
      <c r="BV14" s="24">
        <f>IF('因子水準表'!AC17="","",'因子水準表'!AC17)</f>
        <v/>
      </c>
      <c r="BW14" s="24">
        <f>IF('因子水準表'!AD17="","",'因子水準表'!AD17)</f>
        <v/>
      </c>
      <c r="BX14" s="24">
        <f>IF('因子水準表'!AE17="","",'因子水準表'!AE17)</f>
        <v/>
      </c>
      <c r="BY14" s="24">
        <f>IF('因子水準表'!B36="","",'因子水準表'!B36)</f>
        <v/>
      </c>
      <c r="BZ14" s="24">
        <f>IF('テスト条件'!A13="","",'テスト条件'!A13)</f>
        <v/>
      </c>
    </row>
    <row r="15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6" t="n"/>
      <c r="AP15" s="25" t="n"/>
      <c r="AQ15" s="25" t="n"/>
      <c r="AR15" s="25" t="n"/>
      <c r="AS15" s="25" t="n"/>
      <c r="AU15" s="24">
        <f>IF('因子水準表'!B18="","",'因子水準表'!B18)</f>
        <v/>
      </c>
      <c r="AV15" s="24">
        <f>IF('因子水準表'!C18="","",'因子水準表'!C18)</f>
        <v/>
      </c>
      <c r="AW15" s="24">
        <f>IF('因子水準表'!D18="","",'因子水準表'!D18)</f>
        <v/>
      </c>
      <c r="AX15" s="24">
        <f>IF('因子水準表'!E18="","",'因子水準表'!E18)</f>
        <v/>
      </c>
      <c r="AY15" s="24">
        <f>IF('因子水準表'!F18="","",'因子水準表'!F18)</f>
        <v/>
      </c>
      <c r="AZ15" s="24">
        <f>IF('因子水準表'!G18="","",'因子水準表'!G18)</f>
        <v/>
      </c>
      <c r="BA15" s="24">
        <f>IF('因子水準表'!H18="","",'因子水準表'!H18)</f>
        <v/>
      </c>
      <c r="BB15" s="24">
        <f>IF('因子水準表'!I18="","",'因子水準表'!I18)</f>
        <v/>
      </c>
      <c r="BC15" s="24">
        <f>IF('因子水準表'!J18="","",'因子水準表'!J18)</f>
        <v/>
      </c>
      <c r="BD15" s="24">
        <f>IF('因子水準表'!K18="","",'因子水準表'!K18)</f>
        <v/>
      </c>
      <c r="BE15" s="24">
        <f>IF('因子水準表'!L18="","",'因子水準表'!L18)</f>
        <v/>
      </c>
      <c r="BF15" s="24">
        <f>IF('因子水準表'!M18="","",'因子水準表'!M18)</f>
        <v/>
      </c>
      <c r="BG15" s="24">
        <f>IF('因子水準表'!N18="","",'因子水準表'!N18)</f>
        <v/>
      </c>
      <c r="BH15" s="24">
        <f>IF('因子水準表'!O18="","",'因子水準表'!O18)</f>
        <v/>
      </c>
      <c r="BI15" s="24">
        <f>IF('因子水準表'!P18="","",'因子水準表'!P18)</f>
        <v/>
      </c>
      <c r="BJ15" s="24">
        <f>IF('因子水準表'!Q18="","",'因子水準表'!Q18)</f>
        <v/>
      </c>
      <c r="BK15" s="24">
        <f>IF('因子水準表'!R18="","",'因子水準表'!R18)</f>
        <v/>
      </c>
      <c r="BL15" s="24">
        <f>IF('因子水準表'!S18="","",'因子水準表'!S18)</f>
        <v/>
      </c>
      <c r="BM15" s="24">
        <f>IF('因子水準表'!T18="","",'因子水準表'!T18)</f>
        <v/>
      </c>
      <c r="BN15" s="24">
        <f>IF('因子水準表'!U18="","",'因子水準表'!U18)</f>
        <v/>
      </c>
      <c r="BO15" s="24">
        <f>IF('因子水準表'!V18="","",'因子水準表'!V18)</f>
        <v/>
      </c>
      <c r="BP15" s="24">
        <f>IF('因子水準表'!W18="","",'因子水準表'!W18)</f>
        <v/>
      </c>
      <c r="BQ15" s="24">
        <f>IF('因子水準表'!X18="","",'因子水準表'!X18)</f>
        <v/>
      </c>
      <c r="BR15" s="24">
        <f>IF('因子水準表'!Y18="","",'因子水準表'!Y18)</f>
        <v/>
      </c>
      <c r="BS15" s="24">
        <f>IF('因子水準表'!Z18="","",'因子水準表'!Z18)</f>
        <v/>
      </c>
      <c r="BT15" s="24">
        <f>IF('因子水準表'!AA18="","",'因子水準表'!AA18)</f>
        <v/>
      </c>
      <c r="BU15" s="24">
        <f>IF('因子水準表'!AB18="","",'因子水準表'!AB18)</f>
        <v/>
      </c>
      <c r="BV15" s="24">
        <f>IF('因子水準表'!AC18="","",'因子水準表'!AC18)</f>
        <v/>
      </c>
      <c r="BW15" s="24">
        <f>IF('因子水準表'!AD18="","",'因子水準表'!AD18)</f>
        <v/>
      </c>
      <c r="BX15" s="24">
        <f>IF('因子水準表'!AE18="","",'因子水準表'!AE18)</f>
        <v/>
      </c>
      <c r="BY15" s="24">
        <f>IF('因子水準表'!B37="","",'因子水準表'!B37)</f>
        <v/>
      </c>
      <c r="BZ15" s="24">
        <f>IF('テスト条件'!A14="","",'テスト条件'!A14)</f>
        <v/>
      </c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6" t="n"/>
      <c r="AP16" s="25" t="n"/>
      <c r="AQ16" s="25" t="n"/>
      <c r="AR16" s="25" t="n"/>
      <c r="AS16" s="25" t="n"/>
      <c r="BY16" s="24">
        <f>IF('因子水準表'!B38="","",'因子水準表'!B38)</f>
        <v/>
      </c>
      <c r="BZ16" s="24">
        <f>IF('テスト条件'!A15="","",'テスト条件'!A15)</f>
        <v/>
      </c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6" t="n"/>
      <c r="AP17" s="25" t="n"/>
      <c r="AQ17" s="25" t="n"/>
      <c r="AR17" s="25" t="n"/>
      <c r="AS17" s="25" t="n"/>
      <c r="BY17" s="24">
        <f>IF('因子水準表'!B39="","",'因子水準表'!B39)</f>
        <v/>
      </c>
      <c r="BZ17" s="24">
        <f>IF('テスト条件'!A16="","",'テスト条件'!A16)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6" t="n"/>
      <c r="AP18" s="25" t="n"/>
      <c r="AQ18" s="25" t="n"/>
      <c r="AR18" s="25" t="n"/>
      <c r="AS18" s="25" t="n"/>
      <c r="BY18" s="24">
        <f>IF('因子水準表'!B40="","",'因子水準表'!B40)</f>
        <v/>
      </c>
      <c r="BZ18" s="24">
        <f>IF('テスト条件'!A17="","",'テスト条件'!A17)</f>
        <v/>
      </c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6" t="n"/>
      <c r="AP19" s="25" t="n"/>
      <c r="AQ19" s="25" t="n"/>
      <c r="AR19" s="25" t="n"/>
      <c r="AS19" s="25" t="n"/>
      <c r="BY19" s="24">
        <f>IF('因子水準表'!B41="","",'因子水準表'!B41)</f>
        <v/>
      </c>
      <c r="BZ19" s="24">
        <f>IF('テスト条件'!A18="","",'テスト条件'!A18)</f>
        <v/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6" t="n"/>
      <c r="AP20" s="25" t="n"/>
      <c r="AQ20" s="25" t="n"/>
      <c r="AR20" s="25" t="n"/>
      <c r="AS20" s="25" t="n"/>
      <c r="BY20" s="24">
        <f>IF('因子水準表'!B42="","",'因子水準表'!B42)</f>
        <v/>
      </c>
      <c r="BZ20" s="24">
        <f>IF('テスト条件'!A19="","",'テスト条件'!A19)</f>
        <v/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6" t="n"/>
      <c r="AP21" s="25" t="n"/>
      <c r="AQ21" s="25" t="n"/>
      <c r="AR21" s="25" t="n"/>
      <c r="AS21" s="25" t="n"/>
      <c r="BY21" s="24">
        <f>IF('因子水準表'!B43="","",'因子水準表'!B43)</f>
        <v/>
      </c>
      <c r="BZ21" s="24">
        <f>IF('テスト条件'!A20="","",'テスト条件'!A20)</f>
        <v/>
      </c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6" t="n"/>
      <c r="AP22" s="25" t="n"/>
      <c r="AQ22" s="25" t="n"/>
      <c r="AR22" s="25" t="n"/>
      <c r="AS22" s="25" t="n"/>
      <c r="BY22" s="24">
        <f>IF('因子水準表'!B44="","",'因子水準表'!B44)</f>
        <v/>
      </c>
      <c r="BZ22" s="24">
        <f>IF('テスト条件'!A21="","",'テスト条件'!A21)</f>
        <v/>
      </c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6" t="n"/>
      <c r="AP23" s="25" t="n"/>
      <c r="AQ23" s="25" t="n"/>
      <c r="AR23" s="25" t="n"/>
      <c r="AS23" s="25" t="n"/>
      <c r="BY23" s="24">
        <f>IF('因子水準表'!B45="","",'因子水準表'!B45)</f>
        <v/>
      </c>
      <c r="BZ23" s="24">
        <f>IF('テスト条件'!A22="","",'テスト条件'!A22)</f>
        <v/>
      </c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6" t="n"/>
      <c r="AP24" s="25" t="n"/>
      <c r="AQ24" s="25" t="n"/>
      <c r="AR24" s="25" t="n"/>
      <c r="AS24" s="25" t="n"/>
      <c r="BY24" s="24">
        <f>IF('因子水準表'!B46="","",'因子水準表'!B46)</f>
        <v/>
      </c>
      <c r="BZ24" s="24">
        <f>IF('テスト条件'!A23="","",'テスト条件'!A23)</f>
        <v/>
      </c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6" t="n"/>
      <c r="AP25" s="25" t="n"/>
      <c r="AQ25" s="25" t="n"/>
      <c r="AR25" s="25" t="n"/>
      <c r="AS25" s="25" t="n"/>
      <c r="BY25" s="24">
        <f>IF('因子水準表'!B47="","",'因子水準表'!B47)</f>
        <v/>
      </c>
      <c r="BZ25" s="24">
        <f>IF('テスト条件'!A24="","",'テスト条件'!A24)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6" t="n"/>
      <c r="AP26" s="25" t="n"/>
      <c r="AQ26" s="25" t="n"/>
      <c r="AR26" s="25" t="n"/>
      <c r="AS26" s="25" t="n"/>
      <c r="BZ26" s="24">
        <f>IF('テスト条件'!A25="","",'テスト条件'!A25)</f>
        <v/>
      </c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6" t="n"/>
      <c r="AP27" s="25" t="n"/>
      <c r="AQ27" s="25" t="n"/>
      <c r="AR27" s="25" t="n"/>
      <c r="AS27" s="25" t="n"/>
      <c r="BZ27" s="24">
        <f>IF('テスト条件'!A26="","",'テスト条件'!A26)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6" t="n"/>
      <c r="AP28" s="25" t="n"/>
      <c r="AQ28" s="25" t="n"/>
      <c r="AR28" s="25" t="n"/>
      <c r="AS28" s="25" t="n"/>
      <c r="BZ28" s="24">
        <f>IF('テスト条件'!A27="","",'テスト条件'!A27)</f>
        <v/>
      </c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6" t="n"/>
      <c r="AP29" s="25" t="n"/>
      <c r="AQ29" s="25" t="n"/>
      <c r="AR29" s="25" t="n"/>
      <c r="AS29" s="25" t="n"/>
      <c r="BZ29" s="24">
        <f>IF('テスト条件'!A28="","",'テスト条件'!A28)</f>
        <v/>
      </c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6" t="n"/>
      <c r="AP30" s="25" t="n"/>
      <c r="AQ30" s="25" t="n"/>
      <c r="AR30" s="25" t="n"/>
      <c r="AS30" s="25" t="n"/>
      <c r="BZ30" s="24">
        <f>IF('テスト条件'!A29="","",'テスト条件'!A29)</f>
        <v/>
      </c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6" t="n"/>
      <c r="AP31" s="25" t="n"/>
      <c r="AQ31" s="25" t="n"/>
      <c r="AR31" s="25" t="n"/>
      <c r="AS31" s="25" t="n"/>
      <c r="BZ31" s="24">
        <f>IF('テスト条件'!A30="","",'テスト条件'!A30)</f>
        <v/>
      </c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6" t="n"/>
      <c r="AP32" s="25" t="n"/>
      <c r="AQ32" s="25" t="n"/>
      <c r="AR32" s="25" t="n"/>
      <c r="AS32" s="25" t="n"/>
      <c r="BZ32" s="24">
        <f>IF('テスト条件'!A31="","",'テスト条件'!A31)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6" t="n"/>
      <c r="AP33" s="25" t="n"/>
      <c r="AQ33" s="25" t="n"/>
      <c r="AR33" s="25" t="n"/>
      <c r="AS33" s="25" t="n"/>
      <c r="BZ33" s="24">
        <f>IF('テスト条件'!A32="","",'テスト条件'!A32)</f>
        <v/>
      </c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6" t="n"/>
      <c r="AP34" s="25" t="n"/>
      <c r="AQ34" s="25" t="n"/>
      <c r="AR34" s="25" t="n"/>
      <c r="AS34" s="25" t="n"/>
      <c r="BZ34" s="24">
        <f>IF('テスト条件'!A33="","",'テスト条件'!A33)</f>
        <v/>
      </c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6" t="n"/>
      <c r="AP35" s="25" t="n"/>
      <c r="AQ35" s="25" t="n"/>
      <c r="AR35" s="25" t="n"/>
      <c r="AS35" s="25" t="n"/>
      <c r="BZ35" s="24">
        <f>IF('テスト条件'!A34="","",'テスト条件'!A34)</f>
        <v/>
      </c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6" t="n"/>
      <c r="AP36" s="25" t="n"/>
      <c r="AQ36" s="25" t="n"/>
      <c r="AR36" s="25" t="n"/>
      <c r="AS36" s="25" t="n"/>
      <c r="BZ36" s="24">
        <f>IF('テスト条件'!A35="","",'テスト条件'!A35)</f>
        <v/>
      </c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6" t="n"/>
      <c r="AP37" s="25" t="n"/>
      <c r="AQ37" s="25" t="n"/>
      <c r="AR37" s="25" t="n"/>
      <c r="AS37" s="25" t="n"/>
      <c r="BZ37" s="24">
        <f>IF('テスト条件'!A36="","",'テスト条件'!A36)</f>
        <v/>
      </c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6" t="n"/>
      <c r="AP38" s="25" t="n"/>
      <c r="AQ38" s="25" t="n"/>
      <c r="AR38" s="25" t="n"/>
      <c r="AS38" s="25" t="n"/>
      <c r="BZ38" s="24">
        <f>IF('テスト条件'!A37="","",'テスト条件'!A37)</f>
        <v/>
      </c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6" t="n"/>
      <c r="AP39" s="25" t="n"/>
      <c r="AQ39" s="25" t="n"/>
      <c r="AR39" s="25" t="n"/>
      <c r="AS39" s="25" t="n"/>
      <c r="BZ39" s="24">
        <f>IF('テスト条件'!A38="","",'テスト条件'!A38)</f>
        <v/>
      </c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6" t="n"/>
      <c r="AP40" s="25" t="n"/>
      <c r="AQ40" s="25" t="n"/>
      <c r="AR40" s="25" t="n"/>
      <c r="AS40" s="25" t="n"/>
      <c r="BZ40" s="24">
        <f>IF('テスト条件'!A39="","",'テスト条件'!A39)</f>
        <v/>
      </c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6" t="n"/>
      <c r="AP41" s="25" t="n"/>
      <c r="AQ41" s="25" t="n"/>
      <c r="AR41" s="25" t="n"/>
      <c r="AS41" s="25" t="n"/>
      <c r="BZ41" s="24">
        <f>IF('テスト条件'!A40="","",'テスト条件'!A40)</f>
        <v/>
      </c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6" t="n"/>
      <c r="AP42" s="25" t="n"/>
      <c r="AQ42" s="25" t="n"/>
      <c r="AR42" s="25" t="n"/>
      <c r="AS42" s="25" t="n"/>
      <c r="BZ42" s="24">
        <f>IF('テスト条件'!A41="","",'テスト条件'!A41)</f>
        <v/>
      </c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6" t="n"/>
      <c r="AP43" s="25" t="n"/>
      <c r="AQ43" s="25" t="n"/>
      <c r="AR43" s="25" t="n"/>
      <c r="AS43" s="25" t="n"/>
      <c r="BZ43" s="24">
        <f>IF('テスト条件'!A42="","",'テスト条件'!A42)</f>
        <v/>
      </c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6" t="n"/>
      <c r="AP44" s="25" t="n"/>
      <c r="AQ44" s="25" t="n"/>
      <c r="AR44" s="25" t="n"/>
      <c r="AS44" s="25" t="n"/>
      <c r="BZ44" s="24">
        <f>IF('テスト条件'!A43="","",'テスト条件'!A43)</f>
        <v/>
      </c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6" t="n"/>
      <c r="AP45" s="25" t="n"/>
      <c r="AQ45" s="25" t="n"/>
      <c r="AR45" s="25" t="n"/>
      <c r="AS45" s="25" t="n"/>
      <c r="BZ45" s="24">
        <f>IF('テスト条件'!A44="","",'テスト条件'!A44)</f>
        <v/>
      </c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6" t="n"/>
      <c r="AP46" s="25" t="n"/>
      <c r="AQ46" s="25" t="n"/>
      <c r="AR46" s="25" t="n"/>
      <c r="AS46" s="25" t="n"/>
      <c r="BZ46" s="24">
        <f>IF('テスト条件'!A45="","",'テスト条件'!A45)</f>
        <v/>
      </c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6" t="n"/>
      <c r="AP47" s="25" t="n"/>
      <c r="AQ47" s="25" t="n"/>
      <c r="AR47" s="25" t="n"/>
      <c r="AS47" s="25" t="n"/>
      <c r="BZ47" s="24">
        <f>IF('テスト条件'!A46="","",'テスト条件'!A46)</f>
        <v/>
      </c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6" t="n"/>
      <c r="AP48" s="25" t="n"/>
      <c r="AQ48" s="25" t="n"/>
      <c r="AR48" s="25" t="n"/>
      <c r="AS48" s="25" t="n"/>
      <c r="BZ48" s="24">
        <f>IF('テスト条件'!A47="","",'テスト条件'!A47)</f>
        <v/>
      </c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6" t="n"/>
      <c r="AP49" s="25" t="n"/>
      <c r="AQ49" s="25" t="n"/>
      <c r="AR49" s="25" t="n"/>
      <c r="AS49" s="25" t="n"/>
      <c r="BZ49" s="24">
        <f>IF('テスト条件'!A48="","",'テスト条件'!A48)</f>
        <v/>
      </c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6" t="n"/>
      <c r="AP50" s="25" t="n"/>
      <c r="AQ50" s="25" t="n"/>
      <c r="AR50" s="25" t="n"/>
      <c r="AS50" s="25" t="n"/>
      <c r="BZ50" s="24">
        <f>IF('テスト条件'!A49="","",'テスト条件'!A49)</f>
        <v/>
      </c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6" t="n"/>
      <c r="AP51" s="25" t="n"/>
      <c r="AQ51" s="25" t="n"/>
      <c r="AR51" s="25" t="n"/>
      <c r="AS51" s="25" t="n"/>
      <c r="BZ51" s="24">
        <f>IF('テスト条件'!A50="","",'テスト条件'!A50)</f>
        <v/>
      </c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6" t="n"/>
      <c r="AP52" s="25" t="n"/>
      <c r="AQ52" s="25" t="n"/>
      <c r="AR52" s="25" t="n"/>
      <c r="AS52" s="25" t="n"/>
      <c r="BZ52" s="24">
        <f>IF('テスト条件'!A51="","",'テスト条件'!A51)</f>
        <v/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6" t="n"/>
      <c r="AP53" s="25" t="n"/>
      <c r="AQ53" s="25" t="n"/>
      <c r="AR53" s="25" t="n"/>
      <c r="AS53" s="25" t="n"/>
      <c r="BZ53" s="24">
        <f>IF('テスト条件'!A52="","",'テスト条件'!A52)</f>
        <v/>
      </c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6" t="n"/>
      <c r="AP54" s="25" t="n"/>
      <c r="AQ54" s="25" t="n"/>
      <c r="AR54" s="25" t="n"/>
      <c r="AS54" s="25" t="n"/>
      <c r="BZ54" s="24">
        <f>IF('テスト条件'!A53="","",'テスト条件'!A53)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6" t="n"/>
      <c r="AP55" s="25" t="n"/>
      <c r="AQ55" s="25" t="n"/>
      <c r="AR55" s="25" t="n"/>
      <c r="AS55" s="25" t="n"/>
      <c r="BZ55" s="24">
        <f>IF('テスト条件'!A54="","",'テスト条件'!A54)</f>
        <v/>
      </c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6" t="n"/>
      <c r="AP56" s="25" t="n"/>
      <c r="AQ56" s="25" t="n"/>
      <c r="AR56" s="25" t="n"/>
      <c r="AS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6" t="n"/>
      <c r="AP57" s="25" t="n"/>
      <c r="AQ57" s="25" t="n"/>
      <c r="AR57" s="25" t="n"/>
      <c r="AS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6" t="n"/>
      <c r="AP58" s="25" t="n"/>
      <c r="AQ58" s="25" t="n"/>
      <c r="AR58" s="25" t="n"/>
      <c r="AS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6" t="n"/>
      <c r="AP59" s="25" t="n"/>
      <c r="AQ59" s="25" t="n"/>
      <c r="AR59" s="25" t="n"/>
      <c r="AS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6" t="n"/>
      <c r="AP60" s="25" t="n"/>
      <c r="AQ60" s="25" t="n"/>
      <c r="AR60" s="25" t="n"/>
      <c r="AS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6" t="n"/>
      <c r="AP61" s="25" t="n"/>
      <c r="AQ61" s="25" t="n"/>
      <c r="AR61" s="25" t="n"/>
      <c r="AS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6" t="n"/>
      <c r="AP62" s="25" t="n"/>
      <c r="AQ62" s="25" t="n"/>
      <c r="AR62" s="25" t="n"/>
      <c r="AS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6" t="n"/>
      <c r="AP63" s="25" t="n"/>
      <c r="AQ63" s="25" t="n"/>
      <c r="AR63" s="25" t="n"/>
      <c r="AS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6" t="n"/>
      <c r="AP64" s="25" t="n"/>
      <c r="AQ64" s="25" t="n"/>
      <c r="AR64" s="25" t="n"/>
      <c r="AS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6" t="n"/>
      <c r="AP65" s="25" t="n"/>
      <c r="AQ65" s="25" t="n"/>
      <c r="AR65" s="25" t="n"/>
      <c r="AS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6" t="n"/>
      <c r="AP66" s="25" t="n"/>
      <c r="AQ66" s="25" t="n"/>
      <c r="AR66" s="25" t="n"/>
      <c r="AS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6" t="n"/>
      <c r="AP67" s="25" t="n"/>
      <c r="AQ67" s="25" t="n"/>
      <c r="AR67" s="25" t="n"/>
      <c r="AS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6" t="n"/>
      <c r="AP68" s="25" t="n"/>
      <c r="AQ68" s="25" t="n"/>
      <c r="AR68" s="25" t="n"/>
      <c r="AS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6" t="n"/>
      <c r="AP69" s="25" t="n"/>
      <c r="AQ69" s="25" t="n"/>
      <c r="AR69" s="25" t="n"/>
      <c r="AS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6" t="n"/>
      <c r="AP70" s="25" t="n"/>
      <c r="AQ70" s="25" t="n"/>
      <c r="AR70" s="25" t="n"/>
      <c r="AS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6" t="n"/>
      <c r="AP71" s="25" t="n"/>
      <c r="AQ71" s="25" t="n"/>
      <c r="AR71" s="25" t="n"/>
      <c r="AS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6" t="n"/>
      <c r="AP72" s="25" t="n"/>
      <c r="AQ72" s="25" t="n"/>
      <c r="AR72" s="25" t="n"/>
      <c r="AS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6" t="n"/>
      <c r="AP73" s="25" t="n"/>
      <c r="AQ73" s="25" t="n"/>
      <c r="AR73" s="25" t="n"/>
      <c r="AS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6" t="n"/>
      <c r="AP74" s="25" t="n"/>
      <c r="AQ74" s="25" t="n"/>
      <c r="AR74" s="25" t="n"/>
      <c r="AS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6" t="n"/>
      <c r="AP75" s="25" t="n"/>
      <c r="AQ75" s="25" t="n"/>
      <c r="AR75" s="25" t="n"/>
      <c r="AS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6" t="n"/>
      <c r="AP76" s="25" t="n"/>
      <c r="AQ76" s="25" t="n"/>
      <c r="AR76" s="25" t="n"/>
      <c r="AS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6" t="n"/>
      <c r="AP77" s="25" t="n"/>
      <c r="AQ77" s="25" t="n"/>
      <c r="AR77" s="25" t="n"/>
      <c r="AS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6" t="n"/>
      <c r="AP78" s="25" t="n"/>
      <c r="AQ78" s="25" t="n"/>
      <c r="AR78" s="25" t="n"/>
      <c r="AS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6" t="n"/>
      <c r="AP79" s="25" t="n"/>
      <c r="AQ79" s="25" t="n"/>
      <c r="AR79" s="25" t="n"/>
      <c r="AS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6" t="n"/>
      <c r="AP80" s="25" t="n"/>
      <c r="AQ80" s="25" t="n"/>
      <c r="AR80" s="25" t="n"/>
      <c r="AS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6" t="n"/>
      <c r="AP81" s="25" t="n"/>
      <c r="AQ81" s="25" t="n"/>
      <c r="AR81" s="25" t="n"/>
      <c r="AS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6" t="n"/>
      <c r="AP82" s="25" t="n"/>
      <c r="AQ82" s="25" t="n"/>
      <c r="AR82" s="25" t="n"/>
      <c r="AS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6" t="n"/>
      <c r="AP83" s="25" t="n"/>
      <c r="AQ83" s="25" t="n"/>
      <c r="AR83" s="25" t="n"/>
      <c r="AS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6" t="n"/>
      <c r="AP84" s="25" t="n"/>
      <c r="AQ84" s="25" t="n"/>
      <c r="AR84" s="25" t="n"/>
      <c r="AS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6" t="n"/>
      <c r="AP85" s="25" t="n"/>
      <c r="AQ85" s="25" t="n"/>
      <c r="AR85" s="25" t="n"/>
      <c r="AS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6" t="n"/>
      <c r="AP86" s="25" t="n"/>
      <c r="AQ86" s="25" t="n"/>
      <c r="AR86" s="25" t="n"/>
      <c r="AS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6" t="n"/>
      <c r="AP87" s="25" t="n"/>
      <c r="AQ87" s="25" t="n"/>
      <c r="AR87" s="25" t="n"/>
      <c r="AS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6" t="n"/>
      <c r="AP88" s="25" t="n"/>
      <c r="AQ88" s="25" t="n"/>
      <c r="AR88" s="25" t="n"/>
      <c r="AS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6" t="n"/>
      <c r="AP89" s="25" t="n"/>
      <c r="AQ89" s="25" t="n"/>
      <c r="AR89" s="25" t="n"/>
      <c r="AS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6" t="n"/>
      <c r="AP90" s="25" t="n"/>
      <c r="AQ90" s="25" t="n"/>
      <c r="AR90" s="25" t="n"/>
      <c r="AS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6" t="n"/>
      <c r="AP91" s="25" t="n"/>
      <c r="AQ91" s="25" t="n"/>
      <c r="AR91" s="25" t="n"/>
      <c r="AS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6" t="n"/>
      <c r="AP92" s="25" t="n"/>
      <c r="AQ92" s="25" t="n"/>
      <c r="AR92" s="25" t="n"/>
      <c r="AS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6" t="n"/>
      <c r="AP93" s="25" t="n"/>
      <c r="AQ93" s="25" t="n"/>
      <c r="AR93" s="25" t="n"/>
      <c r="AS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6" t="n"/>
      <c r="AP94" s="25" t="n"/>
      <c r="AQ94" s="25" t="n"/>
      <c r="AR94" s="25" t="n"/>
      <c r="AS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6" t="n"/>
      <c r="AP95" s="25" t="n"/>
      <c r="AQ95" s="25" t="n"/>
      <c r="AR95" s="25" t="n"/>
      <c r="AS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6" t="n"/>
      <c r="AP96" s="25" t="n"/>
      <c r="AQ96" s="25" t="n"/>
      <c r="AR96" s="25" t="n"/>
      <c r="AS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6" t="n"/>
      <c r="AP97" s="25" t="n"/>
      <c r="AQ97" s="25" t="n"/>
      <c r="AR97" s="25" t="n"/>
      <c r="AS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6" t="n"/>
      <c r="AP98" s="25" t="n"/>
      <c r="AQ98" s="25" t="n"/>
      <c r="AR98" s="25" t="n"/>
      <c r="AS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6" t="n"/>
      <c r="AP99" s="25" t="n"/>
      <c r="AQ99" s="25" t="n"/>
      <c r="AR99" s="25" t="n"/>
      <c r="AS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6" t="n"/>
      <c r="AP100" s="25" t="n"/>
      <c r="AQ100" s="25" t="n"/>
      <c r="AR100" s="25" t="n"/>
      <c r="AS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6" t="n"/>
      <c r="AP101" s="25" t="n"/>
      <c r="AQ101" s="25" t="n"/>
      <c r="AR101" s="25" t="n"/>
      <c r="AS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6" t="n"/>
      <c r="AP102" s="25" t="n"/>
      <c r="AQ102" s="25" t="n"/>
      <c r="AR102" s="25" t="n"/>
      <c r="AS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6" t="n"/>
      <c r="AP103" s="25" t="n"/>
      <c r="AQ103" s="25" t="n"/>
      <c r="AR103" s="25" t="n"/>
      <c r="AS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6" t="n"/>
      <c r="AP104" s="25" t="n"/>
      <c r="AQ104" s="25" t="n"/>
      <c r="AR104" s="25" t="n"/>
      <c r="AS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6" t="n"/>
      <c r="AP105" s="25" t="n"/>
      <c r="AQ105" s="25" t="n"/>
      <c r="AR105" s="25" t="n"/>
      <c r="AS105" s="25" t="n"/>
    </row>
  </sheetData>
  <autoFilter ref="A5:AS105"/>
  <mergeCells count="21">
    <mergeCell ref="C4:C5"/>
    <mergeCell ref="E4:E5"/>
    <mergeCell ref="AN4:AN5"/>
    <mergeCell ref="A3:F3"/>
    <mergeCell ref="G3:AJ3"/>
    <mergeCell ref="AO3:AS3"/>
    <mergeCell ref="D4:D5"/>
    <mergeCell ref="AR4:AR5"/>
    <mergeCell ref="AQ4:AQ5"/>
    <mergeCell ref="AM4:AM5"/>
    <mergeCell ref="AO4:AO5"/>
    <mergeCell ref="AU4:BZ4"/>
    <mergeCell ref="A4:A5"/>
    <mergeCell ref="AK3:AN3"/>
    <mergeCell ref="AL4:AL5"/>
    <mergeCell ref="B4:B5"/>
    <mergeCell ref="F4:F5"/>
    <mergeCell ref="AP4:AP5"/>
    <mergeCell ref="AS4:AS5"/>
    <mergeCell ref="AK4:AK5"/>
    <mergeCell ref="B2:D2"/>
  </mergeCells>
  <dataValidations count="35">
    <dataValidation sqref="G6:G105" showDropDown="0" showInputMessage="0" showErrorMessage="0" allowBlank="1" type="list">
      <formula1>'テストケース3'!$AU$6:$AU$15</formula1>
    </dataValidation>
    <dataValidation sqref="H6:H105" showDropDown="0" showInputMessage="0" showErrorMessage="0" allowBlank="1" type="list">
      <formula1>'テストケース3'!$AV$6:$AV$15</formula1>
    </dataValidation>
    <dataValidation sqref="I6:I105" showDropDown="0" showInputMessage="0" showErrorMessage="0" allowBlank="1" type="list">
      <formula1>'テストケース3'!$AW$6:$AW$15</formula1>
    </dataValidation>
    <dataValidation sqref="J6:J105" showDropDown="0" showInputMessage="0" showErrorMessage="0" allowBlank="1" type="list">
      <formula1>'テストケース3'!$AX$6:$AX$15</formula1>
    </dataValidation>
    <dataValidation sqref="K6:K105" showDropDown="0" showInputMessage="0" showErrorMessage="0" allowBlank="1" type="list">
      <formula1>'テストケース3'!$AY$6:$AY$15</formula1>
    </dataValidation>
    <dataValidation sqref="L6:L105" showDropDown="0" showInputMessage="0" showErrorMessage="0" allowBlank="1" type="list">
      <formula1>'テストケース3'!$AZ$6:$AZ$15</formula1>
    </dataValidation>
    <dataValidation sqref="M6:M105" showDropDown="0" showInputMessage="0" showErrorMessage="0" allowBlank="1" type="list">
      <formula1>'テストケース3'!$BA$6:$BA$15</formula1>
    </dataValidation>
    <dataValidation sqref="N6:N105" showDropDown="0" showInputMessage="0" showErrorMessage="0" allowBlank="1" type="list">
      <formula1>'テストケース3'!$BB$6:$BB$15</formula1>
    </dataValidation>
    <dataValidation sqref="O6:O105" showDropDown="0" showInputMessage="0" showErrorMessage="0" allowBlank="1" type="list">
      <formula1>'テストケース3'!$BC$6:$BC$15</formula1>
    </dataValidation>
    <dataValidation sqref="P6:P105" showDropDown="0" showInputMessage="0" showErrorMessage="0" allowBlank="1" type="list">
      <formula1>'テストケース3'!$BD$6:$BD$15</formula1>
    </dataValidation>
    <dataValidation sqref="Q6:Q105" showDropDown="0" showInputMessage="0" showErrorMessage="0" allowBlank="1" type="list">
      <formula1>'テストケース3'!$BE$6:$BE$15</formula1>
    </dataValidation>
    <dataValidation sqref="R6:R105" showDropDown="0" showInputMessage="0" showErrorMessage="0" allowBlank="1" type="list">
      <formula1>'テストケース3'!$BF$6:$BF$15</formula1>
    </dataValidation>
    <dataValidation sqref="S6:S105" showDropDown="0" showInputMessage="0" showErrorMessage="0" allowBlank="1" type="list">
      <formula1>'テストケース3'!$BG$6:$BG$15</formula1>
    </dataValidation>
    <dataValidation sqref="T6:T105" showDropDown="0" showInputMessage="0" showErrorMessage="0" allowBlank="1" type="list">
      <formula1>'テストケース3'!$BH$6:$BH$15</formula1>
    </dataValidation>
    <dataValidation sqref="U6:U105" showDropDown="0" showInputMessage="0" showErrorMessage="0" allowBlank="1" type="list">
      <formula1>'テストケース3'!$BI$6:$BI$15</formula1>
    </dataValidation>
    <dataValidation sqref="V6:V105" showDropDown="0" showInputMessage="0" showErrorMessage="0" allowBlank="1" type="list">
      <formula1>'テストケース3'!$BJ$6:$BJ$15</formula1>
    </dataValidation>
    <dataValidation sqref="W6:W105" showDropDown="0" showInputMessage="0" showErrorMessage="0" allowBlank="1" type="list">
      <formula1>'テストケース3'!$BK$6:$BK$15</formula1>
    </dataValidation>
    <dataValidation sqref="X6:X105" showDropDown="0" showInputMessage="0" showErrorMessage="0" allowBlank="1" type="list">
      <formula1>'テストケース3'!$BL$6:$BL$15</formula1>
    </dataValidation>
    <dataValidation sqref="Y6:Y105" showDropDown="0" showInputMessage="0" showErrorMessage="0" allowBlank="1" type="list">
      <formula1>'テストケース3'!$BM$6:$BM$15</formula1>
    </dataValidation>
    <dataValidation sqref="Z6:Z105" showDropDown="0" showInputMessage="0" showErrorMessage="0" allowBlank="1" type="list">
      <formula1>'テストケース3'!$BN$6:$BN$15</formula1>
    </dataValidation>
    <dataValidation sqref="AA6:AA105" showDropDown="0" showInputMessage="0" showErrorMessage="0" allowBlank="1" type="list">
      <formula1>'テストケース3'!$BO$6:$BO$15</formula1>
    </dataValidation>
    <dataValidation sqref="AB6:AB105" showDropDown="0" showInputMessage="0" showErrorMessage="0" allowBlank="1" type="list">
      <formula1>'テストケース3'!$BP$6:$BP$15</formula1>
    </dataValidation>
    <dataValidation sqref="AC6:AC105" showDropDown="0" showInputMessage="0" showErrorMessage="0" allowBlank="1" type="list">
      <formula1>'テストケース3'!$BQ$6:$BQ$15</formula1>
    </dataValidation>
    <dataValidation sqref="AD6:AD105" showDropDown="0" showInputMessage="0" showErrorMessage="0" allowBlank="1" type="list">
      <formula1>'テストケース3'!$BR$6:$BR$15</formula1>
    </dataValidation>
    <dataValidation sqref="AE6:AE105" showDropDown="0" showInputMessage="0" showErrorMessage="0" allowBlank="1" type="list">
      <formula1>'テストケース3'!$BS$6:$BS$15</formula1>
    </dataValidation>
    <dataValidation sqref="AF6:AF105" showDropDown="0" showInputMessage="0" showErrorMessage="0" allowBlank="1" type="list">
      <formula1>'テストケース3'!$BT$6:$BT$15</formula1>
    </dataValidation>
    <dataValidation sqref="AG6:AG105" showDropDown="0" showInputMessage="0" showErrorMessage="0" allowBlank="1" type="list">
      <formula1>'テストケース3'!$BU$6:$BU$15</formula1>
    </dataValidation>
    <dataValidation sqref="AH6:AH105" showDropDown="0" showInputMessage="0" showErrorMessage="0" allowBlank="1" type="list">
      <formula1>'テストケース3'!$BV$6:$BV$15</formula1>
    </dataValidation>
    <dataValidation sqref="AI6:AI105" showDropDown="0" showInputMessage="0" showErrorMessage="0" allowBlank="1" type="list">
      <formula1>'テストケース3'!$BW$6:$BW$15</formula1>
    </dataValidation>
    <dataValidation sqref="AJ6:AJ105" showDropDown="0" showInputMessage="0" showErrorMessage="0" allowBlank="1" type="list">
      <formula1>'テストケース3'!$BX$6:$BX$15</formula1>
    </dataValidation>
    <dataValidation sqref="C6:C105" showDropDown="0" showInputMessage="0" showErrorMessage="0" allowBlank="1" type="list">
      <formula1>'テストケース3'!$BY$6:$BY$25</formula1>
    </dataValidation>
    <dataValidation sqref="B6:B105" showDropDown="0" showInputMessage="0" showErrorMessage="0" allowBlank="1" type="list">
      <formula1>'テストケース3'!$BZ$6:$BZ$55</formula1>
    </dataValidation>
    <dataValidation sqref="E6:E105" showDropDown="0" showInputMessage="0" showErrorMessage="0" allowBlank="1" type="list">
      <formula1>"高,中,低"</formula1>
    </dataValidation>
    <dataValidation sqref="AN6:AN105" showDropDown="0" showInputMessage="0" showErrorMessage="0" allowBlank="1" type="list">
      <formula1>"要,否,済"</formula1>
    </dataValidation>
    <dataValidation sqref="AQ6:AQ1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  <col width="34" customWidth="1" min="38" max="38"/>
    <col width="14" customWidth="1" min="39" max="39"/>
    <col width="9" customWidth="1" min="40" max="40"/>
    <col width="11" customWidth="1" min="41" max="41"/>
    <col width="10" customWidth="1" min="42" max="42"/>
    <col width="9" customWidth="1" min="43" max="43"/>
    <col width="10" customWidth="1" min="44" max="44"/>
    <col width="24" customWidth="1" min="45" max="45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</cols>
  <sheetData>
    <row r="1">
      <c r="A1" s="1" t="inlineStr">
        <is>
          <t>テストケース</t>
        </is>
      </c>
      <c r="E1" s="2" t="inlineStr">
        <is>
          <t>因子列の見出しは因子水準表から自動で入り、セルは水準のプルダウンから選べます。使わない因子の列は非表示にしてください。</t>
        </is>
      </c>
    </row>
    <row r="2">
      <c r="A2" s="10" t="inlineStr">
        <is>
          <t>対象</t>
        </is>
      </c>
      <c r="B2" s="7" t="n"/>
      <c r="C2" s="8" t="n"/>
      <c r="D2" s="9" t="n"/>
    </row>
    <row r="3">
      <c r="A3" s="20" t="inlineStr">
        <is>
          <t>テストケース</t>
        </is>
      </c>
      <c r="B3" s="8" t="n"/>
      <c r="C3" s="8" t="n"/>
      <c r="D3" s="8" t="n"/>
      <c r="E3" s="8" t="n"/>
      <c r="F3" s="9" t="n"/>
      <c r="G3" s="20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9" t="n"/>
      <c r="AK3" s="20" t="inlineStr">
        <is>
          <t>内容</t>
        </is>
      </c>
      <c r="AL3" s="8" t="n"/>
      <c r="AM3" s="8" t="n"/>
      <c r="AN3" s="9" t="n"/>
      <c r="AO3" s="20" t="inlineStr">
        <is>
          <t>実行結果</t>
        </is>
      </c>
      <c r="AP3" s="8" t="n"/>
      <c r="AQ3" s="8" t="n"/>
      <c r="AR3" s="8" t="n"/>
      <c r="AS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1">
        <f>IF('因子水準表'!B$5="","",'因子水準表'!B$5)</f>
        <v/>
      </c>
      <c r="H4" s="21">
        <f>IF('因子水準表'!C$5="","",'因子水準表'!C$5)</f>
        <v/>
      </c>
      <c r="I4" s="21">
        <f>IF('因子水準表'!D$5="","",'因子水準表'!D$5)</f>
        <v/>
      </c>
      <c r="J4" s="21">
        <f>IF('因子水準表'!E$5="","",'因子水準表'!E$5)</f>
        <v/>
      </c>
      <c r="K4" s="21">
        <f>IF('因子水準表'!F$5="","",'因子水準表'!F$5)</f>
        <v/>
      </c>
      <c r="L4" s="21">
        <f>IF('因子水準表'!G$5="","",'因子水準表'!G$5)</f>
        <v/>
      </c>
      <c r="M4" s="21">
        <f>IF('因子水準表'!H$5="","",'因子水準表'!H$5)</f>
        <v/>
      </c>
      <c r="N4" s="21">
        <f>IF('因子水準表'!I$5="","",'因子水準表'!I$5)</f>
        <v/>
      </c>
      <c r="O4" s="21">
        <f>IF('因子水準表'!J$5="","",'因子水準表'!J$5)</f>
        <v/>
      </c>
      <c r="P4" s="21">
        <f>IF('因子水準表'!K$5="","",'因子水準表'!K$5)</f>
        <v/>
      </c>
      <c r="Q4" s="21">
        <f>IF('因子水準表'!L$5="","",'因子水準表'!L$5)</f>
        <v/>
      </c>
      <c r="R4" s="21">
        <f>IF('因子水準表'!M$5="","",'因子水準表'!M$5)</f>
        <v/>
      </c>
      <c r="S4" s="21">
        <f>IF('因子水準表'!N$5="","",'因子水準表'!N$5)</f>
        <v/>
      </c>
      <c r="T4" s="21">
        <f>IF('因子水準表'!O$5="","",'因子水準表'!O$5)</f>
        <v/>
      </c>
      <c r="U4" s="21">
        <f>IF('因子水準表'!P$5="","",'因子水準表'!P$5)</f>
        <v/>
      </c>
      <c r="V4" s="21">
        <f>IF('因子水準表'!Q$5="","",'因子水準表'!Q$5)</f>
        <v/>
      </c>
      <c r="W4" s="21">
        <f>IF('因子水準表'!R$5="","",'因子水準表'!R$5)</f>
        <v/>
      </c>
      <c r="X4" s="21">
        <f>IF('因子水準表'!S$5="","",'因子水準表'!S$5)</f>
        <v/>
      </c>
      <c r="Y4" s="21">
        <f>IF('因子水準表'!T$5="","",'因子水準表'!T$5)</f>
        <v/>
      </c>
      <c r="Z4" s="21">
        <f>IF('因子水準表'!U$5="","",'因子水準表'!U$5)</f>
        <v/>
      </c>
      <c r="AA4" s="21">
        <f>IF('因子水準表'!V$5="","",'因子水準表'!V$5)</f>
        <v/>
      </c>
      <c r="AB4" s="21">
        <f>IF('因子水準表'!W$5="","",'因子水準表'!W$5)</f>
        <v/>
      </c>
      <c r="AC4" s="21">
        <f>IF('因子水準表'!X$5="","",'因子水準表'!X$5)</f>
        <v/>
      </c>
      <c r="AD4" s="21">
        <f>IF('因子水準表'!Y$5="","",'因子水準表'!Y$5)</f>
        <v/>
      </c>
      <c r="AE4" s="21">
        <f>IF('因子水準表'!Z$5="","",'因子水準表'!Z$5)</f>
        <v/>
      </c>
      <c r="AF4" s="21">
        <f>IF('因子水準表'!AA$5="","",'因子水準表'!AA$5)</f>
        <v/>
      </c>
      <c r="AG4" s="21">
        <f>IF('因子水準表'!AB$5="","",'因子水準表'!AB$5)</f>
        <v/>
      </c>
      <c r="AH4" s="21">
        <f>IF('因子水準表'!AC$5="","",'因子水準表'!AC$5)</f>
        <v/>
      </c>
      <c r="AI4" s="21">
        <f>IF('因子水準表'!AD$5="","",'因子水準表'!AD$5)</f>
        <v/>
      </c>
      <c r="AJ4" s="21">
        <f>IF('因子水準表'!AE$5="","",'因子水準表'!AE$5)</f>
        <v/>
      </c>
      <c r="AK4" s="11" t="inlineStr">
        <is>
          <t>手順</t>
        </is>
      </c>
      <c r="AL4" s="11" t="inlineStr">
        <is>
          <t>期待結果</t>
        </is>
      </c>
      <c r="AM4" s="11" t="inlineStr">
        <is>
          <t>技法</t>
        </is>
      </c>
      <c r="AN4" s="11" t="inlineStr">
        <is>
          <t>自動化</t>
        </is>
      </c>
      <c r="AO4" s="11" t="inlineStr">
        <is>
          <t>実行日</t>
        </is>
      </c>
      <c r="AP4" s="11" t="inlineStr">
        <is>
          <t>実行者</t>
        </is>
      </c>
      <c r="AQ4" s="11" t="inlineStr">
        <is>
          <t>結果</t>
        </is>
      </c>
      <c r="AR4" s="11" t="inlineStr">
        <is>
          <t>欠陥ID</t>
        </is>
      </c>
      <c r="AS4" s="11" t="inlineStr">
        <is>
          <t>備考</t>
        </is>
      </c>
      <c r="AU4" s="20" t="inlineStr">
        <is>
          <t>プルダウン用（非表示・編集しない）</t>
        </is>
      </c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9" t="n"/>
    </row>
    <row r="5">
      <c r="A5" s="22" t="n"/>
      <c r="B5" s="22" t="n"/>
      <c r="C5" s="22" t="n"/>
      <c r="D5" s="22" t="n"/>
      <c r="E5" s="22" t="n"/>
      <c r="F5" s="22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11">
        <f>IF('因子水準表'!J$6="","因子9（未使用）",'因子水準表'!J$6)</f>
        <v/>
      </c>
      <c r="P5" s="11">
        <f>IF('因子水準表'!K$6="","因子10（未使用）",'因子水準表'!K$6)</f>
        <v/>
      </c>
      <c r="Q5" s="11">
        <f>IF('因子水準表'!L$6="","因子11（未使用）",'因子水準表'!L$6)</f>
        <v/>
      </c>
      <c r="R5" s="11">
        <f>IF('因子水準表'!M$6="","因子12（未使用）",'因子水準表'!M$6)</f>
        <v/>
      </c>
      <c r="S5" s="11">
        <f>IF('因子水準表'!N$6="","因子13（未使用）",'因子水準表'!N$6)</f>
        <v/>
      </c>
      <c r="T5" s="11">
        <f>IF('因子水準表'!O$6="","因子14（未使用）",'因子水準表'!O$6)</f>
        <v/>
      </c>
      <c r="U5" s="11">
        <f>IF('因子水準表'!P$6="","因子15（未使用）",'因子水準表'!P$6)</f>
        <v/>
      </c>
      <c r="V5" s="11">
        <f>IF('因子水準表'!Q$6="","因子16（未使用）",'因子水準表'!Q$6)</f>
        <v/>
      </c>
      <c r="W5" s="11">
        <f>IF('因子水準表'!R$6="","因子17（未使用）",'因子水準表'!R$6)</f>
        <v/>
      </c>
      <c r="X5" s="11">
        <f>IF('因子水準表'!S$6="","因子18（未使用）",'因子水準表'!S$6)</f>
        <v/>
      </c>
      <c r="Y5" s="11">
        <f>IF('因子水準表'!T$6="","因子19（未使用）",'因子水準表'!T$6)</f>
        <v/>
      </c>
      <c r="Z5" s="11">
        <f>IF('因子水準表'!U$6="","因子20（未使用）",'因子水準表'!U$6)</f>
        <v/>
      </c>
      <c r="AA5" s="11">
        <f>IF('因子水準表'!V$6="","因子21（未使用）",'因子水準表'!V$6)</f>
        <v/>
      </c>
      <c r="AB5" s="11">
        <f>IF('因子水準表'!W$6="","因子22（未使用）",'因子水準表'!W$6)</f>
        <v/>
      </c>
      <c r="AC5" s="11">
        <f>IF('因子水準表'!X$6="","因子23（未使用）",'因子水準表'!X$6)</f>
        <v/>
      </c>
      <c r="AD5" s="11">
        <f>IF('因子水準表'!Y$6="","因子24（未使用）",'因子水準表'!Y$6)</f>
        <v/>
      </c>
      <c r="AE5" s="11">
        <f>IF('因子水準表'!Z$6="","因子25（未使用）",'因子水準表'!Z$6)</f>
        <v/>
      </c>
      <c r="AF5" s="11">
        <f>IF('因子水準表'!AA$6="","因子26（未使用）",'因子水準表'!AA$6)</f>
        <v/>
      </c>
      <c r="AG5" s="11">
        <f>IF('因子水準表'!AB$6="","因子27（未使用）",'因子水準表'!AB$6)</f>
        <v/>
      </c>
      <c r="AH5" s="11">
        <f>IF('因子水準表'!AC$6="","因子28（未使用）",'因子水準表'!AC$6)</f>
        <v/>
      </c>
      <c r="AI5" s="11">
        <f>IF('因子水準表'!AD$6="","因子29（未使用）",'因子水準表'!AD$6)</f>
        <v/>
      </c>
      <c r="AJ5" s="11">
        <f>IF('因子水準表'!AE$6="","因子30（未使用）",'因子水準表'!AE$6)</f>
        <v/>
      </c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U5" s="11" t="inlineStr">
        <is>
          <t>F1 水準</t>
        </is>
      </c>
      <c r="AV5" s="11" t="inlineStr">
        <is>
          <t>F2 水準</t>
        </is>
      </c>
      <c r="AW5" s="11" t="inlineStr">
        <is>
          <t>F3 水準</t>
        </is>
      </c>
      <c r="AX5" s="11" t="inlineStr">
        <is>
          <t>F4 水準</t>
        </is>
      </c>
      <c r="AY5" s="11" t="inlineStr">
        <is>
          <t>F5 水準</t>
        </is>
      </c>
      <c r="AZ5" s="11" t="inlineStr">
        <is>
          <t>F6 水準</t>
        </is>
      </c>
      <c r="BA5" s="11" t="inlineStr">
        <is>
          <t>F7 水準</t>
        </is>
      </c>
      <c r="BB5" s="11" t="inlineStr">
        <is>
          <t>F8 水準</t>
        </is>
      </c>
      <c r="BC5" s="11" t="inlineStr">
        <is>
          <t>F9 水準</t>
        </is>
      </c>
      <c r="BD5" s="11" t="inlineStr">
        <is>
          <t>F10 水準</t>
        </is>
      </c>
      <c r="BE5" s="11" t="inlineStr">
        <is>
          <t>F11 水準</t>
        </is>
      </c>
      <c r="BF5" s="11" t="inlineStr">
        <is>
          <t>F12 水準</t>
        </is>
      </c>
      <c r="BG5" s="11" t="inlineStr">
        <is>
          <t>F13 水準</t>
        </is>
      </c>
      <c r="BH5" s="11" t="inlineStr">
        <is>
          <t>F14 水準</t>
        </is>
      </c>
      <c r="BI5" s="11" t="inlineStr">
        <is>
          <t>F15 水準</t>
        </is>
      </c>
      <c r="BJ5" s="11" t="inlineStr">
        <is>
          <t>F16 水準</t>
        </is>
      </c>
      <c r="BK5" s="11" t="inlineStr">
        <is>
          <t>F17 水準</t>
        </is>
      </c>
      <c r="BL5" s="11" t="inlineStr">
        <is>
          <t>F18 水準</t>
        </is>
      </c>
      <c r="BM5" s="11" t="inlineStr">
        <is>
          <t>F19 水準</t>
        </is>
      </c>
      <c r="BN5" s="11" t="inlineStr">
        <is>
          <t>F20 水準</t>
        </is>
      </c>
      <c r="BO5" s="11" t="inlineStr">
        <is>
          <t>F21 水準</t>
        </is>
      </c>
      <c r="BP5" s="11" t="inlineStr">
        <is>
          <t>F22 水準</t>
        </is>
      </c>
      <c r="BQ5" s="11" t="inlineStr">
        <is>
          <t>F23 水準</t>
        </is>
      </c>
      <c r="BR5" s="11" t="inlineStr">
        <is>
          <t>F24 水準</t>
        </is>
      </c>
      <c r="BS5" s="11" t="inlineStr">
        <is>
          <t>F25 水準</t>
        </is>
      </c>
      <c r="BT5" s="11" t="inlineStr">
        <is>
          <t>F26 水準</t>
        </is>
      </c>
      <c r="BU5" s="11" t="inlineStr">
        <is>
          <t>F27 水準</t>
        </is>
      </c>
      <c r="BV5" s="11" t="inlineStr">
        <is>
          <t>F28 水準</t>
        </is>
      </c>
      <c r="BW5" s="11" t="inlineStr">
        <is>
          <t>F29 水準</t>
        </is>
      </c>
      <c r="BX5" s="11" t="inlineStr">
        <is>
          <t>F30 水準</t>
        </is>
      </c>
      <c r="BY5" s="11" t="inlineStr">
        <is>
          <t>カテゴリ</t>
        </is>
      </c>
      <c r="BZ5" s="11" t="inlineStr">
        <is>
          <t>条件ID</t>
        </is>
      </c>
    </row>
    <row r="6">
      <c r="A6" s="25" t="n"/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6" t="n"/>
      <c r="AP6" s="25" t="n"/>
      <c r="AQ6" s="25" t="n"/>
      <c r="AR6" s="25" t="n"/>
      <c r="AS6" s="25" t="n"/>
      <c r="AU6" s="24">
        <f>IF('因子水準表'!B9="","",'因子水準表'!B9)</f>
        <v/>
      </c>
      <c r="AV6" s="24">
        <f>IF('因子水準表'!C9="","",'因子水準表'!C9)</f>
        <v/>
      </c>
      <c r="AW6" s="24">
        <f>IF('因子水準表'!D9="","",'因子水準表'!D9)</f>
        <v/>
      </c>
      <c r="AX6" s="24">
        <f>IF('因子水準表'!E9="","",'因子水準表'!E9)</f>
        <v/>
      </c>
      <c r="AY6" s="24">
        <f>IF('因子水準表'!F9="","",'因子水準表'!F9)</f>
        <v/>
      </c>
      <c r="AZ6" s="24">
        <f>IF('因子水準表'!G9="","",'因子水準表'!G9)</f>
        <v/>
      </c>
      <c r="BA6" s="24">
        <f>IF('因子水準表'!H9="","",'因子水準表'!H9)</f>
        <v/>
      </c>
      <c r="BB6" s="24">
        <f>IF('因子水準表'!I9="","",'因子水準表'!I9)</f>
        <v/>
      </c>
      <c r="BC6" s="24">
        <f>IF('因子水準表'!J9="","",'因子水準表'!J9)</f>
        <v/>
      </c>
      <c r="BD6" s="24">
        <f>IF('因子水準表'!K9="","",'因子水準表'!K9)</f>
        <v/>
      </c>
      <c r="BE6" s="24">
        <f>IF('因子水準表'!L9="","",'因子水準表'!L9)</f>
        <v/>
      </c>
      <c r="BF6" s="24">
        <f>IF('因子水準表'!M9="","",'因子水準表'!M9)</f>
        <v/>
      </c>
      <c r="BG6" s="24">
        <f>IF('因子水準表'!N9="","",'因子水準表'!N9)</f>
        <v/>
      </c>
      <c r="BH6" s="24">
        <f>IF('因子水準表'!O9="","",'因子水準表'!O9)</f>
        <v/>
      </c>
      <c r="BI6" s="24">
        <f>IF('因子水準表'!P9="","",'因子水準表'!P9)</f>
        <v/>
      </c>
      <c r="BJ6" s="24">
        <f>IF('因子水準表'!Q9="","",'因子水準表'!Q9)</f>
        <v/>
      </c>
      <c r="BK6" s="24">
        <f>IF('因子水準表'!R9="","",'因子水準表'!R9)</f>
        <v/>
      </c>
      <c r="BL6" s="24">
        <f>IF('因子水準表'!S9="","",'因子水準表'!S9)</f>
        <v/>
      </c>
      <c r="BM6" s="24">
        <f>IF('因子水準表'!T9="","",'因子水準表'!T9)</f>
        <v/>
      </c>
      <c r="BN6" s="24">
        <f>IF('因子水準表'!U9="","",'因子水準表'!U9)</f>
        <v/>
      </c>
      <c r="BO6" s="24">
        <f>IF('因子水準表'!V9="","",'因子水準表'!V9)</f>
        <v/>
      </c>
      <c r="BP6" s="24">
        <f>IF('因子水準表'!W9="","",'因子水準表'!W9)</f>
        <v/>
      </c>
      <c r="BQ6" s="24">
        <f>IF('因子水準表'!X9="","",'因子水準表'!X9)</f>
        <v/>
      </c>
      <c r="BR6" s="24">
        <f>IF('因子水準表'!Y9="","",'因子水準表'!Y9)</f>
        <v/>
      </c>
      <c r="BS6" s="24">
        <f>IF('因子水準表'!Z9="","",'因子水準表'!Z9)</f>
        <v/>
      </c>
      <c r="BT6" s="24">
        <f>IF('因子水準表'!AA9="","",'因子水準表'!AA9)</f>
        <v/>
      </c>
      <c r="BU6" s="24">
        <f>IF('因子水準表'!AB9="","",'因子水準表'!AB9)</f>
        <v/>
      </c>
      <c r="BV6" s="24">
        <f>IF('因子水準表'!AC9="","",'因子水準表'!AC9)</f>
        <v/>
      </c>
      <c r="BW6" s="24">
        <f>IF('因子水準表'!AD9="","",'因子水準表'!AD9)</f>
        <v/>
      </c>
      <c r="BX6" s="24">
        <f>IF('因子水準表'!AE9="","",'因子水準表'!AE9)</f>
        <v/>
      </c>
      <c r="BY6" s="24">
        <f>IF('因子水準表'!B28="","",'因子水準表'!B28)</f>
        <v/>
      </c>
      <c r="BZ6" s="24">
        <f>IF('テスト条件'!A5="","",'テスト条件'!A5)</f>
        <v/>
      </c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6" t="n"/>
      <c r="AP7" s="25" t="n"/>
      <c r="AQ7" s="25" t="n"/>
      <c r="AR7" s="25" t="n"/>
      <c r="AS7" s="25" t="n"/>
      <c r="AU7" s="24">
        <f>IF('因子水準表'!B10="","",'因子水準表'!B10)</f>
        <v/>
      </c>
      <c r="AV7" s="24">
        <f>IF('因子水準表'!C10="","",'因子水準表'!C10)</f>
        <v/>
      </c>
      <c r="AW7" s="24">
        <f>IF('因子水準表'!D10="","",'因子水準表'!D10)</f>
        <v/>
      </c>
      <c r="AX7" s="24">
        <f>IF('因子水準表'!E10="","",'因子水準表'!E10)</f>
        <v/>
      </c>
      <c r="AY7" s="24">
        <f>IF('因子水準表'!F10="","",'因子水準表'!F10)</f>
        <v/>
      </c>
      <c r="AZ7" s="24">
        <f>IF('因子水準表'!G10="","",'因子水準表'!G10)</f>
        <v/>
      </c>
      <c r="BA7" s="24">
        <f>IF('因子水準表'!H10="","",'因子水準表'!H10)</f>
        <v/>
      </c>
      <c r="BB7" s="24">
        <f>IF('因子水準表'!I10="","",'因子水準表'!I10)</f>
        <v/>
      </c>
      <c r="BC7" s="24">
        <f>IF('因子水準表'!J10="","",'因子水準表'!J10)</f>
        <v/>
      </c>
      <c r="BD7" s="24">
        <f>IF('因子水準表'!K10="","",'因子水準表'!K10)</f>
        <v/>
      </c>
      <c r="BE7" s="24">
        <f>IF('因子水準表'!L10="","",'因子水準表'!L10)</f>
        <v/>
      </c>
      <c r="BF7" s="24">
        <f>IF('因子水準表'!M10="","",'因子水準表'!M10)</f>
        <v/>
      </c>
      <c r="BG7" s="24">
        <f>IF('因子水準表'!N10="","",'因子水準表'!N10)</f>
        <v/>
      </c>
      <c r="BH7" s="24">
        <f>IF('因子水準表'!O10="","",'因子水準表'!O10)</f>
        <v/>
      </c>
      <c r="BI7" s="24">
        <f>IF('因子水準表'!P10="","",'因子水準表'!P10)</f>
        <v/>
      </c>
      <c r="BJ7" s="24">
        <f>IF('因子水準表'!Q10="","",'因子水準表'!Q10)</f>
        <v/>
      </c>
      <c r="BK7" s="24">
        <f>IF('因子水準表'!R10="","",'因子水準表'!R10)</f>
        <v/>
      </c>
      <c r="BL7" s="24">
        <f>IF('因子水準表'!S10="","",'因子水準表'!S10)</f>
        <v/>
      </c>
      <c r="BM7" s="24">
        <f>IF('因子水準表'!T10="","",'因子水準表'!T10)</f>
        <v/>
      </c>
      <c r="BN7" s="24">
        <f>IF('因子水準表'!U10="","",'因子水準表'!U10)</f>
        <v/>
      </c>
      <c r="BO7" s="24">
        <f>IF('因子水準表'!V10="","",'因子水準表'!V10)</f>
        <v/>
      </c>
      <c r="BP7" s="24">
        <f>IF('因子水準表'!W10="","",'因子水準表'!W10)</f>
        <v/>
      </c>
      <c r="BQ7" s="24">
        <f>IF('因子水準表'!X10="","",'因子水準表'!X10)</f>
        <v/>
      </c>
      <c r="BR7" s="24">
        <f>IF('因子水準表'!Y10="","",'因子水準表'!Y10)</f>
        <v/>
      </c>
      <c r="BS7" s="24">
        <f>IF('因子水準表'!Z10="","",'因子水準表'!Z10)</f>
        <v/>
      </c>
      <c r="BT7" s="24">
        <f>IF('因子水準表'!AA10="","",'因子水準表'!AA10)</f>
        <v/>
      </c>
      <c r="BU7" s="24">
        <f>IF('因子水準表'!AB10="","",'因子水準表'!AB10)</f>
        <v/>
      </c>
      <c r="BV7" s="24">
        <f>IF('因子水準表'!AC10="","",'因子水準表'!AC10)</f>
        <v/>
      </c>
      <c r="BW7" s="24">
        <f>IF('因子水準表'!AD10="","",'因子水準表'!AD10)</f>
        <v/>
      </c>
      <c r="BX7" s="24">
        <f>IF('因子水準表'!AE10="","",'因子水準表'!AE10)</f>
        <v/>
      </c>
      <c r="BY7" s="24">
        <f>IF('因子水準表'!B29="","",'因子水準表'!B29)</f>
        <v/>
      </c>
      <c r="BZ7" s="24">
        <f>IF('テスト条件'!A6="","",'テスト条件'!A6)</f>
        <v/>
      </c>
    </row>
    <row r="8">
      <c r="A8" s="25" t="n"/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6" t="n"/>
      <c r="AP8" s="25" t="n"/>
      <c r="AQ8" s="25" t="n"/>
      <c r="AR8" s="25" t="n"/>
      <c r="AS8" s="25" t="n"/>
      <c r="AU8" s="24">
        <f>IF('因子水準表'!B11="","",'因子水準表'!B11)</f>
        <v/>
      </c>
      <c r="AV8" s="24">
        <f>IF('因子水準表'!C11="","",'因子水準表'!C11)</f>
        <v/>
      </c>
      <c r="AW8" s="24">
        <f>IF('因子水準表'!D11="","",'因子水準表'!D11)</f>
        <v/>
      </c>
      <c r="AX8" s="24">
        <f>IF('因子水準表'!E11="","",'因子水準表'!E11)</f>
        <v/>
      </c>
      <c r="AY8" s="24">
        <f>IF('因子水準表'!F11="","",'因子水準表'!F11)</f>
        <v/>
      </c>
      <c r="AZ8" s="24">
        <f>IF('因子水準表'!G11="","",'因子水準表'!G11)</f>
        <v/>
      </c>
      <c r="BA8" s="24">
        <f>IF('因子水準表'!H11="","",'因子水準表'!H11)</f>
        <v/>
      </c>
      <c r="BB8" s="24">
        <f>IF('因子水準表'!I11="","",'因子水準表'!I11)</f>
        <v/>
      </c>
      <c r="BC8" s="24">
        <f>IF('因子水準表'!J11="","",'因子水準表'!J11)</f>
        <v/>
      </c>
      <c r="BD8" s="24">
        <f>IF('因子水準表'!K11="","",'因子水準表'!K11)</f>
        <v/>
      </c>
      <c r="BE8" s="24">
        <f>IF('因子水準表'!L11="","",'因子水準表'!L11)</f>
        <v/>
      </c>
      <c r="BF8" s="24">
        <f>IF('因子水準表'!M11="","",'因子水準表'!M11)</f>
        <v/>
      </c>
      <c r="BG8" s="24">
        <f>IF('因子水準表'!N11="","",'因子水準表'!N11)</f>
        <v/>
      </c>
      <c r="BH8" s="24">
        <f>IF('因子水準表'!O11="","",'因子水準表'!O11)</f>
        <v/>
      </c>
      <c r="BI8" s="24">
        <f>IF('因子水準表'!P11="","",'因子水準表'!P11)</f>
        <v/>
      </c>
      <c r="BJ8" s="24">
        <f>IF('因子水準表'!Q11="","",'因子水準表'!Q11)</f>
        <v/>
      </c>
      <c r="BK8" s="24">
        <f>IF('因子水準表'!R11="","",'因子水準表'!R11)</f>
        <v/>
      </c>
      <c r="BL8" s="24">
        <f>IF('因子水準表'!S11="","",'因子水準表'!S11)</f>
        <v/>
      </c>
      <c r="BM8" s="24">
        <f>IF('因子水準表'!T11="","",'因子水準表'!T11)</f>
        <v/>
      </c>
      <c r="BN8" s="24">
        <f>IF('因子水準表'!U11="","",'因子水準表'!U11)</f>
        <v/>
      </c>
      <c r="BO8" s="24">
        <f>IF('因子水準表'!V11="","",'因子水準表'!V11)</f>
        <v/>
      </c>
      <c r="BP8" s="24">
        <f>IF('因子水準表'!W11="","",'因子水準表'!W11)</f>
        <v/>
      </c>
      <c r="BQ8" s="24">
        <f>IF('因子水準表'!X11="","",'因子水準表'!X11)</f>
        <v/>
      </c>
      <c r="BR8" s="24">
        <f>IF('因子水準表'!Y11="","",'因子水準表'!Y11)</f>
        <v/>
      </c>
      <c r="BS8" s="24">
        <f>IF('因子水準表'!Z11="","",'因子水準表'!Z11)</f>
        <v/>
      </c>
      <c r="BT8" s="24">
        <f>IF('因子水準表'!AA11="","",'因子水準表'!AA11)</f>
        <v/>
      </c>
      <c r="BU8" s="24">
        <f>IF('因子水準表'!AB11="","",'因子水準表'!AB11)</f>
        <v/>
      </c>
      <c r="BV8" s="24">
        <f>IF('因子水準表'!AC11="","",'因子水準表'!AC11)</f>
        <v/>
      </c>
      <c r="BW8" s="24">
        <f>IF('因子水準表'!AD11="","",'因子水準表'!AD11)</f>
        <v/>
      </c>
      <c r="BX8" s="24">
        <f>IF('因子水準表'!AE11="","",'因子水準表'!AE11)</f>
        <v/>
      </c>
      <c r="BY8" s="24">
        <f>IF('因子水準表'!B30="","",'因子水準表'!B30)</f>
        <v/>
      </c>
      <c r="BZ8" s="24">
        <f>IF('テスト条件'!A7="","",'テスト条件'!A7)</f>
        <v/>
      </c>
    </row>
    <row r="9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6" t="n"/>
      <c r="AP9" s="25" t="n"/>
      <c r="AQ9" s="25" t="n"/>
      <c r="AR9" s="25" t="n"/>
      <c r="AS9" s="25" t="n"/>
      <c r="AU9" s="24">
        <f>IF('因子水準表'!B12="","",'因子水準表'!B12)</f>
        <v/>
      </c>
      <c r="AV9" s="24">
        <f>IF('因子水準表'!C12="","",'因子水準表'!C12)</f>
        <v/>
      </c>
      <c r="AW9" s="24">
        <f>IF('因子水準表'!D12="","",'因子水準表'!D12)</f>
        <v/>
      </c>
      <c r="AX9" s="24">
        <f>IF('因子水準表'!E12="","",'因子水準表'!E12)</f>
        <v/>
      </c>
      <c r="AY9" s="24">
        <f>IF('因子水準表'!F12="","",'因子水準表'!F12)</f>
        <v/>
      </c>
      <c r="AZ9" s="24">
        <f>IF('因子水準表'!G12="","",'因子水準表'!G12)</f>
        <v/>
      </c>
      <c r="BA9" s="24">
        <f>IF('因子水準表'!H12="","",'因子水準表'!H12)</f>
        <v/>
      </c>
      <c r="BB9" s="24">
        <f>IF('因子水準表'!I12="","",'因子水準表'!I12)</f>
        <v/>
      </c>
      <c r="BC9" s="24">
        <f>IF('因子水準表'!J12="","",'因子水準表'!J12)</f>
        <v/>
      </c>
      <c r="BD9" s="24">
        <f>IF('因子水準表'!K12="","",'因子水準表'!K12)</f>
        <v/>
      </c>
      <c r="BE9" s="24">
        <f>IF('因子水準表'!L12="","",'因子水準表'!L12)</f>
        <v/>
      </c>
      <c r="BF9" s="24">
        <f>IF('因子水準表'!M12="","",'因子水準表'!M12)</f>
        <v/>
      </c>
      <c r="BG9" s="24">
        <f>IF('因子水準表'!N12="","",'因子水準表'!N12)</f>
        <v/>
      </c>
      <c r="BH9" s="24">
        <f>IF('因子水準表'!O12="","",'因子水準表'!O12)</f>
        <v/>
      </c>
      <c r="BI9" s="24">
        <f>IF('因子水準表'!P12="","",'因子水準表'!P12)</f>
        <v/>
      </c>
      <c r="BJ9" s="24">
        <f>IF('因子水準表'!Q12="","",'因子水準表'!Q12)</f>
        <v/>
      </c>
      <c r="BK9" s="24">
        <f>IF('因子水準表'!R12="","",'因子水準表'!R12)</f>
        <v/>
      </c>
      <c r="BL9" s="24">
        <f>IF('因子水準表'!S12="","",'因子水準表'!S12)</f>
        <v/>
      </c>
      <c r="BM9" s="24">
        <f>IF('因子水準表'!T12="","",'因子水準表'!T12)</f>
        <v/>
      </c>
      <c r="BN9" s="24">
        <f>IF('因子水準表'!U12="","",'因子水準表'!U12)</f>
        <v/>
      </c>
      <c r="BO9" s="24">
        <f>IF('因子水準表'!V12="","",'因子水準表'!V12)</f>
        <v/>
      </c>
      <c r="BP9" s="24">
        <f>IF('因子水準表'!W12="","",'因子水準表'!W12)</f>
        <v/>
      </c>
      <c r="BQ9" s="24">
        <f>IF('因子水準表'!X12="","",'因子水準表'!X12)</f>
        <v/>
      </c>
      <c r="BR9" s="24">
        <f>IF('因子水準表'!Y12="","",'因子水準表'!Y12)</f>
        <v/>
      </c>
      <c r="BS9" s="24">
        <f>IF('因子水準表'!Z12="","",'因子水準表'!Z12)</f>
        <v/>
      </c>
      <c r="BT9" s="24">
        <f>IF('因子水準表'!AA12="","",'因子水準表'!AA12)</f>
        <v/>
      </c>
      <c r="BU9" s="24">
        <f>IF('因子水準表'!AB12="","",'因子水準表'!AB12)</f>
        <v/>
      </c>
      <c r="BV9" s="24">
        <f>IF('因子水準表'!AC12="","",'因子水準表'!AC12)</f>
        <v/>
      </c>
      <c r="BW9" s="24">
        <f>IF('因子水準表'!AD12="","",'因子水準表'!AD12)</f>
        <v/>
      </c>
      <c r="BX9" s="24">
        <f>IF('因子水準表'!AE12="","",'因子水準表'!AE12)</f>
        <v/>
      </c>
      <c r="BY9" s="24">
        <f>IF('因子水準表'!B31="","",'因子水準表'!B31)</f>
        <v/>
      </c>
      <c r="BZ9" s="24">
        <f>IF('テスト条件'!A8="","",'テスト条件'!A8)</f>
        <v/>
      </c>
    </row>
    <row r="10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6" t="n"/>
      <c r="AP10" s="25" t="n"/>
      <c r="AQ10" s="25" t="n"/>
      <c r="AR10" s="25" t="n"/>
      <c r="AS10" s="25" t="n"/>
      <c r="AU10" s="24">
        <f>IF('因子水準表'!B13="","",'因子水準表'!B13)</f>
        <v/>
      </c>
      <c r="AV10" s="24">
        <f>IF('因子水準表'!C13="","",'因子水準表'!C13)</f>
        <v/>
      </c>
      <c r="AW10" s="24">
        <f>IF('因子水準表'!D13="","",'因子水準表'!D13)</f>
        <v/>
      </c>
      <c r="AX10" s="24">
        <f>IF('因子水準表'!E13="","",'因子水準表'!E13)</f>
        <v/>
      </c>
      <c r="AY10" s="24">
        <f>IF('因子水準表'!F13="","",'因子水準表'!F13)</f>
        <v/>
      </c>
      <c r="AZ10" s="24">
        <f>IF('因子水準表'!G13="","",'因子水準表'!G13)</f>
        <v/>
      </c>
      <c r="BA10" s="24">
        <f>IF('因子水準表'!H13="","",'因子水準表'!H13)</f>
        <v/>
      </c>
      <c r="BB10" s="24">
        <f>IF('因子水準表'!I13="","",'因子水準表'!I13)</f>
        <v/>
      </c>
      <c r="BC10" s="24">
        <f>IF('因子水準表'!J13="","",'因子水準表'!J13)</f>
        <v/>
      </c>
      <c r="BD10" s="24">
        <f>IF('因子水準表'!K13="","",'因子水準表'!K13)</f>
        <v/>
      </c>
      <c r="BE10" s="24">
        <f>IF('因子水準表'!L13="","",'因子水準表'!L13)</f>
        <v/>
      </c>
      <c r="BF10" s="24">
        <f>IF('因子水準表'!M13="","",'因子水準表'!M13)</f>
        <v/>
      </c>
      <c r="BG10" s="24">
        <f>IF('因子水準表'!N13="","",'因子水準表'!N13)</f>
        <v/>
      </c>
      <c r="BH10" s="24">
        <f>IF('因子水準表'!O13="","",'因子水準表'!O13)</f>
        <v/>
      </c>
      <c r="BI10" s="24">
        <f>IF('因子水準表'!P13="","",'因子水準表'!P13)</f>
        <v/>
      </c>
      <c r="BJ10" s="24">
        <f>IF('因子水準表'!Q13="","",'因子水準表'!Q13)</f>
        <v/>
      </c>
      <c r="BK10" s="24">
        <f>IF('因子水準表'!R13="","",'因子水準表'!R13)</f>
        <v/>
      </c>
      <c r="BL10" s="24">
        <f>IF('因子水準表'!S13="","",'因子水準表'!S13)</f>
        <v/>
      </c>
      <c r="BM10" s="24">
        <f>IF('因子水準表'!T13="","",'因子水準表'!T13)</f>
        <v/>
      </c>
      <c r="BN10" s="24">
        <f>IF('因子水準表'!U13="","",'因子水準表'!U13)</f>
        <v/>
      </c>
      <c r="BO10" s="24">
        <f>IF('因子水準表'!V13="","",'因子水準表'!V13)</f>
        <v/>
      </c>
      <c r="BP10" s="24">
        <f>IF('因子水準表'!W13="","",'因子水準表'!W13)</f>
        <v/>
      </c>
      <c r="BQ10" s="24">
        <f>IF('因子水準表'!X13="","",'因子水準表'!X13)</f>
        <v/>
      </c>
      <c r="BR10" s="24">
        <f>IF('因子水準表'!Y13="","",'因子水準表'!Y13)</f>
        <v/>
      </c>
      <c r="BS10" s="24">
        <f>IF('因子水準表'!Z13="","",'因子水準表'!Z13)</f>
        <v/>
      </c>
      <c r="BT10" s="24">
        <f>IF('因子水準表'!AA13="","",'因子水準表'!AA13)</f>
        <v/>
      </c>
      <c r="BU10" s="24">
        <f>IF('因子水準表'!AB13="","",'因子水準表'!AB13)</f>
        <v/>
      </c>
      <c r="BV10" s="24">
        <f>IF('因子水準表'!AC13="","",'因子水準表'!AC13)</f>
        <v/>
      </c>
      <c r="BW10" s="24">
        <f>IF('因子水準表'!AD13="","",'因子水準表'!AD13)</f>
        <v/>
      </c>
      <c r="BX10" s="24">
        <f>IF('因子水準表'!AE13="","",'因子水準表'!AE13)</f>
        <v/>
      </c>
      <c r="BY10" s="24">
        <f>IF('因子水準表'!B32="","",'因子水準表'!B32)</f>
        <v/>
      </c>
      <c r="BZ10" s="24">
        <f>IF('テスト条件'!A9="","",'テスト条件'!A9)</f>
        <v/>
      </c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6" t="n"/>
      <c r="AP11" s="25" t="n"/>
      <c r="AQ11" s="25" t="n"/>
      <c r="AR11" s="25" t="n"/>
      <c r="AS11" s="25" t="n"/>
      <c r="AU11" s="24">
        <f>IF('因子水準表'!B14="","",'因子水準表'!B14)</f>
        <v/>
      </c>
      <c r="AV11" s="24">
        <f>IF('因子水準表'!C14="","",'因子水準表'!C14)</f>
        <v/>
      </c>
      <c r="AW11" s="24">
        <f>IF('因子水準表'!D14="","",'因子水準表'!D14)</f>
        <v/>
      </c>
      <c r="AX11" s="24">
        <f>IF('因子水準表'!E14="","",'因子水準表'!E14)</f>
        <v/>
      </c>
      <c r="AY11" s="24">
        <f>IF('因子水準表'!F14="","",'因子水準表'!F14)</f>
        <v/>
      </c>
      <c r="AZ11" s="24">
        <f>IF('因子水準表'!G14="","",'因子水準表'!G14)</f>
        <v/>
      </c>
      <c r="BA11" s="24">
        <f>IF('因子水準表'!H14="","",'因子水準表'!H14)</f>
        <v/>
      </c>
      <c r="BB11" s="24">
        <f>IF('因子水準表'!I14="","",'因子水準表'!I14)</f>
        <v/>
      </c>
      <c r="BC11" s="24">
        <f>IF('因子水準表'!J14="","",'因子水準表'!J14)</f>
        <v/>
      </c>
      <c r="BD11" s="24">
        <f>IF('因子水準表'!K14="","",'因子水準表'!K14)</f>
        <v/>
      </c>
      <c r="BE11" s="24">
        <f>IF('因子水準表'!L14="","",'因子水準表'!L14)</f>
        <v/>
      </c>
      <c r="BF11" s="24">
        <f>IF('因子水準表'!M14="","",'因子水準表'!M14)</f>
        <v/>
      </c>
      <c r="BG11" s="24">
        <f>IF('因子水準表'!N14="","",'因子水準表'!N14)</f>
        <v/>
      </c>
      <c r="BH11" s="24">
        <f>IF('因子水準表'!O14="","",'因子水準表'!O14)</f>
        <v/>
      </c>
      <c r="BI11" s="24">
        <f>IF('因子水準表'!P14="","",'因子水準表'!P14)</f>
        <v/>
      </c>
      <c r="BJ11" s="24">
        <f>IF('因子水準表'!Q14="","",'因子水準表'!Q14)</f>
        <v/>
      </c>
      <c r="BK11" s="24">
        <f>IF('因子水準表'!R14="","",'因子水準表'!R14)</f>
        <v/>
      </c>
      <c r="BL11" s="24">
        <f>IF('因子水準表'!S14="","",'因子水準表'!S14)</f>
        <v/>
      </c>
      <c r="BM11" s="24">
        <f>IF('因子水準表'!T14="","",'因子水準表'!T14)</f>
        <v/>
      </c>
      <c r="BN11" s="24">
        <f>IF('因子水準表'!U14="","",'因子水準表'!U14)</f>
        <v/>
      </c>
      <c r="BO11" s="24">
        <f>IF('因子水準表'!V14="","",'因子水準表'!V14)</f>
        <v/>
      </c>
      <c r="BP11" s="24">
        <f>IF('因子水準表'!W14="","",'因子水準表'!W14)</f>
        <v/>
      </c>
      <c r="BQ11" s="24">
        <f>IF('因子水準表'!X14="","",'因子水準表'!X14)</f>
        <v/>
      </c>
      <c r="BR11" s="24">
        <f>IF('因子水準表'!Y14="","",'因子水準表'!Y14)</f>
        <v/>
      </c>
      <c r="BS11" s="24">
        <f>IF('因子水準表'!Z14="","",'因子水準表'!Z14)</f>
        <v/>
      </c>
      <c r="BT11" s="24">
        <f>IF('因子水準表'!AA14="","",'因子水準表'!AA14)</f>
        <v/>
      </c>
      <c r="BU11" s="24">
        <f>IF('因子水準表'!AB14="","",'因子水準表'!AB14)</f>
        <v/>
      </c>
      <c r="BV11" s="24">
        <f>IF('因子水準表'!AC14="","",'因子水準表'!AC14)</f>
        <v/>
      </c>
      <c r="BW11" s="24">
        <f>IF('因子水準表'!AD14="","",'因子水準表'!AD14)</f>
        <v/>
      </c>
      <c r="BX11" s="24">
        <f>IF('因子水準表'!AE14="","",'因子水準表'!AE14)</f>
        <v/>
      </c>
      <c r="BY11" s="24">
        <f>IF('因子水準表'!B33="","",'因子水準表'!B33)</f>
        <v/>
      </c>
      <c r="BZ11" s="24">
        <f>IF('テスト条件'!A10="","",'テスト条件'!A10)</f>
        <v/>
      </c>
    </row>
    <row r="12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6" t="n"/>
      <c r="AP12" s="25" t="n"/>
      <c r="AQ12" s="25" t="n"/>
      <c r="AR12" s="25" t="n"/>
      <c r="AS12" s="25" t="n"/>
      <c r="AU12" s="24">
        <f>IF('因子水準表'!B15="","",'因子水準表'!B15)</f>
        <v/>
      </c>
      <c r="AV12" s="24">
        <f>IF('因子水準表'!C15="","",'因子水準表'!C15)</f>
        <v/>
      </c>
      <c r="AW12" s="24">
        <f>IF('因子水準表'!D15="","",'因子水準表'!D15)</f>
        <v/>
      </c>
      <c r="AX12" s="24">
        <f>IF('因子水準表'!E15="","",'因子水準表'!E15)</f>
        <v/>
      </c>
      <c r="AY12" s="24">
        <f>IF('因子水準表'!F15="","",'因子水準表'!F15)</f>
        <v/>
      </c>
      <c r="AZ12" s="24">
        <f>IF('因子水準表'!G15="","",'因子水準表'!G15)</f>
        <v/>
      </c>
      <c r="BA12" s="24">
        <f>IF('因子水準表'!H15="","",'因子水準表'!H15)</f>
        <v/>
      </c>
      <c r="BB12" s="24">
        <f>IF('因子水準表'!I15="","",'因子水準表'!I15)</f>
        <v/>
      </c>
      <c r="BC12" s="24">
        <f>IF('因子水準表'!J15="","",'因子水準表'!J15)</f>
        <v/>
      </c>
      <c r="BD12" s="24">
        <f>IF('因子水準表'!K15="","",'因子水準表'!K15)</f>
        <v/>
      </c>
      <c r="BE12" s="24">
        <f>IF('因子水準表'!L15="","",'因子水準表'!L15)</f>
        <v/>
      </c>
      <c r="BF12" s="24">
        <f>IF('因子水準表'!M15="","",'因子水準表'!M15)</f>
        <v/>
      </c>
      <c r="BG12" s="24">
        <f>IF('因子水準表'!N15="","",'因子水準表'!N15)</f>
        <v/>
      </c>
      <c r="BH12" s="24">
        <f>IF('因子水準表'!O15="","",'因子水準表'!O15)</f>
        <v/>
      </c>
      <c r="BI12" s="24">
        <f>IF('因子水準表'!P15="","",'因子水準表'!P15)</f>
        <v/>
      </c>
      <c r="BJ12" s="24">
        <f>IF('因子水準表'!Q15="","",'因子水準表'!Q15)</f>
        <v/>
      </c>
      <c r="BK12" s="24">
        <f>IF('因子水準表'!R15="","",'因子水準表'!R15)</f>
        <v/>
      </c>
      <c r="BL12" s="24">
        <f>IF('因子水準表'!S15="","",'因子水準表'!S15)</f>
        <v/>
      </c>
      <c r="BM12" s="24">
        <f>IF('因子水準表'!T15="","",'因子水準表'!T15)</f>
        <v/>
      </c>
      <c r="BN12" s="24">
        <f>IF('因子水準表'!U15="","",'因子水準表'!U15)</f>
        <v/>
      </c>
      <c r="BO12" s="24">
        <f>IF('因子水準表'!V15="","",'因子水準表'!V15)</f>
        <v/>
      </c>
      <c r="BP12" s="24">
        <f>IF('因子水準表'!W15="","",'因子水準表'!W15)</f>
        <v/>
      </c>
      <c r="BQ12" s="24">
        <f>IF('因子水準表'!X15="","",'因子水準表'!X15)</f>
        <v/>
      </c>
      <c r="BR12" s="24">
        <f>IF('因子水準表'!Y15="","",'因子水準表'!Y15)</f>
        <v/>
      </c>
      <c r="BS12" s="24">
        <f>IF('因子水準表'!Z15="","",'因子水準表'!Z15)</f>
        <v/>
      </c>
      <c r="BT12" s="24">
        <f>IF('因子水準表'!AA15="","",'因子水準表'!AA15)</f>
        <v/>
      </c>
      <c r="BU12" s="24">
        <f>IF('因子水準表'!AB15="","",'因子水準表'!AB15)</f>
        <v/>
      </c>
      <c r="BV12" s="24">
        <f>IF('因子水準表'!AC15="","",'因子水準表'!AC15)</f>
        <v/>
      </c>
      <c r="BW12" s="24">
        <f>IF('因子水準表'!AD15="","",'因子水準表'!AD15)</f>
        <v/>
      </c>
      <c r="BX12" s="24">
        <f>IF('因子水準表'!AE15="","",'因子水準表'!AE15)</f>
        <v/>
      </c>
      <c r="BY12" s="24">
        <f>IF('因子水準表'!B34="","",'因子水準表'!B34)</f>
        <v/>
      </c>
      <c r="BZ12" s="24">
        <f>IF('テスト条件'!A11="","",'テスト条件'!A11)</f>
        <v/>
      </c>
    </row>
    <row r="13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6" t="n"/>
      <c r="AP13" s="25" t="n"/>
      <c r="AQ13" s="25" t="n"/>
      <c r="AR13" s="25" t="n"/>
      <c r="AS13" s="25" t="n"/>
      <c r="AU13" s="24">
        <f>IF('因子水準表'!B16="","",'因子水準表'!B16)</f>
        <v/>
      </c>
      <c r="AV13" s="24">
        <f>IF('因子水準表'!C16="","",'因子水準表'!C16)</f>
        <v/>
      </c>
      <c r="AW13" s="24">
        <f>IF('因子水準表'!D16="","",'因子水準表'!D16)</f>
        <v/>
      </c>
      <c r="AX13" s="24">
        <f>IF('因子水準表'!E16="","",'因子水準表'!E16)</f>
        <v/>
      </c>
      <c r="AY13" s="24">
        <f>IF('因子水準表'!F16="","",'因子水準表'!F16)</f>
        <v/>
      </c>
      <c r="AZ13" s="24">
        <f>IF('因子水準表'!G16="","",'因子水準表'!G16)</f>
        <v/>
      </c>
      <c r="BA13" s="24">
        <f>IF('因子水準表'!H16="","",'因子水準表'!H16)</f>
        <v/>
      </c>
      <c r="BB13" s="24">
        <f>IF('因子水準表'!I16="","",'因子水準表'!I16)</f>
        <v/>
      </c>
      <c r="BC13" s="24">
        <f>IF('因子水準表'!J16="","",'因子水準表'!J16)</f>
        <v/>
      </c>
      <c r="BD13" s="24">
        <f>IF('因子水準表'!K16="","",'因子水準表'!K16)</f>
        <v/>
      </c>
      <c r="BE13" s="24">
        <f>IF('因子水準表'!L16="","",'因子水準表'!L16)</f>
        <v/>
      </c>
      <c r="BF13" s="24">
        <f>IF('因子水準表'!M16="","",'因子水準表'!M16)</f>
        <v/>
      </c>
      <c r="BG13" s="24">
        <f>IF('因子水準表'!N16="","",'因子水準表'!N16)</f>
        <v/>
      </c>
      <c r="BH13" s="24">
        <f>IF('因子水準表'!O16="","",'因子水準表'!O16)</f>
        <v/>
      </c>
      <c r="BI13" s="24">
        <f>IF('因子水準表'!P16="","",'因子水準表'!P16)</f>
        <v/>
      </c>
      <c r="BJ13" s="24">
        <f>IF('因子水準表'!Q16="","",'因子水準表'!Q16)</f>
        <v/>
      </c>
      <c r="BK13" s="24">
        <f>IF('因子水準表'!R16="","",'因子水準表'!R16)</f>
        <v/>
      </c>
      <c r="BL13" s="24">
        <f>IF('因子水準表'!S16="","",'因子水準表'!S16)</f>
        <v/>
      </c>
      <c r="BM13" s="24">
        <f>IF('因子水準表'!T16="","",'因子水準表'!T16)</f>
        <v/>
      </c>
      <c r="BN13" s="24">
        <f>IF('因子水準表'!U16="","",'因子水準表'!U16)</f>
        <v/>
      </c>
      <c r="BO13" s="24">
        <f>IF('因子水準表'!V16="","",'因子水準表'!V16)</f>
        <v/>
      </c>
      <c r="BP13" s="24">
        <f>IF('因子水準表'!W16="","",'因子水準表'!W16)</f>
        <v/>
      </c>
      <c r="BQ13" s="24">
        <f>IF('因子水準表'!X16="","",'因子水準表'!X16)</f>
        <v/>
      </c>
      <c r="BR13" s="24">
        <f>IF('因子水準表'!Y16="","",'因子水準表'!Y16)</f>
        <v/>
      </c>
      <c r="BS13" s="24">
        <f>IF('因子水準表'!Z16="","",'因子水準表'!Z16)</f>
        <v/>
      </c>
      <c r="BT13" s="24">
        <f>IF('因子水準表'!AA16="","",'因子水準表'!AA16)</f>
        <v/>
      </c>
      <c r="BU13" s="24">
        <f>IF('因子水準表'!AB16="","",'因子水準表'!AB16)</f>
        <v/>
      </c>
      <c r="BV13" s="24">
        <f>IF('因子水準表'!AC16="","",'因子水準表'!AC16)</f>
        <v/>
      </c>
      <c r="BW13" s="24">
        <f>IF('因子水準表'!AD16="","",'因子水準表'!AD16)</f>
        <v/>
      </c>
      <c r="BX13" s="24">
        <f>IF('因子水準表'!AE16="","",'因子水準表'!AE16)</f>
        <v/>
      </c>
      <c r="BY13" s="24">
        <f>IF('因子水準表'!B35="","",'因子水準表'!B35)</f>
        <v/>
      </c>
      <c r="BZ13" s="24">
        <f>IF('テスト条件'!A12="","",'テスト条件'!A12)</f>
        <v/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6" t="n"/>
      <c r="AP14" s="25" t="n"/>
      <c r="AQ14" s="25" t="n"/>
      <c r="AR14" s="25" t="n"/>
      <c r="AS14" s="25" t="n"/>
      <c r="AU14" s="24">
        <f>IF('因子水準表'!B17="","",'因子水準表'!B17)</f>
        <v/>
      </c>
      <c r="AV14" s="24">
        <f>IF('因子水準表'!C17="","",'因子水準表'!C17)</f>
        <v/>
      </c>
      <c r="AW14" s="24">
        <f>IF('因子水準表'!D17="","",'因子水準表'!D17)</f>
        <v/>
      </c>
      <c r="AX14" s="24">
        <f>IF('因子水準表'!E17="","",'因子水準表'!E17)</f>
        <v/>
      </c>
      <c r="AY14" s="24">
        <f>IF('因子水準表'!F17="","",'因子水準表'!F17)</f>
        <v/>
      </c>
      <c r="AZ14" s="24">
        <f>IF('因子水準表'!G17="","",'因子水準表'!G17)</f>
        <v/>
      </c>
      <c r="BA14" s="24">
        <f>IF('因子水準表'!H17="","",'因子水準表'!H17)</f>
        <v/>
      </c>
      <c r="BB14" s="24">
        <f>IF('因子水準表'!I17="","",'因子水準表'!I17)</f>
        <v/>
      </c>
      <c r="BC14" s="24">
        <f>IF('因子水準表'!J17="","",'因子水準表'!J17)</f>
        <v/>
      </c>
      <c r="BD14" s="24">
        <f>IF('因子水準表'!K17="","",'因子水準表'!K17)</f>
        <v/>
      </c>
      <c r="BE14" s="24">
        <f>IF('因子水準表'!L17="","",'因子水準表'!L17)</f>
        <v/>
      </c>
      <c r="BF14" s="24">
        <f>IF('因子水準表'!M17="","",'因子水準表'!M17)</f>
        <v/>
      </c>
      <c r="BG14" s="24">
        <f>IF('因子水準表'!N17="","",'因子水準表'!N17)</f>
        <v/>
      </c>
      <c r="BH14" s="24">
        <f>IF('因子水準表'!O17="","",'因子水準表'!O17)</f>
        <v/>
      </c>
      <c r="BI14" s="24">
        <f>IF('因子水準表'!P17="","",'因子水準表'!P17)</f>
        <v/>
      </c>
      <c r="BJ14" s="24">
        <f>IF('因子水準表'!Q17="","",'因子水準表'!Q17)</f>
        <v/>
      </c>
      <c r="BK14" s="24">
        <f>IF('因子水準表'!R17="","",'因子水準表'!R17)</f>
        <v/>
      </c>
      <c r="BL14" s="24">
        <f>IF('因子水準表'!S17="","",'因子水準表'!S17)</f>
        <v/>
      </c>
      <c r="BM14" s="24">
        <f>IF('因子水準表'!T17="","",'因子水準表'!T17)</f>
        <v/>
      </c>
      <c r="BN14" s="24">
        <f>IF('因子水準表'!U17="","",'因子水準表'!U17)</f>
        <v/>
      </c>
      <c r="BO14" s="24">
        <f>IF('因子水準表'!V17="","",'因子水準表'!V17)</f>
        <v/>
      </c>
      <c r="BP14" s="24">
        <f>IF('因子水準表'!W17="","",'因子水準表'!W17)</f>
        <v/>
      </c>
      <c r="BQ14" s="24">
        <f>IF('因子水準表'!X17="","",'因子水準表'!X17)</f>
        <v/>
      </c>
      <c r="BR14" s="24">
        <f>IF('因子水準表'!Y17="","",'因子水準表'!Y17)</f>
        <v/>
      </c>
      <c r="BS14" s="24">
        <f>IF('因子水準表'!Z17="","",'因子水準表'!Z17)</f>
        <v/>
      </c>
      <c r="BT14" s="24">
        <f>IF('因子水準表'!AA17="","",'因子水準表'!AA17)</f>
        <v/>
      </c>
      <c r="BU14" s="24">
        <f>IF('因子水準表'!AB17="","",'因子水準表'!AB17)</f>
        <v/>
      </c>
      <c r="BV14" s="24">
        <f>IF('因子水準表'!AC17="","",'因子水準表'!AC17)</f>
        <v/>
      </c>
      <c r="BW14" s="24">
        <f>IF('因子水準表'!AD17="","",'因子水準表'!AD17)</f>
        <v/>
      </c>
      <c r="BX14" s="24">
        <f>IF('因子水準表'!AE17="","",'因子水準表'!AE17)</f>
        <v/>
      </c>
      <c r="BY14" s="24">
        <f>IF('因子水準表'!B36="","",'因子水準表'!B36)</f>
        <v/>
      </c>
      <c r="BZ14" s="24">
        <f>IF('テスト条件'!A13="","",'テスト条件'!A13)</f>
        <v/>
      </c>
    </row>
    <row r="15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6" t="n"/>
      <c r="AP15" s="25" t="n"/>
      <c r="AQ15" s="25" t="n"/>
      <c r="AR15" s="25" t="n"/>
      <c r="AS15" s="25" t="n"/>
      <c r="AU15" s="24">
        <f>IF('因子水準表'!B18="","",'因子水準表'!B18)</f>
        <v/>
      </c>
      <c r="AV15" s="24">
        <f>IF('因子水準表'!C18="","",'因子水準表'!C18)</f>
        <v/>
      </c>
      <c r="AW15" s="24">
        <f>IF('因子水準表'!D18="","",'因子水準表'!D18)</f>
        <v/>
      </c>
      <c r="AX15" s="24">
        <f>IF('因子水準表'!E18="","",'因子水準表'!E18)</f>
        <v/>
      </c>
      <c r="AY15" s="24">
        <f>IF('因子水準表'!F18="","",'因子水準表'!F18)</f>
        <v/>
      </c>
      <c r="AZ15" s="24">
        <f>IF('因子水準表'!G18="","",'因子水準表'!G18)</f>
        <v/>
      </c>
      <c r="BA15" s="24">
        <f>IF('因子水準表'!H18="","",'因子水準表'!H18)</f>
        <v/>
      </c>
      <c r="BB15" s="24">
        <f>IF('因子水準表'!I18="","",'因子水準表'!I18)</f>
        <v/>
      </c>
      <c r="BC15" s="24">
        <f>IF('因子水準表'!J18="","",'因子水準表'!J18)</f>
        <v/>
      </c>
      <c r="BD15" s="24">
        <f>IF('因子水準表'!K18="","",'因子水準表'!K18)</f>
        <v/>
      </c>
      <c r="BE15" s="24">
        <f>IF('因子水準表'!L18="","",'因子水準表'!L18)</f>
        <v/>
      </c>
      <c r="BF15" s="24">
        <f>IF('因子水準表'!M18="","",'因子水準表'!M18)</f>
        <v/>
      </c>
      <c r="BG15" s="24">
        <f>IF('因子水準表'!N18="","",'因子水準表'!N18)</f>
        <v/>
      </c>
      <c r="BH15" s="24">
        <f>IF('因子水準表'!O18="","",'因子水準表'!O18)</f>
        <v/>
      </c>
      <c r="BI15" s="24">
        <f>IF('因子水準表'!P18="","",'因子水準表'!P18)</f>
        <v/>
      </c>
      <c r="BJ15" s="24">
        <f>IF('因子水準表'!Q18="","",'因子水準表'!Q18)</f>
        <v/>
      </c>
      <c r="BK15" s="24">
        <f>IF('因子水準表'!R18="","",'因子水準表'!R18)</f>
        <v/>
      </c>
      <c r="BL15" s="24">
        <f>IF('因子水準表'!S18="","",'因子水準表'!S18)</f>
        <v/>
      </c>
      <c r="BM15" s="24">
        <f>IF('因子水準表'!T18="","",'因子水準表'!T18)</f>
        <v/>
      </c>
      <c r="BN15" s="24">
        <f>IF('因子水準表'!U18="","",'因子水準表'!U18)</f>
        <v/>
      </c>
      <c r="BO15" s="24">
        <f>IF('因子水準表'!V18="","",'因子水準表'!V18)</f>
        <v/>
      </c>
      <c r="BP15" s="24">
        <f>IF('因子水準表'!W18="","",'因子水準表'!W18)</f>
        <v/>
      </c>
      <c r="BQ15" s="24">
        <f>IF('因子水準表'!X18="","",'因子水準表'!X18)</f>
        <v/>
      </c>
      <c r="BR15" s="24">
        <f>IF('因子水準表'!Y18="","",'因子水準表'!Y18)</f>
        <v/>
      </c>
      <c r="BS15" s="24">
        <f>IF('因子水準表'!Z18="","",'因子水準表'!Z18)</f>
        <v/>
      </c>
      <c r="BT15" s="24">
        <f>IF('因子水準表'!AA18="","",'因子水準表'!AA18)</f>
        <v/>
      </c>
      <c r="BU15" s="24">
        <f>IF('因子水準表'!AB18="","",'因子水準表'!AB18)</f>
        <v/>
      </c>
      <c r="BV15" s="24">
        <f>IF('因子水準表'!AC18="","",'因子水準表'!AC18)</f>
        <v/>
      </c>
      <c r="BW15" s="24">
        <f>IF('因子水準表'!AD18="","",'因子水準表'!AD18)</f>
        <v/>
      </c>
      <c r="BX15" s="24">
        <f>IF('因子水準表'!AE18="","",'因子水準表'!AE18)</f>
        <v/>
      </c>
      <c r="BY15" s="24">
        <f>IF('因子水準表'!B37="","",'因子水準表'!B37)</f>
        <v/>
      </c>
      <c r="BZ15" s="24">
        <f>IF('テスト条件'!A14="","",'テスト条件'!A14)</f>
        <v/>
      </c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6" t="n"/>
      <c r="AP16" s="25" t="n"/>
      <c r="AQ16" s="25" t="n"/>
      <c r="AR16" s="25" t="n"/>
      <c r="AS16" s="25" t="n"/>
      <c r="BY16" s="24">
        <f>IF('因子水準表'!B38="","",'因子水準表'!B38)</f>
        <v/>
      </c>
      <c r="BZ16" s="24">
        <f>IF('テスト条件'!A15="","",'テスト条件'!A15)</f>
        <v/>
      </c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6" t="n"/>
      <c r="AP17" s="25" t="n"/>
      <c r="AQ17" s="25" t="n"/>
      <c r="AR17" s="25" t="n"/>
      <c r="AS17" s="25" t="n"/>
      <c r="BY17" s="24">
        <f>IF('因子水準表'!B39="","",'因子水準表'!B39)</f>
        <v/>
      </c>
      <c r="BZ17" s="24">
        <f>IF('テスト条件'!A16="","",'テスト条件'!A16)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6" t="n"/>
      <c r="AP18" s="25" t="n"/>
      <c r="AQ18" s="25" t="n"/>
      <c r="AR18" s="25" t="n"/>
      <c r="AS18" s="25" t="n"/>
      <c r="BY18" s="24">
        <f>IF('因子水準表'!B40="","",'因子水準表'!B40)</f>
        <v/>
      </c>
      <c r="BZ18" s="24">
        <f>IF('テスト条件'!A17="","",'テスト条件'!A17)</f>
        <v/>
      </c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6" t="n"/>
      <c r="AP19" s="25" t="n"/>
      <c r="AQ19" s="25" t="n"/>
      <c r="AR19" s="25" t="n"/>
      <c r="AS19" s="25" t="n"/>
      <c r="BY19" s="24">
        <f>IF('因子水準表'!B41="","",'因子水準表'!B41)</f>
        <v/>
      </c>
      <c r="BZ19" s="24">
        <f>IF('テスト条件'!A18="","",'テスト条件'!A18)</f>
        <v/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6" t="n"/>
      <c r="AP20" s="25" t="n"/>
      <c r="AQ20" s="25" t="n"/>
      <c r="AR20" s="25" t="n"/>
      <c r="AS20" s="25" t="n"/>
      <c r="BY20" s="24">
        <f>IF('因子水準表'!B42="","",'因子水準表'!B42)</f>
        <v/>
      </c>
      <c r="BZ20" s="24">
        <f>IF('テスト条件'!A19="","",'テスト条件'!A19)</f>
        <v/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6" t="n"/>
      <c r="AP21" s="25" t="n"/>
      <c r="AQ21" s="25" t="n"/>
      <c r="AR21" s="25" t="n"/>
      <c r="AS21" s="25" t="n"/>
      <c r="BY21" s="24">
        <f>IF('因子水準表'!B43="","",'因子水準表'!B43)</f>
        <v/>
      </c>
      <c r="BZ21" s="24">
        <f>IF('テスト条件'!A20="","",'テスト条件'!A20)</f>
        <v/>
      </c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6" t="n"/>
      <c r="AP22" s="25" t="n"/>
      <c r="AQ22" s="25" t="n"/>
      <c r="AR22" s="25" t="n"/>
      <c r="AS22" s="25" t="n"/>
      <c r="BY22" s="24">
        <f>IF('因子水準表'!B44="","",'因子水準表'!B44)</f>
        <v/>
      </c>
      <c r="BZ22" s="24">
        <f>IF('テスト条件'!A21="","",'テスト条件'!A21)</f>
        <v/>
      </c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6" t="n"/>
      <c r="AP23" s="25" t="n"/>
      <c r="AQ23" s="25" t="n"/>
      <c r="AR23" s="25" t="n"/>
      <c r="AS23" s="25" t="n"/>
      <c r="BY23" s="24">
        <f>IF('因子水準表'!B45="","",'因子水準表'!B45)</f>
        <v/>
      </c>
      <c r="BZ23" s="24">
        <f>IF('テスト条件'!A22="","",'テスト条件'!A22)</f>
        <v/>
      </c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6" t="n"/>
      <c r="AP24" s="25" t="n"/>
      <c r="AQ24" s="25" t="n"/>
      <c r="AR24" s="25" t="n"/>
      <c r="AS24" s="25" t="n"/>
      <c r="BY24" s="24">
        <f>IF('因子水準表'!B46="","",'因子水準表'!B46)</f>
        <v/>
      </c>
      <c r="BZ24" s="24">
        <f>IF('テスト条件'!A23="","",'テスト条件'!A23)</f>
        <v/>
      </c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6" t="n"/>
      <c r="AP25" s="25" t="n"/>
      <c r="AQ25" s="25" t="n"/>
      <c r="AR25" s="25" t="n"/>
      <c r="AS25" s="25" t="n"/>
      <c r="BY25" s="24">
        <f>IF('因子水準表'!B47="","",'因子水準表'!B47)</f>
        <v/>
      </c>
      <c r="BZ25" s="24">
        <f>IF('テスト条件'!A24="","",'テスト条件'!A24)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6" t="n"/>
      <c r="AP26" s="25" t="n"/>
      <c r="AQ26" s="25" t="n"/>
      <c r="AR26" s="25" t="n"/>
      <c r="AS26" s="25" t="n"/>
      <c r="BZ26" s="24">
        <f>IF('テスト条件'!A25="","",'テスト条件'!A25)</f>
        <v/>
      </c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6" t="n"/>
      <c r="AP27" s="25" t="n"/>
      <c r="AQ27" s="25" t="n"/>
      <c r="AR27" s="25" t="n"/>
      <c r="AS27" s="25" t="n"/>
      <c r="BZ27" s="24">
        <f>IF('テスト条件'!A26="","",'テスト条件'!A26)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6" t="n"/>
      <c r="AP28" s="25" t="n"/>
      <c r="AQ28" s="25" t="n"/>
      <c r="AR28" s="25" t="n"/>
      <c r="AS28" s="25" t="n"/>
      <c r="BZ28" s="24">
        <f>IF('テスト条件'!A27="","",'テスト条件'!A27)</f>
        <v/>
      </c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6" t="n"/>
      <c r="AP29" s="25" t="n"/>
      <c r="AQ29" s="25" t="n"/>
      <c r="AR29" s="25" t="n"/>
      <c r="AS29" s="25" t="n"/>
      <c r="BZ29" s="24">
        <f>IF('テスト条件'!A28="","",'テスト条件'!A28)</f>
        <v/>
      </c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6" t="n"/>
      <c r="AP30" s="25" t="n"/>
      <c r="AQ30" s="25" t="n"/>
      <c r="AR30" s="25" t="n"/>
      <c r="AS30" s="25" t="n"/>
      <c r="BZ30" s="24">
        <f>IF('テスト条件'!A29="","",'テスト条件'!A29)</f>
        <v/>
      </c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6" t="n"/>
      <c r="AP31" s="25" t="n"/>
      <c r="AQ31" s="25" t="n"/>
      <c r="AR31" s="25" t="n"/>
      <c r="AS31" s="25" t="n"/>
      <c r="BZ31" s="24">
        <f>IF('テスト条件'!A30="","",'テスト条件'!A30)</f>
        <v/>
      </c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6" t="n"/>
      <c r="AP32" s="25" t="n"/>
      <c r="AQ32" s="25" t="n"/>
      <c r="AR32" s="25" t="n"/>
      <c r="AS32" s="25" t="n"/>
      <c r="BZ32" s="24">
        <f>IF('テスト条件'!A31="","",'テスト条件'!A31)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6" t="n"/>
      <c r="AP33" s="25" t="n"/>
      <c r="AQ33" s="25" t="n"/>
      <c r="AR33" s="25" t="n"/>
      <c r="AS33" s="25" t="n"/>
      <c r="BZ33" s="24">
        <f>IF('テスト条件'!A32="","",'テスト条件'!A32)</f>
        <v/>
      </c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6" t="n"/>
      <c r="AP34" s="25" t="n"/>
      <c r="AQ34" s="25" t="n"/>
      <c r="AR34" s="25" t="n"/>
      <c r="AS34" s="25" t="n"/>
      <c r="BZ34" s="24">
        <f>IF('テスト条件'!A33="","",'テスト条件'!A33)</f>
        <v/>
      </c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6" t="n"/>
      <c r="AP35" s="25" t="n"/>
      <c r="AQ35" s="25" t="n"/>
      <c r="AR35" s="25" t="n"/>
      <c r="AS35" s="25" t="n"/>
      <c r="BZ35" s="24">
        <f>IF('テスト条件'!A34="","",'テスト条件'!A34)</f>
        <v/>
      </c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6" t="n"/>
      <c r="AP36" s="25" t="n"/>
      <c r="AQ36" s="25" t="n"/>
      <c r="AR36" s="25" t="n"/>
      <c r="AS36" s="25" t="n"/>
      <c r="BZ36" s="24">
        <f>IF('テスト条件'!A35="","",'テスト条件'!A35)</f>
        <v/>
      </c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6" t="n"/>
      <c r="AP37" s="25" t="n"/>
      <c r="AQ37" s="25" t="n"/>
      <c r="AR37" s="25" t="n"/>
      <c r="AS37" s="25" t="n"/>
      <c r="BZ37" s="24">
        <f>IF('テスト条件'!A36="","",'テスト条件'!A36)</f>
        <v/>
      </c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6" t="n"/>
      <c r="AP38" s="25" t="n"/>
      <c r="AQ38" s="25" t="n"/>
      <c r="AR38" s="25" t="n"/>
      <c r="AS38" s="25" t="n"/>
      <c r="BZ38" s="24">
        <f>IF('テスト条件'!A37="","",'テスト条件'!A37)</f>
        <v/>
      </c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6" t="n"/>
      <c r="AP39" s="25" t="n"/>
      <c r="AQ39" s="25" t="n"/>
      <c r="AR39" s="25" t="n"/>
      <c r="AS39" s="25" t="n"/>
      <c r="BZ39" s="24">
        <f>IF('テスト条件'!A38="","",'テスト条件'!A38)</f>
        <v/>
      </c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6" t="n"/>
      <c r="AP40" s="25" t="n"/>
      <c r="AQ40" s="25" t="n"/>
      <c r="AR40" s="25" t="n"/>
      <c r="AS40" s="25" t="n"/>
      <c r="BZ40" s="24">
        <f>IF('テスト条件'!A39="","",'テスト条件'!A39)</f>
        <v/>
      </c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6" t="n"/>
      <c r="AP41" s="25" t="n"/>
      <c r="AQ41" s="25" t="n"/>
      <c r="AR41" s="25" t="n"/>
      <c r="AS41" s="25" t="n"/>
      <c r="BZ41" s="24">
        <f>IF('テスト条件'!A40="","",'テスト条件'!A40)</f>
        <v/>
      </c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6" t="n"/>
      <c r="AP42" s="25" t="n"/>
      <c r="AQ42" s="25" t="n"/>
      <c r="AR42" s="25" t="n"/>
      <c r="AS42" s="25" t="n"/>
      <c r="BZ42" s="24">
        <f>IF('テスト条件'!A41="","",'テスト条件'!A41)</f>
        <v/>
      </c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6" t="n"/>
      <c r="AP43" s="25" t="n"/>
      <c r="AQ43" s="25" t="n"/>
      <c r="AR43" s="25" t="n"/>
      <c r="AS43" s="25" t="n"/>
      <c r="BZ43" s="24">
        <f>IF('テスト条件'!A42="","",'テスト条件'!A42)</f>
        <v/>
      </c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6" t="n"/>
      <c r="AP44" s="25" t="n"/>
      <c r="AQ44" s="25" t="n"/>
      <c r="AR44" s="25" t="n"/>
      <c r="AS44" s="25" t="n"/>
      <c r="BZ44" s="24">
        <f>IF('テスト条件'!A43="","",'テスト条件'!A43)</f>
        <v/>
      </c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6" t="n"/>
      <c r="AP45" s="25" t="n"/>
      <c r="AQ45" s="25" t="n"/>
      <c r="AR45" s="25" t="n"/>
      <c r="AS45" s="25" t="n"/>
      <c r="BZ45" s="24">
        <f>IF('テスト条件'!A44="","",'テスト条件'!A44)</f>
        <v/>
      </c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6" t="n"/>
      <c r="AP46" s="25" t="n"/>
      <c r="AQ46" s="25" t="n"/>
      <c r="AR46" s="25" t="n"/>
      <c r="AS46" s="25" t="n"/>
      <c r="BZ46" s="24">
        <f>IF('テスト条件'!A45="","",'テスト条件'!A45)</f>
        <v/>
      </c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6" t="n"/>
      <c r="AP47" s="25" t="n"/>
      <c r="AQ47" s="25" t="n"/>
      <c r="AR47" s="25" t="n"/>
      <c r="AS47" s="25" t="n"/>
      <c r="BZ47" s="24">
        <f>IF('テスト条件'!A46="","",'テスト条件'!A46)</f>
        <v/>
      </c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6" t="n"/>
      <c r="AP48" s="25" t="n"/>
      <c r="AQ48" s="25" t="n"/>
      <c r="AR48" s="25" t="n"/>
      <c r="AS48" s="25" t="n"/>
      <c r="BZ48" s="24">
        <f>IF('テスト条件'!A47="","",'テスト条件'!A47)</f>
        <v/>
      </c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6" t="n"/>
      <c r="AP49" s="25" t="n"/>
      <c r="AQ49" s="25" t="n"/>
      <c r="AR49" s="25" t="n"/>
      <c r="AS49" s="25" t="n"/>
      <c r="BZ49" s="24">
        <f>IF('テスト条件'!A48="","",'テスト条件'!A48)</f>
        <v/>
      </c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6" t="n"/>
      <c r="AP50" s="25" t="n"/>
      <c r="AQ50" s="25" t="n"/>
      <c r="AR50" s="25" t="n"/>
      <c r="AS50" s="25" t="n"/>
      <c r="BZ50" s="24">
        <f>IF('テスト条件'!A49="","",'テスト条件'!A49)</f>
        <v/>
      </c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6" t="n"/>
      <c r="AP51" s="25" t="n"/>
      <c r="AQ51" s="25" t="n"/>
      <c r="AR51" s="25" t="n"/>
      <c r="AS51" s="25" t="n"/>
      <c r="BZ51" s="24">
        <f>IF('テスト条件'!A50="","",'テスト条件'!A50)</f>
        <v/>
      </c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6" t="n"/>
      <c r="AP52" s="25" t="n"/>
      <c r="AQ52" s="25" t="n"/>
      <c r="AR52" s="25" t="n"/>
      <c r="AS52" s="25" t="n"/>
      <c r="BZ52" s="24">
        <f>IF('テスト条件'!A51="","",'テスト条件'!A51)</f>
        <v/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6" t="n"/>
      <c r="AP53" s="25" t="n"/>
      <c r="AQ53" s="25" t="n"/>
      <c r="AR53" s="25" t="n"/>
      <c r="AS53" s="25" t="n"/>
      <c r="BZ53" s="24">
        <f>IF('テスト条件'!A52="","",'テスト条件'!A52)</f>
        <v/>
      </c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6" t="n"/>
      <c r="AP54" s="25" t="n"/>
      <c r="AQ54" s="25" t="n"/>
      <c r="AR54" s="25" t="n"/>
      <c r="AS54" s="25" t="n"/>
      <c r="BZ54" s="24">
        <f>IF('テスト条件'!A53="","",'テスト条件'!A53)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6" t="n"/>
      <c r="AP55" s="25" t="n"/>
      <c r="AQ55" s="25" t="n"/>
      <c r="AR55" s="25" t="n"/>
      <c r="AS55" s="25" t="n"/>
      <c r="BZ55" s="24">
        <f>IF('テスト条件'!A54="","",'テスト条件'!A54)</f>
        <v/>
      </c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6" t="n"/>
      <c r="AP56" s="25" t="n"/>
      <c r="AQ56" s="25" t="n"/>
      <c r="AR56" s="25" t="n"/>
      <c r="AS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6" t="n"/>
      <c r="AP57" s="25" t="n"/>
      <c r="AQ57" s="25" t="n"/>
      <c r="AR57" s="25" t="n"/>
      <c r="AS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6" t="n"/>
      <c r="AP58" s="25" t="n"/>
      <c r="AQ58" s="25" t="n"/>
      <c r="AR58" s="25" t="n"/>
      <c r="AS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6" t="n"/>
      <c r="AP59" s="25" t="n"/>
      <c r="AQ59" s="25" t="n"/>
      <c r="AR59" s="25" t="n"/>
      <c r="AS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6" t="n"/>
      <c r="AP60" s="25" t="n"/>
      <c r="AQ60" s="25" t="n"/>
      <c r="AR60" s="25" t="n"/>
      <c r="AS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6" t="n"/>
      <c r="AP61" s="25" t="n"/>
      <c r="AQ61" s="25" t="n"/>
      <c r="AR61" s="25" t="n"/>
      <c r="AS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6" t="n"/>
      <c r="AP62" s="25" t="n"/>
      <c r="AQ62" s="25" t="n"/>
      <c r="AR62" s="25" t="n"/>
      <c r="AS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6" t="n"/>
      <c r="AP63" s="25" t="n"/>
      <c r="AQ63" s="25" t="n"/>
      <c r="AR63" s="25" t="n"/>
      <c r="AS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6" t="n"/>
      <c r="AP64" s="25" t="n"/>
      <c r="AQ64" s="25" t="n"/>
      <c r="AR64" s="25" t="n"/>
      <c r="AS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6" t="n"/>
      <c r="AP65" s="25" t="n"/>
      <c r="AQ65" s="25" t="n"/>
      <c r="AR65" s="25" t="n"/>
      <c r="AS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6" t="n"/>
      <c r="AP66" s="25" t="n"/>
      <c r="AQ66" s="25" t="n"/>
      <c r="AR66" s="25" t="n"/>
      <c r="AS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6" t="n"/>
      <c r="AP67" s="25" t="n"/>
      <c r="AQ67" s="25" t="n"/>
      <c r="AR67" s="25" t="n"/>
      <c r="AS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6" t="n"/>
      <c r="AP68" s="25" t="n"/>
      <c r="AQ68" s="25" t="n"/>
      <c r="AR68" s="25" t="n"/>
      <c r="AS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6" t="n"/>
      <c r="AP69" s="25" t="n"/>
      <c r="AQ69" s="25" t="n"/>
      <c r="AR69" s="25" t="n"/>
      <c r="AS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6" t="n"/>
      <c r="AP70" s="25" t="n"/>
      <c r="AQ70" s="25" t="n"/>
      <c r="AR70" s="25" t="n"/>
      <c r="AS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6" t="n"/>
      <c r="AP71" s="25" t="n"/>
      <c r="AQ71" s="25" t="n"/>
      <c r="AR71" s="25" t="n"/>
      <c r="AS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6" t="n"/>
      <c r="AP72" s="25" t="n"/>
      <c r="AQ72" s="25" t="n"/>
      <c r="AR72" s="25" t="n"/>
      <c r="AS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6" t="n"/>
      <c r="AP73" s="25" t="n"/>
      <c r="AQ73" s="25" t="n"/>
      <c r="AR73" s="25" t="n"/>
      <c r="AS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6" t="n"/>
      <c r="AP74" s="25" t="n"/>
      <c r="AQ74" s="25" t="n"/>
      <c r="AR74" s="25" t="n"/>
      <c r="AS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6" t="n"/>
      <c r="AP75" s="25" t="n"/>
      <c r="AQ75" s="25" t="n"/>
      <c r="AR75" s="25" t="n"/>
      <c r="AS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6" t="n"/>
      <c r="AP76" s="25" t="n"/>
      <c r="AQ76" s="25" t="n"/>
      <c r="AR76" s="25" t="n"/>
      <c r="AS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6" t="n"/>
      <c r="AP77" s="25" t="n"/>
      <c r="AQ77" s="25" t="n"/>
      <c r="AR77" s="25" t="n"/>
      <c r="AS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6" t="n"/>
      <c r="AP78" s="25" t="n"/>
      <c r="AQ78" s="25" t="n"/>
      <c r="AR78" s="25" t="n"/>
      <c r="AS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6" t="n"/>
      <c r="AP79" s="25" t="n"/>
      <c r="AQ79" s="25" t="n"/>
      <c r="AR79" s="25" t="n"/>
      <c r="AS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6" t="n"/>
      <c r="AP80" s="25" t="n"/>
      <c r="AQ80" s="25" t="n"/>
      <c r="AR80" s="25" t="n"/>
      <c r="AS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6" t="n"/>
      <c r="AP81" s="25" t="n"/>
      <c r="AQ81" s="25" t="n"/>
      <c r="AR81" s="25" t="n"/>
      <c r="AS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6" t="n"/>
      <c r="AP82" s="25" t="n"/>
      <c r="AQ82" s="25" t="n"/>
      <c r="AR82" s="25" t="n"/>
      <c r="AS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6" t="n"/>
      <c r="AP83" s="25" t="n"/>
      <c r="AQ83" s="25" t="n"/>
      <c r="AR83" s="25" t="n"/>
      <c r="AS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6" t="n"/>
      <c r="AP84" s="25" t="n"/>
      <c r="AQ84" s="25" t="n"/>
      <c r="AR84" s="25" t="n"/>
      <c r="AS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6" t="n"/>
      <c r="AP85" s="25" t="n"/>
      <c r="AQ85" s="25" t="n"/>
      <c r="AR85" s="25" t="n"/>
      <c r="AS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6" t="n"/>
      <c r="AP86" s="25" t="n"/>
      <c r="AQ86" s="25" t="n"/>
      <c r="AR86" s="25" t="n"/>
      <c r="AS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6" t="n"/>
      <c r="AP87" s="25" t="n"/>
      <c r="AQ87" s="25" t="n"/>
      <c r="AR87" s="25" t="n"/>
      <c r="AS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6" t="n"/>
      <c r="AP88" s="25" t="n"/>
      <c r="AQ88" s="25" t="n"/>
      <c r="AR88" s="25" t="n"/>
      <c r="AS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6" t="n"/>
      <c r="AP89" s="25" t="n"/>
      <c r="AQ89" s="25" t="n"/>
      <c r="AR89" s="25" t="n"/>
      <c r="AS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6" t="n"/>
      <c r="AP90" s="25" t="n"/>
      <c r="AQ90" s="25" t="n"/>
      <c r="AR90" s="25" t="n"/>
      <c r="AS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6" t="n"/>
      <c r="AP91" s="25" t="n"/>
      <c r="AQ91" s="25" t="n"/>
      <c r="AR91" s="25" t="n"/>
      <c r="AS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6" t="n"/>
      <c r="AP92" s="25" t="n"/>
      <c r="AQ92" s="25" t="n"/>
      <c r="AR92" s="25" t="n"/>
      <c r="AS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6" t="n"/>
      <c r="AP93" s="25" t="n"/>
      <c r="AQ93" s="25" t="n"/>
      <c r="AR93" s="25" t="n"/>
      <c r="AS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6" t="n"/>
      <c r="AP94" s="25" t="n"/>
      <c r="AQ94" s="25" t="n"/>
      <c r="AR94" s="25" t="n"/>
      <c r="AS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6" t="n"/>
      <c r="AP95" s="25" t="n"/>
      <c r="AQ95" s="25" t="n"/>
      <c r="AR95" s="25" t="n"/>
      <c r="AS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6" t="n"/>
      <c r="AP96" s="25" t="n"/>
      <c r="AQ96" s="25" t="n"/>
      <c r="AR96" s="25" t="n"/>
      <c r="AS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6" t="n"/>
      <c r="AP97" s="25" t="n"/>
      <c r="AQ97" s="25" t="n"/>
      <c r="AR97" s="25" t="n"/>
      <c r="AS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6" t="n"/>
      <c r="AP98" s="25" t="n"/>
      <c r="AQ98" s="25" t="n"/>
      <c r="AR98" s="25" t="n"/>
      <c r="AS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6" t="n"/>
      <c r="AP99" s="25" t="n"/>
      <c r="AQ99" s="25" t="n"/>
      <c r="AR99" s="25" t="n"/>
      <c r="AS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6" t="n"/>
      <c r="AP100" s="25" t="n"/>
      <c r="AQ100" s="25" t="n"/>
      <c r="AR100" s="25" t="n"/>
      <c r="AS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6" t="n"/>
      <c r="AP101" s="25" t="n"/>
      <c r="AQ101" s="25" t="n"/>
      <c r="AR101" s="25" t="n"/>
      <c r="AS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6" t="n"/>
      <c r="AP102" s="25" t="n"/>
      <c r="AQ102" s="25" t="n"/>
      <c r="AR102" s="25" t="n"/>
      <c r="AS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6" t="n"/>
      <c r="AP103" s="25" t="n"/>
      <c r="AQ103" s="25" t="n"/>
      <c r="AR103" s="25" t="n"/>
      <c r="AS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6" t="n"/>
      <c r="AP104" s="25" t="n"/>
      <c r="AQ104" s="25" t="n"/>
      <c r="AR104" s="25" t="n"/>
      <c r="AS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6" t="n"/>
      <c r="AP105" s="25" t="n"/>
      <c r="AQ105" s="25" t="n"/>
      <c r="AR105" s="25" t="n"/>
      <c r="AS105" s="25" t="n"/>
    </row>
  </sheetData>
  <autoFilter ref="A5:AS105"/>
  <mergeCells count="21">
    <mergeCell ref="C4:C5"/>
    <mergeCell ref="E4:E5"/>
    <mergeCell ref="AN4:AN5"/>
    <mergeCell ref="A3:F3"/>
    <mergeCell ref="G3:AJ3"/>
    <mergeCell ref="AO3:AS3"/>
    <mergeCell ref="D4:D5"/>
    <mergeCell ref="AR4:AR5"/>
    <mergeCell ref="AQ4:AQ5"/>
    <mergeCell ref="AM4:AM5"/>
    <mergeCell ref="AO4:AO5"/>
    <mergeCell ref="AU4:BZ4"/>
    <mergeCell ref="A4:A5"/>
    <mergeCell ref="AK3:AN3"/>
    <mergeCell ref="AL4:AL5"/>
    <mergeCell ref="B4:B5"/>
    <mergeCell ref="F4:F5"/>
    <mergeCell ref="AP4:AP5"/>
    <mergeCell ref="AS4:AS5"/>
    <mergeCell ref="AK4:AK5"/>
    <mergeCell ref="B2:D2"/>
  </mergeCells>
  <dataValidations count="35">
    <dataValidation sqref="G6:G105" showDropDown="0" showInputMessage="0" showErrorMessage="0" allowBlank="1" type="list">
      <formula1>'テストケース4'!$AU$6:$AU$15</formula1>
    </dataValidation>
    <dataValidation sqref="H6:H105" showDropDown="0" showInputMessage="0" showErrorMessage="0" allowBlank="1" type="list">
      <formula1>'テストケース4'!$AV$6:$AV$15</formula1>
    </dataValidation>
    <dataValidation sqref="I6:I105" showDropDown="0" showInputMessage="0" showErrorMessage="0" allowBlank="1" type="list">
      <formula1>'テストケース4'!$AW$6:$AW$15</formula1>
    </dataValidation>
    <dataValidation sqref="J6:J105" showDropDown="0" showInputMessage="0" showErrorMessage="0" allowBlank="1" type="list">
      <formula1>'テストケース4'!$AX$6:$AX$15</formula1>
    </dataValidation>
    <dataValidation sqref="K6:K105" showDropDown="0" showInputMessage="0" showErrorMessage="0" allowBlank="1" type="list">
      <formula1>'テストケース4'!$AY$6:$AY$15</formula1>
    </dataValidation>
    <dataValidation sqref="L6:L105" showDropDown="0" showInputMessage="0" showErrorMessage="0" allowBlank="1" type="list">
      <formula1>'テストケース4'!$AZ$6:$AZ$15</formula1>
    </dataValidation>
    <dataValidation sqref="M6:M105" showDropDown="0" showInputMessage="0" showErrorMessage="0" allowBlank="1" type="list">
      <formula1>'テストケース4'!$BA$6:$BA$15</formula1>
    </dataValidation>
    <dataValidation sqref="N6:N105" showDropDown="0" showInputMessage="0" showErrorMessage="0" allowBlank="1" type="list">
      <formula1>'テストケース4'!$BB$6:$BB$15</formula1>
    </dataValidation>
    <dataValidation sqref="O6:O105" showDropDown="0" showInputMessage="0" showErrorMessage="0" allowBlank="1" type="list">
      <formula1>'テストケース4'!$BC$6:$BC$15</formula1>
    </dataValidation>
    <dataValidation sqref="P6:P105" showDropDown="0" showInputMessage="0" showErrorMessage="0" allowBlank="1" type="list">
      <formula1>'テストケース4'!$BD$6:$BD$15</formula1>
    </dataValidation>
    <dataValidation sqref="Q6:Q105" showDropDown="0" showInputMessage="0" showErrorMessage="0" allowBlank="1" type="list">
      <formula1>'テストケース4'!$BE$6:$BE$15</formula1>
    </dataValidation>
    <dataValidation sqref="R6:R105" showDropDown="0" showInputMessage="0" showErrorMessage="0" allowBlank="1" type="list">
      <formula1>'テストケース4'!$BF$6:$BF$15</formula1>
    </dataValidation>
    <dataValidation sqref="S6:S105" showDropDown="0" showInputMessage="0" showErrorMessage="0" allowBlank="1" type="list">
      <formula1>'テストケース4'!$BG$6:$BG$15</formula1>
    </dataValidation>
    <dataValidation sqref="T6:T105" showDropDown="0" showInputMessage="0" showErrorMessage="0" allowBlank="1" type="list">
      <formula1>'テストケース4'!$BH$6:$BH$15</formula1>
    </dataValidation>
    <dataValidation sqref="U6:U105" showDropDown="0" showInputMessage="0" showErrorMessage="0" allowBlank="1" type="list">
      <formula1>'テストケース4'!$BI$6:$BI$15</formula1>
    </dataValidation>
    <dataValidation sqref="V6:V105" showDropDown="0" showInputMessage="0" showErrorMessage="0" allowBlank="1" type="list">
      <formula1>'テストケース4'!$BJ$6:$BJ$15</formula1>
    </dataValidation>
    <dataValidation sqref="W6:W105" showDropDown="0" showInputMessage="0" showErrorMessage="0" allowBlank="1" type="list">
      <formula1>'テストケース4'!$BK$6:$BK$15</formula1>
    </dataValidation>
    <dataValidation sqref="X6:X105" showDropDown="0" showInputMessage="0" showErrorMessage="0" allowBlank="1" type="list">
      <formula1>'テストケース4'!$BL$6:$BL$15</formula1>
    </dataValidation>
    <dataValidation sqref="Y6:Y105" showDropDown="0" showInputMessage="0" showErrorMessage="0" allowBlank="1" type="list">
      <formula1>'テストケース4'!$BM$6:$BM$15</formula1>
    </dataValidation>
    <dataValidation sqref="Z6:Z105" showDropDown="0" showInputMessage="0" showErrorMessage="0" allowBlank="1" type="list">
      <formula1>'テストケース4'!$BN$6:$BN$15</formula1>
    </dataValidation>
    <dataValidation sqref="AA6:AA105" showDropDown="0" showInputMessage="0" showErrorMessage="0" allowBlank="1" type="list">
      <formula1>'テストケース4'!$BO$6:$BO$15</formula1>
    </dataValidation>
    <dataValidation sqref="AB6:AB105" showDropDown="0" showInputMessage="0" showErrorMessage="0" allowBlank="1" type="list">
      <formula1>'テストケース4'!$BP$6:$BP$15</formula1>
    </dataValidation>
    <dataValidation sqref="AC6:AC105" showDropDown="0" showInputMessage="0" showErrorMessage="0" allowBlank="1" type="list">
      <formula1>'テストケース4'!$BQ$6:$BQ$15</formula1>
    </dataValidation>
    <dataValidation sqref="AD6:AD105" showDropDown="0" showInputMessage="0" showErrorMessage="0" allowBlank="1" type="list">
      <formula1>'テストケース4'!$BR$6:$BR$15</formula1>
    </dataValidation>
    <dataValidation sqref="AE6:AE105" showDropDown="0" showInputMessage="0" showErrorMessage="0" allowBlank="1" type="list">
      <formula1>'テストケース4'!$BS$6:$BS$15</formula1>
    </dataValidation>
    <dataValidation sqref="AF6:AF105" showDropDown="0" showInputMessage="0" showErrorMessage="0" allowBlank="1" type="list">
      <formula1>'テストケース4'!$BT$6:$BT$15</formula1>
    </dataValidation>
    <dataValidation sqref="AG6:AG105" showDropDown="0" showInputMessage="0" showErrorMessage="0" allowBlank="1" type="list">
      <formula1>'テストケース4'!$BU$6:$BU$15</formula1>
    </dataValidation>
    <dataValidation sqref="AH6:AH105" showDropDown="0" showInputMessage="0" showErrorMessage="0" allowBlank="1" type="list">
      <formula1>'テストケース4'!$BV$6:$BV$15</formula1>
    </dataValidation>
    <dataValidation sqref="AI6:AI105" showDropDown="0" showInputMessage="0" showErrorMessage="0" allowBlank="1" type="list">
      <formula1>'テストケース4'!$BW$6:$BW$15</formula1>
    </dataValidation>
    <dataValidation sqref="AJ6:AJ105" showDropDown="0" showInputMessage="0" showErrorMessage="0" allowBlank="1" type="list">
      <formula1>'テストケース4'!$BX$6:$BX$15</formula1>
    </dataValidation>
    <dataValidation sqref="C6:C105" showDropDown="0" showInputMessage="0" showErrorMessage="0" allowBlank="1" type="list">
      <formula1>'テストケース4'!$BY$6:$BY$25</formula1>
    </dataValidation>
    <dataValidation sqref="B6:B105" showDropDown="0" showInputMessage="0" showErrorMessage="0" allowBlank="1" type="list">
      <formula1>'テストケース4'!$BZ$6:$BZ$55</formula1>
    </dataValidation>
    <dataValidation sqref="E6:E105" showDropDown="0" showInputMessage="0" showErrorMessage="0" allowBlank="1" type="list">
      <formula1>"高,中,低"</formula1>
    </dataValidation>
    <dataValidation sqref="AN6:AN105" showDropDown="0" showInputMessage="0" showErrorMessage="0" allowBlank="1" type="list">
      <formula1>"要,否,済"</formula1>
    </dataValidation>
    <dataValidation sqref="AQ6:AQ1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  <col width="34" customWidth="1" min="38" max="38"/>
    <col width="14" customWidth="1" min="39" max="39"/>
    <col width="9" customWidth="1" min="40" max="40"/>
    <col width="11" customWidth="1" min="41" max="41"/>
    <col width="10" customWidth="1" min="42" max="42"/>
    <col width="9" customWidth="1" min="43" max="43"/>
    <col width="10" customWidth="1" min="44" max="44"/>
    <col width="24" customWidth="1" min="45" max="45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</cols>
  <sheetData>
    <row r="1">
      <c r="A1" s="1" t="inlineStr">
        <is>
          <t>テストケース</t>
        </is>
      </c>
      <c r="E1" s="2" t="inlineStr">
        <is>
          <t>因子列の見出しは因子水準表から自動で入り、セルは水準のプルダウンから選べます。使わない因子の列は非表示にしてください。</t>
        </is>
      </c>
    </row>
    <row r="2">
      <c r="A2" s="10" t="inlineStr">
        <is>
          <t>対象</t>
        </is>
      </c>
      <c r="B2" s="7" t="n"/>
      <c r="C2" s="8" t="n"/>
      <c r="D2" s="9" t="n"/>
    </row>
    <row r="3">
      <c r="A3" s="20" t="inlineStr">
        <is>
          <t>テストケース</t>
        </is>
      </c>
      <c r="B3" s="8" t="n"/>
      <c r="C3" s="8" t="n"/>
      <c r="D3" s="8" t="n"/>
      <c r="E3" s="8" t="n"/>
      <c r="F3" s="9" t="n"/>
      <c r="G3" s="20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9" t="n"/>
      <c r="AK3" s="20" t="inlineStr">
        <is>
          <t>内容</t>
        </is>
      </c>
      <c r="AL3" s="8" t="n"/>
      <c r="AM3" s="8" t="n"/>
      <c r="AN3" s="9" t="n"/>
      <c r="AO3" s="20" t="inlineStr">
        <is>
          <t>実行結果</t>
        </is>
      </c>
      <c r="AP3" s="8" t="n"/>
      <c r="AQ3" s="8" t="n"/>
      <c r="AR3" s="8" t="n"/>
      <c r="AS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1">
        <f>IF('因子水準表'!B$5="","",'因子水準表'!B$5)</f>
        <v/>
      </c>
      <c r="H4" s="21">
        <f>IF('因子水準表'!C$5="","",'因子水準表'!C$5)</f>
        <v/>
      </c>
      <c r="I4" s="21">
        <f>IF('因子水準表'!D$5="","",'因子水準表'!D$5)</f>
        <v/>
      </c>
      <c r="J4" s="21">
        <f>IF('因子水準表'!E$5="","",'因子水準表'!E$5)</f>
        <v/>
      </c>
      <c r="K4" s="21">
        <f>IF('因子水準表'!F$5="","",'因子水準表'!F$5)</f>
        <v/>
      </c>
      <c r="L4" s="21">
        <f>IF('因子水準表'!G$5="","",'因子水準表'!G$5)</f>
        <v/>
      </c>
      <c r="M4" s="21">
        <f>IF('因子水準表'!H$5="","",'因子水準表'!H$5)</f>
        <v/>
      </c>
      <c r="N4" s="21">
        <f>IF('因子水準表'!I$5="","",'因子水準表'!I$5)</f>
        <v/>
      </c>
      <c r="O4" s="21">
        <f>IF('因子水準表'!J$5="","",'因子水準表'!J$5)</f>
        <v/>
      </c>
      <c r="P4" s="21">
        <f>IF('因子水準表'!K$5="","",'因子水準表'!K$5)</f>
        <v/>
      </c>
      <c r="Q4" s="21">
        <f>IF('因子水準表'!L$5="","",'因子水準表'!L$5)</f>
        <v/>
      </c>
      <c r="R4" s="21">
        <f>IF('因子水準表'!M$5="","",'因子水準表'!M$5)</f>
        <v/>
      </c>
      <c r="S4" s="21">
        <f>IF('因子水準表'!N$5="","",'因子水準表'!N$5)</f>
        <v/>
      </c>
      <c r="T4" s="21">
        <f>IF('因子水準表'!O$5="","",'因子水準表'!O$5)</f>
        <v/>
      </c>
      <c r="U4" s="21">
        <f>IF('因子水準表'!P$5="","",'因子水準表'!P$5)</f>
        <v/>
      </c>
      <c r="V4" s="21">
        <f>IF('因子水準表'!Q$5="","",'因子水準表'!Q$5)</f>
        <v/>
      </c>
      <c r="W4" s="21">
        <f>IF('因子水準表'!R$5="","",'因子水準表'!R$5)</f>
        <v/>
      </c>
      <c r="X4" s="21">
        <f>IF('因子水準表'!S$5="","",'因子水準表'!S$5)</f>
        <v/>
      </c>
      <c r="Y4" s="21">
        <f>IF('因子水準表'!T$5="","",'因子水準表'!T$5)</f>
        <v/>
      </c>
      <c r="Z4" s="21">
        <f>IF('因子水準表'!U$5="","",'因子水準表'!U$5)</f>
        <v/>
      </c>
      <c r="AA4" s="21">
        <f>IF('因子水準表'!V$5="","",'因子水準表'!V$5)</f>
        <v/>
      </c>
      <c r="AB4" s="21">
        <f>IF('因子水準表'!W$5="","",'因子水準表'!W$5)</f>
        <v/>
      </c>
      <c r="AC4" s="21">
        <f>IF('因子水準表'!X$5="","",'因子水準表'!X$5)</f>
        <v/>
      </c>
      <c r="AD4" s="21">
        <f>IF('因子水準表'!Y$5="","",'因子水準表'!Y$5)</f>
        <v/>
      </c>
      <c r="AE4" s="21">
        <f>IF('因子水準表'!Z$5="","",'因子水準表'!Z$5)</f>
        <v/>
      </c>
      <c r="AF4" s="21">
        <f>IF('因子水準表'!AA$5="","",'因子水準表'!AA$5)</f>
        <v/>
      </c>
      <c r="AG4" s="21">
        <f>IF('因子水準表'!AB$5="","",'因子水準表'!AB$5)</f>
        <v/>
      </c>
      <c r="AH4" s="21">
        <f>IF('因子水準表'!AC$5="","",'因子水準表'!AC$5)</f>
        <v/>
      </c>
      <c r="AI4" s="21">
        <f>IF('因子水準表'!AD$5="","",'因子水準表'!AD$5)</f>
        <v/>
      </c>
      <c r="AJ4" s="21">
        <f>IF('因子水準表'!AE$5="","",'因子水準表'!AE$5)</f>
        <v/>
      </c>
      <c r="AK4" s="11" t="inlineStr">
        <is>
          <t>手順</t>
        </is>
      </c>
      <c r="AL4" s="11" t="inlineStr">
        <is>
          <t>期待結果</t>
        </is>
      </c>
      <c r="AM4" s="11" t="inlineStr">
        <is>
          <t>技法</t>
        </is>
      </c>
      <c r="AN4" s="11" t="inlineStr">
        <is>
          <t>自動化</t>
        </is>
      </c>
      <c r="AO4" s="11" t="inlineStr">
        <is>
          <t>実行日</t>
        </is>
      </c>
      <c r="AP4" s="11" t="inlineStr">
        <is>
          <t>実行者</t>
        </is>
      </c>
      <c r="AQ4" s="11" t="inlineStr">
        <is>
          <t>結果</t>
        </is>
      </c>
      <c r="AR4" s="11" t="inlineStr">
        <is>
          <t>欠陥ID</t>
        </is>
      </c>
      <c r="AS4" s="11" t="inlineStr">
        <is>
          <t>備考</t>
        </is>
      </c>
      <c r="AU4" s="20" t="inlineStr">
        <is>
          <t>プルダウン用（非表示・編集しない）</t>
        </is>
      </c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9" t="n"/>
    </row>
    <row r="5">
      <c r="A5" s="22" t="n"/>
      <c r="B5" s="22" t="n"/>
      <c r="C5" s="22" t="n"/>
      <c r="D5" s="22" t="n"/>
      <c r="E5" s="22" t="n"/>
      <c r="F5" s="22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11">
        <f>IF('因子水準表'!J$6="","因子9（未使用）",'因子水準表'!J$6)</f>
        <v/>
      </c>
      <c r="P5" s="11">
        <f>IF('因子水準表'!K$6="","因子10（未使用）",'因子水準表'!K$6)</f>
        <v/>
      </c>
      <c r="Q5" s="11">
        <f>IF('因子水準表'!L$6="","因子11（未使用）",'因子水準表'!L$6)</f>
        <v/>
      </c>
      <c r="R5" s="11">
        <f>IF('因子水準表'!M$6="","因子12（未使用）",'因子水準表'!M$6)</f>
        <v/>
      </c>
      <c r="S5" s="11">
        <f>IF('因子水準表'!N$6="","因子13（未使用）",'因子水準表'!N$6)</f>
        <v/>
      </c>
      <c r="T5" s="11">
        <f>IF('因子水準表'!O$6="","因子14（未使用）",'因子水準表'!O$6)</f>
        <v/>
      </c>
      <c r="U5" s="11">
        <f>IF('因子水準表'!P$6="","因子15（未使用）",'因子水準表'!P$6)</f>
        <v/>
      </c>
      <c r="V5" s="11">
        <f>IF('因子水準表'!Q$6="","因子16（未使用）",'因子水準表'!Q$6)</f>
        <v/>
      </c>
      <c r="W5" s="11">
        <f>IF('因子水準表'!R$6="","因子17（未使用）",'因子水準表'!R$6)</f>
        <v/>
      </c>
      <c r="X5" s="11">
        <f>IF('因子水準表'!S$6="","因子18（未使用）",'因子水準表'!S$6)</f>
        <v/>
      </c>
      <c r="Y5" s="11">
        <f>IF('因子水準表'!T$6="","因子19（未使用）",'因子水準表'!T$6)</f>
        <v/>
      </c>
      <c r="Z5" s="11">
        <f>IF('因子水準表'!U$6="","因子20（未使用）",'因子水準表'!U$6)</f>
        <v/>
      </c>
      <c r="AA5" s="11">
        <f>IF('因子水準表'!V$6="","因子21（未使用）",'因子水準表'!V$6)</f>
        <v/>
      </c>
      <c r="AB5" s="11">
        <f>IF('因子水準表'!W$6="","因子22（未使用）",'因子水準表'!W$6)</f>
        <v/>
      </c>
      <c r="AC5" s="11">
        <f>IF('因子水準表'!X$6="","因子23（未使用）",'因子水準表'!X$6)</f>
        <v/>
      </c>
      <c r="AD5" s="11">
        <f>IF('因子水準表'!Y$6="","因子24（未使用）",'因子水準表'!Y$6)</f>
        <v/>
      </c>
      <c r="AE5" s="11">
        <f>IF('因子水準表'!Z$6="","因子25（未使用）",'因子水準表'!Z$6)</f>
        <v/>
      </c>
      <c r="AF5" s="11">
        <f>IF('因子水準表'!AA$6="","因子26（未使用）",'因子水準表'!AA$6)</f>
        <v/>
      </c>
      <c r="AG5" s="11">
        <f>IF('因子水準表'!AB$6="","因子27（未使用）",'因子水準表'!AB$6)</f>
        <v/>
      </c>
      <c r="AH5" s="11">
        <f>IF('因子水準表'!AC$6="","因子28（未使用）",'因子水準表'!AC$6)</f>
        <v/>
      </c>
      <c r="AI5" s="11">
        <f>IF('因子水準表'!AD$6="","因子29（未使用）",'因子水準表'!AD$6)</f>
        <v/>
      </c>
      <c r="AJ5" s="11">
        <f>IF('因子水準表'!AE$6="","因子30（未使用）",'因子水準表'!AE$6)</f>
        <v/>
      </c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U5" s="11" t="inlineStr">
        <is>
          <t>F1 水準</t>
        </is>
      </c>
      <c r="AV5" s="11" t="inlineStr">
        <is>
          <t>F2 水準</t>
        </is>
      </c>
      <c r="AW5" s="11" t="inlineStr">
        <is>
          <t>F3 水準</t>
        </is>
      </c>
      <c r="AX5" s="11" t="inlineStr">
        <is>
          <t>F4 水準</t>
        </is>
      </c>
      <c r="AY5" s="11" t="inlineStr">
        <is>
          <t>F5 水準</t>
        </is>
      </c>
      <c r="AZ5" s="11" t="inlineStr">
        <is>
          <t>F6 水準</t>
        </is>
      </c>
      <c r="BA5" s="11" t="inlineStr">
        <is>
          <t>F7 水準</t>
        </is>
      </c>
      <c r="BB5" s="11" t="inlineStr">
        <is>
          <t>F8 水準</t>
        </is>
      </c>
      <c r="BC5" s="11" t="inlineStr">
        <is>
          <t>F9 水準</t>
        </is>
      </c>
      <c r="BD5" s="11" t="inlineStr">
        <is>
          <t>F10 水準</t>
        </is>
      </c>
      <c r="BE5" s="11" t="inlineStr">
        <is>
          <t>F11 水準</t>
        </is>
      </c>
      <c r="BF5" s="11" t="inlineStr">
        <is>
          <t>F12 水準</t>
        </is>
      </c>
      <c r="BG5" s="11" t="inlineStr">
        <is>
          <t>F13 水準</t>
        </is>
      </c>
      <c r="BH5" s="11" t="inlineStr">
        <is>
          <t>F14 水準</t>
        </is>
      </c>
      <c r="BI5" s="11" t="inlineStr">
        <is>
          <t>F15 水準</t>
        </is>
      </c>
      <c r="BJ5" s="11" t="inlineStr">
        <is>
          <t>F16 水準</t>
        </is>
      </c>
      <c r="BK5" s="11" t="inlineStr">
        <is>
          <t>F17 水準</t>
        </is>
      </c>
      <c r="BL5" s="11" t="inlineStr">
        <is>
          <t>F18 水準</t>
        </is>
      </c>
      <c r="BM5" s="11" t="inlineStr">
        <is>
          <t>F19 水準</t>
        </is>
      </c>
      <c r="BN5" s="11" t="inlineStr">
        <is>
          <t>F20 水準</t>
        </is>
      </c>
      <c r="BO5" s="11" t="inlineStr">
        <is>
          <t>F21 水準</t>
        </is>
      </c>
      <c r="BP5" s="11" t="inlineStr">
        <is>
          <t>F22 水準</t>
        </is>
      </c>
      <c r="BQ5" s="11" t="inlineStr">
        <is>
          <t>F23 水準</t>
        </is>
      </c>
      <c r="BR5" s="11" t="inlineStr">
        <is>
          <t>F24 水準</t>
        </is>
      </c>
      <c r="BS5" s="11" t="inlineStr">
        <is>
          <t>F25 水準</t>
        </is>
      </c>
      <c r="BT5" s="11" t="inlineStr">
        <is>
          <t>F26 水準</t>
        </is>
      </c>
      <c r="BU5" s="11" t="inlineStr">
        <is>
          <t>F27 水準</t>
        </is>
      </c>
      <c r="BV5" s="11" t="inlineStr">
        <is>
          <t>F28 水準</t>
        </is>
      </c>
      <c r="BW5" s="11" t="inlineStr">
        <is>
          <t>F29 水準</t>
        </is>
      </c>
      <c r="BX5" s="11" t="inlineStr">
        <is>
          <t>F30 水準</t>
        </is>
      </c>
      <c r="BY5" s="11" t="inlineStr">
        <is>
          <t>カテゴリ</t>
        </is>
      </c>
      <c r="BZ5" s="11" t="inlineStr">
        <is>
          <t>条件ID</t>
        </is>
      </c>
    </row>
    <row r="6">
      <c r="A6" s="25" t="n"/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6" t="n"/>
      <c r="AP6" s="25" t="n"/>
      <c r="AQ6" s="25" t="n"/>
      <c r="AR6" s="25" t="n"/>
      <c r="AS6" s="25" t="n"/>
      <c r="AU6" s="24">
        <f>IF('因子水準表'!B9="","",'因子水準表'!B9)</f>
        <v/>
      </c>
      <c r="AV6" s="24">
        <f>IF('因子水準表'!C9="","",'因子水準表'!C9)</f>
        <v/>
      </c>
      <c r="AW6" s="24">
        <f>IF('因子水準表'!D9="","",'因子水準表'!D9)</f>
        <v/>
      </c>
      <c r="AX6" s="24">
        <f>IF('因子水準表'!E9="","",'因子水準表'!E9)</f>
        <v/>
      </c>
      <c r="AY6" s="24">
        <f>IF('因子水準表'!F9="","",'因子水準表'!F9)</f>
        <v/>
      </c>
      <c r="AZ6" s="24">
        <f>IF('因子水準表'!G9="","",'因子水準表'!G9)</f>
        <v/>
      </c>
      <c r="BA6" s="24">
        <f>IF('因子水準表'!H9="","",'因子水準表'!H9)</f>
        <v/>
      </c>
      <c r="BB6" s="24">
        <f>IF('因子水準表'!I9="","",'因子水準表'!I9)</f>
        <v/>
      </c>
      <c r="BC6" s="24">
        <f>IF('因子水準表'!J9="","",'因子水準表'!J9)</f>
        <v/>
      </c>
      <c r="BD6" s="24">
        <f>IF('因子水準表'!K9="","",'因子水準表'!K9)</f>
        <v/>
      </c>
      <c r="BE6" s="24">
        <f>IF('因子水準表'!L9="","",'因子水準表'!L9)</f>
        <v/>
      </c>
      <c r="BF6" s="24">
        <f>IF('因子水準表'!M9="","",'因子水準表'!M9)</f>
        <v/>
      </c>
      <c r="BG6" s="24">
        <f>IF('因子水準表'!N9="","",'因子水準表'!N9)</f>
        <v/>
      </c>
      <c r="BH6" s="24">
        <f>IF('因子水準表'!O9="","",'因子水準表'!O9)</f>
        <v/>
      </c>
      <c r="BI6" s="24">
        <f>IF('因子水準表'!P9="","",'因子水準表'!P9)</f>
        <v/>
      </c>
      <c r="BJ6" s="24">
        <f>IF('因子水準表'!Q9="","",'因子水準表'!Q9)</f>
        <v/>
      </c>
      <c r="BK6" s="24">
        <f>IF('因子水準表'!R9="","",'因子水準表'!R9)</f>
        <v/>
      </c>
      <c r="BL6" s="24">
        <f>IF('因子水準表'!S9="","",'因子水準表'!S9)</f>
        <v/>
      </c>
      <c r="BM6" s="24">
        <f>IF('因子水準表'!T9="","",'因子水準表'!T9)</f>
        <v/>
      </c>
      <c r="BN6" s="24">
        <f>IF('因子水準表'!U9="","",'因子水準表'!U9)</f>
        <v/>
      </c>
      <c r="BO6" s="24">
        <f>IF('因子水準表'!V9="","",'因子水準表'!V9)</f>
        <v/>
      </c>
      <c r="BP6" s="24">
        <f>IF('因子水準表'!W9="","",'因子水準表'!W9)</f>
        <v/>
      </c>
      <c r="BQ6" s="24">
        <f>IF('因子水準表'!X9="","",'因子水準表'!X9)</f>
        <v/>
      </c>
      <c r="BR6" s="24">
        <f>IF('因子水準表'!Y9="","",'因子水準表'!Y9)</f>
        <v/>
      </c>
      <c r="BS6" s="24">
        <f>IF('因子水準表'!Z9="","",'因子水準表'!Z9)</f>
        <v/>
      </c>
      <c r="BT6" s="24">
        <f>IF('因子水準表'!AA9="","",'因子水準表'!AA9)</f>
        <v/>
      </c>
      <c r="BU6" s="24">
        <f>IF('因子水準表'!AB9="","",'因子水準表'!AB9)</f>
        <v/>
      </c>
      <c r="BV6" s="24">
        <f>IF('因子水準表'!AC9="","",'因子水準表'!AC9)</f>
        <v/>
      </c>
      <c r="BW6" s="24">
        <f>IF('因子水準表'!AD9="","",'因子水準表'!AD9)</f>
        <v/>
      </c>
      <c r="BX6" s="24">
        <f>IF('因子水準表'!AE9="","",'因子水準表'!AE9)</f>
        <v/>
      </c>
      <c r="BY6" s="24">
        <f>IF('因子水準表'!B28="","",'因子水準表'!B28)</f>
        <v/>
      </c>
      <c r="BZ6" s="24">
        <f>IF('テスト条件'!A5="","",'テスト条件'!A5)</f>
        <v/>
      </c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6" t="n"/>
      <c r="AP7" s="25" t="n"/>
      <c r="AQ7" s="25" t="n"/>
      <c r="AR7" s="25" t="n"/>
      <c r="AS7" s="25" t="n"/>
      <c r="AU7" s="24">
        <f>IF('因子水準表'!B10="","",'因子水準表'!B10)</f>
        <v/>
      </c>
      <c r="AV7" s="24">
        <f>IF('因子水準表'!C10="","",'因子水準表'!C10)</f>
        <v/>
      </c>
      <c r="AW7" s="24">
        <f>IF('因子水準表'!D10="","",'因子水準表'!D10)</f>
        <v/>
      </c>
      <c r="AX7" s="24">
        <f>IF('因子水準表'!E10="","",'因子水準表'!E10)</f>
        <v/>
      </c>
      <c r="AY7" s="24">
        <f>IF('因子水準表'!F10="","",'因子水準表'!F10)</f>
        <v/>
      </c>
      <c r="AZ7" s="24">
        <f>IF('因子水準表'!G10="","",'因子水準表'!G10)</f>
        <v/>
      </c>
      <c r="BA7" s="24">
        <f>IF('因子水準表'!H10="","",'因子水準表'!H10)</f>
        <v/>
      </c>
      <c r="BB7" s="24">
        <f>IF('因子水準表'!I10="","",'因子水準表'!I10)</f>
        <v/>
      </c>
      <c r="BC7" s="24">
        <f>IF('因子水準表'!J10="","",'因子水準表'!J10)</f>
        <v/>
      </c>
      <c r="BD7" s="24">
        <f>IF('因子水準表'!K10="","",'因子水準表'!K10)</f>
        <v/>
      </c>
      <c r="BE7" s="24">
        <f>IF('因子水準表'!L10="","",'因子水準表'!L10)</f>
        <v/>
      </c>
      <c r="BF7" s="24">
        <f>IF('因子水準表'!M10="","",'因子水準表'!M10)</f>
        <v/>
      </c>
      <c r="BG7" s="24">
        <f>IF('因子水準表'!N10="","",'因子水準表'!N10)</f>
        <v/>
      </c>
      <c r="BH7" s="24">
        <f>IF('因子水準表'!O10="","",'因子水準表'!O10)</f>
        <v/>
      </c>
      <c r="BI7" s="24">
        <f>IF('因子水準表'!P10="","",'因子水準表'!P10)</f>
        <v/>
      </c>
      <c r="BJ7" s="24">
        <f>IF('因子水準表'!Q10="","",'因子水準表'!Q10)</f>
        <v/>
      </c>
      <c r="BK7" s="24">
        <f>IF('因子水準表'!R10="","",'因子水準表'!R10)</f>
        <v/>
      </c>
      <c r="BL7" s="24">
        <f>IF('因子水準表'!S10="","",'因子水準表'!S10)</f>
        <v/>
      </c>
      <c r="BM7" s="24">
        <f>IF('因子水準表'!T10="","",'因子水準表'!T10)</f>
        <v/>
      </c>
      <c r="BN7" s="24">
        <f>IF('因子水準表'!U10="","",'因子水準表'!U10)</f>
        <v/>
      </c>
      <c r="BO7" s="24">
        <f>IF('因子水準表'!V10="","",'因子水準表'!V10)</f>
        <v/>
      </c>
      <c r="BP7" s="24">
        <f>IF('因子水準表'!W10="","",'因子水準表'!W10)</f>
        <v/>
      </c>
      <c r="BQ7" s="24">
        <f>IF('因子水準表'!X10="","",'因子水準表'!X10)</f>
        <v/>
      </c>
      <c r="BR7" s="24">
        <f>IF('因子水準表'!Y10="","",'因子水準表'!Y10)</f>
        <v/>
      </c>
      <c r="BS7" s="24">
        <f>IF('因子水準表'!Z10="","",'因子水準表'!Z10)</f>
        <v/>
      </c>
      <c r="BT7" s="24">
        <f>IF('因子水準表'!AA10="","",'因子水準表'!AA10)</f>
        <v/>
      </c>
      <c r="BU7" s="24">
        <f>IF('因子水準表'!AB10="","",'因子水準表'!AB10)</f>
        <v/>
      </c>
      <c r="BV7" s="24">
        <f>IF('因子水準表'!AC10="","",'因子水準表'!AC10)</f>
        <v/>
      </c>
      <c r="BW7" s="24">
        <f>IF('因子水準表'!AD10="","",'因子水準表'!AD10)</f>
        <v/>
      </c>
      <c r="BX7" s="24">
        <f>IF('因子水準表'!AE10="","",'因子水準表'!AE10)</f>
        <v/>
      </c>
      <c r="BY7" s="24">
        <f>IF('因子水準表'!B29="","",'因子水準表'!B29)</f>
        <v/>
      </c>
      <c r="BZ7" s="24">
        <f>IF('テスト条件'!A6="","",'テスト条件'!A6)</f>
        <v/>
      </c>
    </row>
    <row r="8">
      <c r="A8" s="25" t="n"/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6" t="n"/>
      <c r="AP8" s="25" t="n"/>
      <c r="AQ8" s="25" t="n"/>
      <c r="AR8" s="25" t="n"/>
      <c r="AS8" s="25" t="n"/>
      <c r="AU8" s="24">
        <f>IF('因子水準表'!B11="","",'因子水準表'!B11)</f>
        <v/>
      </c>
      <c r="AV8" s="24">
        <f>IF('因子水準表'!C11="","",'因子水準表'!C11)</f>
        <v/>
      </c>
      <c r="AW8" s="24">
        <f>IF('因子水準表'!D11="","",'因子水準表'!D11)</f>
        <v/>
      </c>
      <c r="AX8" s="24">
        <f>IF('因子水準表'!E11="","",'因子水準表'!E11)</f>
        <v/>
      </c>
      <c r="AY8" s="24">
        <f>IF('因子水準表'!F11="","",'因子水準表'!F11)</f>
        <v/>
      </c>
      <c r="AZ8" s="24">
        <f>IF('因子水準表'!G11="","",'因子水準表'!G11)</f>
        <v/>
      </c>
      <c r="BA8" s="24">
        <f>IF('因子水準表'!H11="","",'因子水準表'!H11)</f>
        <v/>
      </c>
      <c r="BB8" s="24">
        <f>IF('因子水準表'!I11="","",'因子水準表'!I11)</f>
        <v/>
      </c>
      <c r="BC8" s="24">
        <f>IF('因子水準表'!J11="","",'因子水準表'!J11)</f>
        <v/>
      </c>
      <c r="BD8" s="24">
        <f>IF('因子水準表'!K11="","",'因子水準表'!K11)</f>
        <v/>
      </c>
      <c r="BE8" s="24">
        <f>IF('因子水準表'!L11="","",'因子水準表'!L11)</f>
        <v/>
      </c>
      <c r="BF8" s="24">
        <f>IF('因子水準表'!M11="","",'因子水準表'!M11)</f>
        <v/>
      </c>
      <c r="BG8" s="24">
        <f>IF('因子水準表'!N11="","",'因子水準表'!N11)</f>
        <v/>
      </c>
      <c r="BH8" s="24">
        <f>IF('因子水準表'!O11="","",'因子水準表'!O11)</f>
        <v/>
      </c>
      <c r="BI8" s="24">
        <f>IF('因子水準表'!P11="","",'因子水準表'!P11)</f>
        <v/>
      </c>
      <c r="BJ8" s="24">
        <f>IF('因子水準表'!Q11="","",'因子水準表'!Q11)</f>
        <v/>
      </c>
      <c r="BK8" s="24">
        <f>IF('因子水準表'!R11="","",'因子水準表'!R11)</f>
        <v/>
      </c>
      <c r="BL8" s="24">
        <f>IF('因子水準表'!S11="","",'因子水準表'!S11)</f>
        <v/>
      </c>
      <c r="BM8" s="24">
        <f>IF('因子水準表'!T11="","",'因子水準表'!T11)</f>
        <v/>
      </c>
      <c r="BN8" s="24">
        <f>IF('因子水準表'!U11="","",'因子水準表'!U11)</f>
        <v/>
      </c>
      <c r="BO8" s="24">
        <f>IF('因子水準表'!V11="","",'因子水準表'!V11)</f>
        <v/>
      </c>
      <c r="BP8" s="24">
        <f>IF('因子水準表'!W11="","",'因子水準表'!W11)</f>
        <v/>
      </c>
      <c r="BQ8" s="24">
        <f>IF('因子水準表'!X11="","",'因子水準表'!X11)</f>
        <v/>
      </c>
      <c r="BR8" s="24">
        <f>IF('因子水準表'!Y11="","",'因子水準表'!Y11)</f>
        <v/>
      </c>
      <c r="BS8" s="24">
        <f>IF('因子水準表'!Z11="","",'因子水準表'!Z11)</f>
        <v/>
      </c>
      <c r="BT8" s="24">
        <f>IF('因子水準表'!AA11="","",'因子水準表'!AA11)</f>
        <v/>
      </c>
      <c r="BU8" s="24">
        <f>IF('因子水準表'!AB11="","",'因子水準表'!AB11)</f>
        <v/>
      </c>
      <c r="BV8" s="24">
        <f>IF('因子水準表'!AC11="","",'因子水準表'!AC11)</f>
        <v/>
      </c>
      <c r="BW8" s="24">
        <f>IF('因子水準表'!AD11="","",'因子水準表'!AD11)</f>
        <v/>
      </c>
      <c r="BX8" s="24">
        <f>IF('因子水準表'!AE11="","",'因子水準表'!AE11)</f>
        <v/>
      </c>
      <c r="BY8" s="24">
        <f>IF('因子水準表'!B30="","",'因子水準表'!B30)</f>
        <v/>
      </c>
      <c r="BZ8" s="24">
        <f>IF('テスト条件'!A7="","",'テスト条件'!A7)</f>
        <v/>
      </c>
    </row>
    <row r="9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6" t="n"/>
      <c r="AP9" s="25" t="n"/>
      <c r="AQ9" s="25" t="n"/>
      <c r="AR9" s="25" t="n"/>
      <c r="AS9" s="25" t="n"/>
      <c r="AU9" s="24">
        <f>IF('因子水準表'!B12="","",'因子水準表'!B12)</f>
        <v/>
      </c>
      <c r="AV9" s="24">
        <f>IF('因子水準表'!C12="","",'因子水準表'!C12)</f>
        <v/>
      </c>
      <c r="AW9" s="24">
        <f>IF('因子水準表'!D12="","",'因子水準表'!D12)</f>
        <v/>
      </c>
      <c r="AX9" s="24">
        <f>IF('因子水準表'!E12="","",'因子水準表'!E12)</f>
        <v/>
      </c>
      <c r="AY9" s="24">
        <f>IF('因子水準表'!F12="","",'因子水準表'!F12)</f>
        <v/>
      </c>
      <c r="AZ9" s="24">
        <f>IF('因子水準表'!G12="","",'因子水準表'!G12)</f>
        <v/>
      </c>
      <c r="BA9" s="24">
        <f>IF('因子水準表'!H12="","",'因子水準表'!H12)</f>
        <v/>
      </c>
      <c r="BB9" s="24">
        <f>IF('因子水準表'!I12="","",'因子水準表'!I12)</f>
        <v/>
      </c>
      <c r="BC9" s="24">
        <f>IF('因子水準表'!J12="","",'因子水準表'!J12)</f>
        <v/>
      </c>
      <c r="BD9" s="24">
        <f>IF('因子水準表'!K12="","",'因子水準表'!K12)</f>
        <v/>
      </c>
      <c r="BE9" s="24">
        <f>IF('因子水準表'!L12="","",'因子水準表'!L12)</f>
        <v/>
      </c>
      <c r="BF9" s="24">
        <f>IF('因子水準表'!M12="","",'因子水準表'!M12)</f>
        <v/>
      </c>
      <c r="BG9" s="24">
        <f>IF('因子水準表'!N12="","",'因子水準表'!N12)</f>
        <v/>
      </c>
      <c r="BH9" s="24">
        <f>IF('因子水準表'!O12="","",'因子水準表'!O12)</f>
        <v/>
      </c>
      <c r="BI9" s="24">
        <f>IF('因子水準表'!P12="","",'因子水準表'!P12)</f>
        <v/>
      </c>
      <c r="BJ9" s="24">
        <f>IF('因子水準表'!Q12="","",'因子水準表'!Q12)</f>
        <v/>
      </c>
      <c r="BK9" s="24">
        <f>IF('因子水準表'!R12="","",'因子水準表'!R12)</f>
        <v/>
      </c>
      <c r="BL9" s="24">
        <f>IF('因子水準表'!S12="","",'因子水準表'!S12)</f>
        <v/>
      </c>
      <c r="BM9" s="24">
        <f>IF('因子水準表'!T12="","",'因子水準表'!T12)</f>
        <v/>
      </c>
      <c r="BN9" s="24">
        <f>IF('因子水準表'!U12="","",'因子水準表'!U12)</f>
        <v/>
      </c>
      <c r="BO9" s="24">
        <f>IF('因子水準表'!V12="","",'因子水準表'!V12)</f>
        <v/>
      </c>
      <c r="BP9" s="24">
        <f>IF('因子水準表'!W12="","",'因子水準表'!W12)</f>
        <v/>
      </c>
      <c r="BQ9" s="24">
        <f>IF('因子水準表'!X12="","",'因子水準表'!X12)</f>
        <v/>
      </c>
      <c r="BR9" s="24">
        <f>IF('因子水準表'!Y12="","",'因子水準表'!Y12)</f>
        <v/>
      </c>
      <c r="BS9" s="24">
        <f>IF('因子水準表'!Z12="","",'因子水準表'!Z12)</f>
        <v/>
      </c>
      <c r="BT9" s="24">
        <f>IF('因子水準表'!AA12="","",'因子水準表'!AA12)</f>
        <v/>
      </c>
      <c r="BU9" s="24">
        <f>IF('因子水準表'!AB12="","",'因子水準表'!AB12)</f>
        <v/>
      </c>
      <c r="BV9" s="24">
        <f>IF('因子水準表'!AC12="","",'因子水準表'!AC12)</f>
        <v/>
      </c>
      <c r="BW9" s="24">
        <f>IF('因子水準表'!AD12="","",'因子水準表'!AD12)</f>
        <v/>
      </c>
      <c r="BX9" s="24">
        <f>IF('因子水準表'!AE12="","",'因子水準表'!AE12)</f>
        <v/>
      </c>
      <c r="BY9" s="24">
        <f>IF('因子水準表'!B31="","",'因子水準表'!B31)</f>
        <v/>
      </c>
      <c r="BZ9" s="24">
        <f>IF('テスト条件'!A8="","",'テスト条件'!A8)</f>
        <v/>
      </c>
    </row>
    <row r="10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6" t="n"/>
      <c r="AP10" s="25" t="n"/>
      <c r="AQ10" s="25" t="n"/>
      <c r="AR10" s="25" t="n"/>
      <c r="AS10" s="25" t="n"/>
      <c r="AU10" s="24">
        <f>IF('因子水準表'!B13="","",'因子水準表'!B13)</f>
        <v/>
      </c>
      <c r="AV10" s="24">
        <f>IF('因子水準表'!C13="","",'因子水準表'!C13)</f>
        <v/>
      </c>
      <c r="AW10" s="24">
        <f>IF('因子水準表'!D13="","",'因子水準表'!D13)</f>
        <v/>
      </c>
      <c r="AX10" s="24">
        <f>IF('因子水準表'!E13="","",'因子水準表'!E13)</f>
        <v/>
      </c>
      <c r="AY10" s="24">
        <f>IF('因子水準表'!F13="","",'因子水準表'!F13)</f>
        <v/>
      </c>
      <c r="AZ10" s="24">
        <f>IF('因子水準表'!G13="","",'因子水準表'!G13)</f>
        <v/>
      </c>
      <c r="BA10" s="24">
        <f>IF('因子水準表'!H13="","",'因子水準表'!H13)</f>
        <v/>
      </c>
      <c r="BB10" s="24">
        <f>IF('因子水準表'!I13="","",'因子水準表'!I13)</f>
        <v/>
      </c>
      <c r="BC10" s="24">
        <f>IF('因子水準表'!J13="","",'因子水準表'!J13)</f>
        <v/>
      </c>
      <c r="BD10" s="24">
        <f>IF('因子水準表'!K13="","",'因子水準表'!K13)</f>
        <v/>
      </c>
      <c r="BE10" s="24">
        <f>IF('因子水準表'!L13="","",'因子水準表'!L13)</f>
        <v/>
      </c>
      <c r="BF10" s="24">
        <f>IF('因子水準表'!M13="","",'因子水準表'!M13)</f>
        <v/>
      </c>
      <c r="BG10" s="24">
        <f>IF('因子水準表'!N13="","",'因子水準表'!N13)</f>
        <v/>
      </c>
      <c r="BH10" s="24">
        <f>IF('因子水準表'!O13="","",'因子水準表'!O13)</f>
        <v/>
      </c>
      <c r="BI10" s="24">
        <f>IF('因子水準表'!P13="","",'因子水準表'!P13)</f>
        <v/>
      </c>
      <c r="BJ10" s="24">
        <f>IF('因子水準表'!Q13="","",'因子水準表'!Q13)</f>
        <v/>
      </c>
      <c r="BK10" s="24">
        <f>IF('因子水準表'!R13="","",'因子水準表'!R13)</f>
        <v/>
      </c>
      <c r="BL10" s="24">
        <f>IF('因子水準表'!S13="","",'因子水準表'!S13)</f>
        <v/>
      </c>
      <c r="BM10" s="24">
        <f>IF('因子水準表'!T13="","",'因子水準表'!T13)</f>
        <v/>
      </c>
      <c r="BN10" s="24">
        <f>IF('因子水準表'!U13="","",'因子水準表'!U13)</f>
        <v/>
      </c>
      <c r="BO10" s="24">
        <f>IF('因子水準表'!V13="","",'因子水準表'!V13)</f>
        <v/>
      </c>
      <c r="BP10" s="24">
        <f>IF('因子水準表'!W13="","",'因子水準表'!W13)</f>
        <v/>
      </c>
      <c r="BQ10" s="24">
        <f>IF('因子水準表'!X13="","",'因子水準表'!X13)</f>
        <v/>
      </c>
      <c r="BR10" s="24">
        <f>IF('因子水準表'!Y13="","",'因子水準表'!Y13)</f>
        <v/>
      </c>
      <c r="BS10" s="24">
        <f>IF('因子水準表'!Z13="","",'因子水準表'!Z13)</f>
        <v/>
      </c>
      <c r="BT10" s="24">
        <f>IF('因子水準表'!AA13="","",'因子水準表'!AA13)</f>
        <v/>
      </c>
      <c r="BU10" s="24">
        <f>IF('因子水準表'!AB13="","",'因子水準表'!AB13)</f>
        <v/>
      </c>
      <c r="BV10" s="24">
        <f>IF('因子水準表'!AC13="","",'因子水準表'!AC13)</f>
        <v/>
      </c>
      <c r="BW10" s="24">
        <f>IF('因子水準表'!AD13="","",'因子水準表'!AD13)</f>
        <v/>
      </c>
      <c r="BX10" s="24">
        <f>IF('因子水準表'!AE13="","",'因子水準表'!AE13)</f>
        <v/>
      </c>
      <c r="BY10" s="24">
        <f>IF('因子水準表'!B32="","",'因子水準表'!B32)</f>
        <v/>
      </c>
      <c r="BZ10" s="24">
        <f>IF('テスト条件'!A9="","",'テスト条件'!A9)</f>
        <v/>
      </c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6" t="n"/>
      <c r="AP11" s="25" t="n"/>
      <c r="AQ11" s="25" t="n"/>
      <c r="AR11" s="25" t="n"/>
      <c r="AS11" s="25" t="n"/>
      <c r="AU11" s="24">
        <f>IF('因子水準表'!B14="","",'因子水準表'!B14)</f>
        <v/>
      </c>
      <c r="AV11" s="24">
        <f>IF('因子水準表'!C14="","",'因子水準表'!C14)</f>
        <v/>
      </c>
      <c r="AW11" s="24">
        <f>IF('因子水準表'!D14="","",'因子水準表'!D14)</f>
        <v/>
      </c>
      <c r="AX11" s="24">
        <f>IF('因子水準表'!E14="","",'因子水準表'!E14)</f>
        <v/>
      </c>
      <c r="AY11" s="24">
        <f>IF('因子水準表'!F14="","",'因子水準表'!F14)</f>
        <v/>
      </c>
      <c r="AZ11" s="24">
        <f>IF('因子水準表'!G14="","",'因子水準表'!G14)</f>
        <v/>
      </c>
      <c r="BA11" s="24">
        <f>IF('因子水準表'!H14="","",'因子水準表'!H14)</f>
        <v/>
      </c>
      <c r="BB11" s="24">
        <f>IF('因子水準表'!I14="","",'因子水準表'!I14)</f>
        <v/>
      </c>
      <c r="BC11" s="24">
        <f>IF('因子水準表'!J14="","",'因子水準表'!J14)</f>
        <v/>
      </c>
      <c r="BD11" s="24">
        <f>IF('因子水準表'!K14="","",'因子水準表'!K14)</f>
        <v/>
      </c>
      <c r="BE11" s="24">
        <f>IF('因子水準表'!L14="","",'因子水準表'!L14)</f>
        <v/>
      </c>
      <c r="BF11" s="24">
        <f>IF('因子水準表'!M14="","",'因子水準表'!M14)</f>
        <v/>
      </c>
      <c r="BG11" s="24">
        <f>IF('因子水準表'!N14="","",'因子水準表'!N14)</f>
        <v/>
      </c>
      <c r="BH11" s="24">
        <f>IF('因子水準表'!O14="","",'因子水準表'!O14)</f>
        <v/>
      </c>
      <c r="BI11" s="24">
        <f>IF('因子水準表'!P14="","",'因子水準表'!P14)</f>
        <v/>
      </c>
      <c r="BJ11" s="24">
        <f>IF('因子水準表'!Q14="","",'因子水準表'!Q14)</f>
        <v/>
      </c>
      <c r="BK11" s="24">
        <f>IF('因子水準表'!R14="","",'因子水準表'!R14)</f>
        <v/>
      </c>
      <c r="BL11" s="24">
        <f>IF('因子水準表'!S14="","",'因子水準表'!S14)</f>
        <v/>
      </c>
      <c r="BM11" s="24">
        <f>IF('因子水準表'!T14="","",'因子水準表'!T14)</f>
        <v/>
      </c>
      <c r="BN11" s="24">
        <f>IF('因子水準表'!U14="","",'因子水準表'!U14)</f>
        <v/>
      </c>
      <c r="BO11" s="24">
        <f>IF('因子水準表'!V14="","",'因子水準表'!V14)</f>
        <v/>
      </c>
      <c r="BP11" s="24">
        <f>IF('因子水準表'!W14="","",'因子水準表'!W14)</f>
        <v/>
      </c>
      <c r="BQ11" s="24">
        <f>IF('因子水準表'!X14="","",'因子水準表'!X14)</f>
        <v/>
      </c>
      <c r="BR11" s="24">
        <f>IF('因子水準表'!Y14="","",'因子水準表'!Y14)</f>
        <v/>
      </c>
      <c r="BS11" s="24">
        <f>IF('因子水準表'!Z14="","",'因子水準表'!Z14)</f>
        <v/>
      </c>
      <c r="BT11" s="24">
        <f>IF('因子水準表'!AA14="","",'因子水準表'!AA14)</f>
        <v/>
      </c>
      <c r="BU11" s="24">
        <f>IF('因子水準表'!AB14="","",'因子水準表'!AB14)</f>
        <v/>
      </c>
      <c r="BV11" s="24">
        <f>IF('因子水準表'!AC14="","",'因子水準表'!AC14)</f>
        <v/>
      </c>
      <c r="BW11" s="24">
        <f>IF('因子水準表'!AD14="","",'因子水準表'!AD14)</f>
        <v/>
      </c>
      <c r="BX11" s="24">
        <f>IF('因子水準表'!AE14="","",'因子水準表'!AE14)</f>
        <v/>
      </c>
      <c r="BY11" s="24">
        <f>IF('因子水準表'!B33="","",'因子水準表'!B33)</f>
        <v/>
      </c>
      <c r="BZ11" s="24">
        <f>IF('テスト条件'!A10="","",'テスト条件'!A10)</f>
        <v/>
      </c>
    </row>
    <row r="12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6" t="n"/>
      <c r="AP12" s="25" t="n"/>
      <c r="AQ12" s="25" t="n"/>
      <c r="AR12" s="25" t="n"/>
      <c r="AS12" s="25" t="n"/>
      <c r="AU12" s="24">
        <f>IF('因子水準表'!B15="","",'因子水準表'!B15)</f>
        <v/>
      </c>
      <c r="AV12" s="24">
        <f>IF('因子水準表'!C15="","",'因子水準表'!C15)</f>
        <v/>
      </c>
      <c r="AW12" s="24">
        <f>IF('因子水準表'!D15="","",'因子水準表'!D15)</f>
        <v/>
      </c>
      <c r="AX12" s="24">
        <f>IF('因子水準表'!E15="","",'因子水準表'!E15)</f>
        <v/>
      </c>
      <c r="AY12" s="24">
        <f>IF('因子水準表'!F15="","",'因子水準表'!F15)</f>
        <v/>
      </c>
      <c r="AZ12" s="24">
        <f>IF('因子水準表'!G15="","",'因子水準表'!G15)</f>
        <v/>
      </c>
      <c r="BA12" s="24">
        <f>IF('因子水準表'!H15="","",'因子水準表'!H15)</f>
        <v/>
      </c>
      <c r="BB12" s="24">
        <f>IF('因子水準表'!I15="","",'因子水準表'!I15)</f>
        <v/>
      </c>
      <c r="BC12" s="24">
        <f>IF('因子水準表'!J15="","",'因子水準表'!J15)</f>
        <v/>
      </c>
      <c r="BD12" s="24">
        <f>IF('因子水準表'!K15="","",'因子水準表'!K15)</f>
        <v/>
      </c>
      <c r="BE12" s="24">
        <f>IF('因子水準表'!L15="","",'因子水準表'!L15)</f>
        <v/>
      </c>
      <c r="BF12" s="24">
        <f>IF('因子水準表'!M15="","",'因子水準表'!M15)</f>
        <v/>
      </c>
      <c r="BG12" s="24">
        <f>IF('因子水準表'!N15="","",'因子水準表'!N15)</f>
        <v/>
      </c>
      <c r="BH12" s="24">
        <f>IF('因子水準表'!O15="","",'因子水準表'!O15)</f>
        <v/>
      </c>
      <c r="BI12" s="24">
        <f>IF('因子水準表'!P15="","",'因子水準表'!P15)</f>
        <v/>
      </c>
      <c r="BJ12" s="24">
        <f>IF('因子水準表'!Q15="","",'因子水準表'!Q15)</f>
        <v/>
      </c>
      <c r="BK12" s="24">
        <f>IF('因子水準表'!R15="","",'因子水準表'!R15)</f>
        <v/>
      </c>
      <c r="BL12" s="24">
        <f>IF('因子水準表'!S15="","",'因子水準表'!S15)</f>
        <v/>
      </c>
      <c r="BM12" s="24">
        <f>IF('因子水準表'!T15="","",'因子水準表'!T15)</f>
        <v/>
      </c>
      <c r="BN12" s="24">
        <f>IF('因子水準表'!U15="","",'因子水準表'!U15)</f>
        <v/>
      </c>
      <c r="BO12" s="24">
        <f>IF('因子水準表'!V15="","",'因子水準表'!V15)</f>
        <v/>
      </c>
      <c r="BP12" s="24">
        <f>IF('因子水準表'!W15="","",'因子水準表'!W15)</f>
        <v/>
      </c>
      <c r="BQ12" s="24">
        <f>IF('因子水準表'!X15="","",'因子水準表'!X15)</f>
        <v/>
      </c>
      <c r="BR12" s="24">
        <f>IF('因子水準表'!Y15="","",'因子水準表'!Y15)</f>
        <v/>
      </c>
      <c r="BS12" s="24">
        <f>IF('因子水準表'!Z15="","",'因子水準表'!Z15)</f>
        <v/>
      </c>
      <c r="BT12" s="24">
        <f>IF('因子水準表'!AA15="","",'因子水準表'!AA15)</f>
        <v/>
      </c>
      <c r="BU12" s="24">
        <f>IF('因子水準表'!AB15="","",'因子水準表'!AB15)</f>
        <v/>
      </c>
      <c r="BV12" s="24">
        <f>IF('因子水準表'!AC15="","",'因子水準表'!AC15)</f>
        <v/>
      </c>
      <c r="BW12" s="24">
        <f>IF('因子水準表'!AD15="","",'因子水準表'!AD15)</f>
        <v/>
      </c>
      <c r="BX12" s="24">
        <f>IF('因子水準表'!AE15="","",'因子水準表'!AE15)</f>
        <v/>
      </c>
      <c r="BY12" s="24">
        <f>IF('因子水準表'!B34="","",'因子水準表'!B34)</f>
        <v/>
      </c>
      <c r="BZ12" s="24">
        <f>IF('テスト条件'!A11="","",'テスト条件'!A11)</f>
        <v/>
      </c>
    </row>
    <row r="13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6" t="n"/>
      <c r="AP13" s="25" t="n"/>
      <c r="AQ13" s="25" t="n"/>
      <c r="AR13" s="25" t="n"/>
      <c r="AS13" s="25" t="n"/>
      <c r="AU13" s="24">
        <f>IF('因子水準表'!B16="","",'因子水準表'!B16)</f>
        <v/>
      </c>
      <c r="AV13" s="24">
        <f>IF('因子水準表'!C16="","",'因子水準表'!C16)</f>
        <v/>
      </c>
      <c r="AW13" s="24">
        <f>IF('因子水準表'!D16="","",'因子水準表'!D16)</f>
        <v/>
      </c>
      <c r="AX13" s="24">
        <f>IF('因子水準表'!E16="","",'因子水準表'!E16)</f>
        <v/>
      </c>
      <c r="AY13" s="24">
        <f>IF('因子水準表'!F16="","",'因子水準表'!F16)</f>
        <v/>
      </c>
      <c r="AZ13" s="24">
        <f>IF('因子水準表'!G16="","",'因子水準表'!G16)</f>
        <v/>
      </c>
      <c r="BA13" s="24">
        <f>IF('因子水準表'!H16="","",'因子水準表'!H16)</f>
        <v/>
      </c>
      <c r="BB13" s="24">
        <f>IF('因子水準表'!I16="","",'因子水準表'!I16)</f>
        <v/>
      </c>
      <c r="BC13" s="24">
        <f>IF('因子水準表'!J16="","",'因子水準表'!J16)</f>
        <v/>
      </c>
      <c r="BD13" s="24">
        <f>IF('因子水準表'!K16="","",'因子水準表'!K16)</f>
        <v/>
      </c>
      <c r="BE13" s="24">
        <f>IF('因子水準表'!L16="","",'因子水準表'!L16)</f>
        <v/>
      </c>
      <c r="BF13" s="24">
        <f>IF('因子水準表'!M16="","",'因子水準表'!M16)</f>
        <v/>
      </c>
      <c r="BG13" s="24">
        <f>IF('因子水準表'!N16="","",'因子水準表'!N16)</f>
        <v/>
      </c>
      <c r="BH13" s="24">
        <f>IF('因子水準表'!O16="","",'因子水準表'!O16)</f>
        <v/>
      </c>
      <c r="BI13" s="24">
        <f>IF('因子水準表'!P16="","",'因子水準表'!P16)</f>
        <v/>
      </c>
      <c r="BJ13" s="24">
        <f>IF('因子水準表'!Q16="","",'因子水準表'!Q16)</f>
        <v/>
      </c>
      <c r="BK13" s="24">
        <f>IF('因子水準表'!R16="","",'因子水準表'!R16)</f>
        <v/>
      </c>
      <c r="BL13" s="24">
        <f>IF('因子水準表'!S16="","",'因子水準表'!S16)</f>
        <v/>
      </c>
      <c r="BM13" s="24">
        <f>IF('因子水準表'!T16="","",'因子水準表'!T16)</f>
        <v/>
      </c>
      <c r="BN13" s="24">
        <f>IF('因子水準表'!U16="","",'因子水準表'!U16)</f>
        <v/>
      </c>
      <c r="BO13" s="24">
        <f>IF('因子水準表'!V16="","",'因子水準表'!V16)</f>
        <v/>
      </c>
      <c r="BP13" s="24">
        <f>IF('因子水準表'!W16="","",'因子水準表'!W16)</f>
        <v/>
      </c>
      <c r="BQ13" s="24">
        <f>IF('因子水準表'!X16="","",'因子水準表'!X16)</f>
        <v/>
      </c>
      <c r="BR13" s="24">
        <f>IF('因子水準表'!Y16="","",'因子水準表'!Y16)</f>
        <v/>
      </c>
      <c r="BS13" s="24">
        <f>IF('因子水準表'!Z16="","",'因子水準表'!Z16)</f>
        <v/>
      </c>
      <c r="BT13" s="24">
        <f>IF('因子水準表'!AA16="","",'因子水準表'!AA16)</f>
        <v/>
      </c>
      <c r="BU13" s="24">
        <f>IF('因子水準表'!AB16="","",'因子水準表'!AB16)</f>
        <v/>
      </c>
      <c r="BV13" s="24">
        <f>IF('因子水準表'!AC16="","",'因子水準表'!AC16)</f>
        <v/>
      </c>
      <c r="BW13" s="24">
        <f>IF('因子水準表'!AD16="","",'因子水準表'!AD16)</f>
        <v/>
      </c>
      <c r="BX13" s="24">
        <f>IF('因子水準表'!AE16="","",'因子水準表'!AE16)</f>
        <v/>
      </c>
      <c r="BY13" s="24">
        <f>IF('因子水準表'!B35="","",'因子水準表'!B35)</f>
        <v/>
      </c>
      <c r="BZ13" s="24">
        <f>IF('テスト条件'!A12="","",'テスト条件'!A12)</f>
        <v/>
      </c>
    </row>
    <row r="14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6" t="n"/>
      <c r="AP14" s="25" t="n"/>
      <c r="AQ14" s="25" t="n"/>
      <c r="AR14" s="25" t="n"/>
      <c r="AS14" s="25" t="n"/>
      <c r="AU14" s="24">
        <f>IF('因子水準表'!B17="","",'因子水準表'!B17)</f>
        <v/>
      </c>
      <c r="AV14" s="24">
        <f>IF('因子水準表'!C17="","",'因子水準表'!C17)</f>
        <v/>
      </c>
      <c r="AW14" s="24">
        <f>IF('因子水準表'!D17="","",'因子水準表'!D17)</f>
        <v/>
      </c>
      <c r="AX14" s="24">
        <f>IF('因子水準表'!E17="","",'因子水準表'!E17)</f>
        <v/>
      </c>
      <c r="AY14" s="24">
        <f>IF('因子水準表'!F17="","",'因子水準表'!F17)</f>
        <v/>
      </c>
      <c r="AZ14" s="24">
        <f>IF('因子水準表'!G17="","",'因子水準表'!G17)</f>
        <v/>
      </c>
      <c r="BA14" s="24">
        <f>IF('因子水準表'!H17="","",'因子水準表'!H17)</f>
        <v/>
      </c>
      <c r="BB14" s="24">
        <f>IF('因子水準表'!I17="","",'因子水準表'!I17)</f>
        <v/>
      </c>
      <c r="BC14" s="24">
        <f>IF('因子水準表'!J17="","",'因子水準表'!J17)</f>
        <v/>
      </c>
      <c r="BD14" s="24">
        <f>IF('因子水準表'!K17="","",'因子水準表'!K17)</f>
        <v/>
      </c>
      <c r="BE14" s="24">
        <f>IF('因子水準表'!L17="","",'因子水準表'!L17)</f>
        <v/>
      </c>
      <c r="BF14" s="24">
        <f>IF('因子水準表'!M17="","",'因子水準表'!M17)</f>
        <v/>
      </c>
      <c r="BG14" s="24">
        <f>IF('因子水準表'!N17="","",'因子水準表'!N17)</f>
        <v/>
      </c>
      <c r="BH14" s="24">
        <f>IF('因子水準表'!O17="","",'因子水準表'!O17)</f>
        <v/>
      </c>
      <c r="BI14" s="24">
        <f>IF('因子水準表'!P17="","",'因子水準表'!P17)</f>
        <v/>
      </c>
      <c r="BJ14" s="24">
        <f>IF('因子水準表'!Q17="","",'因子水準表'!Q17)</f>
        <v/>
      </c>
      <c r="BK14" s="24">
        <f>IF('因子水準表'!R17="","",'因子水準表'!R17)</f>
        <v/>
      </c>
      <c r="BL14" s="24">
        <f>IF('因子水準表'!S17="","",'因子水準表'!S17)</f>
        <v/>
      </c>
      <c r="BM14" s="24">
        <f>IF('因子水準表'!T17="","",'因子水準表'!T17)</f>
        <v/>
      </c>
      <c r="BN14" s="24">
        <f>IF('因子水準表'!U17="","",'因子水準表'!U17)</f>
        <v/>
      </c>
      <c r="BO14" s="24">
        <f>IF('因子水準表'!V17="","",'因子水準表'!V17)</f>
        <v/>
      </c>
      <c r="BP14" s="24">
        <f>IF('因子水準表'!W17="","",'因子水準表'!W17)</f>
        <v/>
      </c>
      <c r="BQ14" s="24">
        <f>IF('因子水準表'!X17="","",'因子水準表'!X17)</f>
        <v/>
      </c>
      <c r="BR14" s="24">
        <f>IF('因子水準表'!Y17="","",'因子水準表'!Y17)</f>
        <v/>
      </c>
      <c r="BS14" s="24">
        <f>IF('因子水準表'!Z17="","",'因子水準表'!Z17)</f>
        <v/>
      </c>
      <c r="BT14" s="24">
        <f>IF('因子水準表'!AA17="","",'因子水準表'!AA17)</f>
        <v/>
      </c>
      <c r="BU14" s="24">
        <f>IF('因子水準表'!AB17="","",'因子水準表'!AB17)</f>
        <v/>
      </c>
      <c r="BV14" s="24">
        <f>IF('因子水準表'!AC17="","",'因子水準表'!AC17)</f>
        <v/>
      </c>
      <c r="BW14" s="24">
        <f>IF('因子水準表'!AD17="","",'因子水準表'!AD17)</f>
        <v/>
      </c>
      <c r="BX14" s="24">
        <f>IF('因子水準表'!AE17="","",'因子水準表'!AE17)</f>
        <v/>
      </c>
      <c r="BY14" s="24">
        <f>IF('因子水準表'!B36="","",'因子水準表'!B36)</f>
        <v/>
      </c>
      <c r="BZ14" s="24">
        <f>IF('テスト条件'!A13="","",'テスト条件'!A13)</f>
        <v/>
      </c>
    </row>
    <row r="15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6" t="n"/>
      <c r="AP15" s="25" t="n"/>
      <c r="AQ15" s="25" t="n"/>
      <c r="AR15" s="25" t="n"/>
      <c r="AS15" s="25" t="n"/>
      <c r="AU15" s="24">
        <f>IF('因子水準表'!B18="","",'因子水準表'!B18)</f>
        <v/>
      </c>
      <c r="AV15" s="24">
        <f>IF('因子水準表'!C18="","",'因子水準表'!C18)</f>
        <v/>
      </c>
      <c r="AW15" s="24">
        <f>IF('因子水準表'!D18="","",'因子水準表'!D18)</f>
        <v/>
      </c>
      <c r="AX15" s="24">
        <f>IF('因子水準表'!E18="","",'因子水準表'!E18)</f>
        <v/>
      </c>
      <c r="AY15" s="24">
        <f>IF('因子水準表'!F18="","",'因子水準表'!F18)</f>
        <v/>
      </c>
      <c r="AZ15" s="24">
        <f>IF('因子水準表'!G18="","",'因子水準表'!G18)</f>
        <v/>
      </c>
      <c r="BA15" s="24">
        <f>IF('因子水準表'!H18="","",'因子水準表'!H18)</f>
        <v/>
      </c>
      <c r="BB15" s="24">
        <f>IF('因子水準表'!I18="","",'因子水準表'!I18)</f>
        <v/>
      </c>
      <c r="BC15" s="24">
        <f>IF('因子水準表'!J18="","",'因子水準表'!J18)</f>
        <v/>
      </c>
      <c r="BD15" s="24">
        <f>IF('因子水準表'!K18="","",'因子水準表'!K18)</f>
        <v/>
      </c>
      <c r="BE15" s="24">
        <f>IF('因子水準表'!L18="","",'因子水準表'!L18)</f>
        <v/>
      </c>
      <c r="BF15" s="24">
        <f>IF('因子水準表'!M18="","",'因子水準表'!M18)</f>
        <v/>
      </c>
      <c r="BG15" s="24">
        <f>IF('因子水準表'!N18="","",'因子水準表'!N18)</f>
        <v/>
      </c>
      <c r="BH15" s="24">
        <f>IF('因子水準表'!O18="","",'因子水準表'!O18)</f>
        <v/>
      </c>
      <c r="BI15" s="24">
        <f>IF('因子水準表'!P18="","",'因子水準表'!P18)</f>
        <v/>
      </c>
      <c r="BJ15" s="24">
        <f>IF('因子水準表'!Q18="","",'因子水準表'!Q18)</f>
        <v/>
      </c>
      <c r="BK15" s="24">
        <f>IF('因子水準表'!R18="","",'因子水準表'!R18)</f>
        <v/>
      </c>
      <c r="BL15" s="24">
        <f>IF('因子水準表'!S18="","",'因子水準表'!S18)</f>
        <v/>
      </c>
      <c r="BM15" s="24">
        <f>IF('因子水準表'!T18="","",'因子水準表'!T18)</f>
        <v/>
      </c>
      <c r="BN15" s="24">
        <f>IF('因子水準表'!U18="","",'因子水準表'!U18)</f>
        <v/>
      </c>
      <c r="BO15" s="24">
        <f>IF('因子水準表'!V18="","",'因子水準表'!V18)</f>
        <v/>
      </c>
      <c r="BP15" s="24">
        <f>IF('因子水準表'!W18="","",'因子水準表'!W18)</f>
        <v/>
      </c>
      <c r="BQ15" s="24">
        <f>IF('因子水準表'!X18="","",'因子水準表'!X18)</f>
        <v/>
      </c>
      <c r="BR15" s="24">
        <f>IF('因子水準表'!Y18="","",'因子水準表'!Y18)</f>
        <v/>
      </c>
      <c r="BS15" s="24">
        <f>IF('因子水準表'!Z18="","",'因子水準表'!Z18)</f>
        <v/>
      </c>
      <c r="BT15" s="24">
        <f>IF('因子水準表'!AA18="","",'因子水準表'!AA18)</f>
        <v/>
      </c>
      <c r="BU15" s="24">
        <f>IF('因子水準表'!AB18="","",'因子水準表'!AB18)</f>
        <v/>
      </c>
      <c r="BV15" s="24">
        <f>IF('因子水準表'!AC18="","",'因子水準表'!AC18)</f>
        <v/>
      </c>
      <c r="BW15" s="24">
        <f>IF('因子水準表'!AD18="","",'因子水準表'!AD18)</f>
        <v/>
      </c>
      <c r="BX15" s="24">
        <f>IF('因子水準表'!AE18="","",'因子水準表'!AE18)</f>
        <v/>
      </c>
      <c r="BY15" s="24">
        <f>IF('因子水準表'!B37="","",'因子水準表'!B37)</f>
        <v/>
      </c>
      <c r="BZ15" s="24">
        <f>IF('テスト条件'!A14="","",'テスト条件'!A14)</f>
        <v/>
      </c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6" t="n"/>
      <c r="AP16" s="25" t="n"/>
      <c r="AQ16" s="25" t="n"/>
      <c r="AR16" s="25" t="n"/>
      <c r="AS16" s="25" t="n"/>
      <c r="BY16" s="24">
        <f>IF('因子水準表'!B38="","",'因子水準表'!B38)</f>
        <v/>
      </c>
      <c r="BZ16" s="24">
        <f>IF('テスト条件'!A15="","",'テスト条件'!A15)</f>
        <v/>
      </c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6" t="n"/>
      <c r="AP17" s="25" t="n"/>
      <c r="AQ17" s="25" t="n"/>
      <c r="AR17" s="25" t="n"/>
      <c r="AS17" s="25" t="n"/>
      <c r="BY17" s="24">
        <f>IF('因子水準表'!B39="","",'因子水準表'!B39)</f>
        <v/>
      </c>
      <c r="BZ17" s="24">
        <f>IF('テスト条件'!A16="","",'テスト条件'!A16)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6" t="n"/>
      <c r="AP18" s="25" t="n"/>
      <c r="AQ18" s="25" t="n"/>
      <c r="AR18" s="25" t="n"/>
      <c r="AS18" s="25" t="n"/>
      <c r="BY18" s="24">
        <f>IF('因子水準表'!B40="","",'因子水準表'!B40)</f>
        <v/>
      </c>
      <c r="BZ18" s="24">
        <f>IF('テスト条件'!A17="","",'テスト条件'!A17)</f>
        <v/>
      </c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6" t="n"/>
      <c r="AP19" s="25" t="n"/>
      <c r="AQ19" s="25" t="n"/>
      <c r="AR19" s="25" t="n"/>
      <c r="AS19" s="25" t="n"/>
      <c r="BY19" s="24">
        <f>IF('因子水準表'!B41="","",'因子水準表'!B41)</f>
        <v/>
      </c>
      <c r="BZ19" s="24">
        <f>IF('テスト条件'!A18="","",'テスト条件'!A18)</f>
        <v/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6" t="n"/>
      <c r="AP20" s="25" t="n"/>
      <c r="AQ20" s="25" t="n"/>
      <c r="AR20" s="25" t="n"/>
      <c r="AS20" s="25" t="n"/>
      <c r="BY20" s="24">
        <f>IF('因子水準表'!B42="","",'因子水準表'!B42)</f>
        <v/>
      </c>
      <c r="BZ20" s="24">
        <f>IF('テスト条件'!A19="","",'テスト条件'!A19)</f>
        <v/>
      </c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6" t="n"/>
      <c r="AP21" s="25" t="n"/>
      <c r="AQ21" s="25" t="n"/>
      <c r="AR21" s="25" t="n"/>
      <c r="AS21" s="25" t="n"/>
      <c r="BY21" s="24">
        <f>IF('因子水準表'!B43="","",'因子水準表'!B43)</f>
        <v/>
      </c>
      <c r="BZ21" s="24">
        <f>IF('テスト条件'!A20="","",'テスト条件'!A20)</f>
        <v/>
      </c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6" t="n"/>
      <c r="AP22" s="25" t="n"/>
      <c r="AQ22" s="25" t="n"/>
      <c r="AR22" s="25" t="n"/>
      <c r="AS22" s="25" t="n"/>
      <c r="BY22" s="24">
        <f>IF('因子水準表'!B44="","",'因子水準表'!B44)</f>
        <v/>
      </c>
      <c r="BZ22" s="24">
        <f>IF('テスト条件'!A21="","",'テスト条件'!A21)</f>
        <v/>
      </c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6" t="n"/>
      <c r="AP23" s="25" t="n"/>
      <c r="AQ23" s="25" t="n"/>
      <c r="AR23" s="25" t="n"/>
      <c r="AS23" s="25" t="n"/>
      <c r="BY23" s="24">
        <f>IF('因子水準表'!B45="","",'因子水準表'!B45)</f>
        <v/>
      </c>
      <c r="BZ23" s="24">
        <f>IF('テスト条件'!A22="","",'テスト条件'!A22)</f>
        <v/>
      </c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6" t="n"/>
      <c r="AP24" s="25" t="n"/>
      <c r="AQ24" s="25" t="n"/>
      <c r="AR24" s="25" t="n"/>
      <c r="AS24" s="25" t="n"/>
      <c r="BY24" s="24">
        <f>IF('因子水準表'!B46="","",'因子水準表'!B46)</f>
        <v/>
      </c>
      <c r="BZ24" s="24">
        <f>IF('テスト条件'!A23="","",'テスト条件'!A23)</f>
        <v/>
      </c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6" t="n"/>
      <c r="AP25" s="25" t="n"/>
      <c r="AQ25" s="25" t="n"/>
      <c r="AR25" s="25" t="n"/>
      <c r="AS25" s="25" t="n"/>
      <c r="BY25" s="24">
        <f>IF('因子水準表'!B47="","",'因子水準表'!B47)</f>
        <v/>
      </c>
      <c r="BZ25" s="24">
        <f>IF('テスト条件'!A24="","",'テスト条件'!A24)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6" t="n"/>
      <c r="AP26" s="25" t="n"/>
      <c r="AQ26" s="25" t="n"/>
      <c r="AR26" s="25" t="n"/>
      <c r="AS26" s="25" t="n"/>
      <c r="BZ26" s="24">
        <f>IF('テスト条件'!A25="","",'テスト条件'!A25)</f>
        <v/>
      </c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6" t="n"/>
      <c r="AP27" s="25" t="n"/>
      <c r="AQ27" s="25" t="n"/>
      <c r="AR27" s="25" t="n"/>
      <c r="AS27" s="25" t="n"/>
      <c r="BZ27" s="24">
        <f>IF('テスト条件'!A26="","",'テスト条件'!A26)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6" t="n"/>
      <c r="AP28" s="25" t="n"/>
      <c r="AQ28" s="25" t="n"/>
      <c r="AR28" s="25" t="n"/>
      <c r="AS28" s="25" t="n"/>
      <c r="BZ28" s="24">
        <f>IF('テスト条件'!A27="","",'テスト条件'!A27)</f>
        <v/>
      </c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6" t="n"/>
      <c r="AP29" s="25" t="n"/>
      <c r="AQ29" s="25" t="n"/>
      <c r="AR29" s="25" t="n"/>
      <c r="AS29" s="25" t="n"/>
      <c r="BZ29" s="24">
        <f>IF('テスト条件'!A28="","",'テスト条件'!A28)</f>
        <v/>
      </c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6" t="n"/>
      <c r="AP30" s="25" t="n"/>
      <c r="AQ30" s="25" t="n"/>
      <c r="AR30" s="25" t="n"/>
      <c r="AS30" s="25" t="n"/>
      <c r="BZ30" s="24">
        <f>IF('テスト条件'!A29="","",'テスト条件'!A29)</f>
        <v/>
      </c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6" t="n"/>
      <c r="AP31" s="25" t="n"/>
      <c r="AQ31" s="25" t="n"/>
      <c r="AR31" s="25" t="n"/>
      <c r="AS31" s="25" t="n"/>
      <c r="BZ31" s="24">
        <f>IF('テスト条件'!A30="","",'テスト条件'!A30)</f>
        <v/>
      </c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6" t="n"/>
      <c r="AP32" s="25" t="n"/>
      <c r="AQ32" s="25" t="n"/>
      <c r="AR32" s="25" t="n"/>
      <c r="AS32" s="25" t="n"/>
      <c r="BZ32" s="24">
        <f>IF('テスト条件'!A31="","",'テスト条件'!A31)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6" t="n"/>
      <c r="AP33" s="25" t="n"/>
      <c r="AQ33" s="25" t="n"/>
      <c r="AR33" s="25" t="n"/>
      <c r="AS33" s="25" t="n"/>
      <c r="BZ33" s="24">
        <f>IF('テスト条件'!A32="","",'テスト条件'!A32)</f>
        <v/>
      </c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6" t="n"/>
      <c r="AP34" s="25" t="n"/>
      <c r="AQ34" s="25" t="n"/>
      <c r="AR34" s="25" t="n"/>
      <c r="AS34" s="25" t="n"/>
      <c r="BZ34" s="24">
        <f>IF('テスト条件'!A33="","",'テスト条件'!A33)</f>
        <v/>
      </c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6" t="n"/>
      <c r="AP35" s="25" t="n"/>
      <c r="AQ35" s="25" t="n"/>
      <c r="AR35" s="25" t="n"/>
      <c r="AS35" s="25" t="n"/>
      <c r="BZ35" s="24">
        <f>IF('テスト条件'!A34="","",'テスト条件'!A34)</f>
        <v/>
      </c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6" t="n"/>
      <c r="AP36" s="25" t="n"/>
      <c r="AQ36" s="25" t="n"/>
      <c r="AR36" s="25" t="n"/>
      <c r="AS36" s="25" t="n"/>
      <c r="BZ36" s="24">
        <f>IF('テスト条件'!A35="","",'テスト条件'!A35)</f>
        <v/>
      </c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6" t="n"/>
      <c r="AP37" s="25" t="n"/>
      <c r="AQ37" s="25" t="n"/>
      <c r="AR37" s="25" t="n"/>
      <c r="AS37" s="25" t="n"/>
      <c r="BZ37" s="24">
        <f>IF('テスト条件'!A36="","",'テスト条件'!A36)</f>
        <v/>
      </c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6" t="n"/>
      <c r="AP38" s="25" t="n"/>
      <c r="AQ38" s="25" t="n"/>
      <c r="AR38" s="25" t="n"/>
      <c r="AS38" s="25" t="n"/>
      <c r="BZ38" s="24">
        <f>IF('テスト条件'!A37="","",'テスト条件'!A37)</f>
        <v/>
      </c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6" t="n"/>
      <c r="AP39" s="25" t="n"/>
      <c r="AQ39" s="25" t="n"/>
      <c r="AR39" s="25" t="n"/>
      <c r="AS39" s="25" t="n"/>
      <c r="BZ39" s="24">
        <f>IF('テスト条件'!A38="","",'テスト条件'!A38)</f>
        <v/>
      </c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6" t="n"/>
      <c r="AP40" s="25" t="n"/>
      <c r="AQ40" s="25" t="n"/>
      <c r="AR40" s="25" t="n"/>
      <c r="AS40" s="25" t="n"/>
      <c r="BZ40" s="24">
        <f>IF('テスト条件'!A39="","",'テスト条件'!A39)</f>
        <v/>
      </c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6" t="n"/>
      <c r="AP41" s="25" t="n"/>
      <c r="AQ41" s="25" t="n"/>
      <c r="AR41" s="25" t="n"/>
      <c r="AS41" s="25" t="n"/>
      <c r="BZ41" s="24">
        <f>IF('テスト条件'!A40="","",'テスト条件'!A40)</f>
        <v/>
      </c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6" t="n"/>
      <c r="AP42" s="25" t="n"/>
      <c r="AQ42" s="25" t="n"/>
      <c r="AR42" s="25" t="n"/>
      <c r="AS42" s="25" t="n"/>
      <c r="BZ42" s="24">
        <f>IF('テスト条件'!A41="","",'テスト条件'!A41)</f>
        <v/>
      </c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6" t="n"/>
      <c r="AP43" s="25" t="n"/>
      <c r="AQ43" s="25" t="n"/>
      <c r="AR43" s="25" t="n"/>
      <c r="AS43" s="25" t="n"/>
      <c r="BZ43" s="24">
        <f>IF('テスト条件'!A42="","",'テスト条件'!A42)</f>
        <v/>
      </c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6" t="n"/>
      <c r="AP44" s="25" t="n"/>
      <c r="AQ44" s="25" t="n"/>
      <c r="AR44" s="25" t="n"/>
      <c r="AS44" s="25" t="n"/>
      <c r="BZ44" s="24">
        <f>IF('テスト条件'!A43="","",'テスト条件'!A43)</f>
        <v/>
      </c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6" t="n"/>
      <c r="AP45" s="25" t="n"/>
      <c r="AQ45" s="25" t="n"/>
      <c r="AR45" s="25" t="n"/>
      <c r="AS45" s="25" t="n"/>
      <c r="BZ45" s="24">
        <f>IF('テスト条件'!A44="","",'テスト条件'!A44)</f>
        <v/>
      </c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6" t="n"/>
      <c r="AP46" s="25" t="n"/>
      <c r="AQ46" s="25" t="n"/>
      <c r="AR46" s="25" t="n"/>
      <c r="AS46" s="25" t="n"/>
      <c r="BZ46" s="24">
        <f>IF('テスト条件'!A45="","",'テスト条件'!A45)</f>
        <v/>
      </c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6" t="n"/>
      <c r="AP47" s="25" t="n"/>
      <c r="AQ47" s="25" t="n"/>
      <c r="AR47" s="25" t="n"/>
      <c r="AS47" s="25" t="n"/>
      <c r="BZ47" s="24">
        <f>IF('テスト条件'!A46="","",'テスト条件'!A46)</f>
        <v/>
      </c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6" t="n"/>
      <c r="AP48" s="25" t="n"/>
      <c r="AQ48" s="25" t="n"/>
      <c r="AR48" s="25" t="n"/>
      <c r="AS48" s="25" t="n"/>
      <c r="BZ48" s="24">
        <f>IF('テスト条件'!A47="","",'テスト条件'!A47)</f>
        <v/>
      </c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6" t="n"/>
      <c r="AP49" s="25" t="n"/>
      <c r="AQ49" s="25" t="n"/>
      <c r="AR49" s="25" t="n"/>
      <c r="AS49" s="25" t="n"/>
      <c r="BZ49" s="24">
        <f>IF('テスト条件'!A48="","",'テスト条件'!A48)</f>
        <v/>
      </c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6" t="n"/>
      <c r="AP50" s="25" t="n"/>
      <c r="AQ50" s="25" t="n"/>
      <c r="AR50" s="25" t="n"/>
      <c r="AS50" s="25" t="n"/>
      <c r="BZ50" s="24">
        <f>IF('テスト条件'!A49="","",'テスト条件'!A49)</f>
        <v/>
      </c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6" t="n"/>
      <c r="AP51" s="25" t="n"/>
      <c r="AQ51" s="25" t="n"/>
      <c r="AR51" s="25" t="n"/>
      <c r="AS51" s="25" t="n"/>
      <c r="BZ51" s="24">
        <f>IF('テスト条件'!A50="","",'テスト条件'!A50)</f>
        <v/>
      </c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6" t="n"/>
      <c r="AP52" s="25" t="n"/>
      <c r="AQ52" s="25" t="n"/>
      <c r="AR52" s="25" t="n"/>
      <c r="AS52" s="25" t="n"/>
      <c r="BZ52" s="24">
        <f>IF('テスト条件'!A51="","",'テスト条件'!A51)</f>
        <v/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6" t="n"/>
      <c r="AP53" s="25" t="n"/>
      <c r="AQ53" s="25" t="n"/>
      <c r="AR53" s="25" t="n"/>
      <c r="AS53" s="25" t="n"/>
      <c r="BZ53" s="24">
        <f>IF('テスト条件'!A52="","",'テスト条件'!A52)</f>
        <v/>
      </c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6" t="n"/>
      <c r="AP54" s="25" t="n"/>
      <c r="AQ54" s="25" t="n"/>
      <c r="AR54" s="25" t="n"/>
      <c r="AS54" s="25" t="n"/>
      <c r="BZ54" s="24">
        <f>IF('テスト条件'!A53="","",'テスト条件'!A53)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6" t="n"/>
      <c r="AP55" s="25" t="n"/>
      <c r="AQ55" s="25" t="n"/>
      <c r="AR55" s="25" t="n"/>
      <c r="AS55" s="25" t="n"/>
      <c r="BZ55" s="24">
        <f>IF('テスト条件'!A54="","",'テスト条件'!A54)</f>
        <v/>
      </c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6" t="n"/>
      <c r="AP56" s="25" t="n"/>
      <c r="AQ56" s="25" t="n"/>
      <c r="AR56" s="25" t="n"/>
      <c r="AS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6" t="n"/>
      <c r="AP57" s="25" t="n"/>
      <c r="AQ57" s="25" t="n"/>
      <c r="AR57" s="25" t="n"/>
      <c r="AS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6" t="n"/>
      <c r="AP58" s="25" t="n"/>
      <c r="AQ58" s="25" t="n"/>
      <c r="AR58" s="25" t="n"/>
      <c r="AS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6" t="n"/>
      <c r="AP59" s="25" t="n"/>
      <c r="AQ59" s="25" t="n"/>
      <c r="AR59" s="25" t="n"/>
      <c r="AS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6" t="n"/>
      <c r="AP60" s="25" t="n"/>
      <c r="AQ60" s="25" t="n"/>
      <c r="AR60" s="25" t="n"/>
      <c r="AS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6" t="n"/>
      <c r="AP61" s="25" t="n"/>
      <c r="AQ61" s="25" t="n"/>
      <c r="AR61" s="25" t="n"/>
      <c r="AS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6" t="n"/>
      <c r="AP62" s="25" t="n"/>
      <c r="AQ62" s="25" t="n"/>
      <c r="AR62" s="25" t="n"/>
      <c r="AS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6" t="n"/>
      <c r="AP63" s="25" t="n"/>
      <c r="AQ63" s="25" t="n"/>
      <c r="AR63" s="25" t="n"/>
      <c r="AS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6" t="n"/>
      <c r="AP64" s="25" t="n"/>
      <c r="AQ64" s="25" t="n"/>
      <c r="AR64" s="25" t="n"/>
      <c r="AS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6" t="n"/>
      <c r="AP65" s="25" t="n"/>
      <c r="AQ65" s="25" t="n"/>
      <c r="AR65" s="25" t="n"/>
      <c r="AS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6" t="n"/>
      <c r="AP66" s="25" t="n"/>
      <c r="AQ66" s="25" t="n"/>
      <c r="AR66" s="25" t="n"/>
      <c r="AS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6" t="n"/>
      <c r="AP67" s="25" t="n"/>
      <c r="AQ67" s="25" t="n"/>
      <c r="AR67" s="25" t="n"/>
      <c r="AS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6" t="n"/>
      <c r="AP68" s="25" t="n"/>
      <c r="AQ68" s="25" t="n"/>
      <c r="AR68" s="25" t="n"/>
      <c r="AS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6" t="n"/>
      <c r="AP69" s="25" t="n"/>
      <c r="AQ69" s="25" t="n"/>
      <c r="AR69" s="25" t="n"/>
      <c r="AS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6" t="n"/>
      <c r="AP70" s="25" t="n"/>
      <c r="AQ70" s="25" t="n"/>
      <c r="AR70" s="25" t="n"/>
      <c r="AS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6" t="n"/>
      <c r="AP71" s="25" t="n"/>
      <c r="AQ71" s="25" t="n"/>
      <c r="AR71" s="25" t="n"/>
      <c r="AS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6" t="n"/>
      <c r="AP72" s="25" t="n"/>
      <c r="AQ72" s="25" t="n"/>
      <c r="AR72" s="25" t="n"/>
      <c r="AS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6" t="n"/>
      <c r="AP73" s="25" t="n"/>
      <c r="AQ73" s="25" t="n"/>
      <c r="AR73" s="25" t="n"/>
      <c r="AS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6" t="n"/>
      <c r="AP74" s="25" t="n"/>
      <c r="AQ74" s="25" t="n"/>
      <c r="AR74" s="25" t="n"/>
      <c r="AS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6" t="n"/>
      <c r="AP75" s="25" t="n"/>
      <c r="AQ75" s="25" t="n"/>
      <c r="AR75" s="25" t="n"/>
      <c r="AS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6" t="n"/>
      <c r="AP76" s="25" t="n"/>
      <c r="AQ76" s="25" t="n"/>
      <c r="AR76" s="25" t="n"/>
      <c r="AS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6" t="n"/>
      <c r="AP77" s="25" t="n"/>
      <c r="AQ77" s="25" t="n"/>
      <c r="AR77" s="25" t="n"/>
      <c r="AS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6" t="n"/>
      <c r="AP78" s="25" t="n"/>
      <c r="AQ78" s="25" t="n"/>
      <c r="AR78" s="25" t="n"/>
      <c r="AS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6" t="n"/>
      <c r="AP79" s="25" t="n"/>
      <c r="AQ79" s="25" t="n"/>
      <c r="AR79" s="25" t="n"/>
      <c r="AS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6" t="n"/>
      <c r="AP80" s="25" t="n"/>
      <c r="AQ80" s="25" t="n"/>
      <c r="AR80" s="25" t="n"/>
      <c r="AS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6" t="n"/>
      <c r="AP81" s="25" t="n"/>
      <c r="AQ81" s="25" t="n"/>
      <c r="AR81" s="25" t="n"/>
      <c r="AS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6" t="n"/>
      <c r="AP82" s="25" t="n"/>
      <c r="AQ82" s="25" t="n"/>
      <c r="AR82" s="25" t="n"/>
      <c r="AS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6" t="n"/>
      <c r="AP83" s="25" t="n"/>
      <c r="AQ83" s="25" t="n"/>
      <c r="AR83" s="25" t="n"/>
      <c r="AS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6" t="n"/>
      <c r="AP84" s="25" t="n"/>
      <c r="AQ84" s="25" t="n"/>
      <c r="AR84" s="25" t="n"/>
      <c r="AS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6" t="n"/>
      <c r="AP85" s="25" t="n"/>
      <c r="AQ85" s="25" t="n"/>
      <c r="AR85" s="25" t="n"/>
      <c r="AS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6" t="n"/>
      <c r="AP86" s="25" t="n"/>
      <c r="AQ86" s="25" t="n"/>
      <c r="AR86" s="25" t="n"/>
      <c r="AS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6" t="n"/>
      <c r="AP87" s="25" t="n"/>
      <c r="AQ87" s="25" t="n"/>
      <c r="AR87" s="25" t="n"/>
      <c r="AS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6" t="n"/>
      <c r="AP88" s="25" t="n"/>
      <c r="AQ88" s="25" t="n"/>
      <c r="AR88" s="25" t="n"/>
      <c r="AS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6" t="n"/>
      <c r="AP89" s="25" t="n"/>
      <c r="AQ89" s="25" t="n"/>
      <c r="AR89" s="25" t="n"/>
      <c r="AS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6" t="n"/>
      <c r="AP90" s="25" t="n"/>
      <c r="AQ90" s="25" t="n"/>
      <c r="AR90" s="25" t="n"/>
      <c r="AS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6" t="n"/>
      <c r="AP91" s="25" t="n"/>
      <c r="AQ91" s="25" t="n"/>
      <c r="AR91" s="25" t="n"/>
      <c r="AS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6" t="n"/>
      <c r="AP92" s="25" t="n"/>
      <c r="AQ92" s="25" t="n"/>
      <c r="AR92" s="25" t="n"/>
      <c r="AS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6" t="n"/>
      <c r="AP93" s="25" t="n"/>
      <c r="AQ93" s="25" t="n"/>
      <c r="AR93" s="25" t="n"/>
      <c r="AS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6" t="n"/>
      <c r="AP94" s="25" t="n"/>
      <c r="AQ94" s="25" t="n"/>
      <c r="AR94" s="25" t="n"/>
      <c r="AS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6" t="n"/>
      <c r="AP95" s="25" t="n"/>
      <c r="AQ95" s="25" t="n"/>
      <c r="AR95" s="25" t="n"/>
      <c r="AS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6" t="n"/>
      <c r="AP96" s="25" t="n"/>
      <c r="AQ96" s="25" t="n"/>
      <c r="AR96" s="25" t="n"/>
      <c r="AS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6" t="n"/>
      <c r="AP97" s="25" t="n"/>
      <c r="AQ97" s="25" t="n"/>
      <c r="AR97" s="25" t="n"/>
      <c r="AS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6" t="n"/>
      <c r="AP98" s="25" t="n"/>
      <c r="AQ98" s="25" t="n"/>
      <c r="AR98" s="25" t="n"/>
      <c r="AS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6" t="n"/>
      <c r="AP99" s="25" t="n"/>
      <c r="AQ99" s="25" t="n"/>
      <c r="AR99" s="25" t="n"/>
      <c r="AS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6" t="n"/>
      <c r="AP100" s="25" t="n"/>
      <c r="AQ100" s="25" t="n"/>
      <c r="AR100" s="25" t="n"/>
      <c r="AS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6" t="n"/>
      <c r="AP101" s="25" t="n"/>
      <c r="AQ101" s="25" t="n"/>
      <c r="AR101" s="25" t="n"/>
      <c r="AS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6" t="n"/>
      <c r="AP102" s="25" t="n"/>
      <c r="AQ102" s="25" t="n"/>
      <c r="AR102" s="25" t="n"/>
      <c r="AS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6" t="n"/>
      <c r="AP103" s="25" t="n"/>
      <c r="AQ103" s="25" t="n"/>
      <c r="AR103" s="25" t="n"/>
      <c r="AS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6" t="n"/>
      <c r="AP104" s="25" t="n"/>
      <c r="AQ104" s="25" t="n"/>
      <c r="AR104" s="25" t="n"/>
      <c r="AS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6" t="n"/>
      <c r="AP105" s="25" t="n"/>
      <c r="AQ105" s="25" t="n"/>
      <c r="AR105" s="25" t="n"/>
      <c r="AS105" s="25" t="n"/>
    </row>
  </sheetData>
  <autoFilter ref="A5:AS105"/>
  <mergeCells count="21">
    <mergeCell ref="C4:C5"/>
    <mergeCell ref="E4:E5"/>
    <mergeCell ref="AN4:AN5"/>
    <mergeCell ref="A3:F3"/>
    <mergeCell ref="G3:AJ3"/>
    <mergeCell ref="AO3:AS3"/>
    <mergeCell ref="D4:D5"/>
    <mergeCell ref="AR4:AR5"/>
    <mergeCell ref="AQ4:AQ5"/>
    <mergeCell ref="AM4:AM5"/>
    <mergeCell ref="AO4:AO5"/>
    <mergeCell ref="AU4:BZ4"/>
    <mergeCell ref="A4:A5"/>
    <mergeCell ref="AK3:AN3"/>
    <mergeCell ref="AL4:AL5"/>
    <mergeCell ref="B4:B5"/>
    <mergeCell ref="F4:F5"/>
    <mergeCell ref="AP4:AP5"/>
    <mergeCell ref="AS4:AS5"/>
    <mergeCell ref="AK4:AK5"/>
    <mergeCell ref="B2:D2"/>
  </mergeCells>
  <dataValidations count="35">
    <dataValidation sqref="G6:G105" showDropDown="0" showInputMessage="0" showErrorMessage="0" allowBlank="1" type="list">
      <formula1>'テストケース5'!$AU$6:$AU$15</formula1>
    </dataValidation>
    <dataValidation sqref="H6:H105" showDropDown="0" showInputMessage="0" showErrorMessage="0" allowBlank="1" type="list">
      <formula1>'テストケース5'!$AV$6:$AV$15</formula1>
    </dataValidation>
    <dataValidation sqref="I6:I105" showDropDown="0" showInputMessage="0" showErrorMessage="0" allowBlank="1" type="list">
      <formula1>'テストケース5'!$AW$6:$AW$15</formula1>
    </dataValidation>
    <dataValidation sqref="J6:J105" showDropDown="0" showInputMessage="0" showErrorMessage="0" allowBlank="1" type="list">
      <formula1>'テストケース5'!$AX$6:$AX$15</formula1>
    </dataValidation>
    <dataValidation sqref="K6:K105" showDropDown="0" showInputMessage="0" showErrorMessage="0" allowBlank="1" type="list">
      <formula1>'テストケース5'!$AY$6:$AY$15</formula1>
    </dataValidation>
    <dataValidation sqref="L6:L105" showDropDown="0" showInputMessage="0" showErrorMessage="0" allowBlank="1" type="list">
      <formula1>'テストケース5'!$AZ$6:$AZ$15</formula1>
    </dataValidation>
    <dataValidation sqref="M6:M105" showDropDown="0" showInputMessage="0" showErrorMessage="0" allowBlank="1" type="list">
      <formula1>'テストケース5'!$BA$6:$BA$15</formula1>
    </dataValidation>
    <dataValidation sqref="N6:N105" showDropDown="0" showInputMessage="0" showErrorMessage="0" allowBlank="1" type="list">
      <formula1>'テストケース5'!$BB$6:$BB$15</formula1>
    </dataValidation>
    <dataValidation sqref="O6:O105" showDropDown="0" showInputMessage="0" showErrorMessage="0" allowBlank="1" type="list">
      <formula1>'テストケース5'!$BC$6:$BC$15</formula1>
    </dataValidation>
    <dataValidation sqref="P6:P105" showDropDown="0" showInputMessage="0" showErrorMessage="0" allowBlank="1" type="list">
      <formula1>'テストケース5'!$BD$6:$BD$15</formula1>
    </dataValidation>
    <dataValidation sqref="Q6:Q105" showDropDown="0" showInputMessage="0" showErrorMessage="0" allowBlank="1" type="list">
      <formula1>'テストケース5'!$BE$6:$BE$15</formula1>
    </dataValidation>
    <dataValidation sqref="R6:R105" showDropDown="0" showInputMessage="0" showErrorMessage="0" allowBlank="1" type="list">
      <formula1>'テストケース5'!$BF$6:$BF$15</formula1>
    </dataValidation>
    <dataValidation sqref="S6:S105" showDropDown="0" showInputMessage="0" showErrorMessage="0" allowBlank="1" type="list">
      <formula1>'テストケース5'!$BG$6:$BG$15</formula1>
    </dataValidation>
    <dataValidation sqref="T6:T105" showDropDown="0" showInputMessage="0" showErrorMessage="0" allowBlank="1" type="list">
      <formula1>'テストケース5'!$BH$6:$BH$15</formula1>
    </dataValidation>
    <dataValidation sqref="U6:U105" showDropDown="0" showInputMessage="0" showErrorMessage="0" allowBlank="1" type="list">
      <formula1>'テストケース5'!$BI$6:$BI$15</formula1>
    </dataValidation>
    <dataValidation sqref="V6:V105" showDropDown="0" showInputMessage="0" showErrorMessage="0" allowBlank="1" type="list">
      <formula1>'テストケース5'!$BJ$6:$BJ$15</formula1>
    </dataValidation>
    <dataValidation sqref="W6:W105" showDropDown="0" showInputMessage="0" showErrorMessage="0" allowBlank="1" type="list">
      <formula1>'テストケース5'!$BK$6:$BK$15</formula1>
    </dataValidation>
    <dataValidation sqref="X6:X105" showDropDown="0" showInputMessage="0" showErrorMessage="0" allowBlank="1" type="list">
      <formula1>'テストケース5'!$BL$6:$BL$15</formula1>
    </dataValidation>
    <dataValidation sqref="Y6:Y105" showDropDown="0" showInputMessage="0" showErrorMessage="0" allowBlank="1" type="list">
      <formula1>'テストケース5'!$BM$6:$BM$15</formula1>
    </dataValidation>
    <dataValidation sqref="Z6:Z105" showDropDown="0" showInputMessage="0" showErrorMessage="0" allowBlank="1" type="list">
      <formula1>'テストケース5'!$BN$6:$BN$15</formula1>
    </dataValidation>
    <dataValidation sqref="AA6:AA105" showDropDown="0" showInputMessage="0" showErrorMessage="0" allowBlank="1" type="list">
      <formula1>'テストケース5'!$BO$6:$BO$15</formula1>
    </dataValidation>
    <dataValidation sqref="AB6:AB105" showDropDown="0" showInputMessage="0" showErrorMessage="0" allowBlank="1" type="list">
      <formula1>'テストケース5'!$BP$6:$BP$15</formula1>
    </dataValidation>
    <dataValidation sqref="AC6:AC105" showDropDown="0" showInputMessage="0" showErrorMessage="0" allowBlank="1" type="list">
      <formula1>'テストケース5'!$BQ$6:$BQ$15</formula1>
    </dataValidation>
    <dataValidation sqref="AD6:AD105" showDropDown="0" showInputMessage="0" showErrorMessage="0" allowBlank="1" type="list">
      <formula1>'テストケース5'!$BR$6:$BR$15</formula1>
    </dataValidation>
    <dataValidation sqref="AE6:AE105" showDropDown="0" showInputMessage="0" showErrorMessage="0" allowBlank="1" type="list">
      <formula1>'テストケース5'!$BS$6:$BS$15</formula1>
    </dataValidation>
    <dataValidation sqref="AF6:AF105" showDropDown="0" showInputMessage="0" showErrorMessage="0" allowBlank="1" type="list">
      <formula1>'テストケース5'!$BT$6:$BT$15</formula1>
    </dataValidation>
    <dataValidation sqref="AG6:AG105" showDropDown="0" showInputMessage="0" showErrorMessage="0" allowBlank="1" type="list">
      <formula1>'テストケース5'!$BU$6:$BU$15</formula1>
    </dataValidation>
    <dataValidation sqref="AH6:AH105" showDropDown="0" showInputMessage="0" showErrorMessage="0" allowBlank="1" type="list">
      <formula1>'テストケース5'!$BV$6:$BV$15</formula1>
    </dataValidation>
    <dataValidation sqref="AI6:AI105" showDropDown="0" showInputMessage="0" showErrorMessage="0" allowBlank="1" type="list">
      <formula1>'テストケース5'!$BW$6:$BW$15</formula1>
    </dataValidation>
    <dataValidation sqref="AJ6:AJ105" showDropDown="0" showInputMessage="0" showErrorMessage="0" allowBlank="1" type="list">
      <formula1>'テストケース5'!$BX$6:$BX$15</formula1>
    </dataValidation>
    <dataValidation sqref="C6:C105" showDropDown="0" showInputMessage="0" showErrorMessage="0" allowBlank="1" type="list">
      <formula1>'テストケース5'!$BY$6:$BY$25</formula1>
    </dataValidation>
    <dataValidation sqref="B6:B105" showDropDown="0" showInputMessage="0" showErrorMessage="0" allowBlank="1" type="list">
      <formula1>'テストケース5'!$BZ$6:$BZ$55</formula1>
    </dataValidation>
    <dataValidation sqref="E6:E105" showDropDown="0" showInputMessage="0" showErrorMessage="0" allowBlank="1" type="list">
      <formula1>"高,中,低"</formula1>
    </dataValidation>
    <dataValidation sqref="AN6:AN105" showDropDown="0" showInputMessage="0" showErrorMessage="0" allowBlank="1" type="list">
      <formula1>"要,否,済"</formula1>
    </dataValidation>
    <dataValidation sqref="AQ6:AQ1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集計</t>
        </is>
      </c>
    </row>
    <row r="2">
      <c r="A2" s="2" t="inlineStr">
        <is>
          <t>テストケース1〜5 の全シートから自動で集計します。</t>
        </is>
      </c>
    </row>
    <row r="4">
      <c r="A4" s="10" t="inlineStr">
        <is>
          <t>全体</t>
        </is>
      </c>
      <c r="B4" s="11" t="inlineStr">
        <is>
          <t>件数</t>
        </is>
      </c>
    </row>
    <row r="5">
      <c r="A5" s="19" t="inlineStr">
        <is>
          <t>総ケース数</t>
        </is>
      </c>
      <c r="B5" s="17">
        <f>COUNTA('テストケース1'!$A$6:$A$105)+COUNTA('テストケース2'!$A$6:$A$105)+COUNTA('テストケース3'!$A$6:$A$105)+COUNTA('テストケース4'!$A$6:$A$105)+COUNTA('テストケース5'!$A$6:$A$105)</f>
        <v/>
      </c>
    </row>
    <row r="6">
      <c r="A6" s="19" t="inlineStr">
        <is>
          <t>優先度：高</t>
        </is>
      </c>
      <c r="B6" s="17">
        <f>COUNTIF('テストケース1'!$E$6:$E$105,"高")+COUNTIF('テストケース2'!$E$6:$E$105,"高")+COUNTIF('テストケース3'!$E$6:$E$105,"高")+COUNTIF('テストケース4'!$E$6:$E$105,"高")+COUNTIF('テストケース5'!$E$6:$E$105,"高")</f>
        <v/>
      </c>
    </row>
    <row r="7">
      <c r="A7" s="19" t="inlineStr">
        <is>
          <t>優先度：中</t>
        </is>
      </c>
      <c r="B7" s="17">
        <f>COUNTIF('テストケース1'!$E$6:$E$105,"中")+COUNTIF('テストケース2'!$E$6:$E$105,"中")+COUNTIF('テストケース3'!$E$6:$E$105,"中")+COUNTIF('テストケース4'!$E$6:$E$105,"中")+COUNTIF('テストケース5'!$E$6:$E$105,"中")</f>
        <v/>
      </c>
    </row>
    <row r="8">
      <c r="A8" s="19" t="inlineStr">
        <is>
          <t>優先度：低</t>
        </is>
      </c>
      <c r="B8" s="17">
        <f>COUNTIF('テストケース1'!$E$6:$E$105,"低")+COUNTIF('テストケース2'!$E$6:$E$105,"低")+COUNTIF('テストケース3'!$E$6:$E$105,"低")+COUNTIF('テストケース4'!$E$6:$E$105,"低")+COUNTIF('テストケース5'!$E$6:$E$105,"低")</f>
        <v/>
      </c>
    </row>
    <row r="9">
      <c r="A9" s="19" t="inlineStr">
        <is>
          <t>結果：OK</t>
        </is>
      </c>
      <c r="B9" s="17">
        <f>COUNTIF('テストケース1'!$AQ$6:$AQ$105,"OK")+COUNTIF('テストケース2'!$AQ$6:$AQ$105,"OK")+COUNTIF('テストケース3'!$AQ$6:$AQ$105,"OK")+COUNTIF('テストケース4'!$AQ$6:$AQ$105,"OK")+COUNTIF('テストケース5'!$AQ$6:$AQ$105,"OK")</f>
        <v/>
      </c>
    </row>
    <row r="10">
      <c r="A10" s="19" t="inlineStr">
        <is>
          <t>結果：NG</t>
        </is>
      </c>
      <c r="B10" s="17">
        <f>COUNTIF('テストケース1'!$AQ$6:$AQ$105,"NG")+COUNTIF('テストケース2'!$AQ$6:$AQ$105,"NG")+COUNTIF('テストケース3'!$AQ$6:$AQ$105,"NG")+COUNTIF('テストケース4'!$AQ$6:$AQ$105,"NG")+COUNTIF('テストケース5'!$AQ$6:$AQ$105,"NG")</f>
        <v/>
      </c>
    </row>
    <row r="11">
      <c r="A11" s="19" t="inlineStr">
        <is>
          <t>結果：保留</t>
        </is>
      </c>
      <c r="B11" s="17">
        <f>COUNTIF('テストケース1'!$AQ$6:$AQ$105,"保留")+COUNTIF('テストケース2'!$AQ$6:$AQ$105,"保留")+COUNTIF('テストケース3'!$AQ$6:$AQ$105,"保留")+COUNTIF('テストケース4'!$AQ$6:$AQ$105,"保留")+COUNTIF('テストケース5'!$AQ$6:$AQ$105,"保留")</f>
        <v/>
      </c>
    </row>
    <row r="12">
      <c r="A12" s="19" t="inlineStr">
        <is>
          <t>結果：対象外</t>
        </is>
      </c>
      <c r="B12" s="17">
        <f>COUNTIF('テストケース1'!$AQ$6:$AQ$105,"対象外")+COUNTIF('テストケース2'!$AQ$6:$AQ$105,"対象外")+COUNTIF('テストケース3'!$AQ$6:$AQ$105,"対象外")+COUNTIF('テストケース4'!$AQ$6:$AQ$105,"対象外")+COUNTIF('テストケース5'!$AQ$6:$AQ$105,"対象外")</f>
        <v/>
      </c>
    </row>
    <row r="13">
      <c r="A13" s="19" t="inlineStr">
        <is>
          <t>結果：未実施</t>
        </is>
      </c>
      <c r="B13" s="17">
        <f>B5-SUM(B9:B12)</f>
        <v/>
      </c>
    </row>
    <row r="14">
      <c r="A14" s="19" t="inlineStr">
        <is>
          <t>自動化：要</t>
        </is>
      </c>
      <c r="B14" s="17">
        <f>COUNTIF('テストケース1'!$AN$6:$AN$105,"要")+COUNTIF('テストケース2'!$AN$6:$AN$105,"要")+COUNTIF('テストケース3'!$AN$6:$AN$105,"要")+COUNTIF('テストケース4'!$AN$6:$AN$105,"要")+COUNTIF('テストケース5'!$AN$6:$AN$105,"要")</f>
        <v/>
      </c>
    </row>
    <row r="15">
      <c r="A15" s="19" t="inlineStr">
        <is>
          <t>自動化：否</t>
        </is>
      </c>
      <c r="B15" s="17">
        <f>COUNTIF('テストケース1'!$AN$6:$AN$105,"否")+COUNTIF('テストケース2'!$AN$6:$AN$105,"否")+COUNTIF('テストケース3'!$AN$6:$AN$105,"否")+COUNTIF('テストケース4'!$AN$6:$AN$105,"否")+COUNTIF('テストケース5'!$AN$6:$AN$105,"否")</f>
        <v/>
      </c>
    </row>
    <row r="16">
      <c r="A16" s="19" t="inlineStr">
        <is>
          <t>自動化：済</t>
        </is>
      </c>
      <c r="B16" s="17">
        <f>COUNTIF('テストケース1'!$AN$6:$AN$105,"済")+COUNTIF('テストケース2'!$AN$6:$AN$105,"済")+COUNTIF('テストケース3'!$AN$6:$AN$105,"済")+COUNTIF('テストケース4'!$AN$6:$AN$105,"済")+COUNTIF('テストケース5'!$AN$6:$AN$105,"済")</f>
        <v/>
      </c>
    </row>
    <row r="18">
      <c r="A18" s="10" t="inlineStr">
        <is>
          <t>指標</t>
        </is>
      </c>
      <c r="B18" s="11" t="inlineStr">
        <is>
          <t>値</t>
        </is>
      </c>
    </row>
    <row r="19">
      <c r="A19" s="19" t="inlineStr">
        <is>
          <t>消化率</t>
        </is>
      </c>
      <c r="B19" s="27">
        <f>IF(B5-B12=0,"-",(B9+B10)/(B5-B12))</f>
        <v/>
      </c>
      <c r="C19" s="2" t="inlineStr">
        <is>
          <t>（OK＋NG）÷（総数−対象外）</t>
        </is>
      </c>
    </row>
    <row r="20">
      <c r="A20" s="19" t="inlineStr">
        <is>
          <t>合格率</t>
        </is>
      </c>
      <c r="B20" s="27">
        <f>IF(B9+B10=0,"-",B9/(B9+B10))</f>
        <v/>
      </c>
      <c r="C20" s="2" t="inlineStr">
        <is>
          <t>OK ÷（OK＋NG）</t>
        </is>
      </c>
    </row>
    <row r="22">
      <c r="A22" s="11" t="inlineStr">
        <is>
          <t>シート別（対象）</t>
        </is>
      </c>
      <c r="B22" s="11" t="inlineStr">
        <is>
          <t>件数</t>
        </is>
      </c>
      <c r="C22" s="11" t="inlineStr">
        <is>
          <t>OK</t>
        </is>
      </c>
      <c r="D22" s="11" t="inlineStr">
        <is>
          <t>NG</t>
        </is>
      </c>
      <c r="E22" s="11" t="inlineStr">
        <is>
          <t>未実施</t>
        </is>
      </c>
      <c r="F22" s="11" t="inlineStr">
        <is>
          <t>消化率</t>
        </is>
      </c>
    </row>
    <row r="23">
      <c r="A23" s="24">
        <f>IF('テストケース1'!$B$2="","（対象未記入）",'テストケース1'!$B$2)</f>
        <v/>
      </c>
      <c r="B23" s="17">
        <f>COUNTA('テストケース1'!$A$6:$A$105)</f>
        <v/>
      </c>
      <c r="C23" s="17">
        <f>COUNTIF('テストケース1'!$AQ$6:$AQ$105,"OK")</f>
        <v/>
      </c>
      <c r="D23" s="17">
        <f>COUNTIF('テストケース1'!$AQ$6:$AQ$105,"NG")</f>
        <v/>
      </c>
      <c r="E23" s="17">
        <f>B23-COUNTIF('テストケース1'!$AQ$6:$AQ$105,"OK")-COUNTIF('テストケース1'!$AQ$6:$AQ$105,"NG")-COUNTIF('テストケース1'!$AQ$6:$AQ$105,"保留")-COUNTIF('テストケース1'!$AQ$6:$AQ$105,"対象外")</f>
        <v/>
      </c>
      <c r="F23" s="27">
        <f>IF(B23-COUNTIF('テストケース1'!$AQ$6:$AQ$105,"対象外")=0,"-",(C23+D23)/(B23-COUNTIF('テストケース1'!$AQ$6:$AQ$105,"対象外")))</f>
        <v/>
      </c>
    </row>
    <row r="24">
      <c r="A24" s="24">
        <f>IF('テストケース2'!$B$2="","（対象未記入）",'テストケース2'!$B$2)</f>
        <v/>
      </c>
      <c r="B24" s="17">
        <f>COUNTA('テストケース2'!$A$6:$A$105)</f>
        <v/>
      </c>
      <c r="C24" s="17">
        <f>COUNTIF('テストケース2'!$AQ$6:$AQ$105,"OK")</f>
        <v/>
      </c>
      <c r="D24" s="17">
        <f>COUNTIF('テストケース2'!$AQ$6:$AQ$105,"NG")</f>
        <v/>
      </c>
      <c r="E24" s="17">
        <f>B24-COUNTIF('テストケース2'!$AQ$6:$AQ$105,"OK")-COUNTIF('テストケース2'!$AQ$6:$AQ$105,"NG")-COUNTIF('テストケース2'!$AQ$6:$AQ$105,"保留")-COUNTIF('テストケース2'!$AQ$6:$AQ$105,"対象外")</f>
        <v/>
      </c>
      <c r="F24" s="27">
        <f>IF(B24-COUNTIF('テストケース2'!$AQ$6:$AQ$105,"対象外")=0,"-",(C24+D24)/(B24-COUNTIF('テストケース2'!$AQ$6:$AQ$105,"対象外")))</f>
        <v/>
      </c>
    </row>
    <row r="25">
      <c r="A25" s="24">
        <f>IF('テストケース3'!$B$2="","（対象未記入）",'テストケース3'!$B$2)</f>
        <v/>
      </c>
      <c r="B25" s="17">
        <f>COUNTA('テストケース3'!$A$6:$A$105)</f>
        <v/>
      </c>
      <c r="C25" s="17">
        <f>COUNTIF('テストケース3'!$AQ$6:$AQ$105,"OK")</f>
        <v/>
      </c>
      <c r="D25" s="17">
        <f>COUNTIF('テストケース3'!$AQ$6:$AQ$105,"NG")</f>
        <v/>
      </c>
      <c r="E25" s="17">
        <f>B25-COUNTIF('テストケース3'!$AQ$6:$AQ$105,"OK")-COUNTIF('テストケース3'!$AQ$6:$AQ$105,"NG")-COUNTIF('テストケース3'!$AQ$6:$AQ$105,"保留")-COUNTIF('テストケース3'!$AQ$6:$AQ$105,"対象外")</f>
        <v/>
      </c>
      <c r="F25" s="27">
        <f>IF(B25-COUNTIF('テストケース3'!$AQ$6:$AQ$105,"対象外")=0,"-",(C25+D25)/(B25-COUNTIF('テストケース3'!$AQ$6:$AQ$105,"対象外")))</f>
        <v/>
      </c>
    </row>
    <row r="26">
      <c r="A26" s="24">
        <f>IF('テストケース4'!$B$2="","（対象未記入）",'テストケース4'!$B$2)</f>
        <v/>
      </c>
      <c r="B26" s="17">
        <f>COUNTA('テストケース4'!$A$6:$A$105)</f>
        <v/>
      </c>
      <c r="C26" s="17">
        <f>COUNTIF('テストケース4'!$AQ$6:$AQ$105,"OK")</f>
        <v/>
      </c>
      <c r="D26" s="17">
        <f>COUNTIF('テストケース4'!$AQ$6:$AQ$105,"NG")</f>
        <v/>
      </c>
      <c r="E26" s="17">
        <f>B26-COUNTIF('テストケース4'!$AQ$6:$AQ$105,"OK")-COUNTIF('テストケース4'!$AQ$6:$AQ$105,"NG")-COUNTIF('テストケース4'!$AQ$6:$AQ$105,"保留")-COUNTIF('テストケース4'!$AQ$6:$AQ$105,"対象外")</f>
        <v/>
      </c>
      <c r="F26" s="27">
        <f>IF(B26-COUNTIF('テストケース4'!$AQ$6:$AQ$105,"対象外")=0,"-",(C26+D26)/(B26-COUNTIF('テストケース4'!$AQ$6:$AQ$105,"対象外")))</f>
        <v/>
      </c>
    </row>
    <row r="27">
      <c r="A27" s="24">
        <f>IF('テストケース5'!$B$2="","（対象未記入）",'テストケース5'!$B$2)</f>
        <v/>
      </c>
      <c r="B27" s="17">
        <f>COUNTA('テストケース5'!$A$6:$A$105)</f>
        <v/>
      </c>
      <c r="C27" s="17">
        <f>COUNTIF('テストケース5'!$AQ$6:$AQ$105,"OK")</f>
        <v/>
      </c>
      <c r="D27" s="17">
        <f>COUNTIF('テストケース5'!$AQ$6:$AQ$105,"NG")</f>
        <v/>
      </c>
      <c r="E27" s="17">
        <f>B27-COUNTIF('テストケース5'!$AQ$6:$AQ$105,"OK")-COUNTIF('テストケース5'!$AQ$6:$AQ$105,"NG")-COUNTIF('テストケース5'!$AQ$6:$AQ$105,"保留")-COUNTIF('テストケース5'!$AQ$6:$AQ$105,"対象外")</f>
        <v/>
      </c>
      <c r="F27" s="27">
        <f>IF(B27-COUNTIF('テストケース5'!$AQ$6:$AQ$105,"対象外")=0,"-",(C27+D27)/(B27-COUNTIF('テストケース5'!$AQ$6:$AQ$105,"対象外")))</f>
        <v/>
      </c>
    </row>
    <row r="29">
      <c r="A29" s="11" t="inlineStr">
        <is>
          <t>カテゴリ別</t>
        </is>
      </c>
      <c r="B29" s="11" t="inlineStr">
        <is>
          <t>件数</t>
        </is>
      </c>
      <c r="C29" s="11" t="inlineStr">
        <is>
          <t>OK</t>
        </is>
      </c>
    </row>
    <row r="30">
      <c r="A30" s="24">
        <f>IF('因子水準表'!$B$28="","",'因子水準表'!$B$28)</f>
        <v/>
      </c>
      <c r="B30" s="17">
        <f>IF(A30="","",COUNTIF('テストケース1'!$C$6:$C$105,A30)+COUNTIF('テストケース2'!$C$6:$C$105,A30)+COUNTIF('テストケース3'!$C$6:$C$105,A30)+COUNTIF('テストケース4'!$C$6:$C$105,A30)+COUNTIF('テストケース5'!$C$6:$C$105,A30))</f>
        <v/>
      </c>
      <c r="C30" s="17">
        <f>IF(A30="","",COUNTIFS('テストケース1'!$C$6:$C$105,A30,'テストケース1'!$AQ$6:$AQ$105,"OK")+COUNTIFS('テストケース2'!$C$6:$C$105,A30,'テストケース2'!$AQ$6:$AQ$105,"OK")+COUNTIFS('テストケース3'!$C$6:$C$105,A30,'テストケース3'!$AQ$6:$AQ$105,"OK")+COUNTIFS('テストケース4'!$C$6:$C$105,A30,'テストケース4'!$AQ$6:$AQ$105,"OK")+COUNTIFS('テストケース5'!$C$6:$C$105,A30,'テストケース5'!$AQ$6:$AQ$105,"OK"))</f>
        <v/>
      </c>
    </row>
    <row r="31">
      <c r="A31" s="24">
        <f>IF('因子水準表'!$B$29="","",'因子水準表'!$B$29)</f>
        <v/>
      </c>
      <c r="B31" s="17">
        <f>IF(A31="","",COUNTIF('テストケース1'!$C$6:$C$105,A31)+COUNTIF('テストケース2'!$C$6:$C$105,A31)+COUNTIF('テストケース3'!$C$6:$C$105,A31)+COUNTIF('テストケース4'!$C$6:$C$105,A31)+COUNTIF('テストケース5'!$C$6:$C$105,A31))</f>
        <v/>
      </c>
      <c r="C31" s="17">
        <f>IF(A31="","",COUNTIFS('テストケース1'!$C$6:$C$105,A31,'テストケース1'!$AQ$6:$AQ$105,"OK")+COUNTIFS('テストケース2'!$C$6:$C$105,A31,'テストケース2'!$AQ$6:$AQ$105,"OK")+COUNTIFS('テストケース3'!$C$6:$C$105,A31,'テストケース3'!$AQ$6:$AQ$105,"OK")+COUNTIFS('テストケース4'!$C$6:$C$105,A31,'テストケース4'!$AQ$6:$AQ$105,"OK")+COUNTIFS('テストケース5'!$C$6:$C$105,A31,'テストケース5'!$AQ$6:$AQ$105,"OK"))</f>
        <v/>
      </c>
    </row>
    <row r="32">
      <c r="A32" s="24">
        <f>IF('因子水準表'!$B$30="","",'因子水準表'!$B$30)</f>
        <v/>
      </c>
      <c r="B32" s="17">
        <f>IF(A32="","",COUNTIF('テストケース1'!$C$6:$C$105,A32)+COUNTIF('テストケース2'!$C$6:$C$105,A32)+COUNTIF('テストケース3'!$C$6:$C$105,A32)+COUNTIF('テストケース4'!$C$6:$C$105,A32)+COUNTIF('テストケース5'!$C$6:$C$105,A32))</f>
        <v/>
      </c>
      <c r="C32" s="17">
        <f>IF(A32="","",COUNTIFS('テストケース1'!$C$6:$C$105,A32,'テストケース1'!$AQ$6:$AQ$105,"OK")+COUNTIFS('テストケース2'!$C$6:$C$105,A32,'テストケース2'!$AQ$6:$AQ$105,"OK")+COUNTIFS('テストケース3'!$C$6:$C$105,A32,'テストケース3'!$AQ$6:$AQ$105,"OK")+COUNTIFS('テストケース4'!$C$6:$C$105,A32,'テストケース4'!$AQ$6:$AQ$105,"OK")+COUNTIFS('テストケース5'!$C$6:$C$105,A32,'テストケース5'!$AQ$6:$AQ$105,"OK"))</f>
        <v/>
      </c>
    </row>
    <row r="33">
      <c r="A33" s="24">
        <f>IF('因子水準表'!$B$31="","",'因子水準表'!$B$31)</f>
        <v/>
      </c>
      <c r="B33" s="17">
        <f>IF(A33="","",COUNTIF('テストケース1'!$C$6:$C$105,A33)+COUNTIF('テストケース2'!$C$6:$C$105,A33)+COUNTIF('テストケース3'!$C$6:$C$105,A33)+COUNTIF('テストケース4'!$C$6:$C$105,A33)+COUNTIF('テストケース5'!$C$6:$C$105,A33))</f>
        <v/>
      </c>
      <c r="C33" s="17">
        <f>IF(A33="","",COUNTIFS('テストケース1'!$C$6:$C$105,A33,'テストケース1'!$AQ$6:$AQ$105,"OK")+COUNTIFS('テストケース2'!$C$6:$C$105,A33,'テストケース2'!$AQ$6:$AQ$105,"OK")+COUNTIFS('テストケース3'!$C$6:$C$105,A33,'テストケース3'!$AQ$6:$AQ$105,"OK")+COUNTIFS('テストケース4'!$C$6:$C$105,A33,'テストケース4'!$AQ$6:$AQ$105,"OK")+COUNTIFS('テストケース5'!$C$6:$C$105,A33,'テストケース5'!$AQ$6:$AQ$105,"OK"))</f>
        <v/>
      </c>
    </row>
    <row r="34">
      <c r="A34" s="24">
        <f>IF('因子水準表'!$B$32="","",'因子水準表'!$B$32)</f>
        <v/>
      </c>
      <c r="B34" s="17">
        <f>IF(A34="","",COUNTIF('テストケース1'!$C$6:$C$105,A34)+COUNTIF('テストケース2'!$C$6:$C$105,A34)+COUNTIF('テストケース3'!$C$6:$C$105,A34)+COUNTIF('テストケース4'!$C$6:$C$105,A34)+COUNTIF('テストケース5'!$C$6:$C$105,A34))</f>
        <v/>
      </c>
      <c r="C34" s="17">
        <f>IF(A34="","",COUNTIFS('テストケース1'!$C$6:$C$105,A34,'テストケース1'!$AQ$6:$AQ$105,"OK")+COUNTIFS('テストケース2'!$C$6:$C$105,A34,'テストケース2'!$AQ$6:$AQ$105,"OK")+COUNTIFS('テストケース3'!$C$6:$C$105,A34,'テストケース3'!$AQ$6:$AQ$105,"OK")+COUNTIFS('テストケース4'!$C$6:$C$105,A34,'テストケース4'!$AQ$6:$AQ$105,"OK")+COUNTIFS('テストケース5'!$C$6:$C$105,A34,'テストケース5'!$AQ$6:$AQ$105,"OK"))</f>
        <v/>
      </c>
    </row>
    <row r="35">
      <c r="A35" s="24">
        <f>IF('因子水準表'!$B$33="","",'因子水準表'!$B$33)</f>
        <v/>
      </c>
      <c r="B35" s="17">
        <f>IF(A35="","",COUNTIF('テストケース1'!$C$6:$C$105,A35)+COUNTIF('テストケース2'!$C$6:$C$105,A35)+COUNTIF('テストケース3'!$C$6:$C$105,A35)+COUNTIF('テストケース4'!$C$6:$C$105,A35)+COUNTIF('テストケース5'!$C$6:$C$105,A35))</f>
        <v/>
      </c>
      <c r="C35" s="17">
        <f>IF(A35="","",COUNTIFS('テストケース1'!$C$6:$C$105,A35,'テストケース1'!$AQ$6:$AQ$105,"OK")+COUNTIFS('テストケース2'!$C$6:$C$105,A35,'テストケース2'!$AQ$6:$AQ$105,"OK")+COUNTIFS('テストケース3'!$C$6:$C$105,A35,'テストケース3'!$AQ$6:$AQ$105,"OK")+COUNTIFS('テストケース4'!$C$6:$C$105,A35,'テストケース4'!$AQ$6:$AQ$105,"OK")+COUNTIFS('テストケース5'!$C$6:$C$105,A35,'テストケース5'!$AQ$6:$AQ$105,"OK"))</f>
        <v/>
      </c>
    </row>
    <row r="36">
      <c r="A36" s="24">
        <f>IF('因子水準表'!$B$34="","",'因子水準表'!$B$34)</f>
        <v/>
      </c>
      <c r="B36" s="17">
        <f>IF(A36="","",COUNTIF('テストケース1'!$C$6:$C$105,A36)+COUNTIF('テストケース2'!$C$6:$C$105,A36)+COUNTIF('テストケース3'!$C$6:$C$105,A36)+COUNTIF('テストケース4'!$C$6:$C$105,A36)+COUNTIF('テストケース5'!$C$6:$C$105,A36))</f>
        <v/>
      </c>
      <c r="C36" s="17">
        <f>IF(A36="","",COUNTIFS('テストケース1'!$C$6:$C$105,A36,'テストケース1'!$AQ$6:$AQ$105,"OK")+COUNTIFS('テストケース2'!$C$6:$C$105,A36,'テストケース2'!$AQ$6:$AQ$105,"OK")+COUNTIFS('テストケース3'!$C$6:$C$105,A36,'テストケース3'!$AQ$6:$AQ$105,"OK")+COUNTIFS('テストケース4'!$C$6:$C$105,A36,'テストケース4'!$AQ$6:$AQ$105,"OK")+COUNTIFS('テストケース5'!$C$6:$C$105,A36,'テストケース5'!$AQ$6:$AQ$105,"OK"))</f>
        <v/>
      </c>
    </row>
    <row r="37">
      <c r="A37" s="24">
        <f>IF('因子水準表'!$B$35="","",'因子水準表'!$B$35)</f>
        <v/>
      </c>
      <c r="B37" s="17">
        <f>IF(A37="","",COUNTIF('テストケース1'!$C$6:$C$105,A37)+COUNTIF('テストケース2'!$C$6:$C$105,A37)+COUNTIF('テストケース3'!$C$6:$C$105,A37)+COUNTIF('テストケース4'!$C$6:$C$105,A37)+COUNTIF('テストケース5'!$C$6:$C$105,A37))</f>
        <v/>
      </c>
      <c r="C37" s="17">
        <f>IF(A37="","",COUNTIFS('テストケース1'!$C$6:$C$105,A37,'テストケース1'!$AQ$6:$AQ$105,"OK")+COUNTIFS('テストケース2'!$C$6:$C$105,A37,'テストケース2'!$AQ$6:$AQ$105,"OK")+COUNTIFS('テストケース3'!$C$6:$C$105,A37,'テストケース3'!$AQ$6:$AQ$105,"OK")+COUNTIFS('テストケース4'!$C$6:$C$105,A37,'テストケース4'!$AQ$6:$AQ$105,"OK")+COUNTIFS('テストケース5'!$C$6:$C$105,A37,'テストケース5'!$AQ$6:$AQ$105,"OK"))</f>
        <v/>
      </c>
    </row>
    <row r="38">
      <c r="A38" s="24">
        <f>IF('因子水準表'!$B$36="","",'因子水準表'!$B$36)</f>
        <v/>
      </c>
      <c r="B38" s="17">
        <f>IF(A38="","",COUNTIF('テストケース1'!$C$6:$C$105,A38)+COUNTIF('テストケース2'!$C$6:$C$105,A38)+COUNTIF('テストケース3'!$C$6:$C$105,A38)+COUNTIF('テストケース4'!$C$6:$C$105,A38)+COUNTIF('テストケース5'!$C$6:$C$105,A38))</f>
        <v/>
      </c>
      <c r="C38" s="17">
        <f>IF(A38="","",COUNTIFS('テストケース1'!$C$6:$C$105,A38,'テストケース1'!$AQ$6:$AQ$105,"OK")+COUNTIFS('テストケース2'!$C$6:$C$105,A38,'テストケース2'!$AQ$6:$AQ$105,"OK")+COUNTIFS('テストケース3'!$C$6:$C$105,A38,'テストケース3'!$AQ$6:$AQ$105,"OK")+COUNTIFS('テストケース4'!$C$6:$C$105,A38,'テストケース4'!$AQ$6:$AQ$105,"OK")+COUNTIFS('テストケース5'!$C$6:$C$105,A38,'テストケース5'!$AQ$6:$AQ$105,"OK"))</f>
        <v/>
      </c>
    </row>
    <row r="39">
      <c r="A39" s="24">
        <f>IF('因子水準表'!$B$37="","",'因子水準表'!$B$37)</f>
        <v/>
      </c>
      <c r="B39" s="17">
        <f>IF(A39="","",COUNTIF('テストケース1'!$C$6:$C$105,A39)+COUNTIF('テストケース2'!$C$6:$C$105,A39)+COUNTIF('テストケース3'!$C$6:$C$105,A39)+COUNTIF('テストケース4'!$C$6:$C$105,A39)+COUNTIF('テストケース5'!$C$6:$C$105,A39))</f>
        <v/>
      </c>
      <c r="C39" s="17">
        <f>IF(A39="","",COUNTIFS('テストケース1'!$C$6:$C$105,A39,'テストケース1'!$AQ$6:$AQ$105,"OK")+COUNTIFS('テストケース2'!$C$6:$C$105,A39,'テストケース2'!$AQ$6:$AQ$105,"OK")+COUNTIFS('テストケース3'!$C$6:$C$105,A39,'テストケース3'!$AQ$6:$AQ$105,"OK")+COUNTIFS('テストケース4'!$C$6:$C$105,A39,'テストケース4'!$AQ$6:$AQ$105,"OK")+COUNTIFS('テストケース5'!$C$6:$C$105,A39,'テストケース5'!$AQ$6:$AQ$105,"OK"))</f>
        <v/>
      </c>
    </row>
    <row r="40">
      <c r="A40" s="24">
        <f>IF('因子水準表'!$B$38="","",'因子水準表'!$B$38)</f>
        <v/>
      </c>
      <c r="B40" s="17">
        <f>IF(A40="","",COUNTIF('テストケース1'!$C$6:$C$105,A40)+COUNTIF('テストケース2'!$C$6:$C$105,A40)+COUNTIF('テストケース3'!$C$6:$C$105,A40)+COUNTIF('テストケース4'!$C$6:$C$105,A40)+COUNTIF('テストケース5'!$C$6:$C$105,A40))</f>
        <v/>
      </c>
      <c r="C40" s="17">
        <f>IF(A40="","",COUNTIFS('テストケース1'!$C$6:$C$105,A40,'テストケース1'!$AQ$6:$AQ$105,"OK")+COUNTIFS('テストケース2'!$C$6:$C$105,A40,'テストケース2'!$AQ$6:$AQ$105,"OK")+COUNTIFS('テストケース3'!$C$6:$C$105,A40,'テストケース3'!$AQ$6:$AQ$105,"OK")+COUNTIFS('テストケース4'!$C$6:$C$105,A40,'テストケース4'!$AQ$6:$AQ$105,"OK")+COUNTIFS('テストケース5'!$C$6:$C$105,A40,'テストケース5'!$AQ$6:$AQ$105,"OK"))</f>
        <v/>
      </c>
    </row>
    <row r="41">
      <c r="A41" s="24">
        <f>IF('因子水準表'!$B$39="","",'因子水準表'!$B$39)</f>
        <v/>
      </c>
      <c r="B41" s="17">
        <f>IF(A41="","",COUNTIF('テストケース1'!$C$6:$C$105,A41)+COUNTIF('テストケース2'!$C$6:$C$105,A41)+COUNTIF('テストケース3'!$C$6:$C$105,A41)+COUNTIF('テストケース4'!$C$6:$C$105,A41)+COUNTIF('テストケース5'!$C$6:$C$105,A41))</f>
        <v/>
      </c>
      <c r="C41" s="17">
        <f>IF(A41="","",COUNTIFS('テストケース1'!$C$6:$C$105,A41,'テストケース1'!$AQ$6:$AQ$105,"OK")+COUNTIFS('テストケース2'!$C$6:$C$105,A41,'テストケース2'!$AQ$6:$AQ$105,"OK")+COUNTIFS('テストケース3'!$C$6:$C$105,A41,'テストケース3'!$AQ$6:$AQ$105,"OK")+COUNTIFS('テストケース4'!$C$6:$C$105,A41,'テストケース4'!$AQ$6:$AQ$105,"OK")+COUNTIFS('テストケース5'!$C$6:$C$105,A41,'テストケース5'!$AQ$6:$AQ$105,"OK"))</f>
        <v/>
      </c>
    </row>
    <row r="42">
      <c r="A42" s="24">
        <f>IF('因子水準表'!$B$40="","",'因子水準表'!$B$40)</f>
        <v/>
      </c>
      <c r="B42" s="17">
        <f>IF(A42="","",COUNTIF('テストケース1'!$C$6:$C$105,A42)+COUNTIF('テストケース2'!$C$6:$C$105,A42)+COUNTIF('テストケース3'!$C$6:$C$105,A42)+COUNTIF('テストケース4'!$C$6:$C$105,A42)+COUNTIF('テストケース5'!$C$6:$C$105,A42))</f>
        <v/>
      </c>
      <c r="C42" s="17">
        <f>IF(A42="","",COUNTIFS('テストケース1'!$C$6:$C$105,A42,'テストケース1'!$AQ$6:$AQ$105,"OK")+COUNTIFS('テストケース2'!$C$6:$C$105,A42,'テストケース2'!$AQ$6:$AQ$105,"OK")+COUNTIFS('テストケース3'!$C$6:$C$105,A42,'テストケース3'!$AQ$6:$AQ$105,"OK")+COUNTIFS('テストケース4'!$C$6:$C$105,A42,'テストケース4'!$AQ$6:$AQ$105,"OK")+COUNTIFS('テストケース5'!$C$6:$C$105,A42,'テストケース5'!$AQ$6:$AQ$105,"OK"))</f>
        <v/>
      </c>
    </row>
    <row r="43">
      <c r="A43" s="24">
        <f>IF('因子水準表'!$B$41="","",'因子水準表'!$B$41)</f>
        <v/>
      </c>
      <c r="B43" s="17">
        <f>IF(A43="","",COUNTIF('テストケース1'!$C$6:$C$105,A43)+COUNTIF('テストケース2'!$C$6:$C$105,A43)+COUNTIF('テストケース3'!$C$6:$C$105,A43)+COUNTIF('テストケース4'!$C$6:$C$105,A43)+COUNTIF('テストケース5'!$C$6:$C$105,A43))</f>
        <v/>
      </c>
      <c r="C43" s="17">
        <f>IF(A43="","",COUNTIFS('テストケース1'!$C$6:$C$105,A43,'テストケース1'!$AQ$6:$AQ$105,"OK")+COUNTIFS('テストケース2'!$C$6:$C$105,A43,'テストケース2'!$AQ$6:$AQ$105,"OK")+COUNTIFS('テストケース3'!$C$6:$C$105,A43,'テストケース3'!$AQ$6:$AQ$105,"OK")+COUNTIFS('テストケース4'!$C$6:$C$105,A43,'テストケース4'!$AQ$6:$AQ$105,"OK")+COUNTIFS('テストケース5'!$C$6:$C$105,A43,'テストケース5'!$AQ$6:$AQ$105,"OK"))</f>
        <v/>
      </c>
    </row>
    <row r="44">
      <c r="A44" s="24">
        <f>IF('因子水準表'!$B$42="","",'因子水準表'!$B$42)</f>
        <v/>
      </c>
      <c r="B44" s="17">
        <f>IF(A44="","",COUNTIF('テストケース1'!$C$6:$C$105,A44)+COUNTIF('テストケース2'!$C$6:$C$105,A44)+COUNTIF('テストケース3'!$C$6:$C$105,A44)+COUNTIF('テストケース4'!$C$6:$C$105,A44)+COUNTIF('テストケース5'!$C$6:$C$105,A44))</f>
        <v/>
      </c>
      <c r="C44" s="17">
        <f>IF(A44="","",COUNTIFS('テストケース1'!$C$6:$C$105,A44,'テストケース1'!$AQ$6:$AQ$105,"OK")+COUNTIFS('テストケース2'!$C$6:$C$105,A44,'テストケース2'!$AQ$6:$AQ$105,"OK")+COUNTIFS('テストケース3'!$C$6:$C$105,A44,'テストケース3'!$AQ$6:$AQ$105,"OK")+COUNTIFS('テストケース4'!$C$6:$C$105,A44,'テストケース4'!$AQ$6:$AQ$105,"OK")+COUNTIFS('テストケース5'!$C$6:$C$105,A44,'テストケース5'!$AQ$6:$AQ$105,"OK"))</f>
        <v/>
      </c>
    </row>
    <row r="45">
      <c r="A45" s="24">
        <f>IF('因子水準表'!$B$43="","",'因子水準表'!$B$43)</f>
        <v/>
      </c>
      <c r="B45" s="17">
        <f>IF(A45="","",COUNTIF('テストケース1'!$C$6:$C$105,A45)+COUNTIF('テストケース2'!$C$6:$C$105,A45)+COUNTIF('テストケース3'!$C$6:$C$105,A45)+COUNTIF('テストケース4'!$C$6:$C$105,A45)+COUNTIF('テストケース5'!$C$6:$C$105,A45))</f>
        <v/>
      </c>
      <c r="C45" s="17">
        <f>IF(A45="","",COUNTIFS('テストケース1'!$C$6:$C$105,A45,'テストケース1'!$AQ$6:$AQ$105,"OK")+COUNTIFS('テストケース2'!$C$6:$C$105,A45,'テストケース2'!$AQ$6:$AQ$105,"OK")+COUNTIFS('テストケース3'!$C$6:$C$105,A45,'テストケース3'!$AQ$6:$AQ$105,"OK")+COUNTIFS('テストケース4'!$C$6:$C$105,A45,'テストケース4'!$AQ$6:$AQ$105,"OK")+COUNTIFS('テストケース5'!$C$6:$C$105,A45,'テストケース5'!$AQ$6:$AQ$105,"OK"))</f>
        <v/>
      </c>
    </row>
    <row r="46">
      <c r="A46" s="24">
        <f>IF('因子水準表'!$B$44="","",'因子水準表'!$B$44)</f>
        <v/>
      </c>
      <c r="B46" s="17">
        <f>IF(A46="","",COUNTIF('テストケース1'!$C$6:$C$105,A46)+COUNTIF('テストケース2'!$C$6:$C$105,A46)+COUNTIF('テストケース3'!$C$6:$C$105,A46)+COUNTIF('テストケース4'!$C$6:$C$105,A46)+COUNTIF('テストケース5'!$C$6:$C$105,A46))</f>
        <v/>
      </c>
      <c r="C46" s="17">
        <f>IF(A46="","",COUNTIFS('テストケース1'!$C$6:$C$105,A46,'テストケース1'!$AQ$6:$AQ$105,"OK")+COUNTIFS('テストケース2'!$C$6:$C$105,A46,'テストケース2'!$AQ$6:$AQ$105,"OK")+COUNTIFS('テストケース3'!$C$6:$C$105,A46,'テストケース3'!$AQ$6:$AQ$105,"OK")+COUNTIFS('テストケース4'!$C$6:$C$105,A46,'テストケース4'!$AQ$6:$AQ$105,"OK")+COUNTIFS('テストケース5'!$C$6:$C$105,A46,'テストケース5'!$AQ$6:$AQ$105,"OK"))</f>
        <v/>
      </c>
    </row>
    <row r="47">
      <c r="A47" s="24">
        <f>IF('因子水準表'!$B$45="","",'因子水準表'!$B$45)</f>
        <v/>
      </c>
      <c r="B47" s="17">
        <f>IF(A47="","",COUNTIF('テストケース1'!$C$6:$C$105,A47)+COUNTIF('テストケース2'!$C$6:$C$105,A47)+COUNTIF('テストケース3'!$C$6:$C$105,A47)+COUNTIF('テストケース4'!$C$6:$C$105,A47)+COUNTIF('テストケース5'!$C$6:$C$105,A47))</f>
        <v/>
      </c>
      <c r="C47" s="17">
        <f>IF(A47="","",COUNTIFS('テストケース1'!$C$6:$C$105,A47,'テストケース1'!$AQ$6:$AQ$105,"OK")+COUNTIFS('テストケース2'!$C$6:$C$105,A47,'テストケース2'!$AQ$6:$AQ$105,"OK")+COUNTIFS('テストケース3'!$C$6:$C$105,A47,'テストケース3'!$AQ$6:$AQ$105,"OK")+COUNTIFS('テストケース4'!$C$6:$C$105,A47,'テストケース4'!$AQ$6:$AQ$105,"OK")+COUNTIFS('テストケース5'!$C$6:$C$105,A47,'テストケース5'!$AQ$6:$AQ$105,"OK"))</f>
        <v/>
      </c>
    </row>
    <row r="48">
      <c r="A48" s="24">
        <f>IF('因子水準表'!$B$46="","",'因子水準表'!$B$46)</f>
        <v/>
      </c>
      <c r="B48" s="17">
        <f>IF(A48="","",COUNTIF('テストケース1'!$C$6:$C$105,A48)+COUNTIF('テストケース2'!$C$6:$C$105,A48)+COUNTIF('テストケース3'!$C$6:$C$105,A48)+COUNTIF('テストケース4'!$C$6:$C$105,A48)+COUNTIF('テストケース5'!$C$6:$C$105,A48))</f>
        <v/>
      </c>
      <c r="C48" s="17">
        <f>IF(A48="","",COUNTIFS('テストケース1'!$C$6:$C$105,A48,'テストケース1'!$AQ$6:$AQ$105,"OK")+COUNTIFS('テストケース2'!$C$6:$C$105,A48,'テストケース2'!$AQ$6:$AQ$105,"OK")+COUNTIFS('テストケース3'!$C$6:$C$105,A48,'テストケース3'!$AQ$6:$AQ$105,"OK")+COUNTIFS('テストケース4'!$C$6:$C$105,A48,'テストケース4'!$AQ$6:$AQ$105,"OK")+COUNTIFS('テストケース5'!$C$6:$C$105,A48,'テストケース5'!$AQ$6:$AQ$105,"OK"))</f>
        <v/>
      </c>
    </row>
    <row r="49">
      <c r="A49" s="24">
        <f>IF('因子水準表'!$B$47="","",'因子水準表'!$B$47)</f>
        <v/>
      </c>
      <c r="B49" s="17">
        <f>IF(A49="","",COUNTIF('テストケース1'!$C$6:$C$105,A49)+COUNTIF('テストケース2'!$C$6:$C$105,A49)+COUNTIF('テストケース3'!$C$6:$C$105,A49)+COUNTIF('テストケース4'!$C$6:$C$105,A49)+COUNTIF('テストケース5'!$C$6:$C$105,A49))</f>
        <v/>
      </c>
      <c r="C49" s="17">
        <f>IF(A49="","",COUNTIFS('テストケース1'!$C$6:$C$105,A49,'テストケース1'!$AQ$6:$AQ$105,"OK")+COUNTIFS('テストケース2'!$C$6:$C$105,A49,'テストケース2'!$AQ$6:$AQ$105,"OK")+COUNTIFS('テストケース3'!$C$6:$C$105,A49,'テストケース3'!$AQ$6:$AQ$105,"OK")+COUNTIFS('テストケース4'!$C$6:$C$105,A49,'テストケース4'!$AQ$6:$AQ$105,"OK")+COUNTIFS('テストケース5'!$C$6:$C$105,A49,'テストケース5'!$AQ$6:$AQ$105,"OK"))</f>
        <v/>
      </c>
    </row>
    <row r="50">
      <c r="A50" s="19" t="inlineStr">
        <is>
          <t>カテゴリ未設定</t>
        </is>
      </c>
      <c r="B50" s="17">
        <f>B5-SUM(B30:B49)</f>
        <v/>
      </c>
      <c r="C50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2026-10-02T06:16:21Z</dcterms:created>
  <dcterms:modified xsi:type="dcterms:W3CDTF">2026-10-02T06:16:22Z</dcterms:modified>
</cp:coreProperties>
</file>