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因子水準表" sheetId="2" state="visible" r:id="rId2"/>
    <sheet name="テスト条件" sheetId="3" state="visible" r:id="rId3"/>
    <sheet name="テストケース1" sheetId="4" state="visible" r:id="rId4"/>
    <sheet name="テストケース2" sheetId="5" state="visible" r:id="rId5"/>
    <sheet name="テストケース3" sheetId="6" state="visible" r:id="rId6"/>
    <sheet name="テストケース4" sheetId="7" state="visible" r:id="rId7"/>
    <sheet name="テストケース5" sheetId="8" state="visible" r:id="rId8"/>
    <sheet name="テストケース6" sheetId="9" state="visible" r:id="rId9"/>
    <sheet name="テストケース7" sheetId="10" state="visible" r:id="rId10"/>
    <sheet name="テストケース8" sheetId="11" state="visible" r:id="rId11"/>
    <sheet name="テストケース9" sheetId="12" state="visible" r:id="rId12"/>
    <sheet name="テストケース10" sheetId="13" state="visible" r:id="rId13"/>
    <sheet name="集計" sheetId="14" state="visible" r:id="rId14"/>
  </sheets>
  <definedNames>
    <definedName name="_xlnm._FilterDatabase" localSheetId="3" hidden="1">'テストケース1'!$A$5:$BM$205</definedName>
    <definedName name="_xlnm._FilterDatabase" localSheetId="4" hidden="1">'テストケース2'!$A$5:$BM$205</definedName>
    <definedName name="_xlnm._FilterDatabase" localSheetId="5" hidden="1">'テストケース3'!$A$5:$BM$205</definedName>
    <definedName name="_xlnm._FilterDatabase" localSheetId="6" hidden="1">'テストケース4'!$A$5:$BM$205</definedName>
    <definedName name="_xlnm._FilterDatabase" localSheetId="7" hidden="1">'テストケース5'!$A$5:$BM$205</definedName>
    <definedName name="_xlnm._FilterDatabase" localSheetId="8" hidden="1">'テストケース6'!$A$5:$BM$205</definedName>
    <definedName name="_xlnm._FilterDatabase" localSheetId="9" hidden="1">'テストケース7'!$A$5:$BM$205</definedName>
    <definedName name="_xlnm._FilterDatabase" localSheetId="10" hidden="1">'テストケース8'!$A$5:$BM$205</definedName>
    <definedName name="_xlnm._FilterDatabase" localSheetId="11" hidden="1">'テストケース9'!$A$5:$BM$205</definedName>
    <definedName name="_xlnm._FilterDatabase" localSheetId="12" hidden="1">'テストケース10'!$A$5:$BM$205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sz val="10"/>
    </font>
    <font>
      <name val="Meiryo UI"/>
      <b val="1"/>
      <sz val="10"/>
    </font>
    <font>
      <name val="Meiryo UI"/>
      <color rgb="00808080"/>
      <sz val="10"/>
    </font>
    <font>
      <name val="Meiryo UI"/>
      <b val="1"/>
      <sz val="12"/>
    </font>
  </fonts>
  <fills count="7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E2EFDA"/>
      </patternFill>
    </fill>
    <fill>
      <patternFill patternType="solid">
        <fgColor rgb="00EFEFEF"/>
      </patternFill>
    </fill>
    <fill>
      <patternFill patternType="solid">
        <fgColor rgb="00DDE6F0"/>
      </patternFill>
    </fill>
    <fill>
      <patternFill patternType="solid">
        <fgColor rgb="00B7C9DD"/>
      </patternFill>
    </fill>
  </fills>
  <borders count="10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/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4" fillId="0" borderId="0" pivotButton="0" quotePrefix="0" xfId="0"/>
    <xf numFmtId="0" fontId="4" fillId="2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3" fillId="5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2" fillId="0" borderId="6" applyAlignment="1" pivotButton="0" quotePrefix="0" xfId="0">
      <alignment vertical="center"/>
    </xf>
    <xf numFmtId="0" fontId="5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4" fillId="3" borderId="1" applyAlignment="1" pivotButton="0" quotePrefix="0" xfId="0">
      <alignment vertical="top" wrapText="1"/>
    </xf>
    <xf numFmtId="164" fontId="4" fillId="2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165" fontId="2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Claude</author>
  </authors>
  <commentList>
    <comment ref="A20" authorId="0" shapeId="0">
      <text>
        <t>テストケースのシートで、カテゴリの因子を順番に並べるために使います。書き換えないでください。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B2" authorId="0" shapeId="0">
      <text>
        <t>このシートで扱うカテゴリ（画面・タブ）。因子の列と、集計のシート別の表に使われます。</t>
      </text>
    </comment>
    <comment ref="G4" authorId="0" shapeId="0">
      <text>
        <t>この行（因子ID）は自動で入ります。別のカテゴリの因子を使いたいときは、因子ID（例：F120）を直接入力できます。</t>
      </text>
    </comment>
    <comment ref="BH4" authorId="0" shapeId="0">
      <text>
        <t>要＝自動化する／否＝手動のみ／済＝自動化済み</t>
      </text>
    </comment>
    <comment ref="BK4" authorId="0" shapeId="0">
      <text>
        <t>OK＝合格／NG＝不合格（欠陥IDを記入）／保留＝ブロック等で実行できない／対象外。空欄＝未実施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B2" authorId="0" shapeId="0">
      <text>
        <t>このシートで扱うカテゴリ（画面・タブ）。因子の列と、集計のシート別の表に使われます。</t>
      </text>
    </comment>
    <comment ref="G4" authorId="0" shapeId="0">
      <text>
        <t>この行（因子ID）は自動で入ります。別のカテゴリの因子を使いたいときは、因子ID（例：F120）を直接入力できます。</t>
      </text>
    </comment>
    <comment ref="BH4" authorId="0" shapeId="0">
      <text>
        <t>要＝自動化する／否＝手動のみ／済＝自動化済み</t>
      </text>
    </comment>
    <comment ref="BK4" authorId="0" shapeId="0">
      <text>
        <t>OK＝合格／NG＝不合格（欠陥IDを記入）／保留＝ブロック等で実行できない／対象外。空欄＝未実施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B2" authorId="0" shapeId="0">
      <text>
        <t>このシートで扱うカテゴリ（画面・タブ）。因子の列と、集計のシート別の表に使われます。</t>
      </text>
    </comment>
    <comment ref="G4" authorId="0" shapeId="0">
      <text>
        <t>この行（因子ID）は自動で入ります。別のカテゴリの因子を使いたいときは、因子ID（例：F120）を直接入力できます。</t>
      </text>
    </comment>
    <comment ref="BH4" authorId="0" shapeId="0">
      <text>
        <t>要＝自動化する／否＝手動のみ／済＝自動化済み</t>
      </text>
    </comment>
    <comment ref="BK4" authorId="0" shapeId="0">
      <text>
        <t>OK＝合格／NG＝不合格（欠陥IDを記入）／保留＝ブロック等で実行できない／対象外。空欄＝未実施</t>
      </text>
    </comment>
  </commentList>
</comments>
</file>

<file path=xl/comments/comment5.xml><?xml version="1.0" encoding="utf-8"?>
<comments xmlns="http://schemas.openxmlformats.org/spreadsheetml/2006/main">
  <authors>
    <author>Claude</author>
  </authors>
  <commentList>
    <comment ref="B2" authorId="0" shapeId="0">
      <text>
        <t>このシートで扱うカテゴリ（画面・タブ）。因子の列と、集計のシート別の表に使われます。</t>
      </text>
    </comment>
    <comment ref="G4" authorId="0" shapeId="0">
      <text>
        <t>この行（因子ID）は自動で入ります。別のカテゴリの因子を使いたいときは、因子ID（例：F120）を直接入力できます。</t>
      </text>
    </comment>
    <comment ref="BH4" authorId="0" shapeId="0">
      <text>
        <t>要＝自動化する／否＝手動のみ／済＝自動化済み</t>
      </text>
    </comment>
    <comment ref="BK4" authorId="0" shapeId="0">
      <text>
        <t>OK＝合格／NG＝不合格（欠陥IDを記入）／保留＝ブロック等で実行できない／対象外。空欄＝未実施</t>
      </text>
    </comment>
  </commentList>
</comments>
</file>

<file path=xl/comments/comment6.xml><?xml version="1.0" encoding="utf-8"?>
<comments xmlns="http://schemas.openxmlformats.org/spreadsheetml/2006/main">
  <authors>
    <author>Claude</author>
  </authors>
  <commentList>
    <comment ref="B2" authorId="0" shapeId="0">
      <text>
        <t>このシートで扱うカテゴリ（画面・タブ）。因子の列と、集計のシート別の表に使われます。</t>
      </text>
    </comment>
    <comment ref="G4" authorId="0" shapeId="0">
      <text>
        <t>この行（因子ID）は自動で入ります。別のカテゴリの因子を使いたいときは、因子ID（例：F120）を直接入力できます。</t>
      </text>
    </comment>
    <comment ref="BH4" authorId="0" shapeId="0">
      <text>
        <t>要＝自動化する／否＝手動のみ／済＝自動化済み</t>
      </text>
    </comment>
    <comment ref="BK4" authorId="0" shapeId="0">
      <text>
        <t>OK＝合格／NG＝不合格（欠陥IDを記入）／保留＝ブロック等で実行できない／対象外。空欄＝未実施</t>
      </text>
    </comment>
  </commentList>
</comments>
</file>

<file path=xl/comments/comment7.xml><?xml version="1.0" encoding="utf-8"?>
<comments xmlns="http://schemas.openxmlformats.org/spreadsheetml/2006/main">
  <authors>
    <author>Claude</author>
  </authors>
  <commentList>
    <comment ref="B2" authorId="0" shapeId="0">
      <text>
        <t>このシートで扱うカテゴリ（画面・タブ）。因子の列と、集計のシート別の表に使われます。</t>
      </text>
    </comment>
    <comment ref="G4" authorId="0" shapeId="0">
      <text>
        <t>この行（因子ID）は自動で入ります。別のカテゴリの因子を使いたいときは、因子ID（例：F120）を直接入力できます。</t>
      </text>
    </comment>
    <comment ref="BH4" authorId="0" shapeId="0">
      <text>
        <t>要＝自動化する／否＝手動のみ／済＝自動化済み</t>
      </text>
    </comment>
    <comment ref="BK4" authorId="0" shapeId="0">
      <text>
        <t>OK＝合格／NG＝不合格（欠陥IDを記入）／保留＝ブロック等で実行できない／対象外。空欄＝未実施</t>
      </text>
    </comment>
  </commentList>
</comments>
</file>

<file path=xl/comments/comment8.xml><?xml version="1.0" encoding="utf-8"?>
<comments xmlns="http://schemas.openxmlformats.org/spreadsheetml/2006/main">
  <authors>
    <author>Claude</author>
  </authors>
  <commentList>
    <comment ref="B2" authorId="0" shapeId="0">
      <text>
        <t>このシートで扱うカテゴリ（画面・タブ）。因子の列と、集計のシート別の表に使われます。</t>
      </text>
    </comment>
    <comment ref="G4" authorId="0" shapeId="0">
      <text>
        <t>この行（因子ID）は自動で入ります。別のカテゴリの因子を使いたいときは、因子ID（例：F120）を直接入力できます。</t>
      </text>
    </comment>
    <comment ref="BH4" authorId="0" shapeId="0">
      <text>
        <t>要＝自動化する／否＝手動のみ／済＝自動化済み</t>
      </text>
    </comment>
    <comment ref="BK4" authorId="0" shapeId="0">
      <text>
        <t>OK＝合格／NG＝不合格（欠陥IDを記入）／保留＝ブロック等で実行できない／対象外。空欄＝未実施</t>
      </text>
    </comment>
  </commentList>
</comments>
</file>

<file path=xl/comments/comment9.xml><?xml version="1.0" encoding="utf-8"?>
<comments xmlns="http://schemas.openxmlformats.org/spreadsheetml/2006/main">
  <authors>
    <author>Claude</author>
  </authors>
  <commentList>
    <comment ref="B2" authorId="0" shapeId="0">
      <text>
        <t>このシートで扱うカテゴリ（画面・タブ）。因子の列と、集計のシート別の表に使われます。</t>
      </text>
    </comment>
    <comment ref="G4" authorId="0" shapeId="0">
      <text>
        <t>この行（因子ID）は自動で入ります。別のカテゴリの因子を使いたいときは、因子ID（例：F120）を直接入力できます。</t>
      </text>
    </comment>
    <comment ref="BH4" authorId="0" shapeId="0">
      <text>
        <t>要＝自動化する／否＝手動のみ／済＝自動化済み</t>
      </text>
    </comment>
    <comment ref="BK4" authorId="0" shapeId="0">
      <text>
        <t>OK＝合格／NG＝不合格（欠陥IDを記入）／保留＝ブロック等で実行できない／対象外。空欄＝未実施</t>
      </text>
    </comment>
  </commentList>
</comments>
</file>

<file path=xl/comments/comment10.xml><?xml version="1.0" encoding="utf-8"?>
<comments xmlns="http://schemas.openxmlformats.org/spreadsheetml/2006/main">
  <authors>
    <author>Claude</author>
  </authors>
  <commentList>
    <comment ref="B2" authorId="0" shapeId="0">
      <text>
        <t>このシートで扱うカテゴリ（画面・タブ）。因子の列と、集計のシート別の表に使われます。</t>
      </text>
    </comment>
    <comment ref="G4" authorId="0" shapeId="0">
      <text>
        <t>この行（因子ID）は自動で入ります。別のカテゴリの因子を使いたいときは、因子ID（例：F120）を直接入力できます。</t>
      </text>
    </comment>
    <comment ref="BH4" authorId="0" shapeId="0">
      <text>
        <t>要＝自動化する／否＝手動のみ／済＝自動化済み</t>
      </text>
    </comment>
    <comment ref="BK4" authorId="0" shapeId="0">
      <text>
        <t>OK＝合格／NG＝不合格（欠陥IDを記入）／保留＝ブロック等で実行できない／対象外。空欄＝未実施</t>
      </text>
    </comment>
  </commentList>
</comments>
</file>

<file path=xl/comments/comment11.xml><?xml version="1.0" encoding="utf-8"?>
<comments xmlns="http://schemas.openxmlformats.org/spreadsheetml/2006/main">
  <authors>
    <author>Claude</author>
  </authors>
  <commentList>
    <comment ref="B2" authorId="0" shapeId="0">
      <text>
        <t>このシートで扱うカテゴリ（画面・タブ）。因子の列と、集計のシート別の表に使われます。</t>
      </text>
    </comment>
    <comment ref="G4" authorId="0" shapeId="0">
      <text>
        <t>この行（因子ID）は自動で入ります。別のカテゴリの因子を使いたいときは、因子ID（例：F120）を直接入力できます。</t>
      </text>
    </comment>
    <comment ref="BH4" authorId="0" shapeId="0">
      <text>
        <t>要＝自動化する／否＝手動のみ／済＝自動化済み</t>
      </text>
    </comment>
    <comment ref="BK4" authorId="0" shapeId="0">
      <text>
        <t>OK＝合格／NG＝不合格（欠陥IDを記入）／保留＝ブロック等で実行できない／対象外。空欄＝未実施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因子水準表・テストケース ひな形</t>
        </is>
      </c>
    </row>
    <row r="2">
      <c r="A2" s="2" t="inlineStr">
        <is>
          <t>作成日：2026-10-08（300 因子・テストケース 10 シート版）</t>
        </is>
      </c>
    </row>
    <row r="4">
      <c r="A4" s="3" t="inlineStr">
        <is>
          <t>■ 作業の流れ（JSTQB FL V4.0 の「テスト分析 → テスト設計」に対応）</t>
        </is>
      </c>
    </row>
    <row r="5">
      <c r="A5" s="2" t="inlineStr">
        <is>
          <t>1. 因子水準表：テスト対象の結果に影響する要素（因子）と、その取りうる値（水準）を洗い出す（最大 300 因子 × 10 水準）</t>
        </is>
      </c>
    </row>
    <row r="6">
      <c r="A6" s="2" t="inlineStr">
        <is>
          <t>2. テスト条件：何を確認するか（テスト条件）を、要件と因子にひも付けて書く</t>
        </is>
      </c>
    </row>
    <row r="7">
      <c r="A7" s="2" t="inlineStr">
        <is>
          <t>3. テストケース1〜10：カテゴリ（画面・タブ）ごとにシートを分けて、因子の水準の組み合わせ・手順・期待結果を書く</t>
        </is>
      </c>
    </row>
    <row r="8">
      <c r="A8" s="2" t="inlineStr">
        <is>
          <t>4. 集計：全シートを合計したケース数・実行結果・消化率と、シート別・カテゴリ別の件数を自動で集計する</t>
        </is>
      </c>
    </row>
    <row r="9">
      <c r="A9" s="2" t="inlineStr"/>
    </row>
    <row r="10">
      <c r="A10" s="3" t="inlineStr">
        <is>
          <t>■ テストケースのシートの使い方</t>
        </is>
      </c>
    </row>
    <row r="11">
      <c r="A11" s="2" t="inlineStr">
        <is>
          <t>・2 行目の「カテゴリ」をプルダウンで選ぶと、因子水準表でそのカテゴリにした因子が、F 番号の小さい順に左から自動で入ります</t>
        </is>
      </c>
    </row>
    <row r="12">
      <c r="A12" s="2" t="inlineStr">
        <is>
          <t>・因子の列は 1 シート 50 列です。カテゴリの因子が 50 個を超える場合は、カテゴリを分けてください</t>
        </is>
      </c>
    </row>
    <row r="13">
      <c r="A13" s="2" t="inlineStr">
        <is>
          <t>・別のカテゴリの因子も使いたいときは、4 行目（因子ID・緑のセル）に因子 ID（例：F120）を直接入力できます。元に戻すときは隣のセルをコピーして貼り付けます</t>
        </is>
      </c>
    </row>
    <row r="14">
      <c r="A14" s="2" t="inlineStr">
        <is>
          <t>・行ごとの「カテゴリ」列は、ID を入れるとシートのカテゴリが自動で入ります（上書きしてもかまいません）</t>
        </is>
      </c>
    </row>
    <row r="15">
      <c r="A15" s="2" t="inlineStr">
        <is>
          <t>・シート名は自由に変えられます（例：「テストケース1」→「予約情報タブ」）。名前を変えても、数式と集計は自動で追従します</t>
        </is>
      </c>
    </row>
    <row r="16">
      <c r="A16" s="2" t="inlineStr">
        <is>
          <t>・シートが足りないときは、シートをコピーせずに Claude に作り直しを頼んでください（コピーしたシートは集計とケース数に含まれません）</t>
        </is>
      </c>
    </row>
    <row r="17">
      <c r="A17" s="2" t="inlineStr"/>
    </row>
    <row r="18">
      <c r="A18" s="3" t="inlineStr">
        <is>
          <t>■ シートのつながり</t>
        </is>
      </c>
    </row>
    <row r="19">
      <c r="A19" s="2" t="inlineStr">
        <is>
          <t>・テストケースの因子の列は、因子水準表の水準からプルダウンで選べます</t>
        </is>
      </c>
    </row>
    <row r="20">
      <c r="A20" s="2" t="inlineStr">
        <is>
          <t>・カテゴリは因子水準表の下の「カテゴリ一覧」に書き、因子・テストケースではそこからプルダウンで選びます</t>
        </is>
      </c>
    </row>
    <row r="21">
      <c r="A21" s="2" t="inlineStr">
        <is>
          <t>・テスト条件の「ケース数」は、全テストケースシートからその条件 ID を持つケースを数えます。0 件の条件は「ケース未作成」と表示されます</t>
        </is>
      </c>
    </row>
    <row r="22">
      <c r="A22" s="2" t="inlineStr">
        <is>
          <t>・テストケースシートの右端（備考より右）に、プルダウン用の非表示の作業列があります。編集しないでください（Google スプレッドシートでもプルダウンが動くようにするためのもの）</t>
        </is>
      </c>
    </row>
    <row r="23">
      <c r="A23" s="2" t="inlineStr"/>
    </row>
    <row r="24">
      <c r="A24" s="3" t="inlineStr">
        <is>
          <t>■ 凡例</t>
        </is>
      </c>
    </row>
    <row r="25">
      <c r="A25" s="4" t="inlineStr">
        <is>
          <t>黄色のセル＝記入欄</t>
        </is>
      </c>
    </row>
    <row r="26">
      <c r="A26" s="5" t="inlineStr">
        <is>
          <t>緑のセル＝自動で入るが、上書きしてもよい欄</t>
        </is>
      </c>
    </row>
    <row r="27">
      <c r="A27" s="6" t="inlineStr">
        <is>
          <t>灰色のセル＝数式で自動計算（書き換えない）</t>
        </is>
      </c>
    </row>
    <row r="28">
      <c r="A28" s="7" t="inlineStr">
        <is>
          <t>灰色の文字＝記入例（ログイン機能。案件に合わせて書き換えるか、消してください）</t>
        </is>
      </c>
    </row>
    <row r="30">
      <c r="A30" s="3" t="inlineStr">
        <is>
          <t>■ 書き方のコツ</t>
        </is>
      </c>
    </row>
    <row r="31">
      <c r="A31" s="2" t="inlineStr">
        <is>
          <t>・水準は同値分割で「有効」「無効」の両方を挙げ、境界値はそれと分かるように書く（例：2回（境界・未ロック））</t>
        </is>
      </c>
    </row>
    <row r="32">
      <c r="A32" s="2" t="inlineStr">
        <is>
          <t>・無効な水準には「（無効）」を付けると、テストケースで異常系を選んだことが分かりやすい</t>
        </is>
      </c>
    </row>
    <row r="33">
      <c r="A33" s="2" t="inlineStr">
        <is>
          <t>・分類は「値がどこから来るか」（入力／状態／データ…）、カテゴリは「画面のどこにあるか」（タブなど）。リスト選択やラジオボタンも、ユーザーが選ぶ値なら分類は「入力」</t>
        </is>
      </c>
    </row>
    <row r="34">
      <c r="A34" s="2" t="inlineStr">
        <is>
          <t>・カテゴリ名は画面仕様書の見出しやタブ名に合わせ、同じカテゴリの因子は隣に並べる（テストケースの因子の列もその順に並びます）</t>
        </is>
      </c>
    </row>
    <row r="35">
      <c r="A35" s="2" t="inlineStr">
        <is>
          <t>・カテゴリ一覧の「組み合わせ数」が多すぎるときは、デシジョンテーブルやペアワイズで絞り込む</t>
        </is>
      </c>
    </row>
    <row r="36">
      <c r="A36" s="2" t="inlineStr">
        <is>
          <t>・期待結果は「何がどうなるか」を観察できる形で書く（画面遷移、表示メッセージの文言、状態の変化）</t>
        </is>
      </c>
    </row>
    <row r="37">
      <c r="A37" s="2" t="inlineStr">
        <is>
          <t>・仕様が決まっていない点は、テストケースの備考に「要確認」と書いて残す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O5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  <col width="16" customWidth="1" min="123" max="123"/>
    <col width="16" customWidth="1" min="124" max="124"/>
    <col width="16" customWidth="1" min="125" max="125"/>
    <col width="16" customWidth="1" min="126" max="126"/>
    <col width="16" customWidth="1" min="127" max="127"/>
    <col width="16" customWidth="1" min="128" max="128"/>
    <col width="16" customWidth="1" min="129" max="129"/>
    <col width="16" customWidth="1" min="130" max="130"/>
    <col width="16" customWidth="1" min="131" max="131"/>
    <col width="16" customWidth="1" min="132" max="132"/>
    <col width="16" customWidth="1" min="133" max="133"/>
    <col width="16" customWidth="1" min="134" max="134"/>
    <col width="16" customWidth="1" min="135" max="135"/>
    <col width="16" customWidth="1" min="136" max="136"/>
    <col width="16" customWidth="1" min="137" max="137"/>
    <col width="16" customWidth="1" min="138" max="138"/>
    <col width="16" customWidth="1" min="139" max="139"/>
    <col width="16" customWidth="1" min="140" max="140"/>
    <col width="16" customWidth="1" min="141" max="141"/>
    <col width="16" customWidth="1" min="142" max="142"/>
    <col width="16" customWidth="1" min="143" max="143"/>
    <col width="16" customWidth="1" min="144" max="144"/>
    <col width="16" customWidth="1" min="145" max="145"/>
    <col width="16" customWidth="1" min="146" max="146"/>
    <col width="16" customWidth="1" min="147" max="147"/>
    <col width="16" customWidth="1" min="148" max="148"/>
    <col width="16" customWidth="1" min="149" max="149"/>
    <col width="16" customWidth="1" min="150" max="150"/>
    <col width="16" customWidth="1" min="151" max="151"/>
    <col width="16" customWidth="1" min="152" max="152"/>
    <col width="16" customWidth="1" min="153" max="153"/>
    <col width="16" customWidth="1" min="154" max="154"/>
    <col width="16" customWidth="1" min="155" max="155"/>
    <col width="16" customWidth="1" min="156" max="156"/>
    <col width="16" customWidth="1" min="157" max="157"/>
    <col width="16" customWidth="1" min="158" max="158"/>
    <col width="16" customWidth="1" min="159" max="159"/>
    <col width="16" customWidth="1" min="160" max="160"/>
    <col width="16" customWidth="1" min="161" max="161"/>
    <col width="16" customWidth="1" min="162" max="162"/>
    <col width="16" customWidth="1" min="163" max="163"/>
    <col width="16" customWidth="1" min="164" max="164"/>
    <col width="16" customWidth="1" min="165" max="165"/>
    <col width="16" customWidth="1" min="166" max="166"/>
    <col width="16" customWidth="1" min="167" max="167"/>
    <col width="16" customWidth="1" min="168" max="168"/>
    <col width="16" customWidth="1" min="169" max="169"/>
    <col width="16" customWidth="1" min="170" max="170"/>
    <col width="16" customWidth="1" min="171" max="171"/>
    <col width="16" customWidth="1" min="172" max="172"/>
    <col width="16" customWidth="1" min="173" max="173"/>
    <col width="16" customWidth="1" min="174" max="174"/>
    <col width="16" customWidth="1" min="175" max="175"/>
    <col width="16" customWidth="1" min="176" max="176"/>
    <col width="16" customWidth="1" min="177" max="177"/>
    <col width="16" customWidth="1" min="178" max="178"/>
    <col width="16" customWidth="1" min="179" max="179"/>
    <col width="16" customWidth="1" min="180" max="180"/>
    <col width="16" customWidth="1" min="181" max="181"/>
    <col width="16" customWidth="1" min="182" max="182"/>
    <col width="16" customWidth="1" min="183" max="183"/>
    <col width="16" customWidth="1" min="184" max="184"/>
    <col width="16" customWidth="1" min="185" max="185"/>
    <col width="16" customWidth="1" min="186" max="186"/>
    <col width="16" customWidth="1" min="187" max="187"/>
    <col width="16" customWidth="1" min="188" max="188"/>
    <col width="16" customWidth="1" min="189" max="189"/>
    <col width="16" customWidth="1" min="190" max="190"/>
    <col width="16" customWidth="1" min="191" max="191"/>
    <col width="16" customWidth="1" min="192" max="192"/>
    <col width="16" customWidth="1" min="193" max="193"/>
    <col width="16" customWidth="1" min="194" max="194"/>
    <col width="16" customWidth="1" min="195" max="195"/>
    <col width="16" customWidth="1" min="196" max="196"/>
    <col width="16" customWidth="1" min="197" max="197"/>
    <col width="16" customWidth="1" min="198" max="198"/>
    <col width="16" customWidth="1" min="199" max="199"/>
    <col width="16" customWidth="1" min="200" max="200"/>
    <col width="16" customWidth="1" min="201" max="201"/>
    <col width="16" customWidth="1" min="202" max="202"/>
    <col width="16" customWidth="1" min="203" max="203"/>
    <col width="16" customWidth="1" min="204" max="204"/>
    <col width="16" customWidth="1" min="205" max="205"/>
    <col width="16" customWidth="1" min="206" max="206"/>
    <col width="16" customWidth="1" min="207" max="207"/>
    <col width="16" customWidth="1" min="208" max="208"/>
    <col width="16" customWidth="1" min="209" max="209"/>
    <col width="16" customWidth="1" min="210" max="210"/>
    <col width="16" customWidth="1" min="211" max="211"/>
    <col width="16" customWidth="1" min="212" max="212"/>
    <col width="16" customWidth="1" min="213" max="213"/>
    <col width="16" customWidth="1" min="214" max="214"/>
    <col width="16" customWidth="1" min="215" max="215"/>
    <col width="16" customWidth="1" min="216" max="216"/>
    <col width="16" customWidth="1" min="217" max="217"/>
    <col width="16" customWidth="1" min="218" max="218"/>
    <col width="16" customWidth="1" min="219" max="219"/>
    <col width="16" customWidth="1" min="220" max="220"/>
    <col width="16" customWidth="1" min="221" max="221"/>
    <col width="16" customWidth="1" min="222" max="222"/>
    <col width="16" customWidth="1" min="223" max="223"/>
    <col width="16" customWidth="1" min="224" max="224"/>
    <col width="16" customWidth="1" min="225" max="225"/>
    <col width="16" customWidth="1" min="226" max="226"/>
    <col width="16" customWidth="1" min="227" max="227"/>
    <col width="16" customWidth="1" min="228" max="228"/>
    <col width="16" customWidth="1" min="229" max="229"/>
    <col width="16" customWidth="1" min="230" max="230"/>
    <col width="16" customWidth="1" min="231" max="231"/>
    <col width="16" customWidth="1" min="232" max="232"/>
    <col width="16" customWidth="1" min="233" max="233"/>
    <col width="16" customWidth="1" min="234" max="234"/>
    <col width="16" customWidth="1" min="235" max="235"/>
    <col width="16" customWidth="1" min="236" max="236"/>
    <col width="16" customWidth="1" min="237" max="237"/>
    <col width="16" customWidth="1" min="238" max="238"/>
    <col width="16" customWidth="1" min="239" max="239"/>
    <col width="16" customWidth="1" min="240" max="240"/>
    <col width="16" customWidth="1" min="241" max="241"/>
    <col width="16" customWidth="1" min="242" max="242"/>
    <col width="16" customWidth="1" min="243" max="243"/>
    <col width="16" customWidth="1" min="244" max="244"/>
    <col width="16" customWidth="1" min="245" max="245"/>
    <col width="16" customWidth="1" min="246" max="246"/>
    <col width="16" customWidth="1" min="247" max="247"/>
    <col width="16" customWidth="1" min="248" max="248"/>
    <col width="16" customWidth="1" min="249" max="249"/>
    <col width="16" customWidth="1" min="250" max="250"/>
    <col width="16" customWidth="1" min="251" max="251"/>
    <col width="16" customWidth="1" min="252" max="252"/>
    <col width="16" customWidth="1" min="253" max="253"/>
    <col width="16" customWidth="1" min="254" max="254"/>
    <col width="16" customWidth="1" min="255" max="255"/>
    <col width="16" customWidth="1" min="256" max="256"/>
    <col width="16" customWidth="1" min="257" max="257"/>
    <col width="16" customWidth="1" min="258" max="258"/>
    <col width="16" customWidth="1" min="259" max="259"/>
    <col width="16" customWidth="1" min="260" max="260"/>
    <col width="16" customWidth="1" min="261" max="261"/>
    <col width="16" customWidth="1" min="262" max="262"/>
    <col width="16" customWidth="1" min="263" max="263"/>
    <col width="16" customWidth="1" min="264" max="264"/>
    <col width="16" customWidth="1" min="265" max="265"/>
    <col width="16" customWidth="1" min="266" max="266"/>
    <col width="16" customWidth="1" min="267" max="267"/>
    <col width="16" customWidth="1" min="268" max="268"/>
    <col width="16" customWidth="1" min="269" max="269"/>
    <col width="16" customWidth="1" min="270" max="270"/>
    <col width="16" customWidth="1" min="271" max="271"/>
    <col width="16" customWidth="1" min="272" max="272"/>
    <col width="16" customWidth="1" min="273" max="273"/>
    <col width="16" customWidth="1" min="274" max="274"/>
    <col width="16" customWidth="1" min="275" max="275"/>
    <col width="16" customWidth="1" min="276" max="276"/>
    <col width="16" customWidth="1" min="277" max="277"/>
    <col width="16" customWidth="1" min="278" max="278"/>
    <col width="16" customWidth="1" min="279" max="279"/>
    <col width="16" customWidth="1" min="280" max="280"/>
    <col width="16" customWidth="1" min="281" max="281"/>
    <col width="16" customWidth="1" min="282" max="282"/>
    <col width="16" customWidth="1" min="283" max="283"/>
    <col width="16" customWidth="1" min="284" max="284"/>
    <col width="16" customWidth="1" min="285" max="285"/>
    <col width="16" customWidth="1" min="286" max="286"/>
    <col width="16" customWidth="1" min="287" max="287"/>
    <col width="16" customWidth="1" min="288" max="288"/>
    <col width="16" customWidth="1" min="289" max="289"/>
    <col width="16" customWidth="1" min="290" max="290"/>
    <col width="16" customWidth="1" min="291" max="291"/>
    <col width="16" customWidth="1" min="292" max="292"/>
    <col width="16" customWidth="1" min="293" max="293"/>
    <col width="16" customWidth="1" min="294" max="294"/>
    <col width="16" customWidth="1" min="295" max="295"/>
    <col width="16" customWidth="1" min="296" max="296"/>
    <col width="16" customWidth="1" min="297" max="297"/>
    <col width="16" customWidth="1" min="298" max="298"/>
    <col width="16" customWidth="1" min="299" max="299"/>
    <col width="16" customWidth="1" min="300" max="300"/>
    <col width="16" customWidth="1" min="301" max="301"/>
  </cols>
  <sheetData>
    <row r="1">
      <c r="A1" s="1" t="inlineStr">
        <is>
          <t>因子水準表</t>
        </is>
      </c>
    </row>
    <row r="2">
      <c r="A2" s="3" t="inlineStr">
        <is>
          <t>対象機能</t>
        </is>
      </c>
      <c r="B2" s="8" t="inlineStr">
        <is>
          <t>ログイン機能</t>
        </is>
      </c>
      <c r="C2" s="3" t="inlineStr">
        <is>
          <t>根拠</t>
        </is>
      </c>
      <c r="D2" s="8" t="inlineStr">
        <is>
          <t>要件サンプル/ログイン機能_要件.md</t>
        </is>
      </c>
      <c r="E2" s="9" t="n"/>
      <c r="F2" s="10" t="n"/>
    </row>
    <row r="4">
      <c r="A4" s="11" t="inlineStr">
        <is>
          <t>因子ID</t>
        </is>
      </c>
      <c r="B4" s="12" t="inlineStr">
        <is>
          <t>F1</t>
        </is>
      </c>
      <c r="C4" s="12" t="inlineStr">
        <is>
          <t>F2</t>
        </is>
      </c>
      <c r="D4" s="12" t="inlineStr">
        <is>
          <t>F3</t>
        </is>
      </c>
      <c r="E4" s="12" t="inlineStr">
        <is>
          <t>F4</t>
        </is>
      </c>
      <c r="F4" s="12" t="inlineStr">
        <is>
          <t>F5</t>
        </is>
      </c>
      <c r="G4" s="12" t="inlineStr">
        <is>
          <t>F6</t>
        </is>
      </c>
      <c r="H4" s="12" t="inlineStr">
        <is>
          <t>F7</t>
        </is>
      </c>
      <c r="I4" s="12" t="inlineStr">
        <is>
          <t>F8</t>
        </is>
      </c>
      <c r="J4" s="12" t="inlineStr">
        <is>
          <t>F9</t>
        </is>
      </c>
      <c r="K4" s="12" t="inlineStr">
        <is>
          <t>F10</t>
        </is>
      </c>
      <c r="L4" s="12" t="inlineStr">
        <is>
          <t>F11</t>
        </is>
      </c>
      <c r="M4" s="12" t="inlineStr">
        <is>
          <t>F12</t>
        </is>
      </c>
      <c r="N4" s="12" t="inlineStr">
        <is>
          <t>F13</t>
        </is>
      </c>
      <c r="O4" s="12" t="inlineStr">
        <is>
          <t>F14</t>
        </is>
      </c>
      <c r="P4" s="12" t="inlineStr">
        <is>
          <t>F15</t>
        </is>
      </c>
      <c r="Q4" s="12" t="inlineStr">
        <is>
          <t>F16</t>
        </is>
      </c>
      <c r="R4" s="12" t="inlineStr">
        <is>
          <t>F17</t>
        </is>
      </c>
      <c r="S4" s="12" t="inlineStr">
        <is>
          <t>F18</t>
        </is>
      </c>
      <c r="T4" s="12" t="inlineStr">
        <is>
          <t>F19</t>
        </is>
      </c>
      <c r="U4" s="12" t="inlineStr">
        <is>
          <t>F20</t>
        </is>
      </c>
      <c r="V4" s="12" t="inlineStr">
        <is>
          <t>F21</t>
        </is>
      </c>
      <c r="W4" s="12" t="inlineStr">
        <is>
          <t>F22</t>
        </is>
      </c>
      <c r="X4" s="12" t="inlineStr">
        <is>
          <t>F23</t>
        </is>
      </c>
      <c r="Y4" s="12" t="inlineStr">
        <is>
          <t>F24</t>
        </is>
      </c>
      <c r="Z4" s="12" t="inlineStr">
        <is>
          <t>F25</t>
        </is>
      </c>
      <c r="AA4" s="12" t="inlineStr">
        <is>
          <t>F26</t>
        </is>
      </c>
      <c r="AB4" s="12" t="inlineStr">
        <is>
          <t>F27</t>
        </is>
      </c>
      <c r="AC4" s="12" t="inlineStr">
        <is>
          <t>F28</t>
        </is>
      </c>
      <c r="AD4" s="12" t="inlineStr">
        <is>
          <t>F29</t>
        </is>
      </c>
      <c r="AE4" s="12" t="inlineStr">
        <is>
          <t>F30</t>
        </is>
      </c>
      <c r="AF4" s="12" t="inlineStr">
        <is>
          <t>F31</t>
        </is>
      </c>
      <c r="AG4" s="12" t="inlineStr">
        <is>
          <t>F32</t>
        </is>
      </c>
      <c r="AH4" s="12" t="inlineStr">
        <is>
          <t>F33</t>
        </is>
      </c>
      <c r="AI4" s="12" t="inlineStr">
        <is>
          <t>F34</t>
        </is>
      </c>
      <c r="AJ4" s="12" t="inlineStr">
        <is>
          <t>F35</t>
        </is>
      </c>
      <c r="AK4" s="12" t="inlineStr">
        <is>
          <t>F36</t>
        </is>
      </c>
      <c r="AL4" s="12" t="inlineStr">
        <is>
          <t>F37</t>
        </is>
      </c>
      <c r="AM4" s="12" t="inlineStr">
        <is>
          <t>F38</t>
        </is>
      </c>
      <c r="AN4" s="12" t="inlineStr">
        <is>
          <t>F39</t>
        </is>
      </c>
      <c r="AO4" s="12" t="inlineStr">
        <is>
          <t>F40</t>
        </is>
      </c>
      <c r="AP4" s="12" t="inlineStr">
        <is>
          <t>F41</t>
        </is>
      </c>
      <c r="AQ4" s="12" t="inlineStr">
        <is>
          <t>F42</t>
        </is>
      </c>
      <c r="AR4" s="12" t="inlineStr">
        <is>
          <t>F43</t>
        </is>
      </c>
      <c r="AS4" s="12" t="inlineStr">
        <is>
          <t>F44</t>
        </is>
      </c>
      <c r="AT4" s="12" t="inlineStr">
        <is>
          <t>F45</t>
        </is>
      </c>
      <c r="AU4" s="12" t="inlineStr">
        <is>
          <t>F46</t>
        </is>
      </c>
      <c r="AV4" s="12" t="inlineStr">
        <is>
          <t>F47</t>
        </is>
      </c>
      <c r="AW4" s="12" t="inlineStr">
        <is>
          <t>F48</t>
        </is>
      </c>
      <c r="AX4" s="12" t="inlineStr">
        <is>
          <t>F49</t>
        </is>
      </c>
      <c r="AY4" s="12" t="inlineStr">
        <is>
          <t>F50</t>
        </is>
      </c>
      <c r="AZ4" s="12" t="inlineStr">
        <is>
          <t>F51</t>
        </is>
      </c>
      <c r="BA4" s="12" t="inlineStr">
        <is>
          <t>F52</t>
        </is>
      </c>
      <c r="BB4" s="12" t="inlineStr">
        <is>
          <t>F53</t>
        </is>
      </c>
      <c r="BC4" s="12" t="inlineStr">
        <is>
          <t>F54</t>
        </is>
      </c>
      <c r="BD4" s="12" t="inlineStr">
        <is>
          <t>F55</t>
        </is>
      </c>
      <c r="BE4" s="12" t="inlineStr">
        <is>
          <t>F56</t>
        </is>
      </c>
      <c r="BF4" s="12" t="inlineStr">
        <is>
          <t>F57</t>
        </is>
      </c>
      <c r="BG4" s="12" t="inlineStr">
        <is>
          <t>F58</t>
        </is>
      </c>
      <c r="BH4" s="12" t="inlineStr">
        <is>
          <t>F59</t>
        </is>
      </c>
      <c r="BI4" s="12" t="inlineStr">
        <is>
          <t>F60</t>
        </is>
      </c>
      <c r="BJ4" s="12" t="inlineStr">
        <is>
          <t>F61</t>
        </is>
      </c>
      <c r="BK4" s="12" t="inlineStr">
        <is>
          <t>F62</t>
        </is>
      </c>
      <c r="BL4" s="12" t="inlineStr">
        <is>
          <t>F63</t>
        </is>
      </c>
      <c r="BM4" s="12" t="inlineStr">
        <is>
          <t>F64</t>
        </is>
      </c>
      <c r="BN4" s="12" t="inlineStr">
        <is>
          <t>F65</t>
        </is>
      </c>
      <c r="BO4" s="12" t="inlineStr">
        <is>
          <t>F66</t>
        </is>
      </c>
      <c r="BP4" s="12" t="inlineStr">
        <is>
          <t>F67</t>
        </is>
      </c>
      <c r="BQ4" s="12" t="inlineStr">
        <is>
          <t>F68</t>
        </is>
      </c>
      <c r="BR4" s="12" t="inlineStr">
        <is>
          <t>F69</t>
        </is>
      </c>
      <c r="BS4" s="12" t="inlineStr">
        <is>
          <t>F70</t>
        </is>
      </c>
      <c r="BT4" s="12" t="inlineStr">
        <is>
          <t>F71</t>
        </is>
      </c>
      <c r="BU4" s="12" t="inlineStr">
        <is>
          <t>F72</t>
        </is>
      </c>
      <c r="BV4" s="12" t="inlineStr">
        <is>
          <t>F73</t>
        </is>
      </c>
      <c r="BW4" s="12" t="inlineStr">
        <is>
          <t>F74</t>
        </is>
      </c>
      <c r="BX4" s="12" t="inlineStr">
        <is>
          <t>F75</t>
        </is>
      </c>
      <c r="BY4" s="12" t="inlineStr">
        <is>
          <t>F76</t>
        </is>
      </c>
      <c r="BZ4" s="12" t="inlineStr">
        <is>
          <t>F77</t>
        </is>
      </c>
      <c r="CA4" s="12" t="inlineStr">
        <is>
          <t>F78</t>
        </is>
      </c>
      <c r="CB4" s="12" t="inlineStr">
        <is>
          <t>F79</t>
        </is>
      </c>
      <c r="CC4" s="12" t="inlineStr">
        <is>
          <t>F80</t>
        </is>
      </c>
      <c r="CD4" s="12" t="inlineStr">
        <is>
          <t>F81</t>
        </is>
      </c>
      <c r="CE4" s="12" t="inlineStr">
        <is>
          <t>F82</t>
        </is>
      </c>
      <c r="CF4" s="12" t="inlineStr">
        <is>
          <t>F83</t>
        </is>
      </c>
      <c r="CG4" s="12" t="inlineStr">
        <is>
          <t>F84</t>
        </is>
      </c>
      <c r="CH4" s="12" t="inlineStr">
        <is>
          <t>F85</t>
        </is>
      </c>
      <c r="CI4" s="12" t="inlineStr">
        <is>
          <t>F86</t>
        </is>
      </c>
      <c r="CJ4" s="12" t="inlineStr">
        <is>
          <t>F87</t>
        </is>
      </c>
      <c r="CK4" s="12" t="inlineStr">
        <is>
          <t>F88</t>
        </is>
      </c>
      <c r="CL4" s="12" t="inlineStr">
        <is>
          <t>F89</t>
        </is>
      </c>
      <c r="CM4" s="12" t="inlineStr">
        <is>
          <t>F90</t>
        </is>
      </c>
      <c r="CN4" s="12" t="inlineStr">
        <is>
          <t>F91</t>
        </is>
      </c>
      <c r="CO4" s="12" t="inlineStr">
        <is>
          <t>F92</t>
        </is>
      </c>
      <c r="CP4" s="12" t="inlineStr">
        <is>
          <t>F93</t>
        </is>
      </c>
      <c r="CQ4" s="12" t="inlineStr">
        <is>
          <t>F94</t>
        </is>
      </c>
      <c r="CR4" s="12" t="inlineStr">
        <is>
          <t>F95</t>
        </is>
      </c>
      <c r="CS4" s="12" t="inlineStr">
        <is>
          <t>F96</t>
        </is>
      </c>
      <c r="CT4" s="12" t="inlineStr">
        <is>
          <t>F97</t>
        </is>
      </c>
      <c r="CU4" s="12" t="inlineStr">
        <is>
          <t>F98</t>
        </is>
      </c>
      <c r="CV4" s="12" t="inlineStr">
        <is>
          <t>F99</t>
        </is>
      </c>
      <c r="CW4" s="12" t="inlineStr">
        <is>
          <t>F100</t>
        </is>
      </c>
      <c r="CX4" s="12" t="inlineStr">
        <is>
          <t>F101</t>
        </is>
      </c>
      <c r="CY4" s="12" t="inlineStr">
        <is>
          <t>F102</t>
        </is>
      </c>
      <c r="CZ4" s="12" t="inlineStr">
        <is>
          <t>F103</t>
        </is>
      </c>
      <c r="DA4" s="12" t="inlineStr">
        <is>
          <t>F104</t>
        </is>
      </c>
      <c r="DB4" s="12" t="inlineStr">
        <is>
          <t>F105</t>
        </is>
      </c>
      <c r="DC4" s="12" t="inlineStr">
        <is>
          <t>F106</t>
        </is>
      </c>
      <c r="DD4" s="12" t="inlineStr">
        <is>
          <t>F107</t>
        </is>
      </c>
      <c r="DE4" s="12" t="inlineStr">
        <is>
          <t>F108</t>
        </is>
      </c>
      <c r="DF4" s="12" t="inlineStr">
        <is>
          <t>F109</t>
        </is>
      </c>
      <c r="DG4" s="12" t="inlineStr">
        <is>
          <t>F110</t>
        </is>
      </c>
      <c r="DH4" s="12" t="inlineStr">
        <is>
          <t>F111</t>
        </is>
      </c>
      <c r="DI4" s="12" t="inlineStr">
        <is>
          <t>F112</t>
        </is>
      </c>
      <c r="DJ4" s="12" t="inlineStr">
        <is>
          <t>F113</t>
        </is>
      </c>
      <c r="DK4" s="12" t="inlineStr">
        <is>
          <t>F114</t>
        </is>
      </c>
      <c r="DL4" s="12" t="inlineStr">
        <is>
          <t>F115</t>
        </is>
      </c>
      <c r="DM4" s="12" t="inlineStr">
        <is>
          <t>F116</t>
        </is>
      </c>
      <c r="DN4" s="12" t="inlineStr">
        <is>
          <t>F117</t>
        </is>
      </c>
      <c r="DO4" s="12" t="inlineStr">
        <is>
          <t>F118</t>
        </is>
      </c>
      <c r="DP4" s="12" t="inlineStr">
        <is>
          <t>F119</t>
        </is>
      </c>
      <c r="DQ4" s="12" t="inlineStr">
        <is>
          <t>F120</t>
        </is>
      </c>
      <c r="DR4" s="12" t="inlineStr">
        <is>
          <t>F121</t>
        </is>
      </c>
      <c r="DS4" s="12" t="inlineStr">
        <is>
          <t>F122</t>
        </is>
      </c>
      <c r="DT4" s="12" t="inlineStr">
        <is>
          <t>F123</t>
        </is>
      </c>
      <c r="DU4" s="12" t="inlineStr">
        <is>
          <t>F124</t>
        </is>
      </c>
      <c r="DV4" s="12" t="inlineStr">
        <is>
          <t>F125</t>
        </is>
      </c>
      <c r="DW4" s="12" t="inlineStr">
        <is>
          <t>F126</t>
        </is>
      </c>
      <c r="DX4" s="12" t="inlineStr">
        <is>
          <t>F127</t>
        </is>
      </c>
      <c r="DY4" s="12" t="inlineStr">
        <is>
          <t>F128</t>
        </is>
      </c>
      <c r="DZ4" s="12" t="inlineStr">
        <is>
          <t>F129</t>
        </is>
      </c>
      <c r="EA4" s="12" t="inlineStr">
        <is>
          <t>F130</t>
        </is>
      </c>
      <c r="EB4" s="12" t="inlineStr">
        <is>
          <t>F131</t>
        </is>
      </c>
      <c r="EC4" s="12" t="inlineStr">
        <is>
          <t>F132</t>
        </is>
      </c>
      <c r="ED4" s="12" t="inlineStr">
        <is>
          <t>F133</t>
        </is>
      </c>
      <c r="EE4" s="12" t="inlineStr">
        <is>
          <t>F134</t>
        </is>
      </c>
      <c r="EF4" s="12" t="inlineStr">
        <is>
          <t>F135</t>
        </is>
      </c>
      <c r="EG4" s="12" t="inlineStr">
        <is>
          <t>F136</t>
        </is>
      </c>
      <c r="EH4" s="12" t="inlineStr">
        <is>
          <t>F137</t>
        </is>
      </c>
      <c r="EI4" s="12" t="inlineStr">
        <is>
          <t>F138</t>
        </is>
      </c>
      <c r="EJ4" s="12" t="inlineStr">
        <is>
          <t>F139</t>
        </is>
      </c>
      <c r="EK4" s="12" t="inlineStr">
        <is>
          <t>F140</t>
        </is>
      </c>
      <c r="EL4" s="12" t="inlineStr">
        <is>
          <t>F141</t>
        </is>
      </c>
      <c r="EM4" s="12" t="inlineStr">
        <is>
          <t>F142</t>
        </is>
      </c>
      <c r="EN4" s="12" t="inlineStr">
        <is>
          <t>F143</t>
        </is>
      </c>
      <c r="EO4" s="12" t="inlineStr">
        <is>
          <t>F144</t>
        </is>
      </c>
      <c r="EP4" s="12" t="inlineStr">
        <is>
          <t>F145</t>
        </is>
      </c>
      <c r="EQ4" s="12" t="inlineStr">
        <is>
          <t>F146</t>
        </is>
      </c>
      <c r="ER4" s="12" t="inlineStr">
        <is>
          <t>F147</t>
        </is>
      </c>
      <c r="ES4" s="12" t="inlineStr">
        <is>
          <t>F148</t>
        </is>
      </c>
      <c r="ET4" s="12" t="inlineStr">
        <is>
          <t>F149</t>
        </is>
      </c>
      <c r="EU4" s="12" t="inlineStr">
        <is>
          <t>F150</t>
        </is>
      </c>
      <c r="EV4" s="12" t="inlineStr">
        <is>
          <t>F151</t>
        </is>
      </c>
      <c r="EW4" s="12" t="inlineStr">
        <is>
          <t>F152</t>
        </is>
      </c>
      <c r="EX4" s="12" t="inlineStr">
        <is>
          <t>F153</t>
        </is>
      </c>
      <c r="EY4" s="12" t="inlineStr">
        <is>
          <t>F154</t>
        </is>
      </c>
      <c r="EZ4" s="12" t="inlineStr">
        <is>
          <t>F155</t>
        </is>
      </c>
      <c r="FA4" s="12" t="inlineStr">
        <is>
          <t>F156</t>
        </is>
      </c>
      <c r="FB4" s="12" t="inlineStr">
        <is>
          <t>F157</t>
        </is>
      </c>
      <c r="FC4" s="12" t="inlineStr">
        <is>
          <t>F158</t>
        </is>
      </c>
      <c r="FD4" s="12" t="inlineStr">
        <is>
          <t>F159</t>
        </is>
      </c>
      <c r="FE4" s="12" t="inlineStr">
        <is>
          <t>F160</t>
        </is>
      </c>
      <c r="FF4" s="12" t="inlineStr">
        <is>
          <t>F161</t>
        </is>
      </c>
      <c r="FG4" s="12" t="inlineStr">
        <is>
          <t>F162</t>
        </is>
      </c>
      <c r="FH4" s="12" t="inlineStr">
        <is>
          <t>F163</t>
        </is>
      </c>
      <c r="FI4" s="12" t="inlineStr">
        <is>
          <t>F164</t>
        </is>
      </c>
      <c r="FJ4" s="12" t="inlineStr">
        <is>
          <t>F165</t>
        </is>
      </c>
      <c r="FK4" s="12" t="inlineStr">
        <is>
          <t>F166</t>
        </is>
      </c>
      <c r="FL4" s="12" t="inlineStr">
        <is>
          <t>F167</t>
        </is>
      </c>
      <c r="FM4" s="12" t="inlineStr">
        <is>
          <t>F168</t>
        </is>
      </c>
      <c r="FN4" s="12" t="inlineStr">
        <is>
          <t>F169</t>
        </is>
      </c>
      <c r="FO4" s="12" t="inlineStr">
        <is>
          <t>F170</t>
        </is>
      </c>
      <c r="FP4" s="12" t="inlineStr">
        <is>
          <t>F171</t>
        </is>
      </c>
      <c r="FQ4" s="12" t="inlineStr">
        <is>
          <t>F172</t>
        </is>
      </c>
      <c r="FR4" s="12" t="inlineStr">
        <is>
          <t>F173</t>
        </is>
      </c>
      <c r="FS4" s="12" t="inlineStr">
        <is>
          <t>F174</t>
        </is>
      </c>
      <c r="FT4" s="12" t="inlineStr">
        <is>
          <t>F175</t>
        </is>
      </c>
      <c r="FU4" s="12" t="inlineStr">
        <is>
          <t>F176</t>
        </is>
      </c>
      <c r="FV4" s="12" t="inlineStr">
        <is>
          <t>F177</t>
        </is>
      </c>
      <c r="FW4" s="12" t="inlineStr">
        <is>
          <t>F178</t>
        </is>
      </c>
      <c r="FX4" s="12" t="inlineStr">
        <is>
          <t>F179</t>
        </is>
      </c>
      <c r="FY4" s="12" t="inlineStr">
        <is>
          <t>F180</t>
        </is>
      </c>
      <c r="FZ4" s="12" t="inlineStr">
        <is>
          <t>F181</t>
        </is>
      </c>
      <c r="GA4" s="12" t="inlineStr">
        <is>
          <t>F182</t>
        </is>
      </c>
      <c r="GB4" s="12" t="inlineStr">
        <is>
          <t>F183</t>
        </is>
      </c>
      <c r="GC4" s="12" t="inlineStr">
        <is>
          <t>F184</t>
        </is>
      </c>
      <c r="GD4" s="12" t="inlineStr">
        <is>
          <t>F185</t>
        </is>
      </c>
      <c r="GE4" s="12" t="inlineStr">
        <is>
          <t>F186</t>
        </is>
      </c>
      <c r="GF4" s="12" t="inlineStr">
        <is>
          <t>F187</t>
        </is>
      </c>
      <c r="GG4" s="12" t="inlineStr">
        <is>
          <t>F188</t>
        </is>
      </c>
      <c r="GH4" s="12" t="inlineStr">
        <is>
          <t>F189</t>
        </is>
      </c>
      <c r="GI4" s="12" t="inlineStr">
        <is>
          <t>F190</t>
        </is>
      </c>
      <c r="GJ4" s="12" t="inlineStr">
        <is>
          <t>F191</t>
        </is>
      </c>
      <c r="GK4" s="12" t="inlineStr">
        <is>
          <t>F192</t>
        </is>
      </c>
      <c r="GL4" s="12" t="inlineStr">
        <is>
          <t>F193</t>
        </is>
      </c>
      <c r="GM4" s="12" t="inlineStr">
        <is>
          <t>F194</t>
        </is>
      </c>
      <c r="GN4" s="12" t="inlineStr">
        <is>
          <t>F195</t>
        </is>
      </c>
      <c r="GO4" s="12" t="inlineStr">
        <is>
          <t>F196</t>
        </is>
      </c>
      <c r="GP4" s="12" t="inlineStr">
        <is>
          <t>F197</t>
        </is>
      </c>
      <c r="GQ4" s="12" t="inlineStr">
        <is>
          <t>F198</t>
        </is>
      </c>
      <c r="GR4" s="12" t="inlineStr">
        <is>
          <t>F199</t>
        </is>
      </c>
      <c r="GS4" s="12" t="inlineStr">
        <is>
          <t>F200</t>
        </is>
      </c>
      <c r="GT4" s="12" t="inlineStr">
        <is>
          <t>F201</t>
        </is>
      </c>
      <c r="GU4" s="12" t="inlineStr">
        <is>
          <t>F202</t>
        </is>
      </c>
      <c r="GV4" s="12" t="inlineStr">
        <is>
          <t>F203</t>
        </is>
      </c>
      <c r="GW4" s="12" t="inlineStr">
        <is>
          <t>F204</t>
        </is>
      </c>
      <c r="GX4" s="12" t="inlineStr">
        <is>
          <t>F205</t>
        </is>
      </c>
      <c r="GY4" s="12" t="inlineStr">
        <is>
          <t>F206</t>
        </is>
      </c>
      <c r="GZ4" s="12" t="inlineStr">
        <is>
          <t>F207</t>
        </is>
      </c>
      <c r="HA4" s="12" t="inlineStr">
        <is>
          <t>F208</t>
        </is>
      </c>
      <c r="HB4" s="12" t="inlineStr">
        <is>
          <t>F209</t>
        </is>
      </c>
      <c r="HC4" s="12" t="inlineStr">
        <is>
          <t>F210</t>
        </is>
      </c>
      <c r="HD4" s="12" t="inlineStr">
        <is>
          <t>F211</t>
        </is>
      </c>
      <c r="HE4" s="12" t="inlineStr">
        <is>
          <t>F212</t>
        </is>
      </c>
      <c r="HF4" s="12" t="inlineStr">
        <is>
          <t>F213</t>
        </is>
      </c>
      <c r="HG4" s="12" t="inlineStr">
        <is>
          <t>F214</t>
        </is>
      </c>
      <c r="HH4" s="12" t="inlineStr">
        <is>
          <t>F215</t>
        </is>
      </c>
      <c r="HI4" s="12" t="inlineStr">
        <is>
          <t>F216</t>
        </is>
      </c>
      <c r="HJ4" s="12" t="inlineStr">
        <is>
          <t>F217</t>
        </is>
      </c>
      <c r="HK4" s="12" t="inlineStr">
        <is>
          <t>F218</t>
        </is>
      </c>
      <c r="HL4" s="12" t="inlineStr">
        <is>
          <t>F219</t>
        </is>
      </c>
      <c r="HM4" s="12" t="inlineStr">
        <is>
          <t>F220</t>
        </is>
      </c>
      <c r="HN4" s="12" t="inlineStr">
        <is>
          <t>F221</t>
        </is>
      </c>
      <c r="HO4" s="12" t="inlineStr">
        <is>
          <t>F222</t>
        </is>
      </c>
      <c r="HP4" s="12" t="inlineStr">
        <is>
          <t>F223</t>
        </is>
      </c>
      <c r="HQ4" s="12" t="inlineStr">
        <is>
          <t>F224</t>
        </is>
      </c>
      <c r="HR4" s="12" t="inlineStr">
        <is>
          <t>F225</t>
        </is>
      </c>
      <c r="HS4" s="12" t="inlineStr">
        <is>
          <t>F226</t>
        </is>
      </c>
      <c r="HT4" s="12" t="inlineStr">
        <is>
          <t>F227</t>
        </is>
      </c>
      <c r="HU4" s="12" t="inlineStr">
        <is>
          <t>F228</t>
        </is>
      </c>
      <c r="HV4" s="12" t="inlineStr">
        <is>
          <t>F229</t>
        </is>
      </c>
      <c r="HW4" s="12" t="inlineStr">
        <is>
          <t>F230</t>
        </is>
      </c>
      <c r="HX4" s="12" t="inlineStr">
        <is>
          <t>F231</t>
        </is>
      </c>
      <c r="HY4" s="12" t="inlineStr">
        <is>
          <t>F232</t>
        </is>
      </c>
      <c r="HZ4" s="12" t="inlineStr">
        <is>
          <t>F233</t>
        </is>
      </c>
      <c r="IA4" s="12" t="inlineStr">
        <is>
          <t>F234</t>
        </is>
      </c>
      <c r="IB4" s="12" t="inlineStr">
        <is>
          <t>F235</t>
        </is>
      </c>
      <c r="IC4" s="12" t="inlineStr">
        <is>
          <t>F236</t>
        </is>
      </c>
      <c r="ID4" s="12" t="inlineStr">
        <is>
          <t>F237</t>
        </is>
      </c>
      <c r="IE4" s="12" t="inlineStr">
        <is>
          <t>F238</t>
        </is>
      </c>
      <c r="IF4" s="12" t="inlineStr">
        <is>
          <t>F239</t>
        </is>
      </c>
      <c r="IG4" s="12" t="inlineStr">
        <is>
          <t>F240</t>
        </is>
      </c>
      <c r="IH4" s="12" t="inlineStr">
        <is>
          <t>F241</t>
        </is>
      </c>
      <c r="II4" s="12" t="inlineStr">
        <is>
          <t>F242</t>
        </is>
      </c>
      <c r="IJ4" s="12" t="inlineStr">
        <is>
          <t>F243</t>
        </is>
      </c>
      <c r="IK4" s="12" t="inlineStr">
        <is>
          <t>F244</t>
        </is>
      </c>
      <c r="IL4" s="12" t="inlineStr">
        <is>
          <t>F245</t>
        </is>
      </c>
      <c r="IM4" s="12" t="inlineStr">
        <is>
          <t>F246</t>
        </is>
      </c>
      <c r="IN4" s="12" t="inlineStr">
        <is>
          <t>F247</t>
        </is>
      </c>
      <c r="IO4" s="12" t="inlineStr">
        <is>
          <t>F248</t>
        </is>
      </c>
      <c r="IP4" s="12" t="inlineStr">
        <is>
          <t>F249</t>
        </is>
      </c>
      <c r="IQ4" s="12" t="inlineStr">
        <is>
          <t>F250</t>
        </is>
      </c>
      <c r="IR4" s="12" t="inlineStr">
        <is>
          <t>F251</t>
        </is>
      </c>
      <c r="IS4" s="12" t="inlineStr">
        <is>
          <t>F252</t>
        </is>
      </c>
      <c r="IT4" s="12" t="inlineStr">
        <is>
          <t>F253</t>
        </is>
      </c>
      <c r="IU4" s="12" t="inlineStr">
        <is>
          <t>F254</t>
        </is>
      </c>
      <c r="IV4" s="12" t="inlineStr">
        <is>
          <t>F255</t>
        </is>
      </c>
      <c r="IW4" s="12" t="inlineStr">
        <is>
          <t>F256</t>
        </is>
      </c>
      <c r="IX4" s="12" t="inlineStr">
        <is>
          <t>F257</t>
        </is>
      </c>
      <c r="IY4" s="12" t="inlineStr">
        <is>
          <t>F258</t>
        </is>
      </c>
      <c r="IZ4" s="12" t="inlineStr">
        <is>
          <t>F259</t>
        </is>
      </c>
      <c r="JA4" s="12" t="inlineStr">
        <is>
          <t>F260</t>
        </is>
      </c>
      <c r="JB4" s="12" t="inlineStr">
        <is>
          <t>F261</t>
        </is>
      </c>
      <c r="JC4" s="12" t="inlineStr">
        <is>
          <t>F262</t>
        </is>
      </c>
      <c r="JD4" s="12" t="inlineStr">
        <is>
          <t>F263</t>
        </is>
      </c>
      <c r="JE4" s="12" t="inlineStr">
        <is>
          <t>F264</t>
        </is>
      </c>
      <c r="JF4" s="12" t="inlineStr">
        <is>
          <t>F265</t>
        </is>
      </c>
      <c r="JG4" s="12" t="inlineStr">
        <is>
          <t>F266</t>
        </is>
      </c>
      <c r="JH4" s="12" t="inlineStr">
        <is>
          <t>F267</t>
        </is>
      </c>
      <c r="JI4" s="12" t="inlineStr">
        <is>
          <t>F268</t>
        </is>
      </c>
      <c r="JJ4" s="12" t="inlineStr">
        <is>
          <t>F269</t>
        </is>
      </c>
      <c r="JK4" s="12" t="inlineStr">
        <is>
          <t>F270</t>
        </is>
      </c>
      <c r="JL4" s="12" t="inlineStr">
        <is>
          <t>F271</t>
        </is>
      </c>
      <c r="JM4" s="12" t="inlineStr">
        <is>
          <t>F272</t>
        </is>
      </c>
      <c r="JN4" s="12" t="inlineStr">
        <is>
          <t>F273</t>
        </is>
      </c>
      <c r="JO4" s="12" t="inlineStr">
        <is>
          <t>F274</t>
        </is>
      </c>
      <c r="JP4" s="12" t="inlineStr">
        <is>
          <t>F275</t>
        </is>
      </c>
      <c r="JQ4" s="12" t="inlineStr">
        <is>
          <t>F276</t>
        </is>
      </c>
      <c r="JR4" s="12" t="inlineStr">
        <is>
          <t>F277</t>
        </is>
      </c>
      <c r="JS4" s="12" t="inlineStr">
        <is>
          <t>F278</t>
        </is>
      </c>
      <c r="JT4" s="12" t="inlineStr">
        <is>
          <t>F279</t>
        </is>
      </c>
      <c r="JU4" s="12" t="inlineStr">
        <is>
          <t>F280</t>
        </is>
      </c>
      <c r="JV4" s="12" t="inlineStr">
        <is>
          <t>F281</t>
        </is>
      </c>
      <c r="JW4" s="12" t="inlineStr">
        <is>
          <t>F282</t>
        </is>
      </c>
      <c r="JX4" s="12" t="inlineStr">
        <is>
          <t>F283</t>
        </is>
      </c>
      <c r="JY4" s="12" t="inlineStr">
        <is>
          <t>F284</t>
        </is>
      </c>
      <c r="JZ4" s="12" t="inlineStr">
        <is>
          <t>F285</t>
        </is>
      </c>
      <c r="KA4" s="12" t="inlineStr">
        <is>
          <t>F286</t>
        </is>
      </c>
      <c r="KB4" s="12" t="inlineStr">
        <is>
          <t>F287</t>
        </is>
      </c>
      <c r="KC4" s="12" t="inlineStr">
        <is>
          <t>F288</t>
        </is>
      </c>
      <c r="KD4" s="12" t="inlineStr">
        <is>
          <t>F289</t>
        </is>
      </c>
      <c r="KE4" s="12" t="inlineStr">
        <is>
          <t>F290</t>
        </is>
      </c>
      <c r="KF4" s="12" t="inlineStr">
        <is>
          <t>F291</t>
        </is>
      </c>
      <c r="KG4" s="12" t="inlineStr">
        <is>
          <t>F292</t>
        </is>
      </c>
      <c r="KH4" s="12" t="inlineStr">
        <is>
          <t>F293</t>
        </is>
      </c>
      <c r="KI4" s="12" t="inlineStr">
        <is>
          <t>F294</t>
        </is>
      </c>
      <c r="KJ4" s="12" t="inlineStr">
        <is>
          <t>F295</t>
        </is>
      </c>
      <c r="KK4" s="12" t="inlineStr">
        <is>
          <t>F296</t>
        </is>
      </c>
      <c r="KL4" s="12" t="inlineStr">
        <is>
          <t>F297</t>
        </is>
      </c>
      <c r="KM4" s="12" t="inlineStr">
        <is>
          <t>F298</t>
        </is>
      </c>
      <c r="KN4" s="12" t="inlineStr">
        <is>
          <t>F299</t>
        </is>
      </c>
      <c r="KO4" s="12" t="inlineStr">
        <is>
          <t>F300</t>
        </is>
      </c>
    </row>
    <row r="5">
      <c r="A5" s="11" t="inlineStr">
        <is>
          <t>カテゴリ</t>
        </is>
      </c>
      <c r="B5" s="8" t="inlineStr">
        <is>
          <t>ログイン画面</t>
        </is>
      </c>
      <c r="C5" s="8" t="inlineStr">
        <is>
          <t>ログイン画面</t>
        </is>
      </c>
      <c r="D5" s="8" t="inlineStr">
        <is>
          <t>ログイン画面</t>
        </is>
      </c>
      <c r="E5" s="8" t="inlineStr">
        <is>
          <t>ログイン画面</t>
        </is>
      </c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I5" s="8" t="n"/>
      <c r="IJ5" s="8" t="n"/>
      <c r="IK5" s="8" t="n"/>
      <c r="IL5" s="8" t="n"/>
      <c r="IM5" s="8" t="n"/>
      <c r="IN5" s="8" t="n"/>
      <c r="IO5" s="8" t="n"/>
      <c r="IP5" s="8" t="n"/>
      <c r="IQ5" s="8" t="n"/>
      <c r="IR5" s="8" t="n"/>
      <c r="IS5" s="8" t="n"/>
      <c r="IT5" s="8" t="n"/>
      <c r="IU5" s="8" t="n"/>
      <c r="IV5" s="8" t="n"/>
      <c r="IW5" s="8" t="n"/>
      <c r="IX5" s="8" t="n"/>
      <c r="IY5" s="8" t="n"/>
      <c r="IZ5" s="8" t="n"/>
      <c r="JA5" s="8" t="n"/>
      <c r="JB5" s="8" t="n"/>
      <c r="JC5" s="8" t="n"/>
      <c r="JD5" s="8" t="n"/>
      <c r="JE5" s="8" t="n"/>
      <c r="JF5" s="8" t="n"/>
      <c r="JG5" s="8" t="n"/>
      <c r="JH5" s="8" t="n"/>
      <c r="JI5" s="8" t="n"/>
      <c r="JJ5" s="8" t="n"/>
      <c r="JK5" s="8" t="n"/>
      <c r="JL5" s="8" t="n"/>
      <c r="JM5" s="8" t="n"/>
      <c r="JN5" s="8" t="n"/>
      <c r="JO5" s="8" t="n"/>
      <c r="JP5" s="8" t="n"/>
      <c r="JQ5" s="8" t="n"/>
      <c r="JR5" s="8" t="n"/>
      <c r="JS5" s="8" t="n"/>
      <c r="JT5" s="8" t="n"/>
      <c r="JU5" s="8" t="n"/>
      <c r="JV5" s="8" t="n"/>
      <c r="JW5" s="8" t="n"/>
      <c r="JX5" s="8" t="n"/>
      <c r="JY5" s="8" t="n"/>
      <c r="JZ5" s="8" t="n"/>
      <c r="KA5" s="8" t="n"/>
      <c r="KB5" s="8" t="n"/>
      <c r="KC5" s="8" t="n"/>
      <c r="KD5" s="8" t="n"/>
      <c r="KE5" s="8" t="n"/>
      <c r="KF5" s="8" t="n"/>
      <c r="KG5" s="8" t="n"/>
      <c r="KH5" s="8" t="n"/>
      <c r="KI5" s="8" t="n"/>
      <c r="KJ5" s="8" t="n"/>
      <c r="KK5" s="8" t="n"/>
      <c r="KL5" s="8" t="n"/>
      <c r="KM5" s="8" t="n"/>
      <c r="KN5" s="8" t="n"/>
      <c r="KO5" s="8" t="n"/>
    </row>
    <row r="6">
      <c r="A6" s="11" t="inlineStr">
        <is>
          <t>因子名</t>
        </is>
      </c>
      <c r="B6" s="8" t="inlineStr">
        <is>
          <t>メールアドレス</t>
        </is>
      </c>
      <c r="C6" s="8" t="inlineStr">
        <is>
          <t>パスワード</t>
        </is>
      </c>
      <c r="D6" s="8" t="inlineStr">
        <is>
          <t>アカウント状態</t>
        </is>
      </c>
      <c r="E6" s="8" t="inlineStr">
        <is>
          <t>直前の連続失敗回数</t>
        </is>
      </c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I6" s="8" t="n"/>
      <c r="IJ6" s="8" t="n"/>
      <c r="IK6" s="8" t="n"/>
      <c r="IL6" s="8" t="n"/>
      <c r="IM6" s="8" t="n"/>
      <c r="IN6" s="8" t="n"/>
      <c r="IO6" s="8" t="n"/>
      <c r="IP6" s="8" t="n"/>
      <c r="IQ6" s="8" t="n"/>
      <c r="IR6" s="8" t="n"/>
      <c r="IS6" s="8" t="n"/>
      <c r="IT6" s="8" t="n"/>
      <c r="IU6" s="8" t="n"/>
      <c r="IV6" s="8" t="n"/>
      <c r="IW6" s="8" t="n"/>
      <c r="IX6" s="8" t="n"/>
      <c r="IY6" s="8" t="n"/>
      <c r="IZ6" s="8" t="n"/>
      <c r="JA6" s="8" t="n"/>
      <c r="JB6" s="8" t="n"/>
      <c r="JC6" s="8" t="n"/>
      <c r="JD6" s="8" t="n"/>
      <c r="JE6" s="8" t="n"/>
      <c r="JF6" s="8" t="n"/>
      <c r="JG6" s="8" t="n"/>
      <c r="JH6" s="8" t="n"/>
      <c r="JI6" s="8" t="n"/>
      <c r="JJ6" s="8" t="n"/>
      <c r="JK6" s="8" t="n"/>
      <c r="JL6" s="8" t="n"/>
      <c r="JM6" s="8" t="n"/>
      <c r="JN6" s="8" t="n"/>
      <c r="JO6" s="8" t="n"/>
      <c r="JP6" s="8" t="n"/>
      <c r="JQ6" s="8" t="n"/>
      <c r="JR6" s="8" t="n"/>
      <c r="JS6" s="8" t="n"/>
      <c r="JT6" s="8" t="n"/>
      <c r="JU6" s="8" t="n"/>
      <c r="JV6" s="8" t="n"/>
      <c r="JW6" s="8" t="n"/>
      <c r="JX6" s="8" t="n"/>
      <c r="JY6" s="8" t="n"/>
      <c r="JZ6" s="8" t="n"/>
      <c r="KA6" s="8" t="n"/>
      <c r="KB6" s="8" t="n"/>
      <c r="KC6" s="8" t="n"/>
      <c r="KD6" s="8" t="n"/>
      <c r="KE6" s="8" t="n"/>
      <c r="KF6" s="8" t="n"/>
      <c r="KG6" s="8" t="n"/>
      <c r="KH6" s="8" t="n"/>
      <c r="KI6" s="8" t="n"/>
      <c r="KJ6" s="8" t="n"/>
      <c r="KK6" s="8" t="n"/>
      <c r="KL6" s="8" t="n"/>
      <c r="KM6" s="8" t="n"/>
      <c r="KN6" s="8" t="n"/>
      <c r="KO6" s="8" t="n"/>
    </row>
    <row r="7">
      <c r="A7" s="11" t="inlineStr">
        <is>
          <t>分類</t>
        </is>
      </c>
      <c r="B7" s="8" t="inlineStr">
        <is>
          <t>入力</t>
        </is>
      </c>
      <c r="C7" s="8" t="inlineStr">
        <is>
          <t>入力</t>
        </is>
      </c>
      <c r="D7" s="8" t="inlineStr">
        <is>
          <t>状態</t>
        </is>
      </c>
      <c r="E7" s="8" t="inlineStr">
        <is>
          <t>状態</t>
        </is>
      </c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8" t="n"/>
      <c r="JD7" s="8" t="n"/>
      <c r="JE7" s="8" t="n"/>
      <c r="JF7" s="8" t="n"/>
      <c r="JG7" s="8" t="n"/>
      <c r="JH7" s="8" t="n"/>
      <c r="JI7" s="8" t="n"/>
      <c r="JJ7" s="8" t="n"/>
      <c r="JK7" s="8" t="n"/>
      <c r="JL7" s="8" t="n"/>
      <c r="JM7" s="8" t="n"/>
      <c r="JN7" s="8" t="n"/>
      <c r="JO7" s="8" t="n"/>
      <c r="JP7" s="8" t="n"/>
      <c r="JQ7" s="8" t="n"/>
      <c r="JR7" s="8" t="n"/>
      <c r="JS7" s="8" t="n"/>
      <c r="JT7" s="8" t="n"/>
      <c r="JU7" s="8" t="n"/>
      <c r="JV7" s="8" t="n"/>
      <c r="JW7" s="8" t="n"/>
      <c r="JX7" s="8" t="n"/>
      <c r="JY7" s="8" t="n"/>
      <c r="JZ7" s="8" t="n"/>
      <c r="KA7" s="8" t="n"/>
      <c r="KB7" s="8" t="n"/>
      <c r="KC7" s="8" t="n"/>
      <c r="KD7" s="8" t="n"/>
      <c r="KE7" s="8" t="n"/>
      <c r="KF7" s="8" t="n"/>
      <c r="KG7" s="8" t="n"/>
      <c r="KH7" s="8" t="n"/>
      <c r="KI7" s="8" t="n"/>
      <c r="KJ7" s="8" t="n"/>
      <c r="KK7" s="8" t="n"/>
      <c r="KL7" s="8" t="n"/>
      <c r="KM7" s="8" t="n"/>
      <c r="KN7" s="8" t="n"/>
      <c r="KO7" s="8" t="n"/>
    </row>
    <row r="8">
      <c r="A8" s="11" t="inlineStr">
        <is>
          <t>根拠（要件ID）</t>
        </is>
      </c>
      <c r="B8" s="8" t="inlineStr">
        <is>
          <t>R-10, R-11</t>
        </is>
      </c>
      <c r="C8" s="8" t="inlineStr">
        <is>
          <t>R-01</t>
        </is>
      </c>
      <c r="D8" s="8" t="inlineStr">
        <is>
          <t>R-05</t>
        </is>
      </c>
      <c r="E8" s="8" t="inlineStr">
        <is>
          <t>R-01</t>
        </is>
      </c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8" t="n"/>
      <c r="JD8" s="8" t="n"/>
      <c r="JE8" s="8" t="n"/>
      <c r="JF8" s="8" t="n"/>
      <c r="JG8" s="8" t="n"/>
      <c r="JH8" s="8" t="n"/>
      <c r="JI8" s="8" t="n"/>
      <c r="JJ8" s="8" t="n"/>
      <c r="JK8" s="8" t="n"/>
      <c r="JL8" s="8" t="n"/>
      <c r="JM8" s="8" t="n"/>
      <c r="JN8" s="8" t="n"/>
      <c r="JO8" s="8" t="n"/>
      <c r="JP8" s="8" t="n"/>
      <c r="JQ8" s="8" t="n"/>
      <c r="JR8" s="8" t="n"/>
      <c r="JS8" s="8" t="n"/>
      <c r="JT8" s="8" t="n"/>
      <c r="JU8" s="8" t="n"/>
      <c r="JV8" s="8" t="n"/>
      <c r="JW8" s="8" t="n"/>
      <c r="JX8" s="8" t="n"/>
      <c r="JY8" s="8" t="n"/>
      <c r="JZ8" s="8" t="n"/>
      <c r="KA8" s="8" t="n"/>
      <c r="KB8" s="8" t="n"/>
      <c r="KC8" s="8" t="n"/>
      <c r="KD8" s="8" t="n"/>
      <c r="KE8" s="8" t="n"/>
      <c r="KF8" s="8" t="n"/>
      <c r="KG8" s="8" t="n"/>
      <c r="KH8" s="8" t="n"/>
      <c r="KI8" s="8" t="n"/>
      <c r="KJ8" s="8" t="n"/>
      <c r="KK8" s="8" t="n"/>
      <c r="KL8" s="8" t="n"/>
      <c r="KM8" s="8" t="n"/>
      <c r="KN8" s="8" t="n"/>
      <c r="KO8" s="8" t="n"/>
    </row>
    <row r="9">
      <c r="A9" s="11" t="inlineStr">
        <is>
          <t>水準1</t>
        </is>
      </c>
      <c r="B9" s="8" t="inlineStr">
        <is>
          <t>登録済み</t>
        </is>
      </c>
      <c r="C9" s="8" t="inlineStr">
        <is>
          <t>正しい</t>
        </is>
      </c>
      <c r="D9" s="8" t="inlineStr">
        <is>
          <t>アクティブ</t>
        </is>
      </c>
      <c r="E9" s="8" t="inlineStr">
        <is>
          <t>0〜1回</t>
        </is>
      </c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8" t="n"/>
      <c r="JD9" s="8" t="n"/>
      <c r="JE9" s="8" t="n"/>
      <c r="JF9" s="8" t="n"/>
      <c r="JG9" s="8" t="n"/>
      <c r="JH9" s="8" t="n"/>
      <c r="JI9" s="8" t="n"/>
      <c r="JJ9" s="8" t="n"/>
      <c r="JK9" s="8" t="n"/>
      <c r="JL9" s="8" t="n"/>
      <c r="JM9" s="8" t="n"/>
      <c r="JN9" s="8" t="n"/>
      <c r="JO9" s="8" t="n"/>
      <c r="JP9" s="8" t="n"/>
      <c r="JQ9" s="8" t="n"/>
      <c r="JR9" s="8" t="n"/>
      <c r="JS9" s="8" t="n"/>
      <c r="JT9" s="8" t="n"/>
      <c r="JU9" s="8" t="n"/>
      <c r="JV9" s="8" t="n"/>
      <c r="JW9" s="8" t="n"/>
      <c r="JX9" s="8" t="n"/>
      <c r="JY9" s="8" t="n"/>
      <c r="JZ9" s="8" t="n"/>
      <c r="KA9" s="8" t="n"/>
      <c r="KB9" s="8" t="n"/>
      <c r="KC9" s="8" t="n"/>
      <c r="KD9" s="8" t="n"/>
      <c r="KE9" s="8" t="n"/>
      <c r="KF9" s="8" t="n"/>
      <c r="KG9" s="8" t="n"/>
      <c r="KH9" s="8" t="n"/>
      <c r="KI9" s="8" t="n"/>
      <c r="KJ9" s="8" t="n"/>
      <c r="KK9" s="8" t="n"/>
      <c r="KL9" s="8" t="n"/>
      <c r="KM9" s="8" t="n"/>
      <c r="KN9" s="8" t="n"/>
      <c r="KO9" s="8" t="n"/>
    </row>
    <row r="10">
      <c r="A10" s="11" t="inlineStr">
        <is>
          <t>水準2</t>
        </is>
      </c>
      <c r="B10" s="8" t="inlineStr">
        <is>
          <t>未登録</t>
        </is>
      </c>
      <c r="C10" s="8" t="inlineStr">
        <is>
          <t>間違っている</t>
        </is>
      </c>
      <c r="D10" s="8" t="inlineStr">
        <is>
          <t>ロック済み</t>
        </is>
      </c>
      <c r="E10" s="8" t="inlineStr">
        <is>
          <t>2回（境界・未ロック）</t>
        </is>
      </c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8" t="n"/>
      <c r="JD10" s="8" t="n"/>
      <c r="JE10" s="8" t="n"/>
      <c r="JF10" s="8" t="n"/>
      <c r="JG10" s="8" t="n"/>
      <c r="JH10" s="8" t="n"/>
      <c r="JI10" s="8" t="n"/>
      <c r="JJ10" s="8" t="n"/>
      <c r="JK10" s="8" t="n"/>
      <c r="JL10" s="8" t="n"/>
      <c r="JM10" s="8" t="n"/>
      <c r="JN10" s="8" t="n"/>
      <c r="JO10" s="8" t="n"/>
      <c r="JP10" s="8" t="n"/>
      <c r="JQ10" s="8" t="n"/>
      <c r="JR10" s="8" t="n"/>
      <c r="JS10" s="8" t="n"/>
      <c r="JT10" s="8" t="n"/>
      <c r="JU10" s="8" t="n"/>
      <c r="JV10" s="8" t="n"/>
      <c r="JW10" s="8" t="n"/>
      <c r="JX10" s="8" t="n"/>
      <c r="JY10" s="8" t="n"/>
      <c r="JZ10" s="8" t="n"/>
      <c r="KA10" s="8" t="n"/>
      <c r="KB10" s="8" t="n"/>
      <c r="KC10" s="8" t="n"/>
      <c r="KD10" s="8" t="n"/>
      <c r="KE10" s="8" t="n"/>
      <c r="KF10" s="8" t="n"/>
      <c r="KG10" s="8" t="n"/>
      <c r="KH10" s="8" t="n"/>
      <c r="KI10" s="8" t="n"/>
      <c r="KJ10" s="8" t="n"/>
      <c r="KK10" s="8" t="n"/>
      <c r="KL10" s="8" t="n"/>
      <c r="KM10" s="8" t="n"/>
      <c r="KN10" s="8" t="n"/>
      <c r="KO10" s="8" t="n"/>
    </row>
    <row r="11">
      <c r="A11" s="11" t="inlineStr">
        <is>
          <t>水準3</t>
        </is>
      </c>
      <c r="B11" s="8" t="inlineStr">
        <is>
          <t>空欄（無効）</t>
        </is>
      </c>
      <c r="C11" s="8" t="inlineStr">
        <is>
          <t>空欄（無効）</t>
        </is>
      </c>
      <c r="D11" s="8" t="n"/>
      <c r="E11" s="8" t="inlineStr">
        <is>
          <t>3回（境界・ロック発動）</t>
        </is>
      </c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8" t="n"/>
      <c r="JD11" s="8" t="n"/>
      <c r="JE11" s="8" t="n"/>
      <c r="JF11" s="8" t="n"/>
      <c r="JG11" s="8" t="n"/>
      <c r="JH11" s="8" t="n"/>
      <c r="JI11" s="8" t="n"/>
      <c r="JJ11" s="8" t="n"/>
      <c r="JK11" s="8" t="n"/>
      <c r="JL11" s="8" t="n"/>
      <c r="JM11" s="8" t="n"/>
      <c r="JN11" s="8" t="n"/>
      <c r="JO11" s="8" t="n"/>
      <c r="JP11" s="8" t="n"/>
      <c r="JQ11" s="8" t="n"/>
      <c r="JR11" s="8" t="n"/>
      <c r="JS11" s="8" t="n"/>
      <c r="JT11" s="8" t="n"/>
      <c r="JU11" s="8" t="n"/>
      <c r="JV11" s="8" t="n"/>
      <c r="JW11" s="8" t="n"/>
      <c r="JX11" s="8" t="n"/>
      <c r="JY11" s="8" t="n"/>
      <c r="JZ11" s="8" t="n"/>
      <c r="KA11" s="8" t="n"/>
      <c r="KB11" s="8" t="n"/>
      <c r="KC11" s="8" t="n"/>
      <c r="KD11" s="8" t="n"/>
      <c r="KE11" s="8" t="n"/>
      <c r="KF11" s="8" t="n"/>
      <c r="KG11" s="8" t="n"/>
      <c r="KH11" s="8" t="n"/>
      <c r="KI11" s="8" t="n"/>
      <c r="KJ11" s="8" t="n"/>
      <c r="KK11" s="8" t="n"/>
      <c r="KL11" s="8" t="n"/>
      <c r="KM11" s="8" t="n"/>
      <c r="KN11" s="8" t="n"/>
      <c r="KO11" s="8" t="n"/>
    </row>
    <row r="12">
      <c r="A12" s="11" t="inlineStr">
        <is>
          <t>水準4</t>
        </is>
      </c>
      <c r="B12" s="8" t="inlineStr">
        <is>
          <t>形式不正（無効）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8" t="n"/>
      <c r="JD12" s="8" t="n"/>
      <c r="JE12" s="8" t="n"/>
      <c r="JF12" s="8" t="n"/>
      <c r="JG12" s="8" t="n"/>
      <c r="JH12" s="8" t="n"/>
      <c r="JI12" s="8" t="n"/>
      <c r="JJ12" s="8" t="n"/>
      <c r="JK12" s="8" t="n"/>
      <c r="JL12" s="8" t="n"/>
      <c r="JM12" s="8" t="n"/>
      <c r="JN12" s="8" t="n"/>
      <c r="JO12" s="8" t="n"/>
      <c r="JP12" s="8" t="n"/>
      <c r="JQ12" s="8" t="n"/>
      <c r="JR12" s="8" t="n"/>
      <c r="JS12" s="8" t="n"/>
      <c r="JT12" s="8" t="n"/>
      <c r="JU12" s="8" t="n"/>
      <c r="JV12" s="8" t="n"/>
      <c r="JW12" s="8" t="n"/>
      <c r="JX12" s="8" t="n"/>
      <c r="JY12" s="8" t="n"/>
      <c r="JZ12" s="8" t="n"/>
      <c r="KA12" s="8" t="n"/>
      <c r="KB12" s="8" t="n"/>
      <c r="KC12" s="8" t="n"/>
      <c r="KD12" s="8" t="n"/>
      <c r="KE12" s="8" t="n"/>
      <c r="KF12" s="8" t="n"/>
      <c r="KG12" s="8" t="n"/>
      <c r="KH12" s="8" t="n"/>
      <c r="KI12" s="8" t="n"/>
      <c r="KJ12" s="8" t="n"/>
      <c r="KK12" s="8" t="n"/>
      <c r="KL12" s="8" t="n"/>
      <c r="KM12" s="8" t="n"/>
      <c r="KN12" s="8" t="n"/>
      <c r="KO12" s="8" t="n"/>
    </row>
    <row r="13">
      <c r="A13" s="11" t="inlineStr">
        <is>
          <t>水準5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8" t="n"/>
      <c r="JD13" s="8" t="n"/>
      <c r="JE13" s="8" t="n"/>
      <c r="JF13" s="8" t="n"/>
      <c r="JG13" s="8" t="n"/>
      <c r="JH13" s="8" t="n"/>
      <c r="JI13" s="8" t="n"/>
      <c r="JJ13" s="8" t="n"/>
      <c r="JK13" s="8" t="n"/>
      <c r="JL13" s="8" t="n"/>
      <c r="JM13" s="8" t="n"/>
      <c r="JN13" s="8" t="n"/>
      <c r="JO13" s="8" t="n"/>
      <c r="JP13" s="8" t="n"/>
      <c r="JQ13" s="8" t="n"/>
      <c r="JR13" s="8" t="n"/>
      <c r="JS13" s="8" t="n"/>
      <c r="JT13" s="8" t="n"/>
      <c r="JU13" s="8" t="n"/>
      <c r="JV13" s="8" t="n"/>
      <c r="JW13" s="8" t="n"/>
      <c r="JX13" s="8" t="n"/>
      <c r="JY13" s="8" t="n"/>
      <c r="JZ13" s="8" t="n"/>
      <c r="KA13" s="8" t="n"/>
      <c r="KB13" s="8" t="n"/>
      <c r="KC13" s="8" t="n"/>
      <c r="KD13" s="8" t="n"/>
      <c r="KE13" s="8" t="n"/>
      <c r="KF13" s="8" t="n"/>
      <c r="KG13" s="8" t="n"/>
      <c r="KH13" s="8" t="n"/>
      <c r="KI13" s="8" t="n"/>
      <c r="KJ13" s="8" t="n"/>
      <c r="KK13" s="8" t="n"/>
      <c r="KL13" s="8" t="n"/>
      <c r="KM13" s="8" t="n"/>
      <c r="KN13" s="8" t="n"/>
      <c r="KO13" s="8" t="n"/>
    </row>
    <row r="14">
      <c r="A14" s="11" t="inlineStr">
        <is>
          <t>水準6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8" t="n"/>
      <c r="JD14" s="8" t="n"/>
      <c r="JE14" s="8" t="n"/>
      <c r="JF14" s="8" t="n"/>
      <c r="JG14" s="8" t="n"/>
      <c r="JH14" s="8" t="n"/>
      <c r="JI14" s="8" t="n"/>
      <c r="JJ14" s="8" t="n"/>
      <c r="JK14" s="8" t="n"/>
      <c r="JL14" s="8" t="n"/>
      <c r="JM14" s="8" t="n"/>
      <c r="JN14" s="8" t="n"/>
      <c r="JO14" s="8" t="n"/>
      <c r="JP14" s="8" t="n"/>
      <c r="JQ14" s="8" t="n"/>
      <c r="JR14" s="8" t="n"/>
      <c r="JS14" s="8" t="n"/>
      <c r="JT14" s="8" t="n"/>
      <c r="JU14" s="8" t="n"/>
      <c r="JV14" s="8" t="n"/>
      <c r="JW14" s="8" t="n"/>
      <c r="JX14" s="8" t="n"/>
      <c r="JY14" s="8" t="n"/>
      <c r="JZ14" s="8" t="n"/>
      <c r="KA14" s="8" t="n"/>
      <c r="KB14" s="8" t="n"/>
      <c r="KC14" s="8" t="n"/>
      <c r="KD14" s="8" t="n"/>
      <c r="KE14" s="8" t="n"/>
      <c r="KF14" s="8" t="n"/>
      <c r="KG14" s="8" t="n"/>
      <c r="KH14" s="8" t="n"/>
      <c r="KI14" s="8" t="n"/>
      <c r="KJ14" s="8" t="n"/>
      <c r="KK14" s="8" t="n"/>
      <c r="KL14" s="8" t="n"/>
      <c r="KM14" s="8" t="n"/>
      <c r="KN14" s="8" t="n"/>
      <c r="KO14" s="8" t="n"/>
    </row>
    <row r="15">
      <c r="A15" s="11" t="inlineStr">
        <is>
          <t>水準7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8" t="n"/>
      <c r="JD15" s="8" t="n"/>
      <c r="JE15" s="8" t="n"/>
      <c r="JF15" s="8" t="n"/>
      <c r="JG15" s="8" t="n"/>
      <c r="JH15" s="8" t="n"/>
      <c r="JI15" s="8" t="n"/>
      <c r="JJ15" s="8" t="n"/>
      <c r="JK15" s="8" t="n"/>
      <c r="JL15" s="8" t="n"/>
      <c r="JM15" s="8" t="n"/>
      <c r="JN15" s="8" t="n"/>
      <c r="JO15" s="8" t="n"/>
      <c r="JP15" s="8" t="n"/>
      <c r="JQ15" s="8" t="n"/>
      <c r="JR15" s="8" t="n"/>
      <c r="JS15" s="8" t="n"/>
      <c r="JT15" s="8" t="n"/>
      <c r="JU15" s="8" t="n"/>
      <c r="JV15" s="8" t="n"/>
      <c r="JW15" s="8" t="n"/>
      <c r="JX15" s="8" t="n"/>
      <c r="JY15" s="8" t="n"/>
      <c r="JZ15" s="8" t="n"/>
      <c r="KA15" s="8" t="n"/>
      <c r="KB15" s="8" t="n"/>
      <c r="KC15" s="8" t="n"/>
      <c r="KD15" s="8" t="n"/>
      <c r="KE15" s="8" t="n"/>
      <c r="KF15" s="8" t="n"/>
      <c r="KG15" s="8" t="n"/>
      <c r="KH15" s="8" t="n"/>
      <c r="KI15" s="8" t="n"/>
      <c r="KJ15" s="8" t="n"/>
      <c r="KK15" s="8" t="n"/>
      <c r="KL15" s="8" t="n"/>
      <c r="KM15" s="8" t="n"/>
      <c r="KN15" s="8" t="n"/>
      <c r="KO15" s="8" t="n"/>
    </row>
    <row r="16">
      <c r="A16" s="11" t="inlineStr">
        <is>
          <t>水準8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8" t="n"/>
      <c r="JD16" s="8" t="n"/>
      <c r="JE16" s="8" t="n"/>
      <c r="JF16" s="8" t="n"/>
      <c r="JG16" s="8" t="n"/>
      <c r="JH16" s="8" t="n"/>
      <c r="JI16" s="8" t="n"/>
      <c r="JJ16" s="8" t="n"/>
      <c r="JK16" s="8" t="n"/>
      <c r="JL16" s="8" t="n"/>
      <c r="JM16" s="8" t="n"/>
      <c r="JN16" s="8" t="n"/>
      <c r="JO16" s="8" t="n"/>
      <c r="JP16" s="8" t="n"/>
      <c r="JQ16" s="8" t="n"/>
      <c r="JR16" s="8" t="n"/>
      <c r="JS16" s="8" t="n"/>
      <c r="JT16" s="8" t="n"/>
      <c r="JU16" s="8" t="n"/>
      <c r="JV16" s="8" t="n"/>
      <c r="JW16" s="8" t="n"/>
      <c r="JX16" s="8" t="n"/>
      <c r="JY16" s="8" t="n"/>
      <c r="JZ16" s="8" t="n"/>
      <c r="KA16" s="8" t="n"/>
      <c r="KB16" s="8" t="n"/>
      <c r="KC16" s="8" t="n"/>
      <c r="KD16" s="8" t="n"/>
      <c r="KE16" s="8" t="n"/>
      <c r="KF16" s="8" t="n"/>
      <c r="KG16" s="8" t="n"/>
      <c r="KH16" s="8" t="n"/>
      <c r="KI16" s="8" t="n"/>
      <c r="KJ16" s="8" t="n"/>
      <c r="KK16" s="8" t="n"/>
      <c r="KL16" s="8" t="n"/>
      <c r="KM16" s="8" t="n"/>
      <c r="KN16" s="8" t="n"/>
      <c r="KO16" s="8" t="n"/>
    </row>
    <row r="17">
      <c r="A17" s="11" t="inlineStr">
        <is>
          <t>水準9</t>
        </is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8" t="n"/>
      <c r="JD17" s="8" t="n"/>
      <c r="JE17" s="8" t="n"/>
      <c r="JF17" s="8" t="n"/>
      <c r="JG17" s="8" t="n"/>
      <c r="JH17" s="8" t="n"/>
      <c r="JI17" s="8" t="n"/>
      <c r="JJ17" s="8" t="n"/>
      <c r="JK17" s="8" t="n"/>
      <c r="JL17" s="8" t="n"/>
      <c r="JM17" s="8" t="n"/>
      <c r="JN17" s="8" t="n"/>
      <c r="JO17" s="8" t="n"/>
      <c r="JP17" s="8" t="n"/>
      <c r="JQ17" s="8" t="n"/>
      <c r="JR17" s="8" t="n"/>
      <c r="JS17" s="8" t="n"/>
      <c r="JT17" s="8" t="n"/>
      <c r="JU17" s="8" t="n"/>
      <c r="JV17" s="8" t="n"/>
      <c r="JW17" s="8" t="n"/>
      <c r="JX17" s="8" t="n"/>
      <c r="JY17" s="8" t="n"/>
      <c r="JZ17" s="8" t="n"/>
      <c r="KA17" s="8" t="n"/>
      <c r="KB17" s="8" t="n"/>
      <c r="KC17" s="8" t="n"/>
      <c r="KD17" s="8" t="n"/>
      <c r="KE17" s="8" t="n"/>
      <c r="KF17" s="8" t="n"/>
      <c r="KG17" s="8" t="n"/>
      <c r="KH17" s="8" t="n"/>
      <c r="KI17" s="8" t="n"/>
      <c r="KJ17" s="8" t="n"/>
      <c r="KK17" s="8" t="n"/>
      <c r="KL17" s="8" t="n"/>
      <c r="KM17" s="8" t="n"/>
      <c r="KN17" s="8" t="n"/>
      <c r="KO17" s="8" t="n"/>
    </row>
    <row r="18">
      <c r="A18" s="11" t="inlineStr">
        <is>
          <t>水準10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8" t="n"/>
      <c r="JD18" s="8" t="n"/>
      <c r="JE18" s="8" t="n"/>
      <c r="JF18" s="8" t="n"/>
      <c r="JG18" s="8" t="n"/>
      <c r="JH18" s="8" t="n"/>
      <c r="JI18" s="8" t="n"/>
      <c r="JJ18" s="8" t="n"/>
      <c r="JK18" s="8" t="n"/>
      <c r="JL18" s="8" t="n"/>
      <c r="JM18" s="8" t="n"/>
      <c r="JN18" s="8" t="n"/>
      <c r="JO18" s="8" t="n"/>
      <c r="JP18" s="8" t="n"/>
      <c r="JQ18" s="8" t="n"/>
      <c r="JR18" s="8" t="n"/>
      <c r="JS18" s="8" t="n"/>
      <c r="JT18" s="8" t="n"/>
      <c r="JU18" s="8" t="n"/>
      <c r="JV18" s="8" t="n"/>
      <c r="JW18" s="8" t="n"/>
      <c r="JX18" s="8" t="n"/>
      <c r="JY18" s="8" t="n"/>
      <c r="JZ18" s="8" t="n"/>
      <c r="KA18" s="8" t="n"/>
      <c r="KB18" s="8" t="n"/>
      <c r="KC18" s="8" t="n"/>
      <c r="KD18" s="8" t="n"/>
      <c r="KE18" s="8" t="n"/>
      <c r="KF18" s="8" t="n"/>
      <c r="KG18" s="8" t="n"/>
      <c r="KH18" s="8" t="n"/>
      <c r="KI18" s="8" t="n"/>
      <c r="KJ18" s="8" t="n"/>
      <c r="KK18" s="8" t="n"/>
      <c r="KL18" s="8" t="n"/>
      <c r="KM18" s="8" t="n"/>
      <c r="KN18" s="8" t="n"/>
      <c r="KO18" s="8" t="n"/>
    </row>
    <row r="19">
      <c r="A19" s="11" t="inlineStr">
        <is>
          <t>水準数</t>
        </is>
      </c>
      <c r="B19" s="13">
        <f>COUNTA(B9:B18)</f>
        <v/>
      </c>
      <c r="C19" s="13">
        <f>COUNTA(C9:C18)</f>
        <v/>
      </c>
      <c r="D19" s="13">
        <f>COUNTA(D9:D18)</f>
        <v/>
      </c>
      <c r="E19" s="13">
        <f>COUNTA(E9:E18)</f>
        <v/>
      </c>
      <c r="F19" s="13">
        <f>COUNTA(F9:F18)</f>
        <v/>
      </c>
      <c r="G19" s="13">
        <f>COUNTA(G9:G18)</f>
        <v/>
      </c>
      <c r="H19" s="13">
        <f>COUNTA(H9:H18)</f>
        <v/>
      </c>
      <c r="I19" s="13">
        <f>COUNTA(I9:I18)</f>
        <v/>
      </c>
      <c r="J19" s="13">
        <f>COUNTA(J9:J18)</f>
        <v/>
      </c>
      <c r="K19" s="13">
        <f>COUNTA(K9:K18)</f>
        <v/>
      </c>
      <c r="L19" s="13">
        <f>COUNTA(L9:L18)</f>
        <v/>
      </c>
      <c r="M19" s="13">
        <f>COUNTA(M9:M18)</f>
        <v/>
      </c>
      <c r="N19" s="13">
        <f>COUNTA(N9:N18)</f>
        <v/>
      </c>
      <c r="O19" s="13">
        <f>COUNTA(O9:O18)</f>
        <v/>
      </c>
      <c r="P19" s="13">
        <f>COUNTA(P9:P18)</f>
        <v/>
      </c>
      <c r="Q19" s="13">
        <f>COUNTA(Q9:Q18)</f>
        <v/>
      </c>
      <c r="R19" s="13">
        <f>COUNTA(R9:R18)</f>
        <v/>
      </c>
      <c r="S19" s="13">
        <f>COUNTA(S9:S18)</f>
        <v/>
      </c>
      <c r="T19" s="13">
        <f>COUNTA(T9:T18)</f>
        <v/>
      </c>
      <c r="U19" s="13">
        <f>COUNTA(U9:U18)</f>
        <v/>
      </c>
      <c r="V19" s="13">
        <f>COUNTA(V9:V18)</f>
        <v/>
      </c>
      <c r="W19" s="13">
        <f>COUNTA(W9:W18)</f>
        <v/>
      </c>
      <c r="X19" s="13">
        <f>COUNTA(X9:X18)</f>
        <v/>
      </c>
      <c r="Y19" s="13">
        <f>COUNTA(Y9:Y18)</f>
        <v/>
      </c>
      <c r="Z19" s="13">
        <f>COUNTA(Z9:Z18)</f>
        <v/>
      </c>
      <c r="AA19" s="13">
        <f>COUNTA(AA9:AA18)</f>
        <v/>
      </c>
      <c r="AB19" s="13">
        <f>COUNTA(AB9:AB18)</f>
        <v/>
      </c>
      <c r="AC19" s="13">
        <f>COUNTA(AC9:AC18)</f>
        <v/>
      </c>
      <c r="AD19" s="13">
        <f>COUNTA(AD9:AD18)</f>
        <v/>
      </c>
      <c r="AE19" s="13">
        <f>COUNTA(AE9:AE18)</f>
        <v/>
      </c>
      <c r="AF19" s="13">
        <f>COUNTA(AF9:AF18)</f>
        <v/>
      </c>
      <c r="AG19" s="13">
        <f>COUNTA(AG9:AG18)</f>
        <v/>
      </c>
      <c r="AH19" s="13">
        <f>COUNTA(AH9:AH18)</f>
        <v/>
      </c>
      <c r="AI19" s="13">
        <f>COUNTA(AI9:AI18)</f>
        <v/>
      </c>
      <c r="AJ19" s="13">
        <f>COUNTA(AJ9:AJ18)</f>
        <v/>
      </c>
      <c r="AK19" s="13">
        <f>COUNTA(AK9:AK18)</f>
        <v/>
      </c>
      <c r="AL19" s="13">
        <f>COUNTA(AL9:AL18)</f>
        <v/>
      </c>
      <c r="AM19" s="13">
        <f>COUNTA(AM9:AM18)</f>
        <v/>
      </c>
      <c r="AN19" s="13">
        <f>COUNTA(AN9:AN18)</f>
        <v/>
      </c>
      <c r="AO19" s="13">
        <f>COUNTA(AO9:AO18)</f>
        <v/>
      </c>
      <c r="AP19" s="13">
        <f>COUNTA(AP9:AP18)</f>
        <v/>
      </c>
      <c r="AQ19" s="13">
        <f>COUNTA(AQ9:AQ18)</f>
        <v/>
      </c>
      <c r="AR19" s="13">
        <f>COUNTA(AR9:AR18)</f>
        <v/>
      </c>
      <c r="AS19" s="13">
        <f>COUNTA(AS9:AS18)</f>
        <v/>
      </c>
      <c r="AT19" s="13">
        <f>COUNTA(AT9:AT18)</f>
        <v/>
      </c>
      <c r="AU19" s="13">
        <f>COUNTA(AU9:AU18)</f>
        <v/>
      </c>
      <c r="AV19" s="13">
        <f>COUNTA(AV9:AV18)</f>
        <v/>
      </c>
      <c r="AW19" s="13">
        <f>COUNTA(AW9:AW18)</f>
        <v/>
      </c>
      <c r="AX19" s="13">
        <f>COUNTA(AX9:AX18)</f>
        <v/>
      </c>
      <c r="AY19" s="13">
        <f>COUNTA(AY9:AY18)</f>
        <v/>
      </c>
      <c r="AZ19" s="13">
        <f>COUNTA(AZ9:AZ18)</f>
        <v/>
      </c>
      <c r="BA19" s="13">
        <f>COUNTA(BA9:BA18)</f>
        <v/>
      </c>
      <c r="BB19" s="13">
        <f>COUNTA(BB9:BB18)</f>
        <v/>
      </c>
      <c r="BC19" s="13">
        <f>COUNTA(BC9:BC18)</f>
        <v/>
      </c>
      <c r="BD19" s="13">
        <f>COUNTA(BD9:BD18)</f>
        <v/>
      </c>
      <c r="BE19" s="13">
        <f>COUNTA(BE9:BE18)</f>
        <v/>
      </c>
      <c r="BF19" s="13">
        <f>COUNTA(BF9:BF18)</f>
        <v/>
      </c>
      <c r="BG19" s="13">
        <f>COUNTA(BG9:BG18)</f>
        <v/>
      </c>
      <c r="BH19" s="13">
        <f>COUNTA(BH9:BH18)</f>
        <v/>
      </c>
      <c r="BI19" s="13">
        <f>COUNTA(BI9:BI18)</f>
        <v/>
      </c>
      <c r="BJ19" s="13">
        <f>COUNTA(BJ9:BJ18)</f>
        <v/>
      </c>
      <c r="BK19" s="13">
        <f>COUNTA(BK9:BK18)</f>
        <v/>
      </c>
      <c r="BL19" s="13">
        <f>COUNTA(BL9:BL18)</f>
        <v/>
      </c>
      <c r="BM19" s="13">
        <f>COUNTA(BM9:BM18)</f>
        <v/>
      </c>
      <c r="BN19" s="13">
        <f>COUNTA(BN9:BN18)</f>
        <v/>
      </c>
      <c r="BO19" s="13">
        <f>COUNTA(BO9:BO18)</f>
        <v/>
      </c>
      <c r="BP19" s="13">
        <f>COUNTA(BP9:BP18)</f>
        <v/>
      </c>
      <c r="BQ19" s="13">
        <f>COUNTA(BQ9:BQ18)</f>
        <v/>
      </c>
      <c r="BR19" s="13">
        <f>COUNTA(BR9:BR18)</f>
        <v/>
      </c>
      <c r="BS19" s="13">
        <f>COUNTA(BS9:BS18)</f>
        <v/>
      </c>
      <c r="BT19" s="13">
        <f>COUNTA(BT9:BT18)</f>
        <v/>
      </c>
      <c r="BU19" s="13">
        <f>COUNTA(BU9:BU18)</f>
        <v/>
      </c>
      <c r="BV19" s="13">
        <f>COUNTA(BV9:BV18)</f>
        <v/>
      </c>
      <c r="BW19" s="13">
        <f>COUNTA(BW9:BW18)</f>
        <v/>
      </c>
      <c r="BX19" s="13">
        <f>COUNTA(BX9:BX18)</f>
        <v/>
      </c>
      <c r="BY19" s="13">
        <f>COUNTA(BY9:BY18)</f>
        <v/>
      </c>
      <c r="BZ19" s="13">
        <f>COUNTA(BZ9:BZ18)</f>
        <v/>
      </c>
      <c r="CA19" s="13">
        <f>COUNTA(CA9:CA18)</f>
        <v/>
      </c>
      <c r="CB19" s="13">
        <f>COUNTA(CB9:CB18)</f>
        <v/>
      </c>
      <c r="CC19" s="13">
        <f>COUNTA(CC9:CC18)</f>
        <v/>
      </c>
      <c r="CD19" s="13">
        <f>COUNTA(CD9:CD18)</f>
        <v/>
      </c>
      <c r="CE19" s="13">
        <f>COUNTA(CE9:CE18)</f>
        <v/>
      </c>
      <c r="CF19" s="13">
        <f>COUNTA(CF9:CF18)</f>
        <v/>
      </c>
      <c r="CG19" s="13">
        <f>COUNTA(CG9:CG18)</f>
        <v/>
      </c>
      <c r="CH19" s="13">
        <f>COUNTA(CH9:CH18)</f>
        <v/>
      </c>
      <c r="CI19" s="13">
        <f>COUNTA(CI9:CI18)</f>
        <v/>
      </c>
      <c r="CJ19" s="13">
        <f>COUNTA(CJ9:CJ18)</f>
        <v/>
      </c>
      <c r="CK19" s="13">
        <f>COUNTA(CK9:CK18)</f>
        <v/>
      </c>
      <c r="CL19" s="13">
        <f>COUNTA(CL9:CL18)</f>
        <v/>
      </c>
      <c r="CM19" s="13">
        <f>COUNTA(CM9:CM18)</f>
        <v/>
      </c>
      <c r="CN19" s="13">
        <f>COUNTA(CN9:CN18)</f>
        <v/>
      </c>
      <c r="CO19" s="13">
        <f>COUNTA(CO9:CO18)</f>
        <v/>
      </c>
      <c r="CP19" s="13">
        <f>COUNTA(CP9:CP18)</f>
        <v/>
      </c>
      <c r="CQ19" s="13">
        <f>COUNTA(CQ9:CQ18)</f>
        <v/>
      </c>
      <c r="CR19" s="13">
        <f>COUNTA(CR9:CR18)</f>
        <v/>
      </c>
      <c r="CS19" s="13">
        <f>COUNTA(CS9:CS18)</f>
        <v/>
      </c>
      <c r="CT19" s="13">
        <f>COUNTA(CT9:CT18)</f>
        <v/>
      </c>
      <c r="CU19" s="13">
        <f>COUNTA(CU9:CU18)</f>
        <v/>
      </c>
      <c r="CV19" s="13">
        <f>COUNTA(CV9:CV18)</f>
        <v/>
      </c>
      <c r="CW19" s="13">
        <f>COUNTA(CW9:CW18)</f>
        <v/>
      </c>
      <c r="CX19" s="13">
        <f>COUNTA(CX9:CX18)</f>
        <v/>
      </c>
      <c r="CY19" s="13">
        <f>COUNTA(CY9:CY18)</f>
        <v/>
      </c>
      <c r="CZ19" s="13">
        <f>COUNTA(CZ9:CZ18)</f>
        <v/>
      </c>
      <c r="DA19" s="13">
        <f>COUNTA(DA9:DA18)</f>
        <v/>
      </c>
      <c r="DB19" s="13">
        <f>COUNTA(DB9:DB18)</f>
        <v/>
      </c>
      <c r="DC19" s="13">
        <f>COUNTA(DC9:DC18)</f>
        <v/>
      </c>
      <c r="DD19" s="13">
        <f>COUNTA(DD9:DD18)</f>
        <v/>
      </c>
      <c r="DE19" s="13">
        <f>COUNTA(DE9:DE18)</f>
        <v/>
      </c>
      <c r="DF19" s="13">
        <f>COUNTA(DF9:DF18)</f>
        <v/>
      </c>
      <c r="DG19" s="13">
        <f>COUNTA(DG9:DG18)</f>
        <v/>
      </c>
      <c r="DH19" s="13">
        <f>COUNTA(DH9:DH18)</f>
        <v/>
      </c>
      <c r="DI19" s="13">
        <f>COUNTA(DI9:DI18)</f>
        <v/>
      </c>
      <c r="DJ19" s="13">
        <f>COUNTA(DJ9:DJ18)</f>
        <v/>
      </c>
      <c r="DK19" s="13">
        <f>COUNTA(DK9:DK18)</f>
        <v/>
      </c>
      <c r="DL19" s="13">
        <f>COUNTA(DL9:DL18)</f>
        <v/>
      </c>
      <c r="DM19" s="13">
        <f>COUNTA(DM9:DM18)</f>
        <v/>
      </c>
      <c r="DN19" s="13">
        <f>COUNTA(DN9:DN18)</f>
        <v/>
      </c>
      <c r="DO19" s="13">
        <f>COUNTA(DO9:DO18)</f>
        <v/>
      </c>
      <c r="DP19" s="13">
        <f>COUNTA(DP9:DP18)</f>
        <v/>
      </c>
      <c r="DQ19" s="13">
        <f>COUNTA(DQ9:DQ18)</f>
        <v/>
      </c>
      <c r="DR19" s="13">
        <f>COUNTA(DR9:DR18)</f>
        <v/>
      </c>
      <c r="DS19" s="13">
        <f>COUNTA(DS9:DS18)</f>
        <v/>
      </c>
      <c r="DT19" s="13">
        <f>COUNTA(DT9:DT18)</f>
        <v/>
      </c>
      <c r="DU19" s="13">
        <f>COUNTA(DU9:DU18)</f>
        <v/>
      </c>
      <c r="DV19" s="13">
        <f>COUNTA(DV9:DV18)</f>
        <v/>
      </c>
      <c r="DW19" s="13">
        <f>COUNTA(DW9:DW18)</f>
        <v/>
      </c>
      <c r="DX19" s="13">
        <f>COUNTA(DX9:DX18)</f>
        <v/>
      </c>
      <c r="DY19" s="13">
        <f>COUNTA(DY9:DY18)</f>
        <v/>
      </c>
      <c r="DZ19" s="13">
        <f>COUNTA(DZ9:DZ18)</f>
        <v/>
      </c>
      <c r="EA19" s="13">
        <f>COUNTA(EA9:EA18)</f>
        <v/>
      </c>
      <c r="EB19" s="13">
        <f>COUNTA(EB9:EB18)</f>
        <v/>
      </c>
      <c r="EC19" s="13">
        <f>COUNTA(EC9:EC18)</f>
        <v/>
      </c>
      <c r="ED19" s="13">
        <f>COUNTA(ED9:ED18)</f>
        <v/>
      </c>
      <c r="EE19" s="13">
        <f>COUNTA(EE9:EE18)</f>
        <v/>
      </c>
      <c r="EF19" s="13">
        <f>COUNTA(EF9:EF18)</f>
        <v/>
      </c>
      <c r="EG19" s="13">
        <f>COUNTA(EG9:EG18)</f>
        <v/>
      </c>
      <c r="EH19" s="13">
        <f>COUNTA(EH9:EH18)</f>
        <v/>
      </c>
      <c r="EI19" s="13">
        <f>COUNTA(EI9:EI18)</f>
        <v/>
      </c>
      <c r="EJ19" s="13">
        <f>COUNTA(EJ9:EJ18)</f>
        <v/>
      </c>
      <c r="EK19" s="13">
        <f>COUNTA(EK9:EK18)</f>
        <v/>
      </c>
      <c r="EL19" s="13">
        <f>COUNTA(EL9:EL18)</f>
        <v/>
      </c>
      <c r="EM19" s="13">
        <f>COUNTA(EM9:EM18)</f>
        <v/>
      </c>
      <c r="EN19" s="13">
        <f>COUNTA(EN9:EN18)</f>
        <v/>
      </c>
      <c r="EO19" s="13">
        <f>COUNTA(EO9:EO18)</f>
        <v/>
      </c>
      <c r="EP19" s="13">
        <f>COUNTA(EP9:EP18)</f>
        <v/>
      </c>
      <c r="EQ19" s="13">
        <f>COUNTA(EQ9:EQ18)</f>
        <v/>
      </c>
      <c r="ER19" s="13">
        <f>COUNTA(ER9:ER18)</f>
        <v/>
      </c>
      <c r="ES19" s="13">
        <f>COUNTA(ES9:ES18)</f>
        <v/>
      </c>
      <c r="ET19" s="13">
        <f>COUNTA(ET9:ET18)</f>
        <v/>
      </c>
      <c r="EU19" s="13">
        <f>COUNTA(EU9:EU18)</f>
        <v/>
      </c>
      <c r="EV19" s="13">
        <f>COUNTA(EV9:EV18)</f>
        <v/>
      </c>
      <c r="EW19" s="13">
        <f>COUNTA(EW9:EW18)</f>
        <v/>
      </c>
      <c r="EX19" s="13">
        <f>COUNTA(EX9:EX18)</f>
        <v/>
      </c>
      <c r="EY19" s="13">
        <f>COUNTA(EY9:EY18)</f>
        <v/>
      </c>
      <c r="EZ19" s="13">
        <f>COUNTA(EZ9:EZ18)</f>
        <v/>
      </c>
      <c r="FA19" s="13">
        <f>COUNTA(FA9:FA18)</f>
        <v/>
      </c>
      <c r="FB19" s="13">
        <f>COUNTA(FB9:FB18)</f>
        <v/>
      </c>
      <c r="FC19" s="13">
        <f>COUNTA(FC9:FC18)</f>
        <v/>
      </c>
      <c r="FD19" s="13">
        <f>COUNTA(FD9:FD18)</f>
        <v/>
      </c>
      <c r="FE19" s="13">
        <f>COUNTA(FE9:FE18)</f>
        <v/>
      </c>
      <c r="FF19" s="13">
        <f>COUNTA(FF9:FF18)</f>
        <v/>
      </c>
      <c r="FG19" s="13">
        <f>COUNTA(FG9:FG18)</f>
        <v/>
      </c>
      <c r="FH19" s="13">
        <f>COUNTA(FH9:FH18)</f>
        <v/>
      </c>
      <c r="FI19" s="13">
        <f>COUNTA(FI9:FI18)</f>
        <v/>
      </c>
      <c r="FJ19" s="13">
        <f>COUNTA(FJ9:FJ18)</f>
        <v/>
      </c>
      <c r="FK19" s="13">
        <f>COUNTA(FK9:FK18)</f>
        <v/>
      </c>
      <c r="FL19" s="13">
        <f>COUNTA(FL9:FL18)</f>
        <v/>
      </c>
      <c r="FM19" s="13">
        <f>COUNTA(FM9:FM18)</f>
        <v/>
      </c>
      <c r="FN19" s="13">
        <f>COUNTA(FN9:FN18)</f>
        <v/>
      </c>
      <c r="FO19" s="13">
        <f>COUNTA(FO9:FO18)</f>
        <v/>
      </c>
      <c r="FP19" s="13">
        <f>COUNTA(FP9:FP18)</f>
        <v/>
      </c>
      <c r="FQ19" s="13">
        <f>COUNTA(FQ9:FQ18)</f>
        <v/>
      </c>
      <c r="FR19" s="13">
        <f>COUNTA(FR9:FR18)</f>
        <v/>
      </c>
      <c r="FS19" s="13">
        <f>COUNTA(FS9:FS18)</f>
        <v/>
      </c>
      <c r="FT19" s="13">
        <f>COUNTA(FT9:FT18)</f>
        <v/>
      </c>
      <c r="FU19" s="13">
        <f>COUNTA(FU9:FU18)</f>
        <v/>
      </c>
      <c r="FV19" s="13">
        <f>COUNTA(FV9:FV18)</f>
        <v/>
      </c>
      <c r="FW19" s="13">
        <f>COUNTA(FW9:FW18)</f>
        <v/>
      </c>
      <c r="FX19" s="13">
        <f>COUNTA(FX9:FX18)</f>
        <v/>
      </c>
      <c r="FY19" s="13">
        <f>COUNTA(FY9:FY18)</f>
        <v/>
      </c>
      <c r="FZ19" s="13">
        <f>COUNTA(FZ9:FZ18)</f>
        <v/>
      </c>
      <c r="GA19" s="13">
        <f>COUNTA(GA9:GA18)</f>
        <v/>
      </c>
      <c r="GB19" s="13">
        <f>COUNTA(GB9:GB18)</f>
        <v/>
      </c>
      <c r="GC19" s="13">
        <f>COUNTA(GC9:GC18)</f>
        <v/>
      </c>
      <c r="GD19" s="13">
        <f>COUNTA(GD9:GD18)</f>
        <v/>
      </c>
      <c r="GE19" s="13">
        <f>COUNTA(GE9:GE18)</f>
        <v/>
      </c>
      <c r="GF19" s="13">
        <f>COUNTA(GF9:GF18)</f>
        <v/>
      </c>
      <c r="GG19" s="13">
        <f>COUNTA(GG9:GG18)</f>
        <v/>
      </c>
      <c r="GH19" s="13">
        <f>COUNTA(GH9:GH18)</f>
        <v/>
      </c>
      <c r="GI19" s="13">
        <f>COUNTA(GI9:GI18)</f>
        <v/>
      </c>
      <c r="GJ19" s="13">
        <f>COUNTA(GJ9:GJ18)</f>
        <v/>
      </c>
      <c r="GK19" s="13">
        <f>COUNTA(GK9:GK18)</f>
        <v/>
      </c>
      <c r="GL19" s="13">
        <f>COUNTA(GL9:GL18)</f>
        <v/>
      </c>
      <c r="GM19" s="13">
        <f>COUNTA(GM9:GM18)</f>
        <v/>
      </c>
      <c r="GN19" s="13">
        <f>COUNTA(GN9:GN18)</f>
        <v/>
      </c>
      <c r="GO19" s="13">
        <f>COUNTA(GO9:GO18)</f>
        <v/>
      </c>
      <c r="GP19" s="13">
        <f>COUNTA(GP9:GP18)</f>
        <v/>
      </c>
      <c r="GQ19" s="13">
        <f>COUNTA(GQ9:GQ18)</f>
        <v/>
      </c>
      <c r="GR19" s="13">
        <f>COUNTA(GR9:GR18)</f>
        <v/>
      </c>
      <c r="GS19" s="13">
        <f>COUNTA(GS9:GS18)</f>
        <v/>
      </c>
      <c r="GT19" s="13">
        <f>COUNTA(GT9:GT18)</f>
        <v/>
      </c>
      <c r="GU19" s="13">
        <f>COUNTA(GU9:GU18)</f>
        <v/>
      </c>
      <c r="GV19" s="13">
        <f>COUNTA(GV9:GV18)</f>
        <v/>
      </c>
      <c r="GW19" s="13">
        <f>COUNTA(GW9:GW18)</f>
        <v/>
      </c>
      <c r="GX19" s="13">
        <f>COUNTA(GX9:GX18)</f>
        <v/>
      </c>
      <c r="GY19" s="13">
        <f>COUNTA(GY9:GY18)</f>
        <v/>
      </c>
      <c r="GZ19" s="13">
        <f>COUNTA(GZ9:GZ18)</f>
        <v/>
      </c>
      <c r="HA19" s="13">
        <f>COUNTA(HA9:HA18)</f>
        <v/>
      </c>
      <c r="HB19" s="13">
        <f>COUNTA(HB9:HB18)</f>
        <v/>
      </c>
      <c r="HC19" s="13">
        <f>COUNTA(HC9:HC18)</f>
        <v/>
      </c>
      <c r="HD19" s="13">
        <f>COUNTA(HD9:HD18)</f>
        <v/>
      </c>
      <c r="HE19" s="13">
        <f>COUNTA(HE9:HE18)</f>
        <v/>
      </c>
      <c r="HF19" s="13">
        <f>COUNTA(HF9:HF18)</f>
        <v/>
      </c>
      <c r="HG19" s="13">
        <f>COUNTA(HG9:HG18)</f>
        <v/>
      </c>
      <c r="HH19" s="13">
        <f>COUNTA(HH9:HH18)</f>
        <v/>
      </c>
      <c r="HI19" s="13">
        <f>COUNTA(HI9:HI18)</f>
        <v/>
      </c>
      <c r="HJ19" s="13">
        <f>COUNTA(HJ9:HJ18)</f>
        <v/>
      </c>
      <c r="HK19" s="13">
        <f>COUNTA(HK9:HK18)</f>
        <v/>
      </c>
      <c r="HL19" s="13">
        <f>COUNTA(HL9:HL18)</f>
        <v/>
      </c>
      <c r="HM19" s="13">
        <f>COUNTA(HM9:HM18)</f>
        <v/>
      </c>
      <c r="HN19" s="13">
        <f>COUNTA(HN9:HN18)</f>
        <v/>
      </c>
      <c r="HO19" s="13">
        <f>COUNTA(HO9:HO18)</f>
        <v/>
      </c>
      <c r="HP19" s="13">
        <f>COUNTA(HP9:HP18)</f>
        <v/>
      </c>
      <c r="HQ19" s="13">
        <f>COUNTA(HQ9:HQ18)</f>
        <v/>
      </c>
      <c r="HR19" s="13">
        <f>COUNTA(HR9:HR18)</f>
        <v/>
      </c>
      <c r="HS19" s="13">
        <f>COUNTA(HS9:HS18)</f>
        <v/>
      </c>
      <c r="HT19" s="13">
        <f>COUNTA(HT9:HT18)</f>
        <v/>
      </c>
      <c r="HU19" s="13">
        <f>COUNTA(HU9:HU18)</f>
        <v/>
      </c>
      <c r="HV19" s="13">
        <f>COUNTA(HV9:HV18)</f>
        <v/>
      </c>
      <c r="HW19" s="13">
        <f>COUNTA(HW9:HW18)</f>
        <v/>
      </c>
      <c r="HX19" s="13">
        <f>COUNTA(HX9:HX18)</f>
        <v/>
      </c>
      <c r="HY19" s="13">
        <f>COUNTA(HY9:HY18)</f>
        <v/>
      </c>
      <c r="HZ19" s="13">
        <f>COUNTA(HZ9:HZ18)</f>
        <v/>
      </c>
      <c r="IA19" s="13">
        <f>COUNTA(IA9:IA18)</f>
        <v/>
      </c>
      <c r="IB19" s="13">
        <f>COUNTA(IB9:IB18)</f>
        <v/>
      </c>
      <c r="IC19" s="13">
        <f>COUNTA(IC9:IC18)</f>
        <v/>
      </c>
      <c r="ID19" s="13">
        <f>COUNTA(ID9:ID18)</f>
        <v/>
      </c>
      <c r="IE19" s="13">
        <f>COUNTA(IE9:IE18)</f>
        <v/>
      </c>
      <c r="IF19" s="13">
        <f>COUNTA(IF9:IF18)</f>
        <v/>
      </c>
      <c r="IG19" s="13">
        <f>COUNTA(IG9:IG18)</f>
        <v/>
      </c>
      <c r="IH19" s="13">
        <f>COUNTA(IH9:IH18)</f>
        <v/>
      </c>
      <c r="II19" s="13">
        <f>COUNTA(II9:II18)</f>
        <v/>
      </c>
      <c r="IJ19" s="13">
        <f>COUNTA(IJ9:IJ18)</f>
        <v/>
      </c>
      <c r="IK19" s="13">
        <f>COUNTA(IK9:IK18)</f>
        <v/>
      </c>
      <c r="IL19" s="13">
        <f>COUNTA(IL9:IL18)</f>
        <v/>
      </c>
      <c r="IM19" s="13">
        <f>COUNTA(IM9:IM18)</f>
        <v/>
      </c>
      <c r="IN19" s="13">
        <f>COUNTA(IN9:IN18)</f>
        <v/>
      </c>
      <c r="IO19" s="13">
        <f>COUNTA(IO9:IO18)</f>
        <v/>
      </c>
      <c r="IP19" s="13">
        <f>COUNTA(IP9:IP18)</f>
        <v/>
      </c>
      <c r="IQ19" s="13">
        <f>COUNTA(IQ9:IQ18)</f>
        <v/>
      </c>
      <c r="IR19" s="13">
        <f>COUNTA(IR9:IR18)</f>
        <v/>
      </c>
      <c r="IS19" s="13">
        <f>COUNTA(IS9:IS18)</f>
        <v/>
      </c>
      <c r="IT19" s="13">
        <f>COUNTA(IT9:IT18)</f>
        <v/>
      </c>
      <c r="IU19" s="13">
        <f>COUNTA(IU9:IU18)</f>
        <v/>
      </c>
      <c r="IV19" s="13">
        <f>COUNTA(IV9:IV18)</f>
        <v/>
      </c>
      <c r="IW19" s="13">
        <f>COUNTA(IW9:IW18)</f>
        <v/>
      </c>
      <c r="IX19" s="13">
        <f>COUNTA(IX9:IX18)</f>
        <v/>
      </c>
      <c r="IY19" s="13">
        <f>COUNTA(IY9:IY18)</f>
        <v/>
      </c>
      <c r="IZ19" s="13">
        <f>COUNTA(IZ9:IZ18)</f>
        <v/>
      </c>
      <c r="JA19" s="13">
        <f>COUNTA(JA9:JA18)</f>
        <v/>
      </c>
      <c r="JB19" s="13">
        <f>COUNTA(JB9:JB18)</f>
        <v/>
      </c>
      <c r="JC19" s="13">
        <f>COUNTA(JC9:JC18)</f>
        <v/>
      </c>
      <c r="JD19" s="13">
        <f>COUNTA(JD9:JD18)</f>
        <v/>
      </c>
      <c r="JE19" s="13">
        <f>COUNTA(JE9:JE18)</f>
        <v/>
      </c>
      <c r="JF19" s="13">
        <f>COUNTA(JF9:JF18)</f>
        <v/>
      </c>
      <c r="JG19" s="13">
        <f>COUNTA(JG9:JG18)</f>
        <v/>
      </c>
      <c r="JH19" s="13">
        <f>COUNTA(JH9:JH18)</f>
        <v/>
      </c>
      <c r="JI19" s="13">
        <f>COUNTA(JI9:JI18)</f>
        <v/>
      </c>
      <c r="JJ19" s="13">
        <f>COUNTA(JJ9:JJ18)</f>
        <v/>
      </c>
      <c r="JK19" s="13">
        <f>COUNTA(JK9:JK18)</f>
        <v/>
      </c>
      <c r="JL19" s="13">
        <f>COUNTA(JL9:JL18)</f>
        <v/>
      </c>
      <c r="JM19" s="13">
        <f>COUNTA(JM9:JM18)</f>
        <v/>
      </c>
      <c r="JN19" s="13">
        <f>COUNTA(JN9:JN18)</f>
        <v/>
      </c>
      <c r="JO19" s="13">
        <f>COUNTA(JO9:JO18)</f>
        <v/>
      </c>
      <c r="JP19" s="13">
        <f>COUNTA(JP9:JP18)</f>
        <v/>
      </c>
      <c r="JQ19" s="13">
        <f>COUNTA(JQ9:JQ18)</f>
        <v/>
      </c>
      <c r="JR19" s="13">
        <f>COUNTA(JR9:JR18)</f>
        <v/>
      </c>
      <c r="JS19" s="13">
        <f>COUNTA(JS9:JS18)</f>
        <v/>
      </c>
      <c r="JT19" s="13">
        <f>COUNTA(JT9:JT18)</f>
        <v/>
      </c>
      <c r="JU19" s="13">
        <f>COUNTA(JU9:JU18)</f>
        <v/>
      </c>
      <c r="JV19" s="13">
        <f>COUNTA(JV9:JV18)</f>
        <v/>
      </c>
      <c r="JW19" s="13">
        <f>COUNTA(JW9:JW18)</f>
        <v/>
      </c>
      <c r="JX19" s="13">
        <f>COUNTA(JX9:JX18)</f>
        <v/>
      </c>
      <c r="JY19" s="13">
        <f>COUNTA(JY9:JY18)</f>
        <v/>
      </c>
      <c r="JZ19" s="13">
        <f>COUNTA(JZ9:JZ18)</f>
        <v/>
      </c>
      <c r="KA19" s="13">
        <f>COUNTA(KA9:KA18)</f>
        <v/>
      </c>
      <c r="KB19" s="13">
        <f>COUNTA(KB9:KB18)</f>
        <v/>
      </c>
      <c r="KC19" s="13">
        <f>COUNTA(KC9:KC18)</f>
        <v/>
      </c>
      <c r="KD19" s="13">
        <f>COUNTA(KD9:KD18)</f>
        <v/>
      </c>
      <c r="KE19" s="13">
        <f>COUNTA(KE9:KE18)</f>
        <v/>
      </c>
      <c r="KF19" s="13">
        <f>COUNTA(KF9:KF18)</f>
        <v/>
      </c>
      <c r="KG19" s="13">
        <f>COUNTA(KG9:KG18)</f>
        <v/>
      </c>
      <c r="KH19" s="13">
        <f>COUNTA(KH9:KH18)</f>
        <v/>
      </c>
      <c r="KI19" s="13">
        <f>COUNTA(KI9:KI18)</f>
        <v/>
      </c>
      <c r="KJ19" s="13">
        <f>COUNTA(KJ9:KJ18)</f>
        <v/>
      </c>
      <c r="KK19" s="13">
        <f>COUNTA(KK9:KK18)</f>
        <v/>
      </c>
      <c r="KL19" s="13">
        <f>COUNTA(KL9:KL18)</f>
        <v/>
      </c>
      <c r="KM19" s="13">
        <f>COUNTA(KM9:KM18)</f>
        <v/>
      </c>
      <c r="KN19" s="13">
        <f>COUNTA(KN9:KN18)</f>
        <v/>
      </c>
      <c r="KO19" s="13">
        <f>COUNTA(KO9:KO18)</f>
        <v/>
      </c>
    </row>
    <row r="20">
      <c r="A20" s="11" t="inlineStr">
        <is>
          <t>（自動）カテゴリ内No</t>
        </is>
      </c>
      <c r="B20" s="14">
        <f>IF(B5="","",B5&amp;"|"&amp;COUNTIF($B$5:B5,B5))</f>
        <v/>
      </c>
      <c r="C20" s="14">
        <f>IF(C5="","",C5&amp;"|"&amp;COUNTIF($B$5:C5,C5))</f>
        <v/>
      </c>
      <c r="D20" s="14">
        <f>IF(D5="","",D5&amp;"|"&amp;COUNTIF($B$5:D5,D5))</f>
        <v/>
      </c>
      <c r="E20" s="14">
        <f>IF(E5="","",E5&amp;"|"&amp;COUNTIF($B$5:E5,E5))</f>
        <v/>
      </c>
      <c r="F20" s="14">
        <f>IF(F5="","",F5&amp;"|"&amp;COUNTIF($B$5:F5,F5))</f>
        <v/>
      </c>
      <c r="G20" s="14">
        <f>IF(G5="","",G5&amp;"|"&amp;COUNTIF($B$5:G5,G5))</f>
        <v/>
      </c>
      <c r="H20" s="14">
        <f>IF(H5="","",H5&amp;"|"&amp;COUNTIF($B$5:H5,H5))</f>
        <v/>
      </c>
      <c r="I20" s="14">
        <f>IF(I5="","",I5&amp;"|"&amp;COUNTIF($B$5:I5,I5))</f>
        <v/>
      </c>
      <c r="J20" s="14">
        <f>IF(J5="","",J5&amp;"|"&amp;COUNTIF($B$5:J5,J5))</f>
        <v/>
      </c>
      <c r="K20" s="14">
        <f>IF(K5="","",K5&amp;"|"&amp;COUNTIF($B$5:K5,K5))</f>
        <v/>
      </c>
      <c r="L20" s="14">
        <f>IF(L5="","",L5&amp;"|"&amp;COUNTIF($B$5:L5,L5))</f>
        <v/>
      </c>
      <c r="M20" s="14">
        <f>IF(M5="","",M5&amp;"|"&amp;COUNTIF($B$5:M5,M5))</f>
        <v/>
      </c>
      <c r="N20" s="14">
        <f>IF(N5="","",N5&amp;"|"&amp;COUNTIF($B$5:N5,N5))</f>
        <v/>
      </c>
      <c r="O20" s="14">
        <f>IF(O5="","",O5&amp;"|"&amp;COUNTIF($B$5:O5,O5))</f>
        <v/>
      </c>
      <c r="P20" s="14">
        <f>IF(P5="","",P5&amp;"|"&amp;COUNTIF($B$5:P5,P5))</f>
        <v/>
      </c>
      <c r="Q20" s="14">
        <f>IF(Q5="","",Q5&amp;"|"&amp;COUNTIF($B$5:Q5,Q5))</f>
        <v/>
      </c>
      <c r="R20" s="14">
        <f>IF(R5="","",R5&amp;"|"&amp;COUNTIF($B$5:R5,R5))</f>
        <v/>
      </c>
      <c r="S20" s="14">
        <f>IF(S5="","",S5&amp;"|"&amp;COUNTIF($B$5:S5,S5))</f>
        <v/>
      </c>
      <c r="T20" s="14">
        <f>IF(T5="","",T5&amp;"|"&amp;COUNTIF($B$5:T5,T5))</f>
        <v/>
      </c>
      <c r="U20" s="14">
        <f>IF(U5="","",U5&amp;"|"&amp;COUNTIF($B$5:U5,U5))</f>
        <v/>
      </c>
      <c r="V20" s="14">
        <f>IF(V5="","",V5&amp;"|"&amp;COUNTIF($B$5:V5,V5))</f>
        <v/>
      </c>
      <c r="W20" s="14">
        <f>IF(W5="","",W5&amp;"|"&amp;COUNTIF($B$5:W5,W5))</f>
        <v/>
      </c>
      <c r="X20" s="14">
        <f>IF(X5="","",X5&amp;"|"&amp;COUNTIF($B$5:X5,X5))</f>
        <v/>
      </c>
      <c r="Y20" s="14">
        <f>IF(Y5="","",Y5&amp;"|"&amp;COUNTIF($B$5:Y5,Y5))</f>
        <v/>
      </c>
      <c r="Z20" s="14">
        <f>IF(Z5="","",Z5&amp;"|"&amp;COUNTIF($B$5:Z5,Z5))</f>
        <v/>
      </c>
      <c r="AA20" s="14">
        <f>IF(AA5="","",AA5&amp;"|"&amp;COUNTIF($B$5:AA5,AA5))</f>
        <v/>
      </c>
      <c r="AB20" s="14">
        <f>IF(AB5="","",AB5&amp;"|"&amp;COUNTIF($B$5:AB5,AB5))</f>
        <v/>
      </c>
      <c r="AC20" s="14">
        <f>IF(AC5="","",AC5&amp;"|"&amp;COUNTIF($B$5:AC5,AC5))</f>
        <v/>
      </c>
      <c r="AD20" s="14">
        <f>IF(AD5="","",AD5&amp;"|"&amp;COUNTIF($B$5:AD5,AD5))</f>
        <v/>
      </c>
      <c r="AE20" s="14">
        <f>IF(AE5="","",AE5&amp;"|"&amp;COUNTIF($B$5:AE5,AE5))</f>
        <v/>
      </c>
      <c r="AF20" s="14">
        <f>IF(AF5="","",AF5&amp;"|"&amp;COUNTIF($B$5:AF5,AF5))</f>
        <v/>
      </c>
      <c r="AG20" s="14">
        <f>IF(AG5="","",AG5&amp;"|"&amp;COUNTIF($B$5:AG5,AG5))</f>
        <v/>
      </c>
      <c r="AH20" s="14">
        <f>IF(AH5="","",AH5&amp;"|"&amp;COUNTIF($B$5:AH5,AH5))</f>
        <v/>
      </c>
      <c r="AI20" s="14">
        <f>IF(AI5="","",AI5&amp;"|"&amp;COUNTIF($B$5:AI5,AI5))</f>
        <v/>
      </c>
      <c r="AJ20" s="14">
        <f>IF(AJ5="","",AJ5&amp;"|"&amp;COUNTIF($B$5:AJ5,AJ5))</f>
        <v/>
      </c>
      <c r="AK20" s="14">
        <f>IF(AK5="","",AK5&amp;"|"&amp;COUNTIF($B$5:AK5,AK5))</f>
        <v/>
      </c>
      <c r="AL20" s="14">
        <f>IF(AL5="","",AL5&amp;"|"&amp;COUNTIF($B$5:AL5,AL5))</f>
        <v/>
      </c>
      <c r="AM20" s="14">
        <f>IF(AM5="","",AM5&amp;"|"&amp;COUNTIF($B$5:AM5,AM5))</f>
        <v/>
      </c>
      <c r="AN20" s="14">
        <f>IF(AN5="","",AN5&amp;"|"&amp;COUNTIF($B$5:AN5,AN5))</f>
        <v/>
      </c>
      <c r="AO20" s="14">
        <f>IF(AO5="","",AO5&amp;"|"&amp;COUNTIF($B$5:AO5,AO5))</f>
        <v/>
      </c>
      <c r="AP20" s="14">
        <f>IF(AP5="","",AP5&amp;"|"&amp;COUNTIF($B$5:AP5,AP5))</f>
        <v/>
      </c>
      <c r="AQ20" s="14">
        <f>IF(AQ5="","",AQ5&amp;"|"&amp;COUNTIF($B$5:AQ5,AQ5))</f>
        <v/>
      </c>
      <c r="AR20" s="14">
        <f>IF(AR5="","",AR5&amp;"|"&amp;COUNTIF($B$5:AR5,AR5))</f>
        <v/>
      </c>
      <c r="AS20" s="14">
        <f>IF(AS5="","",AS5&amp;"|"&amp;COUNTIF($B$5:AS5,AS5))</f>
        <v/>
      </c>
      <c r="AT20" s="14">
        <f>IF(AT5="","",AT5&amp;"|"&amp;COUNTIF($B$5:AT5,AT5))</f>
        <v/>
      </c>
      <c r="AU20" s="14">
        <f>IF(AU5="","",AU5&amp;"|"&amp;COUNTIF($B$5:AU5,AU5))</f>
        <v/>
      </c>
      <c r="AV20" s="14">
        <f>IF(AV5="","",AV5&amp;"|"&amp;COUNTIF($B$5:AV5,AV5))</f>
        <v/>
      </c>
      <c r="AW20" s="14">
        <f>IF(AW5="","",AW5&amp;"|"&amp;COUNTIF($B$5:AW5,AW5))</f>
        <v/>
      </c>
      <c r="AX20" s="14">
        <f>IF(AX5="","",AX5&amp;"|"&amp;COUNTIF($B$5:AX5,AX5))</f>
        <v/>
      </c>
      <c r="AY20" s="14">
        <f>IF(AY5="","",AY5&amp;"|"&amp;COUNTIF($B$5:AY5,AY5))</f>
        <v/>
      </c>
      <c r="AZ20" s="14">
        <f>IF(AZ5="","",AZ5&amp;"|"&amp;COUNTIF($B$5:AZ5,AZ5))</f>
        <v/>
      </c>
      <c r="BA20" s="14">
        <f>IF(BA5="","",BA5&amp;"|"&amp;COUNTIF($B$5:BA5,BA5))</f>
        <v/>
      </c>
      <c r="BB20" s="14">
        <f>IF(BB5="","",BB5&amp;"|"&amp;COUNTIF($B$5:BB5,BB5))</f>
        <v/>
      </c>
      <c r="BC20" s="14">
        <f>IF(BC5="","",BC5&amp;"|"&amp;COUNTIF($B$5:BC5,BC5))</f>
        <v/>
      </c>
      <c r="BD20" s="14">
        <f>IF(BD5="","",BD5&amp;"|"&amp;COUNTIF($B$5:BD5,BD5))</f>
        <v/>
      </c>
      <c r="BE20" s="14">
        <f>IF(BE5="","",BE5&amp;"|"&amp;COUNTIF($B$5:BE5,BE5))</f>
        <v/>
      </c>
      <c r="BF20" s="14">
        <f>IF(BF5="","",BF5&amp;"|"&amp;COUNTIF($B$5:BF5,BF5))</f>
        <v/>
      </c>
      <c r="BG20" s="14">
        <f>IF(BG5="","",BG5&amp;"|"&amp;COUNTIF($B$5:BG5,BG5))</f>
        <v/>
      </c>
      <c r="BH20" s="14">
        <f>IF(BH5="","",BH5&amp;"|"&amp;COUNTIF($B$5:BH5,BH5))</f>
        <v/>
      </c>
      <c r="BI20" s="14">
        <f>IF(BI5="","",BI5&amp;"|"&amp;COUNTIF($B$5:BI5,BI5))</f>
        <v/>
      </c>
      <c r="BJ20" s="14">
        <f>IF(BJ5="","",BJ5&amp;"|"&amp;COUNTIF($B$5:BJ5,BJ5))</f>
        <v/>
      </c>
      <c r="BK20" s="14">
        <f>IF(BK5="","",BK5&amp;"|"&amp;COUNTIF($B$5:BK5,BK5))</f>
        <v/>
      </c>
      <c r="BL20" s="14">
        <f>IF(BL5="","",BL5&amp;"|"&amp;COUNTIF($B$5:BL5,BL5))</f>
        <v/>
      </c>
      <c r="BM20" s="14">
        <f>IF(BM5="","",BM5&amp;"|"&amp;COUNTIF($B$5:BM5,BM5))</f>
        <v/>
      </c>
      <c r="BN20" s="14">
        <f>IF(BN5="","",BN5&amp;"|"&amp;COUNTIF($B$5:BN5,BN5))</f>
        <v/>
      </c>
      <c r="BO20" s="14">
        <f>IF(BO5="","",BO5&amp;"|"&amp;COUNTIF($B$5:BO5,BO5))</f>
        <v/>
      </c>
      <c r="BP20" s="14">
        <f>IF(BP5="","",BP5&amp;"|"&amp;COUNTIF($B$5:BP5,BP5))</f>
        <v/>
      </c>
      <c r="BQ20" s="14">
        <f>IF(BQ5="","",BQ5&amp;"|"&amp;COUNTIF($B$5:BQ5,BQ5))</f>
        <v/>
      </c>
      <c r="BR20" s="14">
        <f>IF(BR5="","",BR5&amp;"|"&amp;COUNTIF($B$5:BR5,BR5))</f>
        <v/>
      </c>
      <c r="BS20" s="14">
        <f>IF(BS5="","",BS5&amp;"|"&amp;COUNTIF($B$5:BS5,BS5))</f>
        <v/>
      </c>
      <c r="BT20" s="14">
        <f>IF(BT5="","",BT5&amp;"|"&amp;COUNTIF($B$5:BT5,BT5))</f>
        <v/>
      </c>
      <c r="BU20" s="14">
        <f>IF(BU5="","",BU5&amp;"|"&amp;COUNTIF($B$5:BU5,BU5))</f>
        <v/>
      </c>
      <c r="BV20" s="14">
        <f>IF(BV5="","",BV5&amp;"|"&amp;COUNTIF($B$5:BV5,BV5))</f>
        <v/>
      </c>
      <c r="BW20" s="14">
        <f>IF(BW5="","",BW5&amp;"|"&amp;COUNTIF($B$5:BW5,BW5))</f>
        <v/>
      </c>
      <c r="BX20" s="14">
        <f>IF(BX5="","",BX5&amp;"|"&amp;COUNTIF($B$5:BX5,BX5))</f>
        <v/>
      </c>
      <c r="BY20" s="14">
        <f>IF(BY5="","",BY5&amp;"|"&amp;COUNTIF($B$5:BY5,BY5))</f>
        <v/>
      </c>
      <c r="BZ20" s="14">
        <f>IF(BZ5="","",BZ5&amp;"|"&amp;COUNTIF($B$5:BZ5,BZ5))</f>
        <v/>
      </c>
      <c r="CA20" s="14">
        <f>IF(CA5="","",CA5&amp;"|"&amp;COUNTIF($B$5:CA5,CA5))</f>
        <v/>
      </c>
      <c r="CB20" s="14">
        <f>IF(CB5="","",CB5&amp;"|"&amp;COUNTIF($B$5:CB5,CB5))</f>
        <v/>
      </c>
      <c r="CC20" s="14">
        <f>IF(CC5="","",CC5&amp;"|"&amp;COUNTIF($B$5:CC5,CC5))</f>
        <v/>
      </c>
      <c r="CD20" s="14">
        <f>IF(CD5="","",CD5&amp;"|"&amp;COUNTIF($B$5:CD5,CD5))</f>
        <v/>
      </c>
      <c r="CE20" s="14">
        <f>IF(CE5="","",CE5&amp;"|"&amp;COUNTIF($B$5:CE5,CE5))</f>
        <v/>
      </c>
      <c r="CF20" s="14">
        <f>IF(CF5="","",CF5&amp;"|"&amp;COUNTIF($B$5:CF5,CF5))</f>
        <v/>
      </c>
      <c r="CG20" s="14">
        <f>IF(CG5="","",CG5&amp;"|"&amp;COUNTIF($B$5:CG5,CG5))</f>
        <v/>
      </c>
      <c r="CH20" s="14">
        <f>IF(CH5="","",CH5&amp;"|"&amp;COUNTIF($B$5:CH5,CH5))</f>
        <v/>
      </c>
      <c r="CI20" s="14">
        <f>IF(CI5="","",CI5&amp;"|"&amp;COUNTIF($B$5:CI5,CI5))</f>
        <v/>
      </c>
      <c r="CJ20" s="14">
        <f>IF(CJ5="","",CJ5&amp;"|"&amp;COUNTIF($B$5:CJ5,CJ5))</f>
        <v/>
      </c>
      <c r="CK20" s="14">
        <f>IF(CK5="","",CK5&amp;"|"&amp;COUNTIF($B$5:CK5,CK5))</f>
        <v/>
      </c>
      <c r="CL20" s="14">
        <f>IF(CL5="","",CL5&amp;"|"&amp;COUNTIF($B$5:CL5,CL5))</f>
        <v/>
      </c>
      <c r="CM20" s="14">
        <f>IF(CM5="","",CM5&amp;"|"&amp;COUNTIF($B$5:CM5,CM5))</f>
        <v/>
      </c>
      <c r="CN20" s="14">
        <f>IF(CN5="","",CN5&amp;"|"&amp;COUNTIF($B$5:CN5,CN5))</f>
        <v/>
      </c>
      <c r="CO20" s="14">
        <f>IF(CO5="","",CO5&amp;"|"&amp;COUNTIF($B$5:CO5,CO5))</f>
        <v/>
      </c>
      <c r="CP20" s="14">
        <f>IF(CP5="","",CP5&amp;"|"&amp;COUNTIF($B$5:CP5,CP5))</f>
        <v/>
      </c>
      <c r="CQ20" s="14">
        <f>IF(CQ5="","",CQ5&amp;"|"&amp;COUNTIF($B$5:CQ5,CQ5))</f>
        <v/>
      </c>
      <c r="CR20" s="14">
        <f>IF(CR5="","",CR5&amp;"|"&amp;COUNTIF($B$5:CR5,CR5))</f>
        <v/>
      </c>
      <c r="CS20" s="14">
        <f>IF(CS5="","",CS5&amp;"|"&amp;COUNTIF($B$5:CS5,CS5))</f>
        <v/>
      </c>
      <c r="CT20" s="14">
        <f>IF(CT5="","",CT5&amp;"|"&amp;COUNTIF($B$5:CT5,CT5))</f>
        <v/>
      </c>
      <c r="CU20" s="14">
        <f>IF(CU5="","",CU5&amp;"|"&amp;COUNTIF($B$5:CU5,CU5))</f>
        <v/>
      </c>
      <c r="CV20" s="14">
        <f>IF(CV5="","",CV5&amp;"|"&amp;COUNTIF($B$5:CV5,CV5))</f>
        <v/>
      </c>
      <c r="CW20" s="14">
        <f>IF(CW5="","",CW5&amp;"|"&amp;COUNTIF($B$5:CW5,CW5))</f>
        <v/>
      </c>
      <c r="CX20" s="14">
        <f>IF(CX5="","",CX5&amp;"|"&amp;COUNTIF($B$5:CX5,CX5))</f>
        <v/>
      </c>
      <c r="CY20" s="14">
        <f>IF(CY5="","",CY5&amp;"|"&amp;COUNTIF($B$5:CY5,CY5))</f>
        <v/>
      </c>
      <c r="CZ20" s="14">
        <f>IF(CZ5="","",CZ5&amp;"|"&amp;COUNTIF($B$5:CZ5,CZ5))</f>
        <v/>
      </c>
      <c r="DA20" s="14">
        <f>IF(DA5="","",DA5&amp;"|"&amp;COUNTIF($B$5:DA5,DA5))</f>
        <v/>
      </c>
      <c r="DB20" s="14">
        <f>IF(DB5="","",DB5&amp;"|"&amp;COUNTIF($B$5:DB5,DB5))</f>
        <v/>
      </c>
      <c r="DC20" s="14">
        <f>IF(DC5="","",DC5&amp;"|"&amp;COUNTIF($B$5:DC5,DC5))</f>
        <v/>
      </c>
      <c r="DD20" s="14">
        <f>IF(DD5="","",DD5&amp;"|"&amp;COUNTIF($B$5:DD5,DD5))</f>
        <v/>
      </c>
      <c r="DE20" s="14">
        <f>IF(DE5="","",DE5&amp;"|"&amp;COUNTIF($B$5:DE5,DE5))</f>
        <v/>
      </c>
      <c r="DF20" s="14">
        <f>IF(DF5="","",DF5&amp;"|"&amp;COUNTIF($B$5:DF5,DF5))</f>
        <v/>
      </c>
      <c r="DG20" s="14">
        <f>IF(DG5="","",DG5&amp;"|"&amp;COUNTIF($B$5:DG5,DG5))</f>
        <v/>
      </c>
      <c r="DH20" s="14">
        <f>IF(DH5="","",DH5&amp;"|"&amp;COUNTIF($B$5:DH5,DH5))</f>
        <v/>
      </c>
      <c r="DI20" s="14">
        <f>IF(DI5="","",DI5&amp;"|"&amp;COUNTIF($B$5:DI5,DI5))</f>
        <v/>
      </c>
      <c r="DJ20" s="14">
        <f>IF(DJ5="","",DJ5&amp;"|"&amp;COUNTIF($B$5:DJ5,DJ5))</f>
        <v/>
      </c>
      <c r="DK20" s="14">
        <f>IF(DK5="","",DK5&amp;"|"&amp;COUNTIF($B$5:DK5,DK5))</f>
        <v/>
      </c>
      <c r="DL20" s="14">
        <f>IF(DL5="","",DL5&amp;"|"&amp;COUNTIF($B$5:DL5,DL5))</f>
        <v/>
      </c>
      <c r="DM20" s="14">
        <f>IF(DM5="","",DM5&amp;"|"&amp;COUNTIF($B$5:DM5,DM5))</f>
        <v/>
      </c>
      <c r="DN20" s="14">
        <f>IF(DN5="","",DN5&amp;"|"&amp;COUNTIF($B$5:DN5,DN5))</f>
        <v/>
      </c>
      <c r="DO20" s="14">
        <f>IF(DO5="","",DO5&amp;"|"&amp;COUNTIF($B$5:DO5,DO5))</f>
        <v/>
      </c>
      <c r="DP20" s="14">
        <f>IF(DP5="","",DP5&amp;"|"&amp;COUNTIF($B$5:DP5,DP5))</f>
        <v/>
      </c>
      <c r="DQ20" s="14">
        <f>IF(DQ5="","",DQ5&amp;"|"&amp;COUNTIF($B$5:DQ5,DQ5))</f>
        <v/>
      </c>
      <c r="DR20" s="14">
        <f>IF(DR5="","",DR5&amp;"|"&amp;COUNTIF($B$5:DR5,DR5))</f>
        <v/>
      </c>
      <c r="DS20" s="14">
        <f>IF(DS5="","",DS5&amp;"|"&amp;COUNTIF($B$5:DS5,DS5))</f>
        <v/>
      </c>
      <c r="DT20" s="14">
        <f>IF(DT5="","",DT5&amp;"|"&amp;COUNTIF($B$5:DT5,DT5))</f>
        <v/>
      </c>
      <c r="DU20" s="14">
        <f>IF(DU5="","",DU5&amp;"|"&amp;COUNTIF($B$5:DU5,DU5))</f>
        <v/>
      </c>
      <c r="DV20" s="14">
        <f>IF(DV5="","",DV5&amp;"|"&amp;COUNTIF($B$5:DV5,DV5))</f>
        <v/>
      </c>
      <c r="DW20" s="14">
        <f>IF(DW5="","",DW5&amp;"|"&amp;COUNTIF($B$5:DW5,DW5))</f>
        <v/>
      </c>
      <c r="DX20" s="14">
        <f>IF(DX5="","",DX5&amp;"|"&amp;COUNTIF($B$5:DX5,DX5))</f>
        <v/>
      </c>
      <c r="DY20" s="14">
        <f>IF(DY5="","",DY5&amp;"|"&amp;COUNTIF($B$5:DY5,DY5))</f>
        <v/>
      </c>
      <c r="DZ20" s="14">
        <f>IF(DZ5="","",DZ5&amp;"|"&amp;COUNTIF($B$5:DZ5,DZ5))</f>
        <v/>
      </c>
      <c r="EA20" s="14">
        <f>IF(EA5="","",EA5&amp;"|"&amp;COUNTIF($B$5:EA5,EA5))</f>
        <v/>
      </c>
      <c r="EB20" s="14">
        <f>IF(EB5="","",EB5&amp;"|"&amp;COUNTIF($B$5:EB5,EB5))</f>
        <v/>
      </c>
      <c r="EC20" s="14">
        <f>IF(EC5="","",EC5&amp;"|"&amp;COUNTIF($B$5:EC5,EC5))</f>
        <v/>
      </c>
      <c r="ED20" s="14">
        <f>IF(ED5="","",ED5&amp;"|"&amp;COUNTIF($B$5:ED5,ED5))</f>
        <v/>
      </c>
      <c r="EE20" s="14">
        <f>IF(EE5="","",EE5&amp;"|"&amp;COUNTIF($B$5:EE5,EE5))</f>
        <v/>
      </c>
      <c r="EF20" s="14">
        <f>IF(EF5="","",EF5&amp;"|"&amp;COUNTIF($B$5:EF5,EF5))</f>
        <v/>
      </c>
      <c r="EG20" s="14">
        <f>IF(EG5="","",EG5&amp;"|"&amp;COUNTIF($B$5:EG5,EG5))</f>
        <v/>
      </c>
      <c r="EH20" s="14">
        <f>IF(EH5="","",EH5&amp;"|"&amp;COUNTIF($B$5:EH5,EH5))</f>
        <v/>
      </c>
      <c r="EI20" s="14">
        <f>IF(EI5="","",EI5&amp;"|"&amp;COUNTIF($B$5:EI5,EI5))</f>
        <v/>
      </c>
      <c r="EJ20" s="14">
        <f>IF(EJ5="","",EJ5&amp;"|"&amp;COUNTIF($B$5:EJ5,EJ5))</f>
        <v/>
      </c>
      <c r="EK20" s="14">
        <f>IF(EK5="","",EK5&amp;"|"&amp;COUNTIF($B$5:EK5,EK5))</f>
        <v/>
      </c>
      <c r="EL20" s="14">
        <f>IF(EL5="","",EL5&amp;"|"&amp;COUNTIF($B$5:EL5,EL5))</f>
        <v/>
      </c>
      <c r="EM20" s="14">
        <f>IF(EM5="","",EM5&amp;"|"&amp;COUNTIF($B$5:EM5,EM5))</f>
        <v/>
      </c>
      <c r="EN20" s="14">
        <f>IF(EN5="","",EN5&amp;"|"&amp;COUNTIF($B$5:EN5,EN5))</f>
        <v/>
      </c>
      <c r="EO20" s="14">
        <f>IF(EO5="","",EO5&amp;"|"&amp;COUNTIF($B$5:EO5,EO5))</f>
        <v/>
      </c>
      <c r="EP20" s="14">
        <f>IF(EP5="","",EP5&amp;"|"&amp;COUNTIF($B$5:EP5,EP5))</f>
        <v/>
      </c>
      <c r="EQ20" s="14">
        <f>IF(EQ5="","",EQ5&amp;"|"&amp;COUNTIF($B$5:EQ5,EQ5))</f>
        <v/>
      </c>
      <c r="ER20" s="14">
        <f>IF(ER5="","",ER5&amp;"|"&amp;COUNTIF($B$5:ER5,ER5))</f>
        <v/>
      </c>
      <c r="ES20" s="14">
        <f>IF(ES5="","",ES5&amp;"|"&amp;COUNTIF($B$5:ES5,ES5))</f>
        <v/>
      </c>
      <c r="ET20" s="14">
        <f>IF(ET5="","",ET5&amp;"|"&amp;COUNTIF($B$5:ET5,ET5))</f>
        <v/>
      </c>
      <c r="EU20" s="14">
        <f>IF(EU5="","",EU5&amp;"|"&amp;COUNTIF($B$5:EU5,EU5))</f>
        <v/>
      </c>
      <c r="EV20" s="14">
        <f>IF(EV5="","",EV5&amp;"|"&amp;COUNTIF($B$5:EV5,EV5))</f>
        <v/>
      </c>
      <c r="EW20" s="14">
        <f>IF(EW5="","",EW5&amp;"|"&amp;COUNTIF($B$5:EW5,EW5))</f>
        <v/>
      </c>
      <c r="EX20" s="14">
        <f>IF(EX5="","",EX5&amp;"|"&amp;COUNTIF($B$5:EX5,EX5))</f>
        <v/>
      </c>
      <c r="EY20" s="14">
        <f>IF(EY5="","",EY5&amp;"|"&amp;COUNTIF($B$5:EY5,EY5))</f>
        <v/>
      </c>
      <c r="EZ20" s="14">
        <f>IF(EZ5="","",EZ5&amp;"|"&amp;COUNTIF($B$5:EZ5,EZ5))</f>
        <v/>
      </c>
      <c r="FA20" s="14">
        <f>IF(FA5="","",FA5&amp;"|"&amp;COUNTIF($B$5:FA5,FA5))</f>
        <v/>
      </c>
      <c r="FB20" s="14">
        <f>IF(FB5="","",FB5&amp;"|"&amp;COUNTIF($B$5:FB5,FB5))</f>
        <v/>
      </c>
      <c r="FC20" s="14">
        <f>IF(FC5="","",FC5&amp;"|"&amp;COUNTIF($B$5:FC5,FC5))</f>
        <v/>
      </c>
      <c r="FD20" s="14">
        <f>IF(FD5="","",FD5&amp;"|"&amp;COUNTIF($B$5:FD5,FD5))</f>
        <v/>
      </c>
      <c r="FE20" s="14">
        <f>IF(FE5="","",FE5&amp;"|"&amp;COUNTIF($B$5:FE5,FE5))</f>
        <v/>
      </c>
      <c r="FF20" s="14">
        <f>IF(FF5="","",FF5&amp;"|"&amp;COUNTIF($B$5:FF5,FF5))</f>
        <v/>
      </c>
      <c r="FG20" s="14">
        <f>IF(FG5="","",FG5&amp;"|"&amp;COUNTIF($B$5:FG5,FG5))</f>
        <v/>
      </c>
      <c r="FH20" s="14">
        <f>IF(FH5="","",FH5&amp;"|"&amp;COUNTIF($B$5:FH5,FH5))</f>
        <v/>
      </c>
      <c r="FI20" s="14">
        <f>IF(FI5="","",FI5&amp;"|"&amp;COUNTIF($B$5:FI5,FI5))</f>
        <v/>
      </c>
      <c r="FJ20" s="14">
        <f>IF(FJ5="","",FJ5&amp;"|"&amp;COUNTIF($B$5:FJ5,FJ5))</f>
        <v/>
      </c>
      <c r="FK20" s="14">
        <f>IF(FK5="","",FK5&amp;"|"&amp;COUNTIF($B$5:FK5,FK5))</f>
        <v/>
      </c>
      <c r="FL20" s="14">
        <f>IF(FL5="","",FL5&amp;"|"&amp;COUNTIF($B$5:FL5,FL5))</f>
        <v/>
      </c>
      <c r="FM20" s="14">
        <f>IF(FM5="","",FM5&amp;"|"&amp;COUNTIF($B$5:FM5,FM5))</f>
        <v/>
      </c>
      <c r="FN20" s="14">
        <f>IF(FN5="","",FN5&amp;"|"&amp;COUNTIF($B$5:FN5,FN5))</f>
        <v/>
      </c>
      <c r="FO20" s="14">
        <f>IF(FO5="","",FO5&amp;"|"&amp;COUNTIF($B$5:FO5,FO5))</f>
        <v/>
      </c>
      <c r="FP20" s="14">
        <f>IF(FP5="","",FP5&amp;"|"&amp;COUNTIF($B$5:FP5,FP5))</f>
        <v/>
      </c>
      <c r="FQ20" s="14">
        <f>IF(FQ5="","",FQ5&amp;"|"&amp;COUNTIF($B$5:FQ5,FQ5))</f>
        <v/>
      </c>
      <c r="FR20" s="14">
        <f>IF(FR5="","",FR5&amp;"|"&amp;COUNTIF($B$5:FR5,FR5))</f>
        <v/>
      </c>
      <c r="FS20" s="14">
        <f>IF(FS5="","",FS5&amp;"|"&amp;COUNTIF($B$5:FS5,FS5))</f>
        <v/>
      </c>
      <c r="FT20" s="14">
        <f>IF(FT5="","",FT5&amp;"|"&amp;COUNTIF($B$5:FT5,FT5))</f>
        <v/>
      </c>
      <c r="FU20" s="14">
        <f>IF(FU5="","",FU5&amp;"|"&amp;COUNTIF($B$5:FU5,FU5))</f>
        <v/>
      </c>
      <c r="FV20" s="14">
        <f>IF(FV5="","",FV5&amp;"|"&amp;COUNTIF($B$5:FV5,FV5))</f>
        <v/>
      </c>
      <c r="FW20" s="14">
        <f>IF(FW5="","",FW5&amp;"|"&amp;COUNTIF($B$5:FW5,FW5))</f>
        <v/>
      </c>
      <c r="FX20" s="14">
        <f>IF(FX5="","",FX5&amp;"|"&amp;COUNTIF($B$5:FX5,FX5))</f>
        <v/>
      </c>
      <c r="FY20" s="14">
        <f>IF(FY5="","",FY5&amp;"|"&amp;COUNTIF($B$5:FY5,FY5))</f>
        <v/>
      </c>
      <c r="FZ20" s="14">
        <f>IF(FZ5="","",FZ5&amp;"|"&amp;COUNTIF($B$5:FZ5,FZ5))</f>
        <v/>
      </c>
      <c r="GA20" s="14">
        <f>IF(GA5="","",GA5&amp;"|"&amp;COUNTIF($B$5:GA5,GA5))</f>
        <v/>
      </c>
      <c r="GB20" s="14">
        <f>IF(GB5="","",GB5&amp;"|"&amp;COUNTIF($B$5:GB5,GB5))</f>
        <v/>
      </c>
      <c r="GC20" s="14">
        <f>IF(GC5="","",GC5&amp;"|"&amp;COUNTIF($B$5:GC5,GC5))</f>
        <v/>
      </c>
      <c r="GD20" s="14">
        <f>IF(GD5="","",GD5&amp;"|"&amp;COUNTIF($B$5:GD5,GD5))</f>
        <v/>
      </c>
      <c r="GE20" s="14">
        <f>IF(GE5="","",GE5&amp;"|"&amp;COUNTIF($B$5:GE5,GE5))</f>
        <v/>
      </c>
      <c r="GF20" s="14">
        <f>IF(GF5="","",GF5&amp;"|"&amp;COUNTIF($B$5:GF5,GF5))</f>
        <v/>
      </c>
      <c r="GG20" s="14">
        <f>IF(GG5="","",GG5&amp;"|"&amp;COUNTIF($B$5:GG5,GG5))</f>
        <v/>
      </c>
      <c r="GH20" s="14">
        <f>IF(GH5="","",GH5&amp;"|"&amp;COUNTIF($B$5:GH5,GH5))</f>
        <v/>
      </c>
      <c r="GI20" s="14">
        <f>IF(GI5="","",GI5&amp;"|"&amp;COUNTIF($B$5:GI5,GI5))</f>
        <v/>
      </c>
      <c r="GJ20" s="14">
        <f>IF(GJ5="","",GJ5&amp;"|"&amp;COUNTIF($B$5:GJ5,GJ5))</f>
        <v/>
      </c>
      <c r="GK20" s="14">
        <f>IF(GK5="","",GK5&amp;"|"&amp;COUNTIF($B$5:GK5,GK5))</f>
        <v/>
      </c>
      <c r="GL20" s="14">
        <f>IF(GL5="","",GL5&amp;"|"&amp;COUNTIF($B$5:GL5,GL5))</f>
        <v/>
      </c>
      <c r="GM20" s="14">
        <f>IF(GM5="","",GM5&amp;"|"&amp;COUNTIF($B$5:GM5,GM5))</f>
        <v/>
      </c>
      <c r="GN20" s="14">
        <f>IF(GN5="","",GN5&amp;"|"&amp;COUNTIF($B$5:GN5,GN5))</f>
        <v/>
      </c>
      <c r="GO20" s="14">
        <f>IF(GO5="","",GO5&amp;"|"&amp;COUNTIF($B$5:GO5,GO5))</f>
        <v/>
      </c>
      <c r="GP20" s="14">
        <f>IF(GP5="","",GP5&amp;"|"&amp;COUNTIF($B$5:GP5,GP5))</f>
        <v/>
      </c>
      <c r="GQ20" s="14">
        <f>IF(GQ5="","",GQ5&amp;"|"&amp;COUNTIF($B$5:GQ5,GQ5))</f>
        <v/>
      </c>
      <c r="GR20" s="14">
        <f>IF(GR5="","",GR5&amp;"|"&amp;COUNTIF($B$5:GR5,GR5))</f>
        <v/>
      </c>
      <c r="GS20" s="14">
        <f>IF(GS5="","",GS5&amp;"|"&amp;COUNTIF($B$5:GS5,GS5))</f>
        <v/>
      </c>
      <c r="GT20" s="14">
        <f>IF(GT5="","",GT5&amp;"|"&amp;COUNTIF($B$5:GT5,GT5))</f>
        <v/>
      </c>
      <c r="GU20" s="14">
        <f>IF(GU5="","",GU5&amp;"|"&amp;COUNTIF($B$5:GU5,GU5))</f>
        <v/>
      </c>
      <c r="GV20" s="14">
        <f>IF(GV5="","",GV5&amp;"|"&amp;COUNTIF($B$5:GV5,GV5))</f>
        <v/>
      </c>
      <c r="GW20" s="14">
        <f>IF(GW5="","",GW5&amp;"|"&amp;COUNTIF($B$5:GW5,GW5))</f>
        <v/>
      </c>
      <c r="GX20" s="14">
        <f>IF(GX5="","",GX5&amp;"|"&amp;COUNTIF($B$5:GX5,GX5))</f>
        <v/>
      </c>
      <c r="GY20" s="14">
        <f>IF(GY5="","",GY5&amp;"|"&amp;COUNTIF($B$5:GY5,GY5))</f>
        <v/>
      </c>
      <c r="GZ20" s="14">
        <f>IF(GZ5="","",GZ5&amp;"|"&amp;COUNTIF($B$5:GZ5,GZ5))</f>
        <v/>
      </c>
      <c r="HA20" s="14">
        <f>IF(HA5="","",HA5&amp;"|"&amp;COUNTIF($B$5:HA5,HA5))</f>
        <v/>
      </c>
      <c r="HB20" s="14">
        <f>IF(HB5="","",HB5&amp;"|"&amp;COUNTIF($B$5:HB5,HB5))</f>
        <v/>
      </c>
      <c r="HC20" s="14">
        <f>IF(HC5="","",HC5&amp;"|"&amp;COUNTIF($B$5:HC5,HC5))</f>
        <v/>
      </c>
      <c r="HD20" s="14">
        <f>IF(HD5="","",HD5&amp;"|"&amp;COUNTIF($B$5:HD5,HD5))</f>
        <v/>
      </c>
      <c r="HE20" s="14">
        <f>IF(HE5="","",HE5&amp;"|"&amp;COUNTIF($B$5:HE5,HE5))</f>
        <v/>
      </c>
      <c r="HF20" s="14">
        <f>IF(HF5="","",HF5&amp;"|"&amp;COUNTIF($B$5:HF5,HF5))</f>
        <v/>
      </c>
      <c r="HG20" s="14">
        <f>IF(HG5="","",HG5&amp;"|"&amp;COUNTIF($B$5:HG5,HG5))</f>
        <v/>
      </c>
      <c r="HH20" s="14">
        <f>IF(HH5="","",HH5&amp;"|"&amp;COUNTIF($B$5:HH5,HH5))</f>
        <v/>
      </c>
      <c r="HI20" s="14">
        <f>IF(HI5="","",HI5&amp;"|"&amp;COUNTIF($B$5:HI5,HI5))</f>
        <v/>
      </c>
      <c r="HJ20" s="14">
        <f>IF(HJ5="","",HJ5&amp;"|"&amp;COUNTIF($B$5:HJ5,HJ5))</f>
        <v/>
      </c>
      <c r="HK20" s="14">
        <f>IF(HK5="","",HK5&amp;"|"&amp;COUNTIF($B$5:HK5,HK5))</f>
        <v/>
      </c>
      <c r="HL20" s="14">
        <f>IF(HL5="","",HL5&amp;"|"&amp;COUNTIF($B$5:HL5,HL5))</f>
        <v/>
      </c>
      <c r="HM20" s="14">
        <f>IF(HM5="","",HM5&amp;"|"&amp;COUNTIF($B$5:HM5,HM5))</f>
        <v/>
      </c>
      <c r="HN20" s="14">
        <f>IF(HN5="","",HN5&amp;"|"&amp;COUNTIF($B$5:HN5,HN5))</f>
        <v/>
      </c>
      <c r="HO20" s="14">
        <f>IF(HO5="","",HO5&amp;"|"&amp;COUNTIF($B$5:HO5,HO5))</f>
        <v/>
      </c>
      <c r="HP20" s="14">
        <f>IF(HP5="","",HP5&amp;"|"&amp;COUNTIF($B$5:HP5,HP5))</f>
        <v/>
      </c>
      <c r="HQ20" s="14">
        <f>IF(HQ5="","",HQ5&amp;"|"&amp;COUNTIF($B$5:HQ5,HQ5))</f>
        <v/>
      </c>
      <c r="HR20" s="14">
        <f>IF(HR5="","",HR5&amp;"|"&amp;COUNTIF($B$5:HR5,HR5))</f>
        <v/>
      </c>
      <c r="HS20" s="14">
        <f>IF(HS5="","",HS5&amp;"|"&amp;COUNTIF($B$5:HS5,HS5))</f>
        <v/>
      </c>
      <c r="HT20" s="14">
        <f>IF(HT5="","",HT5&amp;"|"&amp;COUNTIF($B$5:HT5,HT5))</f>
        <v/>
      </c>
      <c r="HU20" s="14">
        <f>IF(HU5="","",HU5&amp;"|"&amp;COUNTIF($B$5:HU5,HU5))</f>
        <v/>
      </c>
      <c r="HV20" s="14">
        <f>IF(HV5="","",HV5&amp;"|"&amp;COUNTIF($B$5:HV5,HV5))</f>
        <v/>
      </c>
      <c r="HW20" s="14">
        <f>IF(HW5="","",HW5&amp;"|"&amp;COUNTIF($B$5:HW5,HW5))</f>
        <v/>
      </c>
      <c r="HX20" s="14">
        <f>IF(HX5="","",HX5&amp;"|"&amp;COUNTIF($B$5:HX5,HX5))</f>
        <v/>
      </c>
      <c r="HY20" s="14">
        <f>IF(HY5="","",HY5&amp;"|"&amp;COUNTIF($B$5:HY5,HY5))</f>
        <v/>
      </c>
      <c r="HZ20" s="14">
        <f>IF(HZ5="","",HZ5&amp;"|"&amp;COUNTIF($B$5:HZ5,HZ5))</f>
        <v/>
      </c>
      <c r="IA20" s="14">
        <f>IF(IA5="","",IA5&amp;"|"&amp;COUNTIF($B$5:IA5,IA5))</f>
        <v/>
      </c>
      <c r="IB20" s="14">
        <f>IF(IB5="","",IB5&amp;"|"&amp;COUNTIF($B$5:IB5,IB5))</f>
        <v/>
      </c>
      <c r="IC20" s="14">
        <f>IF(IC5="","",IC5&amp;"|"&amp;COUNTIF($B$5:IC5,IC5))</f>
        <v/>
      </c>
      <c r="ID20" s="14">
        <f>IF(ID5="","",ID5&amp;"|"&amp;COUNTIF($B$5:ID5,ID5))</f>
        <v/>
      </c>
      <c r="IE20" s="14">
        <f>IF(IE5="","",IE5&amp;"|"&amp;COUNTIF($B$5:IE5,IE5))</f>
        <v/>
      </c>
      <c r="IF20" s="14">
        <f>IF(IF5="","",IF5&amp;"|"&amp;COUNTIF($B$5:IF5,IF5))</f>
        <v/>
      </c>
      <c r="IG20" s="14">
        <f>IF(IG5="","",IG5&amp;"|"&amp;COUNTIF($B$5:IG5,IG5))</f>
        <v/>
      </c>
      <c r="IH20" s="14">
        <f>IF(IH5="","",IH5&amp;"|"&amp;COUNTIF($B$5:IH5,IH5))</f>
        <v/>
      </c>
      <c r="II20" s="14">
        <f>IF(II5="","",II5&amp;"|"&amp;COUNTIF($B$5:II5,II5))</f>
        <v/>
      </c>
      <c r="IJ20" s="14">
        <f>IF(IJ5="","",IJ5&amp;"|"&amp;COUNTIF($B$5:IJ5,IJ5))</f>
        <v/>
      </c>
      <c r="IK20" s="14">
        <f>IF(IK5="","",IK5&amp;"|"&amp;COUNTIF($B$5:IK5,IK5))</f>
        <v/>
      </c>
      <c r="IL20" s="14">
        <f>IF(IL5="","",IL5&amp;"|"&amp;COUNTIF($B$5:IL5,IL5))</f>
        <v/>
      </c>
      <c r="IM20" s="14">
        <f>IF(IM5="","",IM5&amp;"|"&amp;COUNTIF($B$5:IM5,IM5))</f>
        <v/>
      </c>
      <c r="IN20" s="14">
        <f>IF(IN5="","",IN5&amp;"|"&amp;COUNTIF($B$5:IN5,IN5))</f>
        <v/>
      </c>
      <c r="IO20" s="14">
        <f>IF(IO5="","",IO5&amp;"|"&amp;COUNTIF($B$5:IO5,IO5))</f>
        <v/>
      </c>
      <c r="IP20" s="14">
        <f>IF(IP5="","",IP5&amp;"|"&amp;COUNTIF($B$5:IP5,IP5))</f>
        <v/>
      </c>
      <c r="IQ20" s="14">
        <f>IF(IQ5="","",IQ5&amp;"|"&amp;COUNTIF($B$5:IQ5,IQ5))</f>
        <v/>
      </c>
      <c r="IR20" s="14">
        <f>IF(IR5="","",IR5&amp;"|"&amp;COUNTIF($B$5:IR5,IR5))</f>
        <v/>
      </c>
      <c r="IS20" s="14">
        <f>IF(IS5="","",IS5&amp;"|"&amp;COUNTIF($B$5:IS5,IS5))</f>
        <v/>
      </c>
      <c r="IT20" s="14">
        <f>IF(IT5="","",IT5&amp;"|"&amp;COUNTIF($B$5:IT5,IT5))</f>
        <v/>
      </c>
      <c r="IU20" s="14">
        <f>IF(IU5="","",IU5&amp;"|"&amp;COUNTIF($B$5:IU5,IU5))</f>
        <v/>
      </c>
      <c r="IV20" s="14">
        <f>IF(IV5="","",IV5&amp;"|"&amp;COUNTIF($B$5:IV5,IV5))</f>
        <v/>
      </c>
      <c r="IW20" s="14">
        <f>IF(IW5="","",IW5&amp;"|"&amp;COUNTIF($B$5:IW5,IW5))</f>
        <v/>
      </c>
      <c r="IX20" s="14">
        <f>IF(IX5="","",IX5&amp;"|"&amp;COUNTIF($B$5:IX5,IX5))</f>
        <v/>
      </c>
      <c r="IY20" s="14">
        <f>IF(IY5="","",IY5&amp;"|"&amp;COUNTIF($B$5:IY5,IY5))</f>
        <v/>
      </c>
      <c r="IZ20" s="14">
        <f>IF(IZ5="","",IZ5&amp;"|"&amp;COUNTIF($B$5:IZ5,IZ5))</f>
        <v/>
      </c>
      <c r="JA20" s="14">
        <f>IF(JA5="","",JA5&amp;"|"&amp;COUNTIF($B$5:JA5,JA5))</f>
        <v/>
      </c>
      <c r="JB20" s="14">
        <f>IF(JB5="","",JB5&amp;"|"&amp;COUNTIF($B$5:JB5,JB5))</f>
        <v/>
      </c>
      <c r="JC20" s="14">
        <f>IF(JC5="","",JC5&amp;"|"&amp;COUNTIF($B$5:JC5,JC5))</f>
        <v/>
      </c>
      <c r="JD20" s="14">
        <f>IF(JD5="","",JD5&amp;"|"&amp;COUNTIF($B$5:JD5,JD5))</f>
        <v/>
      </c>
      <c r="JE20" s="14">
        <f>IF(JE5="","",JE5&amp;"|"&amp;COUNTIF($B$5:JE5,JE5))</f>
        <v/>
      </c>
      <c r="JF20" s="14">
        <f>IF(JF5="","",JF5&amp;"|"&amp;COUNTIF($B$5:JF5,JF5))</f>
        <v/>
      </c>
      <c r="JG20" s="14">
        <f>IF(JG5="","",JG5&amp;"|"&amp;COUNTIF($B$5:JG5,JG5))</f>
        <v/>
      </c>
      <c r="JH20" s="14">
        <f>IF(JH5="","",JH5&amp;"|"&amp;COUNTIF($B$5:JH5,JH5))</f>
        <v/>
      </c>
      <c r="JI20" s="14">
        <f>IF(JI5="","",JI5&amp;"|"&amp;COUNTIF($B$5:JI5,JI5))</f>
        <v/>
      </c>
      <c r="JJ20" s="14">
        <f>IF(JJ5="","",JJ5&amp;"|"&amp;COUNTIF($B$5:JJ5,JJ5))</f>
        <v/>
      </c>
      <c r="JK20" s="14">
        <f>IF(JK5="","",JK5&amp;"|"&amp;COUNTIF($B$5:JK5,JK5))</f>
        <v/>
      </c>
      <c r="JL20" s="14">
        <f>IF(JL5="","",JL5&amp;"|"&amp;COUNTIF($B$5:JL5,JL5))</f>
        <v/>
      </c>
      <c r="JM20" s="14">
        <f>IF(JM5="","",JM5&amp;"|"&amp;COUNTIF($B$5:JM5,JM5))</f>
        <v/>
      </c>
      <c r="JN20" s="14">
        <f>IF(JN5="","",JN5&amp;"|"&amp;COUNTIF($B$5:JN5,JN5))</f>
        <v/>
      </c>
      <c r="JO20" s="14">
        <f>IF(JO5="","",JO5&amp;"|"&amp;COUNTIF($B$5:JO5,JO5))</f>
        <v/>
      </c>
      <c r="JP20" s="14">
        <f>IF(JP5="","",JP5&amp;"|"&amp;COUNTIF($B$5:JP5,JP5))</f>
        <v/>
      </c>
      <c r="JQ20" s="14">
        <f>IF(JQ5="","",JQ5&amp;"|"&amp;COUNTIF($B$5:JQ5,JQ5))</f>
        <v/>
      </c>
      <c r="JR20" s="14">
        <f>IF(JR5="","",JR5&amp;"|"&amp;COUNTIF($B$5:JR5,JR5))</f>
        <v/>
      </c>
      <c r="JS20" s="14">
        <f>IF(JS5="","",JS5&amp;"|"&amp;COUNTIF($B$5:JS5,JS5))</f>
        <v/>
      </c>
      <c r="JT20" s="14">
        <f>IF(JT5="","",JT5&amp;"|"&amp;COUNTIF($B$5:JT5,JT5))</f>
        <v/>
      </c>
      <c r="JU20" s="14">
        <f>IF(JU5="","",JU5&amp;"|"&amp;COUNTIF($B$5:JU5,JU5))</f>
        <v/>
      </c>
      <c r="JV20" s="14">
        <f>IF(JV5="","",JV5&amp;"|"&amp;COUNTIF($B$5:JV5,JV5))</f>
        <v/>
      </c>
      <c r="JW20" s="14">
        <f>IF(JW5="","",JW5&amp;"|"&amp;COUNTIF($B$5:JW5,JW5))</f>
        <v/>
      </c>
      <c r="JX20" s="14">
        <f>IF(JX5="","",JX5&amp;"|"&amp;COUNTIF($B$5:JX5,JX5))</f>
        <v/>
      </c>
      <c r="JY20" s="14">
        <f>IF(JY5="","",JY5&amp;"|"&amp;COUNTIF($B$5:JY5,JY5))</f>
        <v/>
      </c>
      <c r="JZ20" s="14">
        <f>IF(JZ5="","",JZ5&amp;"|"&amp;COUNTIF($B$5:JZ5,JZ5))</f>
        <v/>
      </c>
      <c r="KA20" s="14">
        <f>IF(KA5="","",KA5&amp;"|"&amp;COUNTIF($B$5:KA5,KA5))</f>
        <v/>
      </c>
      <c r="KB20" s="14">
        <f>IF(KB5="","",KB5&amp;"|"&amp;COUNTIF($B$5:KB5,KB5))</f>
        <v/>
      </c>
      <c r="KC20" s="14">
        <f>IF(KC5="","",KC5&amp;"|"&amp;COUNTIF($B$5:KC5,KC5))</f>
        <v/>
      </c>
      <c r="KD20" s="14">
        <f>IF(KD5="","",KD5&amp;"|"&amp;COUNTIF($B$5:KD5,KD5))</f>
        <v/>
      </c>
      <c r="KE20" s="14">
        <f>IF(KE5="","",KE5&amp;"|"&amp;COUNTIF($B$5:KE5,KE5))</f>
        <v/>
      </c>
      <c r="KF20" s="14">
        <f>IF(KF5="","",KF5&amp;"|"&amp;COUNTIF($B$5:KF5,KF5))</f>
        <v/>
      </c>
      <c r="KG20" s="14">
        <f>IF(KG5="","",KG5&amp;"|"&amp;COUNTIF($B$5:KG5,KG5))</f>
        <v/>
      </c>
      <c r="KH20" s="14">
        <f>IF(KH5="","",KH5&amp;"|"&amp;COUNTIF($B$5:KH5,KH5))</f>
        <v/>
      </c>
      <c r="KI20" s="14">
        <f>IF(KI5="","",KI5&amp;"|"&amp;COUNTIF($B$5:KI5,KI5))</f>
        <v/>
      </c>
      <c r="KJ20" s="14">
        <f>IF(KJ5="","",KJ5&amp;"|"&amp;COUNTIF($B$5:KJ5,KJ5))</f>
        <v/>
      </c>
      <c r="KK20" s="14">
        <f>IF(KK5="","",KK5&amp;"|"&amp;COUNTIF($B$5:KK5,KK5))</f>
        <v/>
      </c>
      <c r="KL20" s="14">
        <f>IF(KL5="","",KL5&amp;"|"&amp;COUNTIF($B$5:KL5,KL5))</f>
        <v/>
      </c>
      <c r="KM20" s="14">
        <f>IF(KM5="","",KM5&amp;"|"&amp;COUNTIF($B$5:KM5,KM5))</f>
        <v/>
      </c>
      <c r="KN20" s="14">
        <f>IF(KN5="","",KN5&amp;"|"&amp;COUNTIF($B$5:KN5,KN5))</f>
        <v/>
      </c>
      <c r="KO20" s="14">
        <f>IF(KO5="","",KO5&amp;"|"&amp;COUNTIF($B$5:KO5,KO5))</f>
        <v/>
      </c>
    </row>
    <row r="22">
      <c r="A22" s="11" t="inlineStr">
        <is>
          <t>使用中の因子数</t>
        </is>
      </c>
      <c r="B22" s="13">
        <f>COUNTIF($B$19:$KO$19,"&gt;0")</f>
        <v/>
      </c>
      <c r="C22" s="15" t="inlineStr">
        <is>
          <t>← 水準が 1 つ以上入っている因子の数（最大 300）。組み合わせ数はカテゴリ一覧を参照</t>
        </is>
      </c>
    </row>
    <row r="24">
      <c r="A24" s="2" t="inlineStr">
        <is>
          <t>分類の例：入力（画面の入力値。リスト選択・ラジオボタンも含む）／状態（データやアカウントの状態）／環境（ブラウザ・端末・OS）／操作（ボタン・画面遷移）／データ（件数・種類）</t>
        </is>
      </c>
    </row>
    <row r="26">
      <c r="A26" s="16" t="inlineStr">
        <is>
          <t>カテゴリ一覧</t>
        </is>
      </c>
    </row>
    <row r="27">
      <c r="A27" s="2" t="inlineStr">
        <is>
          <t>画面のエリアやタブの名前を書きます（画面仕様書の見出しに合わせる）。因子のカテゴリ行とテストケースのカテゴリは、ここからプルダウンで選びます。因子数と組み合わせ数は自動計算です。</t>
        </is>
      </c>
    </row>
    <row r="28">
      <c r="A28" s="12" t="inlineStr">
        <is>
          <t>No</t>
        </is>
      </c>
      <c r="B28" s="12" t="inlineStr">
        <is>
          <t>カテゴリ</t>
        </is>
      </c>
      <c r="C28" s="12" t="inlineStr">
        <is>
          <t>説明</t>
        </is>
      </c>
      <c r="D28" s="9" t="n"/>
      <c r="E28" s="10" t="n"/>
      <c r="F28" s="12" t="inlineStr">
        <is>
          <t>因子数</t>
        </is>
      </c>
      <c r="G28" s="12" t="inlineStr">
        <is>
          <t>組み合わせ数</t>
        </is>
      </c>
    </row>
    <row r="29">
      <c r="A29" s="17" t="n">
        <v>1</v>
      </c>
      <c r="B29" s="8" t="inlineStr">
        <is>
          <t>ログイン画面</t>
        </is>
      </c>
      <c r="C29" s="8" t="inlineStr">
        <is>
          <t>メールアドレス・パスワードの入力欄と、アカウントの状態</t>
        </is>
      </c>
      <c r="D29" s="9" t="n"/>
      <c r="E29" s="10" t="n"/>
      <c r="F29" s="18">
        <f>IF(B29="","",COUNTIF($B$5:$KO$5,B29))</f>
        <v/>
      </c>
      <c r="G29" s="19">
        <f>IF(OR(B29="",F29=0),"",ROUND(EXP(SUMPRODUCT(($B$5:$KO$5=B29)*LN($B$19:$KO$19+($B$19:$KO$19=0)))),0))</f>
        <v/>
      </c>
    </row>
    <row r="30">
      <c r="A30" s="17" t="n">
        <v>2</v>
      </c>
      <c r="B30" s="8" t="n"/>
      <c r="C30" s="8" t="n"/>
      <c r="D30" s="9" t="n"/>
      <c r="E30" s="10" t="n"/>
      <c r="F30" s="18">
        <f>IF(B30="","",COUNTIF($B$5:$KO$5,B30))</f>
        <v/>
      </c>
      <c r="G30" s="19">
        <f>IF(OR(B30="",F30=0),"",ROUND(EXP(SUMPRODUCT(($B$5:$KO$5=B30)*LN($B$19:$KO$19+($B$19:$KO$19=0)))),0))</f>
        <v/>
      </c>
    </row>
    <row r="31">
      <c r="A31" s="17" t="n">
        <v>3</v>
      </c>
      <c r="B31" s="8" t="n"/>
      <c r="C31" s="8" t="n"/>
      <c r="D31" s="9" t="n"/>
      <c r="E31" s="10" t="n"/>
      <c r="F31" s="18">
        <f>IF(B31="","",COUNTIF($B$5:$KO$5,B31))</f>
        <v/>
      </c>
      <c r="G31" s="19">
        <f>IF(OR(B31="",F31=0),"",ROUND(EXP(SUMPRODUCT(($B$5:$KO$5=B31)*LN($B$19:$KO$19+($B$19:$KO$19=0)))),0))</f>
        <v/>
      </c>
    </row>
    <row r="32">
      <c r="A32" s="17" t="n">
        <v>4</v>
      </c>
      <c r="B32" s="8" t="n"/>
      <c r="C32" s="8" t="n"/>
      <c r="D32" s="9" t="n"/>
      <c r="E32" s="10" t="n"/>
      <c r="F32" s="18">
        <f>IF(B32="","",COUNTIF($B$5:$KO$5,B32))</f>
        <v/>
      </c>
      <c r="G32" s="19">
        <f>IF(OR(B32="",F32=0),"",ROUND(EXP(SUMPRODUCT(($B$5:$KO$5=B32)*LN($B$19:$KO$19+($B$19:$KO$19=0)))),0))</f>
        <v/>
      </c>
    </row>
    <row r="33">
      <c r="A33" s="17" t="n">
        <v>5</v>
      </c>
      <c r="B33" s="8" t="n"/>
      <c r="C33" s="8" t="n"/>
      <c r="D33" s="9" t="n"/>
      <c r="E33" s="10" t="n"/>
      <c r="F33" s="18">
        <f>IF(B33="","",COUNTIF($B$5:$KO$5,B33))</f>
        <v/>
      </c>
      <c r="G33" s="19">
        <f>IF(OR(B33="",F33=0),"",ROUND(EXP(SUMPRODUCT(($B$5:$KO$5=B33)*LN($B$19:$KO$19+($B$19:$KO$19=0)))),0))</f>
        <v/>
      </c>
    </row>
    <row r="34">
      <c r="A34" s="17" t="n">
        <v>6</v>
      </c>
      <c r="B34" s="8" t="n"/>
      <c r="C34" s="8" t="n"/>
      <c r="D34" s="9" t="n"/>
      <c r="E34" s="10" t="n"/>
      <c r="F34" s="18">
        <f>IF(B34="","",COUNTIF($B$5:$KO$5,B34))</f>
        <v/>
      </c>
      <c r="G34" s="19">
        <f>IF(OR(B34="",F34=0),"",ROUND(EXP(SUMPRODUCT(($B$5:$KO$5=B34)*LN($B$19:$KO$19+($B$19:$KO$19=0)))),0))</f>
        <v/>
      </c>
    </row>
    <row r="35">
      <c r="A35" s="17" t="n">
        <v>7</v>
      </c>
      <c r="B35" s="8" t="n"/>
      <c r="C35" s="8" t="n"/>
      <c r="D35" s="9" t="n"/>
      <c r="E35" s="10" t="n"/>
      <c r="F35" s="18">
        <f>IF(B35="","",COUNTIF($B$5:$KO$5,B35))</f>
        <v/>
      </c>
      <c r="G35" s="19">
        <f>IF(OR(B35="",F35=0),"",ROUND(EXP(SUMPRODUCT(($B$5:$KO$5=B35)*LN($B$19:$KO$19+($B$19:$KO$19=0)))),0))</f>
        <v/>
      </c>
    </row>
    <row r="36">
      <c r="A36" s="17" t="n">
        <v>8</v>
      </c>
      <c r="B36" s="8" t="n"/>
      <c r="C36" s="8" t="n"/>
      <c r="D36" s="9" t="n"/>
      <c r="E36" s="10" t="n"/>
      <c r="F36" s="18">
        <f>IF(B36="","",COUNTIF($B$5:$KO$5,B36))</f>
        <v/>
      </c>
      <c r="G36" s="19">
        <f>IF(OR(B36="",F36=0),"",ROUND(EXP(SUMPRODUCT(($B$5:$KO$5=B36)*LN($B$19:$KO$19+($B$19:$KO$19=0)))),0))</f>
        <v/>
      </c>
    </row>
    <row r="37">
      <c r="A37" s="17" t="n">
        <v>9</v>
      </c>
      <c r="B37" s="8" t="n"/>
      <c r="C37" s="8" t="n"/>
      <c r="D37" s="9" t="n"/>
      <c r="E37" s="10" t="n"/>
      <c r="F37" s="18">
        <f>IF(B37="","",COUNTIF($B$5:$KO$5,B37))</f>
        <v/>
      </c>
      <c r="G37" s="19">
        <f>IF(OR(B37="",F37=0),"",ROUND(EXP(SUMPRODUCT(($B$5:$KO$5=B37)*LN($B$19:$KO$19+($B$19:$KO$19=0)))),0))</f>
        <v/>
      </c>
    </row>
    <row r="38">
      <c r="A38" s="17" t="n">
        <v>10</v>
      </c>
      <c r="B38" s="8" t="n"/>
      <c r="C38" s="8" t="n"/>
      <c r="D38" s="9" t="n"/>
      <c r="E38" s="10" t="n"/>
      <c r="F38" s="18">
        <f>IF(B38="","",COUNTIF($B$5:$KO$5,B38))</f>
        <v/>
      </c>
      <c r="G38" s="19">
        <f>IF(OR(B38="",F38=0),"",ROUND(EXP(SUMPRODUCT(($B$5:$KO$5=B38)*LN($B$19:$KO$19+($B$19:$KO$19=0)))),0))</f>
        <v/>
      </c>
    </row>
    <row r="39">
      <c r="A39" s="17" t="n">
        <v>11</v>
      </c>
      <c r="B39" s="8" t="n"/>
      <c r="C39" s="8" t="n"/>
      <c r="D39" s="9" t="n"/>
      <c r="E39" s="10" t="n"/>
      <c r="F39" s="18">
        <f>IF(B39="","",COUNTIF($B$5:$KO$5,B39))</f>
        <v/>
      </c>
      <c r="G39" s="19">
        <f>IF(OR(B39="",F39=0),"",ROUND(EXP(SUMPRODUCT(($B$5:$KO$5=B39)*LN($B$19:$KO$19+($B$19:$KO$19=0)))),0))</f>
        <v/>
      </c>
    </row>
    <row r="40">
      <c r="A40" s="17" t="n">
        <v>12</v>
      </c>
      <c r="B40" s="8" t="n"/>
      <c r="C40" s="8" t="n"/>
      <c r="D40" s="9" t="n"/>
      <c r="E40" s="10" t="n"/>
      <c r="F40" s="18">
        <f>IF(B40="","",COUNTIF($B$5:$KO$5,B40))</f>
        <v/>
      </c>
      <c r="G40" s="19">
        <f>IF(OR(B40="",F40=0),"",ROUND(EXP(SUMPRODUCT(($B$5:$KO$5=B40)*LN($B$19:$KO$19+($B$19:$KO$19=0)))),0))</f>
        <v/>
      </c>
    </row>
    <row r="41">
      <c r="A41" s="17" t="n">
        <v>13</v>
      </c>
      <c r="B41" s="8" t="n"/>
      <c r="C41" s="8" t="n"/>
      <c r="D41" s="9" t="n"/>
      <c r="E41" s="10" t="n"/>
      <c r="F41" s="18">
        <f>IF(B41="","",COUNTIF($B$5:$KO$5,B41))</f>
        <v/>
      </c>
      <c r="G41" s="19">
        <f>IF(OR(B41="",F41=0),"",ROUND(EXP(SUMPRODUCT(($B$5:$KO$5=B41)*LN($B$19:$KO$19+($B$19:$KO$19=0)))),0))</f>
        <v/>
      </c>
    </row>
    <row r="42">
      <c r="A42" s="17" t="n">
        <v>14</v>
      </c>
      <c r="B42" s="8" t="n"/>
      <c r="C42" s="8" t="n"/>
      <c r="D42" s="9" t="n"/>
      <c r="E42" s="10" t="n"/>
      <c r="F42" s="18">
        <f>IF(B42="","",COUNTIF($B$5:$KO$5,B42))</f>
        <v/>
      </c>
      <c r="G42" s="19">
        <f>IF(OR(B42="",F42=0),"",ROUND(EXP(SUMPRODUCT(($B$5:$KO$5=B42)*LN($B$19:$KO$19+($B$19:$KO$19=0)))),0))</f>
        <v/>
      </c>
    </row>
    <row r="43">
      <c r="A43" s="17" t="n">
        <v>15</v>
      </c>
      <c r="B43" s="8" t="n"/>
      <c r="C43" s="8" t="n"/>
      <c r="D43" s="9" t="n"/>
      <c r="E43" s="10" t="n"/>
      <c r="F43" s="18">
        <f>IF(B43="","",COUNTIF($B$5:$KO$5,B43))</f>
        <v/>
      </c>
      <c r="G43" s="19">
        <f>IF(OR(B43="",F43=0),"",ROUND(EXP(SUMPRODUCT(($B$5:$KO$5=B43)*LN($B$19:$KO$19+($B$19:$KO$19=0)))),0))</f>
        <v/>
      </c>
    </row>
    <row r="44">
      <c r="A44" s="17" t="n">
        <v>16</v>
      </c>
      <c r="B44" s="8" t="n"/>
      <c r="C44" s="8" t="n"/>
      <c r="D44" s="9" t="n"/>
      <c r="E44" s="10" t="n"/>
      <c r="F44" s="18">
        <f>IF(B44="","",COUNTIF($B$5:$KO$5,B44))</f>
        <v/>
      </c>
      <c r="G44" s="19">
        <f>IF(OR(B44="",F44=0),"",ROUND(EXP(SUMPRODUCT(($B$5:$KO$5=B44)*LN($B$19:$KO$19+($B$19:$KO$19=0)))),0))</f>
        <v/>
      </c>
    </row>
    <row r="45">
      <c r="A45" s="17" t="n">
        <v>17</v>
      </c>
      <c r="B45" s="8" t="n"/>
      <c r="C45" s="8" t="n"/>
      <c r="D45" s="9" t="n"/>
      <c r="E45" s="10" t="n"/>
      <c r="F45" s="18">
        <f>IF(B45="","",COUNTIF($B$5:$KO$5,B45))</f>
        <v/>
      </c>
      <c r="G45" s="19">
        <f>IF(OR(B45="",F45=0),"",ROUND(EXP(SUMPRODUCT(($B$5:$KO$5=B45)*LN($B$19:$KO$19+($B$19:$KO$19=0)))),0))</f>
        <v/>
      </c>
    </row>
    <row r="46">
      <c r="A46" s="17" t="n">
        <v>18</v>
      </c>
      <c r="B46" s="8" t="n"/>
      <c r="C46" s="8" t="n"/>
      <c r="D46" s="9" t="n"/>
      <c r="E46" s="10" t="n"/>
      <c r="F46" s="18">
        <f>IF(B46="","",COUNTIF($B$5:$KO$5,B46))</f>
        <v/>
      </c>
      <c r="G46" s="19">
        <f>IF(OR(B46="",F46=0),"",ROUND(EXP(SUMPRODUCT(($B$5:$KO$5=B46)*LN($B$19:$KO$19+($B$19:$KO$19=0)))),0))</f>
        <v/>
      </c>
    </row>
    <row r="47">
      <c r="A47" s="17" t="n">
        <v>19</v>
      </c>
      <c r="B47" s="8" t="n"/>
      <c r="C47" s="8" t="n"/>
      <c r="D47" s="9" t="n"/>
      <c r="E47" s="10" t="n"/>
      <c r="F47" s="18">
        <f>IF(B47="","",COUNTIF($B$5:$KO$5,B47))</f>
        <v/>
      </c>
      <c r="G47" s="19">
        <f>IF(OR(B47="",F47=0),"",ROUND(EXP(SUMPRODUCT(($B$5:$KO$5=B47)*LN($B$19:$KO$19+($B$19:$KO$19=0)))),0))</f>
        <v/>
      </c>
    </row>
    <row r="48">
      <c r="A48" s="17" t="n">
        <v>20</v>
      </c>
      <c r="B48" s="8" t="n"/>
      <c r="C48" s="8" t="n"/>
      <c r="D48" s="9" t="n"/>
      <c r="E48" s="10" t="n"/>
      <c r="F48" s="18">
        <f>IF(B48="","",COUNTIF($B$5:$KO$5,B48))</f>
        <v/>
      </c>
      <c r="G48" s="19">
        <f>IF(OR(B48="",F48=0),"",ROUND(EXP(SUMPRODUCT(($B$5:$KO$5=B48)*LN($B$19:$KO$19+($B$19:$KO$19=0)))),0))</f>
        <v/>
      </c>
    </row>
    <row r="49">
      <c r="A49" s="17" t="n">
        <v>21</v>
      </c>
      <c r="B49" s="8" t="n"/>
      <c r="C49" s="8" t="n"/>
      <c r="D49" s="9" t="n"/>
      <c r="E49" s="10" t="n"/>
      <c r="F49" s="18">
        <f>IF(B49="","",COUNTIF($B$5:$KO$5,B49))</f>
        <v/>
      </c>
      <c r="G49" s="19">
        <f>IF(OR(B49="",F49=0),"",ROUND(EXP(SUMPRODUCT(($B$5:$KO$5=B49)*LN($B$19:$KO$19+($B$19:$KO$19=0)))),0))</f>
        <v/>
      </c>
    </row>
    <row r="50">
      <c r="A50" s="17" t="n">
        <v>22</v>
      </c>
      <c r="B50" s="8" t="n"/>
      <c r="C50" s="8" t="n"/>
      <c r="D50" s="9" t="n"/>
      <c r="E50" s="10" t="n"/>
      <c r="F50" s="18">
        <f>IF(B50="","",COUNTIF($B$5:$KO$5,B50))</f>
        <v/>
      </c>
      <c r="G50" s="19">
        <f>IF(OR(B50="",F50=0),"",ROUND(EXP(SUMPRODUCT(($B$5:$KO$5=B50)*LN($B$19:$KO$19+($B$19:$KO$19=0)))),0))</f>
        <v/>
      </c>
    </row>
    <row r="51">
      <c r="A51" s="17" t="n">
        <v>23</v>
      </c>
      <c r="B51" s="8" t="n"/>
      <c r="C51" s="8" t="n"/>
      <c r="D51" s="9" t="n"/>
      <c r="E51" s="10" t="n"/>
      <c r="F51" s="18">
        <f>IF(B51="","",COUNTIF($B$5:$KO$5,B51))</f>
        <v/>
      </c>
      <c r="G51" s="19">
        <f>IF(OR(B51="",F51=0),"",ROUND(EXP(SUMPRODUCT(($B$5:$KO$5=B51)*LN($B$19:$KO$19+($B$19:$KO$19=0)))),0))</f>
        <v/>
      </c>
    </row>
    <row r="52">
      <c r="A52" s="17" t="n">
        <v>24</v>
      </c>
      <c r="B52" s="8" t="n"/>
      <c r="C52" s="8" t="n"/>
      <c r="D52" s="9" t="n"/>
      <c r="E52" s="10" t="n"/>
      <c r="F52" s="18">
        <f>IF(B52="","",COUNTIF($B$5:$KO$5,B52))</f>
        <v/>
      </c>
      <c r="G52" s="19">
        <f>IF(OR(B52="",F52=0),"",ROUND(EXP(SUMPRODUCT(($B$5:$KO$5=B52)*LN($B$19:$KO$19+($B$19:$KO$19=0)))),0))</f>
        <v/>
      </c>
    </row>
    <row r="53">
      <c r="A53" s="17" t="n">
        <v>25</v>
      </c>
      <c r="B53" s="8" t="n"/>
      <c r="C53" s="8" t="n"/>
      <c r="D53" s="9" t="n"/>
      <c r="E53" s="10" t="n"/>
      <c r="F53" s="18">
        <f>IF(B53="","",COUNTIF($B$5:$KO$5,B53))</f>
        <v/>
      </c>
      <c r="G53" s="19">
        <f>IF(OR(B53="",F53=0),"",ROUND(EXP(SUMPRODUCT(($B$5:$KO$5=B53)*LN($B$19:$KO$19+($B$19:$KO$19=0)))),0))</f>
        <v/>
      </c>
    </row>
    <row r="54">
      <c r="A54" s="17" t="n">
        <v>26</v>
      </c>
      <c r="B54" s="8" t="n"/>
      <c r="C54" s="8" t="n"/>
      <c r="D54" s="9" t="n"/>
      <c r="E54" s="10" t="n"/>
      <c r="F54" s="18">
        <f>IF(B54="","",COUNTIF($B$5:$KO$5,B54))</f>
        <v/>
      </c>
      <c r="G54" s="19">
        <f>IF(OR(B54="",F54=0),"",ROUND(EXP(SUMPRODUCT(($B$5:$KO$5=B54)*LN($B$19:$KO$19+($B$19:$KO$19=0)))),0))</f>
        <v/>
      </c>
    </row>
    <row r="55">
      <c r="A55" s="17" t="n">
        <v>27</v>
      </c>
      <c r="B55" s="8" t="n"/>
      <c r="C55" s="8" t="n"/>
      <c r="D55" s="9" t="n"/>
      <c r="E55" s="10" t="n"/>
      <c r="F55" s="18">
        <f>IF(B55="","",COUNTIF($B$5:$KO$5,B55))</f>
        <v/>
      </c>
      <c r="G55" s="19">
        <f>IF(OR(B55="",F55=0),"",ROUND(EXP(SUMPRODUCT(($B$5:$KO$5=B55)*LN($B$19:$KO$19+($B$19:$KO$19=0)))),0))</f>
        <v/>
      </c>
    </row>
    <row r="56">
      <c r="A56" s="17" t="n">
        <v>28</v>
      </c>
      <c r="B56" s="8" t="n"/>
      <c r="C56" s="8" t="n"/>
      <c r="D56" s="9" t="n"/>
      <c r="E56" s="10" t="n"/>
      <c r="F56" s="18">
        <f>IF(B56="","",COUNTIF($B$5:$KO$5,B56))</f>
        <v/>
      </c>
      <c r="G56" s="19">
        <f>IF(OR(B56="",F56=0),"",ROUND(EXP(SUMPRODUCT(($B$5:$KO$5=B56)*LN($B$19:$KO$19+($B$19:$KO$19=0)))),0))</f>
        <v/>
      </c>
    </row>
    <row r="57">
      <c r="A57" s="17" t="n">
        <v>29</v>
      </c>
      <c r="B57" s="8" t="n"/>
      <c r="C57" s="8" t="n"/>
      <c r="D57" s="9" t="n"/>
      <c r="E57" s="10" t="n"/>
      <c r="F57" s="18">
        <f>IF(B57="","",COUNTIF($B$5:$KO$5,B57))</f>
        <v/>
      </c>
      <c r="G57" s="19">
        <f>IF(OR(B57="",F57=0),"",ROUND(EXP(SUMPRODUCT(($B$5:$KO$5=B57)*LN($B$19:$KO$19+($B$19:$KO$19=0)))),0))</f>
        <v/>
      </c>
    </row>
    <row r="58">
      <c r="A58" s="17" t="n">
        <v>30</v>
      </c>
      <c r="B58" s="8" t="n"/>
      <c r="C58" s="8" t="n"/>
      <c r="D58" s="9" t="n"/>
      <c r="E58" s="10" t="n"/>
      <c r="F58" s="18">
        <f>IF(B58="","",COUNTIF($B$5:$KO$5,B58))</f>
        <v/>
      </c>
      <c r="G58" s="19">
        <f>IF(OR(B58="",F58=0),"",ROUND(EXP(SUMPRODUCT(($B$5:$KO$5=B58)*LN($B$19:$KO$19+($B$19:$KO$19=0)))),0))</f>
        <v/>
      </c>
    </row>
  </sheetData>
  <mergeCells count="32">
    <mergeCell ref="D2:F2"/>
    <mergeCell ref="C54:E54"/>
    <mergeCell ref="C50:E50"/>
    <mergeCell ref="C44:E44"/>
    <mergeCell ref="C41:E41"/>
    <mergeCell ref="C55:E55"/>
    <mergeCell ref="C31:E31"/>
    <mergeCell ref="C40:E40"/>
    <mergeCell ref="C56:E56"/>
    <mergeCell ref="C43:E43"/>
    <mergeCell ref="C51:E51"/>
    <mergeCell ref="C46:E46"/>
    <mergeCell ref="C36:E36"/>
    <mergeCell ref="C52:E52"/>
    <mergeCell ref="C39:E39"/>
    <mergeCell ref="C48:E48"/>
    <mergeCell ref="C32:E32"/>
    <mergeCell ref="C38:E38"/>
    <mergeCell ref="C28:E28"/>
    <mergeCell ref="C57:E57"/>
    <mergeCell ref="C37:E37"/>
    <mergeCell ref="C53:E53"/>
    <mergeCell ref="C49:E49"/>
    <mergeCell ref="C30:E30"/>
    <mergeCell ref="C34:E34"/>
    <mergeCell ref="C42:E42"/>
    <mergeCell ref="C58:E58"/>
    <mergeCell ref="C33:E33"/>
    <mergeCell ref="C45:E45"/>
    <mergeCell ref="C29:E29"/>
    <mergeCell ref="C35:E35"/>
    <mergeCell ref="C47:E47"/>
  </mergeCells>
  <dataValidations count="2">
    <dataValidation sqref="B7:KO7" showDropDown="0" showInputMessage="0" showErrorMessage="0" allowBlank="1" type="list">
      <formula1>"入力,状態,環境,操作,データ,その他"</formula1>
    </dataValidation>
    <dataValidation sqref="B5:KO5" showDropDown="0" showInputMessage="0" showErrorMessage="0" allowBlank="1" type="list">
      <formula1>'因子水準表'!$B$29:$B$58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0" customWidth="1" min="2" max="2"/>
    <col width="14" customWidth="1" min="3" max="3"/>
    <col width="24" customWidth="1" min="4" max="4"/>
    <col width="18" customWidth="1" min="5" max="5"/>
    <col width="8" customWidth="1" min="6" max="6"/>
    <col width="9" customWidth="1" min="7" max="7"/>
    <col width="14" customWidth="1" min="8" max="8"/>
  </cols>
  <sheetData>
    <row r="1">
      <c r="A1" s="1" t="inlineStr">
        <is>
          <t>テスト条件</t>
        </is>
      </c>
    </row>
    <row r="2">
      <c r="A2" s="2" t="inlineStr">
        <is>
          <t>テスト条件＝テストで確認すること。ケース数（全テストケースシートの合計）と状態は自動計算です。</t>
        </is>
      </c>
    </row>
    <row r="4">
      <c r="A4" s="12" t="inlineStr">
        <is>
          <t>条件ID</t>
        </is>
      </c>
      <c r="B4" s="12" t="inlineStr">
        <is>
          <t>テスト条件</t>
        </is>
      </c>
      <c r="C4" s="12" t="inlineStr">
        <is>
          <t>要件ID</t>
        </is>
      </c>
      <c r="D4" s="12" t="inlineStr">
        <is>
          <t>関連因子</t>
        </is>
      </c>
      <c r="E4" s="12" t="inlineStr">
        <is>
          <t>技法</t>
        </is>
      </c>
      <c r="F4" s="12" t="inlineStr">
        <is>
          <t>優先度</t>
        </is>
      </c>
      <c r="G4" s="12" t="inlineStr">
        <is>
          <t>ケース数</t>
        </is>
      </c>
      <c r="H4" s="12" t="inlineStr">
        <is>
          <t>状態</t>
        </is>
      </c>
    </row>
    <row r="5">
      <c r="A5" s="8" t="inlineStr">
        <is>
          <t>TC-A</t>
        </is>
      </c>
      <c r="B5" s="8" t="inlineStr">
        <is>
          <t>正しい資格情報でログインできる</t>
        </is>
      </c>
      <c r="C5" s="8" t="inlineStr">
        <is>
          <t>R-01</t>
        </is>
      </c>
      <c r="D5" s="8" t="inlineStr">
        <is>
          <t>F1, F2, F3</t>
        </is>
      </c>
      <c r="E5" s="8" t="inlineStr">
        <is>
          <t>同値分割</t>
        </is>
      </c>
      <c r="F5" s="8" t="inlineStr">
        <is>
          <t>高</t>
        </is>
      </c>
      <c r="G5" s="18">
        <f>IF(A5="","",COUNTIF('テストケース1'!$B$6:$B$205,A5)+COUNTIF('テストケース2'!$B$6:$B$205,A5)+COUNTIF('テストケース3'!$B$6:$B$205,A5)+COUNTIF('テストケース4'!$B$6:$B$205,A5)+COUNTIF('テストケース5'!$B$6:$B$205,A5)+COUNTIF('テストケース6'!$B$6:$B$205,A5)+COUNTIF('テストケース7'!$B$6:$B$205,A5)+COUNTIF('テストケース8'!$B$6:$B$205,A5)+COUNTIF('テストケース9'!$B$6:$B$205,A5)+COUNTIF('テストケース10'!$B$6:$B$205,A5))</f>
        <v/>
      </c>
      <c r="H5" s="18">
        <f>IF(A5="","",IF(G5=0,"ケース未作成","OK"))</f>
        <v/>
      </c>
    </row>
    <row r="6">
      <c r="A6" s="8" t="inlineStr">
        <is>
          <t>TC-B</t>
        </is>
      </c>
      <c r="B6" s="8" t="inlineStr">
        <is>
          <t>連続失敗が2回では未ロック、3回でロックされる（境界）</t>
        </is>
      </c>
      <c r="C6" s="8" t="inlineStr">
        <is>
          <t>R-01</t>
        </is>
      </c>
      <c r="D6" s="8" t="inlineStr">
        <is>
          <t>F2, F4</t>
        </is>
      </c>
      <c r="E6" s="8" t="inlineStr">
        <is>
          <t>境界値分析</t>
        </is>
      </c>
      <c r="F6" s="8" t="inlineStr">
        <is>
          <t>高</t>
        </is>
      </c>
      <c r="G6" s="18">
        <f>IF(A6="","",COUNTIF('テストケース1'!$B$6:$B$205,A6)+COUNTIF('テストケース2'!$B$6:$B$205,A6)+COUNTIF('テストケース3'!$B$6:$B$205,A6)+COUNTIF('テストケース4'!$B$6:$B$205,A6)+COUNTIF('テストケース5'!$B$6:$B$205,A6)+COUNTIF('テストケース6'!$B$6:$B$205,A6)+COUNTIF('テストケース7'!$B$6:$B$205,A6)+COUNTIF('テストケース8'!$B$6:$B$205,A6)+COUNTIF('テストケース9'!$B$6:$B$205,A6)+COUNTIF('テストケース10'!$B$6:$B$205,A6))</f>
        <v/>
      </c>
      <c r="H6" s="18">
        <f>IF(A6="","",IF(G6=0,"ケース未作成","OK"))</f>
        <v/>
      </c>
    </row>
    <row r="7">
      <c r="A7" s="8" t="inlineStr">
        <is>
          <t>TC-C</t>
        </is>
      </c>
      <c r="B7" s="8" t="inlineStr">
        <is>
          <t>ロック済みアカウントは資格情報が正しくてもログインできない</t>
        </is>
      </c>
      <c r="C7" s="8" t="inlineStr">
        <is>
          <t>R-05</t>
        </is>
      </c>
      <c r="D7" s="8" t="inlineStr">
        <is>
          <t>F3</t>
        </is>
      </c>
      <c r="E7" s="8" t="inlineStr">
        <is>
          <t>デシジョンテーブル</t>
        </is>
      </c>
      <c r="F7" s="8" t="inlineStr">
        <is>
          <t>高</t>
        </is>
      </c>
      <c r="G7" s="18">
        <f>IF(A7="","",COUNTIF('テストケース1'!$B$6:$B$205,A7)+COUNTIF('テストケース2'!$B$6:$B$205,A7)+COUNTIF('テストケース3'!$B$6:$B$205,A7)+COUNTIF('テストケース4'!$B$6:$B$205,A7)+COUNTIF('テストケース5'!$B$6:$B$205,A7)+COUNTIF('テストケース6'!$B$6:$B$205,A7)+COUNTIF('テストケース7'!$B$6:$B$205,A7)+COUNTIF('テストケース8'!$B$6:$B$205,A7)+COUNTIF('テストケース9'!$B$6:$B$205,A7)+COUNTIF('テストケース10'!$B$6:$B$205,A7))</f>
        <v/>
      </c>
      <c r="H7" s="18">
        <f>IF(A7="","",IF(G7=0,"ケース未作成","OK"))</f>
        <v/>
      </c>
    </row>
    <row r="8">
      <c r="A8" s="8" t="inlineStr">
        <is>
          <t>TC-D</t>
        </is>
      </c>
      <c r="B8" s="8" t="inlineStr">
        <is>
          <t>メールアドレス空欄・形式不正のときにエラーを表示する</t>
        </is>
      </c>
      <c r="C8" s="8" t="inlineStr">
        <is>
          <t>R-10, R-11</t>
        </is>
      </c>
      <c r="D8" s="8" t="inlineStr">
        <is>
          <t>F1</t>
        </is>
      </c>
      <c r="E8" s="8" t="inlineStr">
        <is>
          <t>同値分割</t>
        </is>
      </c>
      <c r="F8" s="8" t="inlineStr">
        <is>
          <t>中</t>
        </is>
      </c>
      <c r="G8" s="18">
        <f>IF(A8="","",COUNTIF('テストケース1'!$B$6:$B$205,A8)+COUNTIF('テストケース2'!$B$6:$B$205,A8)+COUNTIF('テストケース3'!$B$6:$B$205,A8)+COUNTIF('テストケース4'!$B$6:$B$205,A8)+COUNTIF('テストケース5'!$B$6:$B$205,A8)+COUNTIF('テストケース6'!$B$6:$B$205,A8)+COUNTIF('テストケース7'!$B$6:$B$205,A8)+COUNTIF('テストケース8'!$B$6:$B$205,A8)+COUNTIF('テストケース9'!$B$6:$B$205,A8)+COUNTIF('テストケース10'!$B$6:$B$205,A8))</f>
        <v/>
      </c>
      <c r="H8" s="18">
        <f>IF(A8="","",IF(G8=0,"ケース未作成","OK"))</f>
        <v/>
      </c>
    </row>
    <row r="9">
      <c r="A9" s="8" t="n"/>
      <c r="B9" s="8" t="n"/>
      <c r="C9" s="8" t="n"/>
      <c r="D9" s="8" t="n"/>
      <c r="E9" s="8" t="n"/>
      <c r="F9" s="8" t="n"/>
      <c r="G9" s="18">
        <f>IF(A9="","",COUNTIF('テストケース1'!$B$6:$B$205,A9)+COUNTIF('テストケース2'!$B$6:$B$205,A9)+COUNTIF('テストケース3'!$B$6:$B$205,A9)+COUNTIF('テストケース4'!$B$6:$B$205,A9)+COUNTIF('テストケース5'!$B$6:$B$205,A9)+COUNTIF('テストケース6'!$B$6:$B$205,A9)+COUNTIF('テストケース7'!$B$6:$B$205,A9)+COUNTIF('テストケース8'!$B$6:$B$205,A9)+COUNTIF('テストケース9'!$B$6:$B$205,A9)+COUNTIF('テストケース10'!$B$6:$B$205,A9))</f>
        <v/>
      </c>
      <c r="H9" s="18">
        <f>IF(A9="","",IF(G9=0,"ケース未作成","OK"))</f>
        <v/>
      </c>
    </row>
    <row r="10">
      <c r="A10" s="8" t="n"/>
      <c r="B10" s="8" t="n"/>
      <c r="C10" s="8" t="n"/>
      <c r="D10" s="8" t="n"/>
      <c r="E10" s="8" t="n"/>
      <c r="F10" s="8" t="n"/>
      <c r="G10" s="18">
        <f>IF(A10="","",COUNTIF('テストケース1'!$B$6:$B$205,A10)+COUNTIF('テストケース2'!$B$6:$B$205,A10)+COUNTIF('テストケース3'!$B$6:$B$205,A10)+COUNTIF('テストケース4'!$B$6:$B$205,A10)+COUNTIF('テストケース5'!$B$6:$B$205,A10)+COUNTIF('テストケース6'!$B$6:$B$205,A10)+COUNTIF('テストケース7'!$B$6:$B$205,A10)+COUNTIF('テストケース8'!$B$6:$B$205,A10)+COUNTIF('テストケース9'!$B$6:$B$205,A10)+COUNTIF('テストケース10'!$B$6:$B$205,A10))</f>
        <v/>
      </c>
      <c r="H10" s="18">
        <f>IF(A10="","",IF(G10=0,"ケース未作成","OK"))</f>
        <v/>
      </c>
    </row>
    <row r="11">
      <c r="A11" s="8" t="n"/>
      <c r="B11" s="8" t="n"/>
      <c r="C11" s="8" t="n"/>
      <c r="D11" s="8" t="n"/>
      <c r="E11" s="8" t="n"/>
      <c r="F11" s="8" t="n"/>
      <c r="G11" s="18">
        <f>IF(A11="","",COUNTIF('テストケース1'!$B$6:$B$205,A11)+COUNTIF('テストケース2'!$B$6:$B$205,A11)+COUNTIF('テストケース3'!$B$6:$B$205,A11)+COUNTIF('テストケース4'!$B$6:$B$205,A11)+COUNTIF('テストケース5'!$B$6:$B$205,A11)+COUNTIF('テストケース6'!$B$6:$B$205,A11)+COUNTIF('テストケース7'!$B$6:$B$205,A11)+COUNTIF('テストケース8'!$B$6:$B$205,A11)+COUNTIF('テストケース9'!$B$6:$B$205,A11)+COUNTIF('テストケース10'!$B$6:$B$205,A11))</f>
        <v/>
      </c>
      <c r="H11" s="18">
        <f>IF(A11="","",IF(G11=0,"ケース未作成","OK"))</f>
        <v/>
      </c>
    </row>
    <row r="12">
      <c r="A12" s="8" t="n"/>
      <c r="B12" s="8" t="n"/>
      <c r="C12" s="8" t="n"/>
      <c r="D12" s="8" t="n"/>
      <c r="E12" s="8" t="n"/>
      <c r="F12" s="8" t="n"/>
      <c r="G12" s="18">
        <f>IF(A12="","",COUNTIF('テストケース1'!$B$6:$B$205,A12)+COUNTIF('テストケース2'!$B$6:$B$205,A12)+COUNTIF('テストケース3'!$B$6:$B$205,A12)+COUNTIF('テストケース4'!$B$6:$B$205,A12)+COUNTIF('テストケース5'!$B$6:$B$205,A12)+COUNTIF('テストケース6'!$B$6:$B$205,A12)+COUNTIF('テストケース7'!$B$6:$B$205,A12)+COUNTIF('テストケース8'!$B$6:$B$205,A12)+COUNTIF('テストケース9'!$B$6:$B$205,A12)+COUNTIF('テストケース10'!$B$6:$B$205,A12))</f>
        <v/>
      </c>
      <c r="H12" s="18">
        <f>IF(A12="","",IF(G12=0,"ケース未作成","OK"))</f>
        <v/>
      </c>
    </row>
    <row r="13">
      <c r="A13" s="8" t="n"/>
      <c r="B13" s="8" t="n"/>
      <c r="C13" s="8" t="n"/>
      <c r="D13" s="8" t="n"/>
      <c r="E13" s="8" t="n"/>
      <c r="F13" s="8" t="n"/>
      <c r="G13" s="18">
        <f>IF(A13="","",COUNTIF('テストケース1'!$B$6:$B$205,A13)+COUNTIF('テストケース2'!$B$6:$B$205,A13)+COUNTIF('テストケース3'!$B$6:$B$205,A13)+COUNTIF('テストケース4'!$B$6:$B$205,A13)+COUNTIF('テストケース5'!$B$6:$B$205,A13)+COUNTIF('テストケース6'!$B$6:$B$205,A13)+COUNTIF('テストケース7'!$B$6:$B$205,A13)+COUNTIF('テストケース8'!$B$6:$B$205,A13)+COUNTIF('テストケース9'!$B$6:$B$205,A13)+COUNTIF('テストケース10'!$B$6:$B$205,A13))</f>
        <v/>
      </c>
      <c r="H13" s="18">
        <f>IF(A13="","",IF(G13=0,"ケース未作成","OK"))</f>
        <v/>
      </c>
    </row>
    <row r="14">
      <c r="A14" s="8" t="n"/>
      <c r="B14" s="8" t="n"/>
      <c r="C14" s="8" t="n"/>
      <c r="D14" s="8" t="n"/>
      <c r="E14" s="8" t="n"/>
      <c r="F14" s="8" t="n"/>
      <c r="G14" s="18">
        <f>IF(A14="","",COUNTIF('テストケース1'!$B$6:$B$205,A14)+COUNTIF('テストケース2'!$B$6:$B$205,A14)+COUNTIF('テストケース3'!$B$6:$B$205,A14)+COUNTIF('テストケース4'!$B$6:$B$205,A14)+COUNTIF('テストケース5'!$B$6:$B$205,A14)+COUNTIF('テストケース6'!$B$6:$B$205,A14)+COUNTIF('テストケース7'!$B$6:$B$205,A14)+COUNTIF('テストケース8'!$B$6:$B$205,A14)+COUNTIF('テストケース9'!$B$6:$B$205,A14)+COUNTIF('テストケース10'!$B$6:$B$205,A14))</f>
        <v/>
      </c>
      <c r="H14" s="18">
        <f>IF(A14="","",IF(G14=0,"ケース未作成","OK"))</f>
        <v/>
      </c>
    </row>
    <row r="15">
      <c r="A15" s="8" t="n"/>
      <c r="B15" s="8" t="n"/>
      <c r="C15" s="8" t="n"/>
      <c r="D15" s="8" t="n"/>
      <c r="E15" s="8" t="n"/>
      <c r="F15" s="8" t="n"/>
      <c r="G15" s="18">
        <f>IF(A15="","",COUNTIF('テストケース1'!$B$6:$B$205,A15)+COUNTIF('テストケース2'!$B$6:$B$205,A15)+COUNTIF('テストケース3'!$B$6:$B$205,A15)+COUNTIF('テストケース4'!$B$6:$B$205,A15)+COUNTIF('テストケース5'!$B$6:$B$205,A15)+COUNTIF('テストケース6'!$B$6:$B$205,A15)+COUNTIF('テストケース7'!$B$6:$B$205,A15)+COUNTIF('テストケース8'!$B$6:$B$205,A15)+COUNTIF('テストケース9'!$B$6:$B$205,A15)+COUNTIF('テストケース10'!$B$6:$B$205,A15))</f>
        <v/>
      </c>
      <c r="H15" s="18">
        <f>IF(A15="","",IF(G15=0,"ケース未作成","OK"))</f>
        <v/>
      </c>
    </row>
    <row r="16">
      <c r="A16" s="8" t="n"/>
      <c r="B16" s="8" t="n"/>
      <c r="C16" s="8" t="n"/>
      <c r="D16" s="8" t="n"/>
      <c r="E16" s="8" t="n"/>
      <c r="F16" s="8" t="n"/>
      <c r="G16" s="18">
        <f>IF(A16="","",COUNTIF('テストケース1'!$B$6:$B$205,A16)+COUNTIF('テストケース2'!$B$6:$B$205,A16)+COUNTIF('テストケース3'!$B$6:$B$205,A16)+COUNTIF('テストケース4'!$B$6:$B$205,A16)+COUNTIF('テストケース5'!$B$6:$B$205,A16)+COUNTIF('テストケース6'!$B$6:$B$205,A16)+COUNTIF('テストケース7'!$B$6:$B$205,A16)+COUNTIF('テストケース8'!$B$6:$B$205,A16)+COUNTIF('テストケース9'!$B$6:$B$205,A16)+COUNTIF('テストケース10'!$B$6:$B$205,A16))</f>
        <v/>
      </c>
      <c r="H16" s="18">
        <f>IF(A16="","",IF(G16=0,"ケース未作成","OK"))</f>
        <v/>
      </c>
    </row>
    <row r="17">
      <c r="A17" s="8" t="n"/>
      <c r="B17" s="8" t="n"/>
      <c r="C17" s="8" t="n"/>
      <c r="D17" s="8" t="n"/>
      <c r="E17" s="8" t="n"/>
      <c r="F17" s="8" t="n"/>
      <c r="G17" s="18">
        <f>IF(A17="","",COUNTIF('テストケース1'!$B$6:$B$205,A17)+COUNTIF('テストケース2'!$B$6:$B$205,A17)+COUNTIF('テストケース3'!$B$6:$B$205,A17)+COUNTIF('テストケース4'!$B$6:$B$205,A17)+COUNTIF('テストケース5'!$B$6:$B$205,A17)+COUNTIF('テストケース6'!$B$6:$B$205,A17)+COUNTIF('テストケース7'!$B$6:$B$205,A17)+COUNTIF('テストケース8'!$B$6:$B$205,A17)+COUNTIF('テストケース9'!$B$6:$B$205,A17)+COUNTIF('テストケース10'!$B$6:$B$205,A17))</f>
        <v/>
      </c>
      <c r="H17" s="18">
        <f>IF(A17="","",IF(G17=0,"ケース未作成","OK"))</f>
        <v/>
      </c>
    </row>
    <row r="18">
      <c r="A18" s="8" t="n"/>
      <c r="B18" s="8" t="n"/>
      <c r="C18" s="8" t="n"/>
      <c r="D18" s="8" t="n"/>
      <c r="E18" s="8" t="n"/>
      <c r="F18" s="8" t="n"/>
      <c r="G18" s="18">
        <f>IF(A18="","",COUNTIF('テストケース1'!$B$6:$B$205,A18)+COUNTIF('テストケース2'!$B$6:$B$205,A18)+COUNTIF('テストケース3'!$B$6:$B$205,A18)+COUNTIF('テストケース4'!$B$6:$B$205,A18)+COUNTIF('テストケース5'!$B$6:$B$205,A18)+COUNTIF('テストケース6'!$B$6:$B$205,A18)+COUNTIF('テストケース7'!$B$6:$B$205,A18)+COUNTIF('テストケース8'!$B$6:$B$205,A18)+COUNTIF('テストケース9'!$B$6:$B$205,A18)+COUNTIF('テストケース10'!$B$6:$B$205,A18))</f>
        <v/>
      </c>
      <c r="H18" s="18">
        <f>IF(A18="","",IF(G18=0,"ケース未作成","OK"))</f>
        <v/>
      </c>
    </row>
    <row r="19">
      <c r="A19" s="8" t="n"/>
      <c r="B19" s="8" t="n"/>
      <c r="C19" s="8" t="n"/>
      <c r="D19" s="8" t="n"/>
      <c r="E19" s="8" t="n"/>
      <c r="F19" s="8" t="n"/>
      <c r="G19" s="18">
        <f>IF(A19="","",COUNTIF('テストケース1'!$B$6:$B$205,A19)+COUNTIF('テストケース2'!$B$6:$B$205,A19)+COUNTIF('テストケース3'!$B$6:$B$205,A19)+COUNTIF('テストケース4'!$B$6:$B$205,A19)+COUNTIF('テストケース5'!$B$6:$B$205,A19)+COUNTIF('テストケース6'!$B$6:$B$205,A19)+COUNTIF('テストケース7'!$B$6:$B$205,A19)+COUNTIF('テストケース8'!$B$6:$B$205,A19)+COUNTIF('テストケース9'!$B$6:$B$205,A19)+COUNTIF('テストケース10'!$B$6:$B$205,A19))</f>
        <v/>
      </c>
      <c r="H19" s="18">
        <f>IF(A19="","",IF(G19=0,"ケース未作成","OK"))</f>
        <v/>
      </c>
    </row>
    <row r="20">
      <c r="A20" s="8" t="n"/>
      <c r="B20" s="8" t="n"/>
      <c r="C20" s="8" t="n"/>
      <c r="D20" s="8" t="n"/>
      <c r="E20" s="8" t="n"/>
      <c r="F20" s="8" t="n"/>
      <c r="G20" s="18">
        <f>IF(A20="","",COUNTIF('テストケース1'!$B$6:$B$205,A20)+COUNTIF('テストケース2'!$B$6:$B$205,A20)+COUNTIF('テストケース3'!$B$6:$B$205,A20)+COUNTIF('テストケース4'!$B$6:$B$205,A20)+COUNTIF('テストケース5'!$B$6:$B$205,A20)+COUNTIF('テストケース6'!$B$6:$B$205,A20)+COUNTIF('テストケース7'!$B$6:$B$205,A20)+COUNTIF('テストケース8'!$B$6:$B$205,A20)+COUNTIF('テストケース9'!$B$6:$B$205,A20)+COUNTIF('テストケース10'!$B$6:$B$205,A20))</f>
        <v/>
      </c>
      <c r="H20" s="18">
        <f>IF(A20="","",IF(G20=0,"ケース未作成","OK"))</f>
        <v/>
      </c>
    </row>
    <row r="21">
      <c r="A21" s="8" t="n"/>
      <c r="B21" s="8" t="n"/>
      <c r="C21" s="8" t="n"/>
      <c r="D21" s="8" t="n"/>
      <c r="E21" s="8" t="n"/>
      <c r="F21" s="8" t="n"/>
      <c r="G21" s="18">
        <f>IF(A21="","",COUNTIF('テストケース1'!$B$6:$B$205,A21)+COUNTIF('テストケース2'!$B$6:$B$205,A21)+COUNTIF('テストケース3'!$B$6:$B$205,A21)+COUNTIF('テストケース4'!$B$6:$B$205,A21)+COUNTIF('テストケース5'!$B$6:$B$205,A21)+COUNTIF('テストケース6'!$B$6:$B$205,A21)+COUNTIF('テストケース7'!$B$6:$B$205,A21)+COUNTIF('テストケース8'!$B$6:$B$205,A21)+COUNTIF('テストケース9'!$B$6:$B$205,A21)+COUNTIF('テストケース10'!$B$6:$B$205,A21))</f>
        <v/>
      </c>
      <c r="H21" s="18">
        <f>IF(A21="","",IF(G21=0,"ケース未作成","OK"))</f>
        <v/>
      </c>
    </row>
    <row r="22">
      <c r="A22" s="8" t="n"/>
      <c r="B22" s="8" t="n"/>
      <c r="C22" s="8" t="n"/>
      <c r="D22" s="8" t="n"/>
      <c r="E22" s="8" t="n"/>
      <c r="F22" s="8" t="n"/>
      <c r="G22" s="18">
        <f>IF(A22="","",COUNTIF('テストケース1'!$B$6:$B$205,A22)+COUNTIF('テストケース2'!$B$6:$B$205,A22)+COUNTIF('テストケース3'!$B$6:$B$205,A22)+COUNTIF('テストケース4'!$B$6:$B$205,A22)+COUNTIF('テストケース5'!$B$6:$B$205,A22)+COUNTIF('テストケース6'!$B$6:$B$205,A22)+COUNTIF('テストケース7'!$B$6:$B$205,A22)+COUNTIF('テストケース8'!$B$6:$B$205,A22)+COUNTIF('テストケース9'!$B$6:$B$205,A22)+COUNTIF('テストケース10'!$B$6:$B$205,A22))</f>
        <v/>
      </c>
      <c r="H22" s="18">
        <f>IF(A22="","",IF(G22=0,"ケース未作成","OK"))</f>
        <v/>
      </c>
    </row>
    <row r="23">
      <c r="A23" s="8" t="n"/>
      <c r="B23" s="8" t="n"/>
      <c r="C23" s="8" t="n"/>
      <c r="D23" s="8" t="n"/>
      <c r="E23" s="8" t="n"/>
      <c r="F23" s="8" t="n"/>
      <c r="G23" s="18">
        <f>IF(A23="","",COUNTIF('テストケース1'!$B$6:$B$205,A23)+COUNTIF('テストケース2'!$B$6:$B$205,A23)+COUNTIF('テストケース3'!$B$6:$B$205,A23)+COUNTIF('テストケース4'!$B$6:$B$205,A23)+COUNTIF('テストケース5'!$B$6:$B$205,A23)+COUNTIF('テストケース6'!$B$6:$B$205,A23)+COUNTIF('テストケース7'!$B$6:$B$205,A23)+COUNTIF('テストケース8'!$B$6:$B$205,A23)+COUNTIF('テストケース9'!$B$6:$B$205,A23)+COUNTIF('テストケース10'!$B$6:$B$205,A23))</f>
        <v/>
      </c>
      <c r="H23" s="18">
        <f>IF(A23="","",IF(G23=0,"ケース未作成","OK"))</f>
        <v/>
      </c>
    </row>
    <row r="24">
      <c r="A24" s="8" t="n"/>
      <c r="B24" s="8" t="n"/>
      <c r="C24" s="8" t="n"/>
      <c r="D24" s="8" t="n"/>
      <c r="E24" s="8" t="n"/>
      <c r="F24" s="8" t="n"/>
      <c r="G24" s="18">
        <f>IF(A24="","",COUNTIF('テストケース1'!$B$6:$B$205,A24)+COUNTIF('テストケース2'!$B$6:$B$205,A24)+COUNTIF('テストケース3'!$B$6:$B$205,A24)+COUNTIF('テストケース4'!$B$6:$B$205,A24)+COUNTIF('テストケース5'!$B$6:$B$205,A24)+COUNTIF('テストケース6'!$B$6:$B$205,A24)+COUNTIF('テストケース7'!$B$6:$B$205,A24)+COUNTIF('テストケース8'!$B$6:$B$205,A24)+COUNTIF('テストケース9'!$B$6:$B$205,A24)+COUNTIF('テストケース10'!$B$6:$B$205,A24))</f>
        <v/>
      </c>
      <c r="H24" s="18">
        <f>IF(A24="","",IF(G24=0,"ケース未作成","OK"))</f>
        <v/>
      </c>
    </row>
    <row r="25">
      <c r="A25" s="8" t="n"/>
      <c r="B25" s="8" t="n"/>
      <c r="C25" s="8" t="n"/>
      <c r="D25" s="8" t="n"/>
      <c r="E25" s="8" t="n"/>
      <c r="F25" s="8" t="n"/>
      <c r="G25" s="18">
        <f>IF(A25="","",COUNTIF('テストケース1'!$B$6:$B$205,A25)+COUNTIF('テストケース2'!$B$6:$B$205,A25)+COUNTIF('テストケース3'!$B$6:$B$205,A25)+COUNTIF('テストケース4'!$B$6:$B$205,A25)+COUNTIF('テストケース5'!$B$6:$B$205,A25)+COUNTIF('テストケース6'!$B$6:$B$205,A25)+COUNTIF('テストケース7'!$B$6:$B$205,A25)+COUNTIF('テストケース8'!$B$6:$B$205,A25)+COUNTIF('テストケース9'!$B$6:$B$205,A25)+COUNTIF('テストケース10'!$B$6:$B$205,A25))</f>
        <v/>
      </c>
      <c r="H25" s="18">
        <f>IF(A25="","",IF(G25=0,"ケース未作成","OK"))</f>
        <v/>
      </c>
    </row>
    <row r="26">
      <c r="A26" s="8" t="n"/>
      <c r="B26" s="8" t="n"/>
      <c r="C26" s="8" t="n"/>
      <c r="D26" s="8" t="n"/>
      <c r="E26" s="8" t="n"/>
      <c r="F26" s="8" t="n"/>
      <c r="G26" s="18">
        <f>IF(A26="","",COUNTIF('テストケース1'!$B$6:$B$205,A26)+COUNTIF('テストケース2'!$B$6:$B$205,A26)+COUNTIF('テストケース3'!$B$6:$B$205,A26)+COUNTIF('テストケース4'!$B$6:$B$205,A26)+COUNTIF('テストケース5'!$B$6:$B$205,A26)+COUNTIF('テストケース6'!$B$6:$B$205,A26)+COUNTIF('テストケース7'!$B$6:$B$205,A26)+COUNTIF('テストケース8'!$B$6:$B$205,A26)+COUNTIF('テストケース9'!$B$6:$B$205,A26)+COUNTIF('テストケース10'!$B$6:$B$205,A26))</f>
        <v/>
      </c>
      <c r="H26" s="18">
        <f>IF(A26="","",IF(G26=0,"ケース未作成","OK"))</f>
        <v/>
      </c>
    </row>
    <row r="27">
      <c r="A27" s="8" t="n"/>
      <c r="B27" s="8" t="n"/>
      <c r="C27" s="8" t="n"/>
      <c r="D27" s="8" t="n"/>
      <c r="E27" s="8" t="n"/>
      <c r="F27" s="8" t="n"/>
      <c r="G27" s="18">
        <f>IF(A27="","",COUNTIF('テストケース1'!$B$6:$B$205,A27)+COUNTIF('テストケース2'!$B$6:$B$205,A27)+COUNTIF('テストケース3'!$B$6:$B$205,A27)+COUNTIF('テストケース4'!$B$6:$B$205,A27)+COUNTIF('テストケース5'!$B$6:$B$205,A27)+COUNTIF('テストケース6'!$B$6:$B$205,A27)+COUNTIF('テストケース7'!$B$6:$B$205,A27)+COUNTIF('テストケース8'!$B$6:$B$205,A27)+COUNTIF('テストケース9'!$B$6:$B$205,A27)+COUNTIF('テストケース10'!$B$6:$B$205,A27))</f>
        <v/>
      </c>
      <c r="H27" s="18">
        <f>IF(A27="","",IF(G27=0,"ケース未作成","OK"))</f>
        <v/>
      </c>
    </row>
    <row r="28">
      <c r="A28" s="8" t="n"/>
      <c r="B28" s="8" t="n"/>
      <c r="C28" s="8" t="n"/>
      <c r="D28" s="8" t="n"/>
      <c r="E28" s="8" t="n"/>
      <c r="F28" s="8" t="n"/>
      <c r="G28" s="18">
        <f>IF(A28="","",COUNTIF('テストケース1'!$B$6:$B$205,A28)+COUNTIF('テストケース2'!$B$6:$B$205,A28)+COUNTIF('テストケース3'!$B$6:$B$205,A28)+COUNTIF('テストケース4'!$B$6:$B$205,A28)+COUNTIF('テストケース5'!$B$6:$B$205,A28)+COUNTIF('テストケース6'!$B$6:$B$205,A28)+COUNTIF('テストケース7'!$B$6:$B$205,A28)+COUNTIF('テストケース8'!$B$6:$B$205,A28)+COUNTIF('テストケース9'!$B$6:$B$205,A28)+COUNTIF('テストケース10'!$B$6:$B$205,A28))</f>
        <v/>
      </c>
      <c r="H28" s="18">
        <f>IF(A28="","",IF(G28=0,"ケース未作成","OK"))</f>
        <v/>
      </c>
    </row>
    <row r="29">
      <c r="A29" s="8" t="n"/>
      <c r="B29" s="8" t="n"/>
      <c r="C29" s="8" t="n"/>
      <c r="D29" s="8" t="n"/>
      <c r="E29" s="8" t="n"/>
      <c r="F29" s="8" t="n"/>
      <c r="G29" s="18">
        <f>IF(A29="","",COUNTIF('テストケース1'!$B$6:$B$205,A29)+COUNTIF('テストケース2'!$B$6:$B$205,A29)+COUNTIF('テストケース3'!$B$6:$B$205,A29)+COUNTIF('テストケース4'!$B$6:$B$205,A29)+COUNTIF('テストケース5'!$B$6:$B$205,A29)+COUNTIF('テストケース6'!$B$6:$B$205,A29)+COUNTIF('テストケース7'!$B$6:$B$205,A29)+COUNTIF('テストケース8'!$B$6:$B$205,A29)+COUNTIF('テストケース9'!$B$6:$B$205,A29)+COUNTIF('テストケース10'!$B$6:$B$205,A29))</f>
        <v/>
      </c>
      <c r="H29" s="18">
        <f>IF(A29="","",IF(G29=0,"ケース未作成","OK"))</f>
        <v/>
      </c>
    </row>
    <row r="30">
      <c r="A30" s="8" t="n"/>
      <c r="B30" s="8" t="n"/>
      <c r="C30" s="8" t="n"/>
      <c r="D30" s="8" t="n"/>
      <c r="E30" s="8" t="n"/>
      <c r="F30" s="8" t="n"/>
      <c r="G30" s="18">
        <f>IF(A30="","",COUNTIF('テストケース1'!$B$6:$B$205,A30)+COUNTIF('テストケース2'!$B$6:$B$205,A30)+COUNTIF('テストケース3'!$B$6:$B$205,A30)+COUNTIF('テストケース4'!$B$6:$B$205,A30)+COUNTIF('テストケース5'!$B$6:$B$205,A30)+COUNTIF('テストケース6'!$B$6:$B$205,A30)+COUNTIF('テストケース7'!$B$6:$B$205,A30)+COUNTIF('テストケース8'!$B$6:$B$205,A30)+COUNTIF('テストケース9'!$B$6:$B$205,A30)+COUNTIF('テストケース10'!$B$6:$B$205,A30))</f>
        <v/>
      </c>
      <c r="H30" s="18">
        <f>IF(A30="","",IF(G30=0,"ケース未作成","OK"))</f>
        <v/>
      </c>
    </row>
    <row r="31">
      <c r="A31" s="8" t="n"/>
      <c r="B31" s="8" t="n"/>
      <c r="C31" s="8" t="n"/>
      <c r="D31" s="8" t="n"/>
      <c r="E31" s="8" t="n"/>
      <c r="F31" s="8" t="n"/>
      <c r="G31" s="18">
        <f>IF(A31="","",COUNTIF('テストケース1'!$B$6:$B$205,A31)+COUNTIF('テストケース2'!$B$6:$B$205,A31)+COUNTIF('テストケース3'!$B$6:$B$205,A31)+COUNTIF('テストケース4'!$B$6:$B$205,A31)+COUNTIF('テストケース5'!$B$6:$B$205,A31)+COUNTIF('テストケース6'!$B$6:$B$205,A31)+COUNTIF('テストケース7'!$B$6:$B$205,A31)+COUNTIF('テストケース8'!$B$6:$B$205,A31)+COUNTIF('テストケース9'!$B$6:$B$205,A31)+COUNTIF('テストケース10'!$B$6:$B$205,A31))</f>
        <v/>
      </c>
      <c r="H31" s="18">
        <f>IF(A31="","",IF(G31=0,"ケース未作成","OK"))</f>
        <v/>
      </c>
    </row>
    <row r="32">
      <c r="A32" s="8" t="n"/>
      <c r="B32" s="8" t="n"/>
      <c r="C32" s="8" t="n"/>
      <c r="D32" s="8" t="n"/>
      <c r="E32" s="8" t="n"/>
      <c r="F32" s="8" t="n"/>
      <c r="G32" s="18">
        <f>IF(A32="","",COUNTIF('テストケース1'!$B$6:$B$205,A32)+COUNTIF('テストケース2'!$B$6:$B$205,A32)+COUNTIF('テストケース3'!$B$6:$B$205,A32)+COUNTIF('テストケース4'!$B$6:$B$205,A32)+COUNTIF('テストケース5'!$B$6:$B$205,A32)+COUNTIF('テストケース6'!$B$6:$B$205,A32)+COUNTIF('テストケース7'!$B$6:$B$205,A32)+COUNTIF('テストケース8'!$B$6:$B$205,A32)+COUNTIF('テストケース9'!$B$6:$B$205,A32)+COUNTIF('テストケース10'!$B$6:$B$205,A32))</f>
        <v/>
      </c>
      <c r="H32" s="18">
        <f>IF(A32="","",IF(G32=0,"ケース未作成","OK"))</f>
        <v/>
      </c>
    </row>
    <row r="33">
      <c r="A33" s="8" t="n"/>
      <c r="B33" s="8" t="n"/>
      <c r="C33" s="8" t="n"/>
      <c r="D33" s="8" t="n"/>
      <c r="E33" s="8" t="n"/>
      <c r="F33" s="8" t="n"/>
      <c r="G33" s="18">
        <f>IF(A33="","",COUNTIF('テストケース1'!$B$6:$B$205,A33)+COUNTIF('テストケース2'!$B$6:$B$205,A33)+COUNTIF('テストケース3'!$B$6:$B$205,A33)+COUNTIF('テストケース4'!$B$6:$B$205,A33)+COUNTIF('テストケース5'!$B$6:$B$205,A33)+COUNTIF('テストケース6'!$B$6:$B$205,A33)+COUNTIF('テストケース7'!$B$6:$B$205,A33)+COUNTIF('テストケース8'!$B$6:$B$205,A33)+COUNTIF('テストケース9'!$B$6:$B$205,A33)+COUNTIF('テストケース10'!$B$6:$B$205,A33))</f>
        <v/>
      </c>
      <c r="H33" s="18">
        <f>IF(A33="","",IF(G33=0,"ケース未作成","OK"))</f>
        <v/>
      </c>
    </row>
    <row r="34">
      <c r="A34" s="8" t="n"/>
      <c r="B34" s="8" t="n"/>
      <c r="C34" s="8" t="n"/>
      <c r="D34" s="8" t="n"/>
      <c r="E34" s="8" t="n"/>
      <c r="F34" s="8" t="n"/>
      <c r="G34" s="18">
        <f>IF(A34="","",COUNTIF('テストケース1'!$B$6:$B$205,A34)+COUNTIF('テストケース2'!$B$6:$B$205,A34)+COUNTIF('テストケース3'!$B$6:$B$205,A34)+COUNTIF('テストケース4'!$B$6:$B$205,A34)+COUNTIF('テストケース5'!$B$6:$B$205,A34)+COUNTIF('テストケース6'!$B$6:$B$205,A34)+COUNTIF('テストケース7'!$B$6:$B$205,A34)+COUNTIF('テストケース8'!$B$6:$B$205,A34)+COUNTIF('テストケース9'!$B$6:$B$205,A34)+COUNTIF('テストケース10'!$B$6:$B$205,A34))</f>
        <v/>
      </c>
      <c r="H34" s="18">
        <f>IF(A34="","",IF(G34=0,"ケース未作成","OK"))</f>
        <v/>
      </c>
    </row>
    <row r="35">
      <c r="A35" s="8" t="n"/>
      <c r="B35" s="8" t="n"/>
      <c r="C35" s="8" t="n"/>
      <c r="D35" s="8" t="n"/>
      <c r="E35" s="8" t="n"/>
      <c r="F35" s="8" t="n"/>
      <c r="G35" s="18">
        <f>IF(A35="","",COUNTIF('テストケース1'!$B$6:$B$205,A35)+COUNTIF('テストケース2'!$B$6:$B$205,A35)+COUNTIF('テストケース3'!$B$6:$B$205,A35)+COUNTIF('テストケース4'!$B$6:$B$205,A35)+COUNTIF('テストケース5'!$B$6:$B$205,A35)+COUNTIF('テストケース6'!$B$6:$B$205,A35)+COUNTIF('テストケース7'!$B$6:$B$205,A35)+COUNTIF('テストケース8'!$B$6:$B$205,A35)+COUNTIF('テストケース9'!$B$6:$B$205,A35)+COUNTIF('テストケース10'!$B$6:$B$205,A35))</f>
        <v/>
      </c>
      <c r="H35" s="18">
        <f>IF(A35="","",IF(G35=0,"ケース未作成","OK"))</f>
        <v/>
      </c>
    </row>
    <row r="36">
      <c r="A36" s="8" t="n"/>
      <c r="B36" s="8" t="n"/>
      <c r="C36" s="8" t="n"/>
      <c r="D36" s="8" t="n"/>
      <c r="E36" s="8" t="n"/>
      <c r="F36" s="8" t="n"/>
      <c r="G36" s="18">
        <f>IF(A36="","",COUNTIF('テストケース1'!$B$6:$B$205,A36)+COUNTIF('テストケース2'!$B$6:$B$205,A36)+COUNTIF('テストケース3'!$B$6:$B$205,A36)+COUNTIF('テストケース4'!$B$6:$B$205,A36)+COUNTIF('テストケース5'!$B$6:$B$205,A36)+COUNTIF('テストケース6'!$B$6:$B$205,A36)+COUNTIF('テストケース7'!$B$6:$B$205,A36)+COUNTIF('テストケース8'!$B$6:$B$205,A36)+COUNTIF('テストケース9'!$B$6:$B$205,A36)+COUNTIF('テストケース10'!$B$6:$B$205,A36))</f>
        <v/>
      </c>
      <c r="H36" s="18">
        <f>IF(A36="","",IF(G36=0,"ケース未作成","OK"))</f>
        <v/>
      </c>
    </row>
    <row r="37">
      <c r="A37" s="8" t="n"/>
      <c r="B37" s="8" t="n"/>
      <c r="C37" s="8" t="n"/>
      <c r="D37" s="8" t="n"/>
      <c r="E37" s="8" t="n"/>
      <c r="F37" s="8" t="n"/>
      <c r="G37" s="18">
        <f>IF(A37="","",COUNTIF('テストケース1'!$B$6:$B$205,A37)+COUNTIF('テストケース2'!$B$6:$B$205,A37)+COUNTIF('テストケース3'!$B$6:$B$205,A37)+COUNTIF('テストケース4'!$B$6:$B$205,A37)+COUNTIF('テストケース5'!$B$6:$B$205,A37)+COUNTIF('テストケース6'!$B$6:$B$205,A37)+COUNTIF('テストケース7'!$B$6:$B$205,A37)+COUNTIF('テストケース8'!$B$6:$B$205,A37)+COUNTIF('テストケース9'!$B$6:$B$205,A37)+COUNTIF('テストケース10'!$B$6:$B$205,A37))</f>
        <v/>
      </c>
      <c r="H37" s="18">
        <f>IF(A37="","",IF(G37=0,"ケース未作成","OK"))</f>
        <v/>
      </c>
    </row>
    <row r="38">
      <c r="A38" s="8" t="n"/>
      <c r="B38" s="8" t="n"/>
      <c r="C38" s="8" t="n"/>
      <c r="D38" s="8" t="n"/>
      <c r="E38" s="8" t="n"/>
      <c r="F38" s="8" t="n"/>
      <c r="G38" s="18">
        <f>IF(A38="","",COUNTIF('テストケース1'!$B$6:$B$205,A38)+COUNTIF('テストケース2'!$B$6:$B$205,A38)+COUNTIF('テストケース3'!$B$6:$B$205,A38)+COUNTIF('テストケース4'!$B$6:$B$205,A38)+COUNTIF('テストケース5'!$B$6:$B$205,A38)+COUNTIF('テストケース6'!$B$6:$B$205,A38)+COUNTIF('テストケース7'!$B$6:$B$205,A38)+COUNTIF('テストケース8'!$B$6:$B$205,A38)+COUNTIF('テストケース9'!$B$6:$B$205,A38)+COUNTIF('テストケース10'!$B$6:$B$205,A38))</f>
        <v/>
      </c>
      <c r="H38" s="18">
        <f>IF(A38="","",IF(G38=0,"ケース未作成","OK"))</f>
        <v/>
      </c>
    </row>
    <row r="39">
      <c r="A39" s="8" t="n"/>
      <c r="B39" s="8" t="n"/>
      <c r="C39" s="8" t="n"/>
      <c r="D39" s="8" t="n"/>
      <c r="E39" s="8" t="n"/>
      <c r="F39" s="8" t="n"/>
      <c r="G39" s="18">
        <f>IF(A39="","",COUNTIF('テストケース1'!$B$6:$B$205,A39)+COUNTIF('テストケース2'!$B$6:$B$205,A39)+COUNTIF('テストケース3'!$B$6:$B$205,A39)+COUNTIF('テストケース4'!$B$6:$B$205,A39)+COUNTIF('テストケース5'!$B$6:$B$205,A39)+COUNTIF('テストケース6'!$B$6:$B$205,A39)+COUNTIF('テストケース7'!$B$6:$B$205,A39)+COUNTIF('テストケース8'!$B$6:$B$205,A39)+COUNTIF('テストケース9'!$B$6:$B$205,A39)+COUNTIF('テストケース10'!$B$6:$B$205,A39))</f>
        <v/>
      </c>
      <c r="H39" s="18">
        <f>IF(A39="","",IF(G39=0,"ケース未作成","OK"))</f>
        <v/>
      </c>
    </row>
    <row r="40">
      <c r="A40" s="8" t="n"/>
      <c r="B40" s="8" t="n"/>
      <c r="C40" s="8" t="n"/>
      <c r="D40" s="8" t="n"/>
      <c r="E40" s="8" t="n"/>
      <c r="F40" s="8" t="n"/>
      <c r="G40" s="18">
        <f>IF(A40="","",COUNTIF('テストケース1'!$B$6:$B$205,A40)+COUNTIF('テストケース2'!$B$6:$B$205,A40)+COUNTIF('テストケース3'!$B$6:$B$205,A40)+COUNTIF('テストケース4'!$B$6:$B$205,A40)+COUNTIF('テストケース5'!$B$6:$B$205,A40)+COUNTIF('テストケース6'!$B$6:$B$205,A40)+COUNTIF('テストケース7'!$B$6:$B$205,A40)+COUNTIF('テストケース8'!$B$6:$B$205,A40)+COUNTIF('テストケース9'!$B$6:$B$205,A40)+COUNTIF('テストケース10'!$B$6:$B$205,A40))</f>
        <v/>
      </c>
      <c r="H40" s="18">
        <f>IF(A40="","",IF(G40=0,"ケース未作成","OK"))</f>
        <v/>
      </c>
    </row>
    <row r="41">
      <c r="A41" s="8" t="n"/>
      <c r="B41" s="8" t="n"/>
      <c r="C41" s="8" t="n"/>
      <c r="D41" s="8" t="n"/>
      <c r="E41" s="8" t="n"/>
      <c r="F41" s="8" t="n"/>
      <c r="G41" s="18">
        <f>IF(A41="","",COUNTIF('テストケース1'!$B$6:$B$205,A41)+COUNTIF('テストケース2'!$B$6:$B$205,A41)+COUNTIF('テストケース3'!$B$6:$B$205,A41)+COUNTIF('テストケース4'!$B$6:$B$205,A41)+COUNTIF('テストケース5'!$B$6:$B$205,A41)+COUNTIF('テストケース6'!$B$6:$B$205,A41)+COUNTIF('テストケース7'!$B$6:$B$205,A41)+COUNTIF('テストケース8'!$B$6:$B$205,A41)+COUNTIF('テストケース9'!$B$6:$B$205,A41)+COUNTIF('テストケース10'!$B$6:$B$205,A41))</f>
        <v/>
      </c>
      <c r="H41" s="18">
        <f>IF(A41="","",IF(G41=0,"ケース未作成","OK"))</f>
        <v/>
      </c>
    </row>
    <row r="42">
      <c r="A42" s="8" t="n"/>
      <c r="B42" s="8" t="n"/>
      <c r="C42" s="8" t="n"/>
      <c r="D42" s="8" t="n"/>
      <c r="E42" s="8" t="n"/>
      <c r="F42" s="8" t="n"/>
      <c r="G42" s="18">
        <f>IF(A42="","",COUNTIF('テストケース1'!$B$6:$B$205,A42)+COUNTIF('テストケース2'!$B$6:$B$205,A42)+COUNTIF('テストケース3'!$B$6:$B$205,A42)+COUNTIF('テストケース4'!$B$6:$B$205,A42)+COUNTIF('テストケース5'!$B$6:$B$205,A42)+COUNTIF('テストケース6'!$B$6:$B$205,A42)+COUNTIF('テストケース7'!$B$6:$B$205,A42)+COUNTIF('テストケース8'!$B$6:$B$205,A42)+COUNTIF('テストケース9'!$B$6:$B$205,A42)+COUNTIF('テストケース10'!$B$6:$B$205,A42))</f>
        <v/>
      </c>
      <c r="H42" s="18">
        <f>IF(A42="","",IF(G42=0,"ケース未作成","OK"))</f>
        <v/>
      </c>
    </row>
    <row r="43">
      <c r="A43" s="8" t="n"/>
      <c r="B43" s="8" t="n"/>
      <c r="C43" s="8" t="n"/>
      <c r="D43" s="8" t="n"/>
      <c r="E43" s="8" t="n"/>
      <c r="F43" s="8" t="n"/>
      <c r="G43" s="18">
        <f>IF(A43="","",COUNTIF('テストケース1'!$B$6:$B$205,A43)+COUNTIF('テストケース2'!$B$6:$B$205,A43)+COUNTIF('テストケース3'!$B$6:$B$205,A43)+COUNTIF('テストケース4'!$B$6:$B$205,A43)+COUNTIF('テストケース5'!$B$6:$B$205,A43)+COUNTIF('テストケース6'!$B$6:$B$205,A43)+COUNTIF('テストケース7'!$B$6:$B$205,A43)+COUNTIF('テストケース8'!$B$6:$B$205,A43)+COUNTIF('テストケース9'!$B$6:$B$205,A43)+COUNTIF('テストケース10'!$B$6:$B$205,A43))</f>
        <v/>
      </c>
      <c r="H43" s="18">
        <f>IF(A43="","",IF(G43=0,"ケース未作成","OK"))</f>
        <v/>
      </c>
    </row>
    <row r="44">
      <c r="A44" s="8" t="n"/>
      <c r="B44" s="8" t="n"/>
      <c r="C44" s="8" t="n"/>
      <c r="D44" s="8" t="n"/>
      <c r="E44" s="8" t="n"/>
      <c r="F44" s="8" t="n"/>
      <c r="G44" s="18">
        <f>IF(A44="","",COUNTIF('テストケース1'!$B$6:$B$205,A44)+COUNTIF('テストケース2'!$B$6:$B$205,A44)+COUNTIF('テストケース3'!$B$6:$B$205,A44)+COUNTIF('テストケース4'!$B$6:$B$205,A44)+COUNTIF('テストケース5'!$B$6:$B$205,A44)+COUNTIF('テストケース6'!$B$6:$B$205,A44)+COUNTIF('テストケース7'!$B$6:$B$205,A44)+COUNTIF('テストケース8'!$B$6:$B$205,A44)+COUNTIF('テストケース9'!$B$6:$B$205,A44)+COUNTIF('テストケース10'!$B$6:$B$205,A44))</f>
        <v/>
      </c>
      <c r="H44" s="18">
        <f>IF(A44="","",IF(G44=0,"ケース未作成","OK"))</f>
        <v/>
      </c>
    </row>
    <row r="45">
      <c r="A45" s="8" t="n"/>
      <c r="B45" s="8" t="n"/>
      <c r="C45" s="8" t="n"/>
      <c r="D45" s="8" t="n"/>
      <c r="E45" s="8" t="n"/>
      <c r="F45" s="8" t="n"/>
      <c r="G45" s="18">
        <f>IF(A45="","",COUNTIF('テストケース1'!$B$6:$B$205,A45)+COUNTIF('テストケース2'!$B$6:$B$205,A45)+COUNTIF('テストケース3'!$B$6:$B$205,A45)+COUNTIF('テストケース4'!$B$6:$B$205,A45)+COUNTIF('テストケース5'!$B$6:$B$205,A45)+COUNTIF('テストケース6'!$B$6:$B$205,A45)+COUNTIF('テストケース7'!$B$6:$B$205,A45)+COUNTIF('テストケース8'!$B$6:$B$205,A45)+COUNTIF('テストケース9'!$B$6:$B$205,A45)+COUNTIF('テストケース10'!$B$6:$B$205,A45))</f>
        <v/>
      </c>
      <c r="H45" s="18">
        <f>IF(A45="","",IF(G45=0,"ケース未作成","OK"))</f>
        <v/>
      </c>
    </row>
    <row r="46">
      <c r="A46" s="8" t="n"/>
      <c r="B46" s="8" t="n"/>
      <c r="C46" s="8" t="n"/>
      <c r="D46" s="8" t="n"/>
      <c r="E46" s="8" t="n"/>
      <c r="F46" s="8" t="n"/>
      <c r="G46" s="18">
        <f>IF(A46="","",COUNTIF('テストケース1'!$B$6:$B$205,A46)+COUNTIF('テストケース2'!$B$6:$B$205,A46)+COUNTIF('テストケース3'!$B$6:$B$205,A46)+COUNTIF('テストケース4'!$B$6:$B$205,A46)+COUNTIF('テストケース5'!$B$6:$B$205,A46)+COUNTIF('テストケース6'!$B$6:$B$205,A46)+COUNTIF('テストケース7'!$B$6:$B$205,A46)+COUNTIF('テストケース8'!$B$6:$B$205,A46)+COUNTIF('テストケース9'!$B$6:$B$205,A46)+COUNTIF('テストケース10'!$B$6:$B$205,A46))</f>
        <v/>
      </c>
      <c r="H46" s="18">
        <f>IF(A46="","",IF(G46=0,"ケース未作成","OK"))</f>
        <v/>
      </c>
    </row>
    <row r="47">
      <c r="A47" s="8" t="n"/>
      <c r="B47" s="8" t="n"/>
      <c r="C47" s="8" t="n"/>
      <c r="D47" s="8" t="n"/>
      <c r="E47" s="8" t="n"/>
      <c r="F47" s="8" t="n"/>
      <c r="G47" s="18">
        <f>IF(A47="","",COUNTIF('テストケース1'!$B$6:$B$205,A47)+COUNTIF('テストケース2'!$B$6:$B$205,A47)+COUNTIF('テストケース3'!$B$6:$B$205,A47)+COUNTIF('テストケース4'!$B$6:$B$205,A47)+COUNTIF('テストケース5'!$B$6:$B$205,A47)+COUNTIF('テストケース6'!$B$6:$B$205,A47)+COUNTIF('テストケース7'!$B$6:$B$205,A47)+COUNTIF('テストケース8'!$B$6:$B$205,A47)+COUNTIF('テストケース9'!$B$6:$B$205,A47)+COUNTIF('テストケース10'!$B$6:$B$205,A47))</f>
        <v/>
      </c>
      <c r="H47" s="18">
        <f>IF(A47="","",IF(G47=0,"ケース未作成","OK"))</f>
        <v/>
      </c>
    </row>
    <row r="48">
      <c r="A48" s="8" t="n"/>
      <c r="B48" s="8" t="n"/>
      <c r="C48" s="8" t="n"/>
      <c r="D48" s="8" t="n"/>
      <c r="E48" s="8" t="n"/>
      <c r="F48" s="8" t="n"/>
      <c r="G48" s="18">
        <f>IF(A48="","",COUNTIF('テストケース1'!$B$6:$B$205,A48)+COUNTIF('テストケース2'!$B$6:$B$205,A48)+COUNTIF('テストケース3'!$B$6:$B$205,A48)+COUNTIF('テストケース4'!$B$6:$B$205,A48)+COUNTIF('テストケース5'!$B$6:$B$205,A48)+COUNTIF('テストケース6'!$B$6:$B$205,A48)+COUNTIF('テストケース7'!$B$6:$B$205,A48)+COUNTIF('テストケース8'!$B$6:$B$205,A48)+COUNTIF('テストケース9'!$B$6:$B$205,A48)+COUNTIF('テストケース10'!$B$6:$B$205,A48))</f>
        <v/>
      </c>
      <c r="H48" s="18">
        <f>IF(A48="","",IF(G48=0,"ケース未作成","OK"))</f>
        <v/>
      </c>
    </row>
    <row r="49">
      <c r="A49" s="8" t="n"/>
      <c r="B49" s="8" t="n"/>
      <c r="C49" s="8" t="n"/>
      <c r="D49" s="8" t="n"/>
      <c r="E49" s="8" t="n"/>
      <c r="F49" s="8" t="n"/>
      <c r="G49" s="18">
        <f>IF(A49="","",COUNTIF('テストケース1'!$B$6:$B$205,A49)+COUNTIF('テストケース2'!$B$6:$B$205,A49)+COUNTIF('テストケース3'!$B$6:$B$205,A49)+COUNTIF('テストケース4'!$B$6:$B$205,A49)+COUNTIF('テストケース5'!$B$6:$B$205,A49)+COUNTIF('テストケース6'!$B$6:$B$205,A49)+COUNTIF('テストケース7'!$B$6:$B$205,A49)+COUNTIF('テストケース8'!$B$6:$B$205,A49)+COUNTIF('テストケース9'!$B$6:$B$205,A49)+COUNTIF('テストケース10'!$B$6:$B$205,A49))</f>
        <v/>
      </c>
      <c r="H49" s="18">
        <f>IF(A49="","",IF(G49=0,"ケース未作成","OK"))</f>
        <v/>
      </c>
    </row>
    <row r="50">
      <c r="A50" s="8" t="n"/>
      <c r="B50" s="8" t="n"/>
      <c r="C50" s="8" t="n"/>
      <c r="D50" s="8" t="n"/>
      <c r="E50" s="8" t="n"/>
      <c r="F50" s="8" t="n"/>
      <c r="G50" s="18">
        <f>IF(A50="","",COUNTIF('テストケース1'!$B$6:$B$205,A50)+COUNTIF('テストケース2'!$B$6:$B$205,A50)+COUNTIF('テストケース3'!$B$6:$B$205,A50)+COUNTIF('テストケース4'!$B$6:$B$205,A50)+COUNTIF('テストケース5'!$B$6:$B$205,A50)+COUNTIF('テストケース6'!$B$6:$B$205,A50)+COUNTIF('テストケース7'!$B$6:$B$205,A50)+COUNTIF('テストケース8'!$B$6:$B$205,A50)+COUNTIF('テストケース9'!$B$6:$B$205,A50)+COUNTIF('テストケース10'!$B$6:$B$205,A50))</f>
        <v/>
      </c>
      <c r="H50" s="18">
        <f>IF(A50="","",IF(G50=0,"ケース未作成","OK"))</f>
        <v/>
      </c>
    </row>
    <row r="51">
      <c r="A51" s="8" t="n"/>
      <c r="B51" s="8" t="n"/>
      <c r="C51" s="8" t="n"/>
      <c r="D51" s="8" t="n"/>
      <c r="E51" s="8" t="n"/>
      <c r="F51" s="8" t="n"/>
      <c r="G51" s="18">
        <f>IF(A51="","",COUNTIF('テストケース1'!$B$6:$B$205,A51)+COUNTIF('テストケース2'!$B$6:$B$205,A51)+COUNTIF('テストケース3'!$B$6:$B$205,A51)+COUNTIF('テストケース4'!$B$6:$B$205,A51)+COUNTIF('テストケース5'!$B$6:$B$205,A51)+COUNTIF('テストケース6'!$B$6:$B$205,A51)+COUNTIF('テストケース7'!$B$6:$B$205,A51)+COUNTIF('テストケース8'!$B$6:$B$205,A51)+COUNTIF('テストケース9'!$B$6:$B$205,A51)+COUNTIF('テストケース10'!$B$6:$B$205,A51))</f>
        <v/>
      </c>
      <c r="H51" s="18">
        <f>IF(A51="","",IF(G51=0,"ケース未作成","OK"))</f>
        <v/>
      </c>
    </row>
    <row r="52">
      <c r="A52" s="8" t="n"/>
      <c r="B52" s="8" t="n"/>
      <c r="C52" s="8" t="n"/>
      <c r="D52" s="8" t="n"/>
      <c r="E52" s="8" t="n"/>
      <c r="F52" s="8" t="n"/>
      <c r="G52" s="18">
        <f>IF(A52="","",COUNTIF('テストケース1'!$B$6:$B$205,A52)+COUNTIF('テストケース2'!$B$6:$B$205,A52)+COUNTIF('テストケース3'!$B$6:$B$205,A52)+COUNTIF('テストケース4'!$B$6:$B$205,A52)+COUNTIF('テストケース5'!$B$6:$B$205,A52)+COUNTIF('テストケース6'!$B$6:$B$205,A52)+COUNTIF('テストケース7'!$B$6:$B$205,A52)+COUNTIF('テストケース8'!$B$6:$B$205,A52)+COUNTIF('テストケース9'!$B$6:$B$205,A52)+COUNTIF('テストケース10'!$B$6:$B$205,A52))</f>
        <v/>
      </c>
      <c r="H52" s="18">
        <f>IF(A52="","",IF(G52=0,"ケース未作成","OK"))</f>
        <v/>
      </c>
    </row>
    <row r="53">
      <c r="A53" s="8" t="n"/>
      <c r="B53" s="8" t="n"/>
      <c r="C53" s="8" t="n"/>
      <c r="D53" s="8" t="n"/>
      <c r="E53" s="8" t="n"/>
      <c r="F53" s="8" t="n"/>
      <c r="G53" s="18">
        <f>IF(A53="","",COUNTIF('テストケース1'!$B$6:$B$205,A53)+COUNTIF('テストケース2'!$B$6:$B$205,A53)+COUNTIF('テストケース3'!$B$6:$B$205,A53)+COUNTIF('テストケース4'!$B$6:$B$205,A53)+COUNTIF('テストケース5'!$B$6:$B$205,A53)+COUNTIF('テストケース6'!$B$6:$B$205,A53)+COUNTIF('テストケース7'!$B$6:$B$205,A53)+COUNTIF('テストケース8'!$B$6:$B$205,A53)+COUNTIF('テストケース9'!$B$6:$B$205,A53)+COUNTIF('テストケース10'!$B$6:$B$205,A53))</f>
        <v/>
      </c>
      <c r="H53" s="18">
        <f>IF(A53="","",IF(G53=0,"ケース未作成","OK"))</f>
        <v/>
      </c>
    </row>
    <row r="54">
      <c r="A54" s="8" t="n"/>
      <c r="B54" s="8" t="n"/>
      <c r="C54" s="8" t="n"/>
      <c r="D54" s="8" t="n"/>
      <c r="E54" s="8" t="n"/>
      <c r="F54" s="8" t="n"/>
      <c r="G54" s="18">
        <f>IF(A54="","",COUNTIF('テストケース1'!$B$6:$B$205,A54)+COUNTIF('テストケース2'!$B$6:$B$205,A54)+COUNTIF('テストケース3'!$B$6:$B$205,A54)+COUNTIF('テストケース4'!$B$6:$B$205,A54)+COUNTIF('テストケース5'!$B$6:$B$205,A54)+COUNTIF('テストケース6'!$B$6:$B$205,A54)+COUNTIF('テストケース7'!$B$6:$B$205,A54)+COUNTIF('テストケース8'!$B$6:$B$205,A54)+COUNTIF('テストケース9'!$B$6:$B$205,A54)+COUNTIF('テストケース10'!$B$6:$B$205,A54))</f>
        <v/>
      </c>
      <c r="H54" s="18">
        <f>IF(A54="","",IF(G54=0,"ケース未作成","OK"))</f>
        <v/>
      </c>
    </row>
    <row r="55">
      <c r="A55" s="8" t="n"/>
      <c r="B55" s="8" t="n"/>
      <c r="C55" s="8" t="n"/>
      <c r="D55" s="8" t="n"/>
      <c r="E55" s="8" t="n"/>
      <c r="F55" s="8" t="n"/>
      <c r="G55" s="18">
        <f>IF(A55="","",COUNTIF('テストケース1'!$B$6:$B$205,A55)+COUNTIF('テストケース2'!$B$6:$B$205,A55)+COUNTIF('テストケース3'!$B$6:$B$205,A55)+COUNTIF('テストケース4'!$B$6:$B$205,A55)+COUNTIF('テストケース5'!$B$6:$B$205,A55)+COUNTIF('テストケース6'!$B$6:$B$205,A55)+COUNTIF('テストケース7'!$B$6:$B$205,A55)+COUNTIF('テストケース8'!$B$6:$B$205,A55)+COUNTIF('テストケース9'!$B$6:$B$205,A55)+COUNTIF('テストケース10'!$B$6:$B$205,A55))</f>
        <v/>
      </c>
      <c r="H55" s="18">
        <f>IF(A55="","",IF(G55=0,"ケース未作成","OK"))</f>
        <v/>
      </c>
    </row>
    <row r="56">
      <c r="A56" s="8" t="n"/>
      <c r="B56" s="8" t="n"/>
      <c r="C56" s="8" t="n"/>
      <c r="D56" s="8" t="n"/>
      <c r="E56" s="8" t="n"/>
      <c r="F56" s="8" t="n"/>
      <c r="G56" s="18">
        <f>IF(A56="","",COUNTIF('テストケース1'!$B$6:$B$205,A56)+COUNTIF('テストケース2'!$B$6:$B$205,A56)+COUNTIF('テストケース3'!$B$6:$B$205,A56)+COUNTIF('テストケース4'!$B$6:$B$205,A56)+COUNTIF('テストケース5'!$B$6:$B$205,A56)+COUNTIF('テストケース6'!$B$6:$B$205,A56)+COUNTIF('テストケース7'!$B$6:$B$205,A56)+COUNTIF('テストケース8'!$B$6:$B$205,A56)+COUNTIF('テストケース9'!$B$6:$B$205,A56)+COUNTIF('テストケース10'!$B$6:$B$205,A56))</f>
        <v/>
      </c>
      <c r="H56" s="18">
        <f>IF(A56="","",IF(G56=0,"ケース未作成","OK"))</f>
        <v/>
      </c>
    </row>
    <row r="57">
      <c r="A57" s="8" t="n"/>
      <c r="B57" s="8" t="n"/>
      <c r="C57" s="8" t="n"/>
      <c r="D57" s="8" t="n"/>
      <c r="E57" s="8" t="n"/>
      <c r="F57" s="8" t="n"/>
      <c r="G57" s="18">
        <f>IF(A57="","",COUNTIF('テストケース1'!$B$6:$B$205,A57)+COUNTIF('テストケース2'!$B$6:$B$205,A57)+COUNTIF('テストケース3'!$B$6:$B$205,A57)+COUNTIF('テストケース4'!$B$6:$B$205,A57)+COUNTIF('テストケース5'!$B$6:$B$205,A57)+COUNTIF('テストケース6'!$B$6:$B$205,A57)+COUNTIF('テストケース7'!$B$6:$B$205,A57)+COUNTIF('テストケース8'!$B$6:$B$205,A57)+COUNTIF('テストケース9'!$B$6:$B$205,A57)+COUNTIF('テストケース10'!$B$6:$B$205,A57))</f>
        <v/>
      </c>
      <c r="H57" s="18">
        <f>IF(A57="","",IF(G57=0,"ケース未作成","OK"))</f>
        <v/>
      </c>
    </row>
    <row r="58">
      <c r="A58" s="8" t="n"/>
      <c r="B58" s="8" t="n"/>
      <c r="C58" s="8" t="n"/>
      <c r="D58" s="8" t="n"/>
      <c r="E58" s="8" t="n"/>
      <c r="F58" s="8" t="n"/>
      <c r="G58" s="18">
        <f>IF(A58="","",COUNTIF('テストケース1'!$B$6:$B$205,A58)+COUNTIF('テストケース2'!$B$6:$B$205,A58)+COUNTIF('テストケース3'!$B$6:$B$205,A58)+COUNTIF('テストケース4'!$B$6:$B$205,A58)+COUNTIF('テストケース5'!$B$6:$B$205,A58)+COUNTIF('テストケース6'!$B$6:$B$205,A58)+COUNTIF('テストケース7'!$B$6:$B$205,A58)+COUNTIF('テストケース8'!$B$6:$B$205,A58)+COUNTIF('テストケース9'!$B$6:$B$205,A58)+COUNTIF('テストケース10'!$B$6:$B$205,A58))</f>
        <v/>
      </c>
      <c r="H58" s="18">
        <f>IF(A58="","",IF(G58=0,"ケース未作成","OK"))</f>
        <v/>
      </c>
    </row>
    <row r="59">
      <c r="A59" s="8" t="n"/>
      <c r="B59" s="8" t="n"/>
      <c r="C59" s="8" t="n"/>
      <c r="D59" s="8" t="n"/>
      <c r="E59" s="8" t="n"/>
      <c r="F59" s="8" t="n"/>
      <c r="G59" s="18">
        <f>IF(A59="","",COUNTIF('テストケース1'!$B$6:$B$205,A59)+COUNTIF('テストケース2'!$B$6:$B$205,A59)+COUNTIF('テストケース3'!$B$6:$B$205,A59)+COUNTIF('テストケース4'!$B$6:$B$205,A59)+COUNTIF('テストケース5'!$B$6:$B$205,A59)+COUNTIF('テストケース6'!$B$6:$B$205,A59)+COUNTIF('テストケース7'!$B$6:$B$205,A59)+COUNTIF('テストケース8'!$B$6:$B$205,A59)+COUNTIF('テストケース9'!$B$6:$B$205,A59)+COUNTIF('テストケース10'!$B$6:$B$205,A59))</f>
        <v/>
      </c>
      <c r="H59" s="18">
        <f>IF(A59="","",IF(G59=0,"ケース未作成","OK"))</f>
        <v/>
      </c>
    </row>
    <row r="60">
      <c r="A60" s="8" t="n"/>
      <c r="B60" s="8" t="n"/>
      <c r="C60" s="8" t="n"/>
      <c r="D60" s="8" t="n"/>
      <c r="E60" s="8" t="n"/>
      <c r="F60" s="8" t="n"/>
      <c r="G60" s="18">
        <f>IF(A60="","",COUNTIF('テストケース1'!$B$6:$B$205,A60)+COUNTIF('テストケース2'!$B$6:$B$205,A60)+COUNTIF('テストケース3'!$B$6:$B$205,A60)+COUNTIF('テストケース4'!$B$6:$B$205,A60)+COUNTIF('テストケース5'!$B$6:$B$205,A60)+COUNTIF('テストケース6'!$B$6:$B$205,A60)+COUNTIF('テストケース7'!$B$6:$B$205,A60)+COUNTIF('テストケース8'!$B$6:$B$205,A60)+COUNTIF('テストケース9'!$B$6:$B$205,A60)+COUNTIF('テストケース10'!$B$6:$B$205,A60))</f>
        <v/>
      </c>
      <c r="H60" s="18">
        <f>IF(A60="","",IF(G60=0,"ケース未作成","OK"))</f>
        <v/>
      </c>
    </row>
    <row r="61">
      <c r="A61" s="8" t="n"/>
      <c r="B61" s="8" t="n"/>
      <c r="C61" s="8" t="n"/>
      <c r="D61" s="8" t="n"/>
      <c r="E61" s="8" t="n"/>
      <c r="F61" s="8" t="n"/>
      <c r="G61" s="18">
        <f>IF(A61="","",COUNTIF('テストケース1'!$B$6:$B$205,A61)+COUNTIF('テストケース2'!$B$6:$B$205,A61)+COUNTIF('テストケース3'!$B$6:$B$205,A61)+COUNTIF('テストケース4'!$B$6:$B$205,A61)+COUNTIF('テストケース5'!$B$6:$B$205,A61)+COUNTIF('テストケース6'!$B$6:$B$205,A61)+COUNTIF('テストケース7'!$B$6:$B$205,A61)+COUNTIF('テストケース8'!$B$6:$B$205,A61)+COUNTIF('テストケース9'!$B$6:$B$205,A61)+COUNTIF('テストケース10'!$B$6:$B$205,A61))</f>
        <v/>
      </c>
      <c r="H61" s="18">
        <f>IF(A61="","",IF(G61=0,"ケース未作成","OK"))</f>
        <v/>
      </c>
    </row>
    <row r="62">
      <c r="A62" s="8" t="n"/>
      <c r="B62" s="8" t="n"/>
      <c r="C62" s="8" t="n"/>
      <c r="D62" s="8" t="n"/>
      <c r="E62" s="8" t="n"/>
      <c r="F62" s="8" t="n"/>
      <c r="G62" s="18">
        <f>IF(A62="","",COUNTIF('テストケース1'!$B$6:$B$205,A62)+COUNTIF('テストケース2'!$B$6:$B$205,A62)+COUNTIF('テストケース3'!$B$6:$B$205,A62)+COUNTIF('テストケース4'!$B$6:$B$205,A62)+COUNTIF('テストケース5'!$B$6:$B$205,A62)+COUNTIF('テストケース6'!$B$6:$B$205,A62)+COUNTIF('テストケース7'!$B$6:$B$205,A62)+COUNTIF('テストケース8'!$B$6:$B$205,A62)+COUNTIF('テストケース9'!$B$6:$B$205,A62)+COUNTIF('テストケース10'!$B$6:$B$205,A62))</f>
        <v/>
      </c>
      <c r="H62" s="18">
        <f>IF(A62="","",IF(G62=0,"ケース未作成","OK"))</f>
        <v/>
      </c>
    </row>
    <row r="63">
      <c r="A63" s="8" t="n"/>
      <c r="B63" s="8" t="n"/>
      <c r="C63" s="8" t="n"/>
      <c r="D63" s="8" t="n"/>
      <c r="E63" s="8" t="n"/>
      <c r="F63" s="8" t="n"/>
      <c r="G63" s="18">
        <f>IF(A63="","",COUNTIF('テストケース1'!$B$6:$B$205,A63)+COUNTIF('テストケース2'!$B$6:$B$205,A63)+COUNTIF('テストケース3'!$B$6:$B$205,A63)+COUNTIF('テストケース4'!$B$6:$B$205,A63)+COUNTIF('テストケース5'!$B$6:$B$205,A63)+COUNTIF('テストケース6'!$B$6:$B$205,A63)+COUNTIF('テストケース7'!$B$6:$B$205,A63)+COUNTIF('テストケース8'!$B$6:$B$205,A63)+COUNTIF('テストケース9'!$B$6:$B$205,A63)+COUNTIF('テストケース10'!$B$6:$B$205,A63))</f>
        <v/>
      </c>
      <c r="H63" s="18">
        <f>IF(A63="","",IF(G63=0,"ケース未作成","OK"))</f>
        <v/>
      </c>
    </row>
    <row r="64">
      <c r="A64" s="8" t="n"/>
      <c r="B64" s="8" t="n"/>
      <c r="C64" s="8" t="n"/>
      <c r="D64" s="8" t="n"/>
      <c r="E64" s="8" t="n"/>
      <c r="F64" s="8" t="n"/>
      <c r="G64" s="18">
        <f>IF(A64="","",COUNTIF('テストケース1'!$B$6:$B$205,A64)+COUNTIF('テストケース2'!$B$6:$B$205,A64)+COUNTIF('テストケース3'!$B$6:$B$205,A64)+COUNTIF('テストケース4'!$B$6:$B$205,A64)+COUNTIF('テストケース5'!$B$6:$B$205,A64)+COUNTIF('テストケース6'!$B$6:$B$205,A64)+COUNTIF('テストケース7'!$B$6:$B$205,A64)+COUNTIF('テストケース8'!$B$6:$B$205,A64)+COUNTIF('テストケース9'!$B$6:$B$205,A64)+COUNTIF('テストケース10'!$B$6:$B$205,A64))</f>
        <v/>
      </c>
      <c r="H64" s="18">
        <f>IF(A64="","",IF(G64=0,"ケース未作成","OK"))</f>
        <v/>
      </c>
    </row>
    <row r="65">
      <c r="A65" s="8" t="n"/>
      <c r="B65" s="8" t="n"/>
      <c r="C65" s="8" t="n"/>
      <c r="D65" s="8" t="n"/>
      <c r="E65" s="8" t="n"/>
      <c r="F65" s="8" t="n"/>
      <c r="G65" s="18">
        <f>IF(A65="","",COUNTIF('テストケース1'!$B$6:$B$205,A65)+COUNTIF('テストケース2'!$B$6:$B$205,A65)+COUNTIF('テストケース3'!$B$6:$B$205,A65)+COUNTIF('テストケース4'!$B$6:$B$205,A65)+COUNTIF('テストケース5'!$B$6:$B$205,A65)+COUNTIF('テストケース6'!$B$6:$B$205,A65)+COUNTIF('テストケース7'!$B$6:$B$205,A65)+COUNTIF('テストケース8'!$B$6:$B$205,A65)+COUNTIF('テストケース9'!$B$6:$B$205,A65)+COUNTIF('テストケース10'!$B$6:$B$205,A65))</f>
        <v/>
      </c>
      <c r="H65" s="18">
        <f>IF(A65="","",IF(G65=0,"ケース未作成","OK"))</f>
        <v/>
      </c>
    </row>
    <row r="66">
      <c r="A66" s="8" t="n"/>
      <c r="B66" s="8" t="n"/>
      <c r="C66" s="8" t="n"/>
      <c r="D66" s="8" t="n"/>
      <c r="E66" s="8" t="n"/>
      <c r="F66" s="8" t="n"/>
      <c r="G66" s="18">
        <f>IF(A66="","",COUNTIF('テストケース1'!$B$6:$B$205,A66)+COUNTIF('テストケース2'!$B$6:$B$205,A66)+COUNTIF('テストケース3'!$B$6:$B$205,A66)+COUNTIF('テストケース4'!$B$6:$B$205,A66)+COUNTIF('テストケース5'!$B$6:$B$205,A66)+COUNTIF('テストケース6'!$B$6:$B$205,A66)+COUNTIF('テストケース7'!$B$6:$B$205,A66)+COUNTIF('テストケース8'!$B$6:$B$205,A66)+COUNTIF('テストケース9'!$B$6:$B$205,A66)+COUNTIF('テストケース10'!$B$6:$B$205,A66))</f>
        <v/>
      </c>
      <c r="H66" s="18">
        <f>IF(A66="","",IF(G66=0,"ケース未作成","OK"))</f>
        <v/>
      </c>
    </row>
    <row r="67">
      <c r="A67" s="8" t="n"/>
      <c r="B67" s="8" t="n"/>
      <c r="C67" s="8" t="n"/>
      <c r="D67" s="8" t="n"/>
      <c r="E67" s="8" t="n"/>
      <c r="F67" s="8" t="n"/>
      <c r="G67" s="18">
        <f>IF(A67="","",COUNTIF('テストケース1'!$B$6:$B$205,A67)+COUNTIF('テストケース2'!$B$6:$B$205,A67)+COUNTIF('テストケース3'!$B$6:$B$205,A67)+COUNTIF('テストケース4'!$B$6:$B$205,A67)+COUNTIF('テストケース5'!$B$6:$B$205,A67)+COUNTIF('テストケース6'!$B$6:$B$205,A67)+COUNTIF('テストケース7'!$B$6:$B$205,A67)+COUNTIF('テストケース8'!$B$6:$B$205,A67)+COUNTIF('テストケース9'!$B$6:$B$205,A67)+COUNTIF('テストケース10'!$B$6:$B$205,A67))</f>
        <v/>
      </c>
      <c r="H67" s="18">
        <f>IF(A67="","",IF(G67=0,"ケース未作成","OK"))</f>
        <v/>
      </c>
    </row>
    <row r="68">
      <c r="A68" s="8" t="n"/>
      <c r="B68" s="8" t="n"/>
      <c r="C68" s="8" t="n"/>
      <c r="D68" s="8" t="n"/>
      <c r="E68" s="8" t="n"/>
      <c r="F68" s="8" t="n"/>
      <c r="G68" s="18">
        <f>IF(A68="","",COUNTIF('テストケース1'!$B$6:$B$205,A68)+COUNTIF('テストケース2'!$B$6:$B$205,A68)+COUNTIF('テストケース3'!$B$6:$B$205,A68)+COUNTIF('テストケース4'!$B$6:$B$205,A68)+COUNTIF('テストケース5'!$B$6:$B$205,A68)+COUNTIF('テストケース6'!$B$6:$B$205,A68)+COUNTIF('テストケース7'!$B$6:$B$205,A68)+COUNTIF('テストケース8'!$B$6:$B$205,A68)+COUNTIF('テストケース9'!$B$6:$B$205,A68)+COUNTIF('テストケース10'!$B$6:$B$205,A68))</f>
        <v/>
      </c>
      <c r="H68" s="18">
        <f>IF(A68="","",IF(G68=0,"ケース未作成","OK"))</f>
        <v/>
      </c>
    </row>
    <row r="69">
      <c r="A69" s="8" t="n"/>
      <c r="B69" s="8" t="n"/>
      <c r="C69" s="8" t="n"/>
      <c r="D69" s="8" t="n"/>
      <c r="E69" s="8" t="n"/>
      <c r="F69" s="8" t="n"/>
      <c r="G69" s="18">
        <f>IF(A69="","",COUNTIF('テストケース1'!$B$6:$B$205,A69)+COUNTIF('テストケース2'!$B$6:$B$205,A69)+COUNTIF('テストケース3'!$B$6:$B$205,A69)+COUNTIF('テストケース4'!$B$6:$B$205,A69)+COUNTIF('テストケース5'!$B$6:$B$205,A69)+COUNTIF('テストケース6'!$B$6:$B$205,A69)+COUNTIF('テストケース7'!$B$6:$B$205,A69)+COUNTIF('テストケース8'!$B$6:$B$205,A69)+COUNTIF('テストケース9'!$B$6:$B$205,A69)+COUNTIF('テストケース10'!$B$6:$B$205,A69))</f>
        <v/>
      </c>
      <c r="H69" s="18">
        <f>IF(A69="","",IF(G69=0,"ケース未作成","OK"))</f>
        <v/>
      </c>
    </row>
    <row r="70">
      <c r="A70" s="8" t="n"/>
      <c r="B70" s="8" t="n"/>
      <c r="C70" s="8" t="n"/>
      <c r="D70" s="8" t="n"/>
      <c r="E70" s="8" t="n"/>
      <c r="F70" s="8" t="n"/>
      <c r="G70" s="18">
        <f>IF(A70="","",COUNTIF('テストケース1'!$B$6:$B$205,A70)+COUNTIF('テストケース2'!$B$6:$B$205,A70)+COUNTIF('テストケース3'!$B$6:$B$205,A70)+COUNTIF('テストケース4'!$B$6:$B$205,A70)+COUNTIF('テストケース5'!$B$6:$B$205,A70)+COUNTIF('テストケース6'!$B$6:$B$205,A70)+COUNTIF('テストケース7'!$B$6:$B$205,A70)+COUNTIF('テストケース8'!$B$6:$B$205,A70)+COUNTIF('テストケース9'!$B$6:$B$205,A70)+COUNTIF('テストケース10'!$B$6:$B$205,A70))</f>
        <v/>
      </c>
      <c r="H70" s="18">
        <f>IF(A70="","",IF(G70=0,"ケース未作成","OK"))</f>
        <v/>
      </c>
    </row>
    <row r="71">
      <c r="A71" s="8" t="n"/>
      <c r="B71" s="8" t="n"/>
      <c r="C71" s="8" t="n"/>
      <c r="D71" s="8" t="n"/>
      <c r="E71" s="8" t="n"/>
      <c r="F71" s="8" t="n"/>
      <c r="G71" s="18">
        <f>IF(A71="","",COUNTIF('テストケース1'!$B$6:$B$205,A71)+COUNTIF('テストケース2'!$B$6:$B$205,A71)+COUNTIF('テストケース3'!$B$6:$B$205,A71)+COUNTIF('テストケース4'!$B$6:$B$205,A71)+COUNTIF('テストケース5'!$B$6:$B$205,A71)+COUNTIF('テストケース6'!$B$6:$B$205,A71)+COUNTIF('テストケース7'!$B$6:$B$205,A71)+COUNTIF('テストケース8'!$B$6:$B$205,A71)+COUNTIF('テストケース9'!$B$6:$B$205,A71)+COUNTIF('テストケース10'!$B$6:$B$205,A71))</f>
        <v/>
      </c>
      <c r="H71" s="18">
        <f>IF(A71="","",IF(G71=0,"ケース未作成","OK"))</f>
        <v/>
      </c>
    </row>
    <row r="72">
      <c r="A72" s="8" t="n"/>
      <c r="B72" s="8" t="n"/>
      <c r="C72" s="8" t="n"/>
      <c r="D72" s="8" t="n"/>
      <c r="E72" s="8" t="n"/>
      <c r="F72" s="8" t="n"/>
      <c r="G72" s="18">
        <f>IF(A72="","",COUNTIF('テストケース1'!$B$6:$B$205,A72)+COUNTIF('テストケース2'!$B$6:$B$205,A72)+COUNTIF('テストケース3'!$B$6:$B$205,A72)+COUNTIF('テストケース4'!$B$6:$B$205,A72)+COUNTIF('テストケース5'!$B$6:$B$205,A72)+COUNTIF('テストケース6'!$B$6:$B$205,A72)+COUNTIF('テストケース7'!$B$6:$B$205,A72)+COUNTIF('テストケース8'!$B$6:$B$205,A72)+COUNTIF('テストケース9'!$B$6:$B$205,A72)+COUNTIF('テストケース10'!$B$6:$B$205,A72))</f>
        <v/>
      </c>
      <c r="H72" s="18">
        <f>IF(A72="","",IF(G72=0,"ケース未作成","OK"))</f>
        <v/>
      </c>
    </row>
    <row r="73">
      <c r="A73" s="8" t="n"/>
      <c r="B73" s="8" t="n"/>
      <c r="C73" s="8" t="n"/>
      <c r="D73" s="8" t="n"/>
      <c r="E73" s="8" t="n"/>
      <c r="F73" s="8" t="n"/>
      <c r="G73" s="18">
        <f>IF(A73="","",COUNTIF('テストケース1'!$B$6:$B$205,A73)+COUNTIF('テストケース2'!$B$6:$B$205,A73)+COUNTIF('テストケース3'!$B$6:$B$205,A73)+COUNTIF('テストケース4'!$B$6:$B$205,A73)+COUNTIF('テストケース5'!$B$6:$B$205,A73)+COUNTIF('テストケース6'!$B$6:$B$205,A73)+COUNTIF('テストケース7'!$B$6:$B$205,A73)+COUNTIF('テストケース8'!$B$6:$B$205,A73)+COUNTIF('テストケース9'!$B$6:$B$205,A73)+COUNTIF('テストケース10'!$B$6:$B$205,A73))</f>
        <v/>
      </c>
      <c r="H73" s="18">
        <f>IF(A73="","",IF(G73=0,"ケース未作成","OK"))</f>
        <v/>
      </c>
    </row>
    <row r="74">
      <c r="A74" s="8" t="n"/>
      <c r="B74" s="8" t="n"/>
      <c r="C74" s="8" t="n"/>
      <c r="D74" s="8" t="n"/>
      <c r="E74" s="8" t="n"/>
      <c r="F74" s="8" t="n"/>
      <c r="G74" s="18">
        <f>IF(A74="","",COUNTIF('テストケース1'!$B$6:$B$205,A74)+COUNTIF('テストケース2'!$B$6:$B$205,A74)+COUNTIF('テストケース3'!$B$6:$B$205,A74)+COUNTIF('テストケース4'!$B$6:$B$205,A74)+COUNTIF('テストケース5'!$B$6:$B$205,A74)+COUNTIF('テストケース6'!$B$6:$B$205,A74)+COUNTIF('テストケース7'!$B$6:$B$205,A74)+COUNTIF('テストケース8'!$B$6:$B$205,A74)+COUNTIF('テストケース9'!$B$6:$B$205,A74)+COUNTIF('テストケース10'!$B$6:$B$205,A74))</f>
        <v/>
      </c>
      <c r="H74" s="18">
        <f>IF(A74="","",IF(G74=0,"ケース未作成","OK"))</f>
        <v/>
      </c>
    </row>
    <row r="75">
      <c r="A75" s="8" t="n"/>
      <c r="B75" s="8" t="n"/>
      <c r="C75" s="8" t="n"/>
      <c r="D75" s="8" t="n"/>
      <c r="E75" s="8" t="n"/>
      <c r="F75" s="8" t="n"/>
      <c r="G75" s="18">
        <f>IF(A75="","",COUNTIF('テストケース1'!$B$6:$B$205,A75)+COUNTIF('テストケース2'!$B$6:$B$205,A75)+COUNTIF('テストケース3'!$B$6:$B$205,A75)+COUNTIF('テストケース4'!$B$6:$B$205,A75)+COUNTIF('テストケース5'!$B$6:$B$205,A75)+COUNTIF('テストケース6'!$B$6:$B$205,A75)+COUNTIF('テストケース7'!$B$6:$B$205,A75)+COUNTIF('テストケース8'!$B$6:$B$205,A75)+COUNTIF('テストケース9'!$B$6:$B$205,A75)+COUNTIF('テストケース10'!$B$6:$B$205,A75))</f>
        <v/>
      </c>
      <c r="H75" s="18">
        <f>IF(A75="","",IF(G75=0,"ケース未作成","OK"))</f>
        <v/>
      </c>
    </row>
    <row r="76">
      <c r="A76" s="8" t="n"/>
      <c r="B76" s="8" t="n"/>
      <c r="C76" s="8" t="n"/>
      <c r="D76" s="8" t="n"/>
      <c r="E76" s="8" t="n"/>
      <c r="F76" s="8" t="n"/>
      <c r="G76" s="18">
        <f>IF(A76="","",COUNTIF('テストケース1'!$B$6:$B$205,A76)+COUNTIF('テストケース2'!$B$6:$B$205,A76)+COUNTIF('テストケース3'!$B$6:$B$205,A76)+COUNTIF('テストケース4'!$B$6:$B$205,A76)+COUNTIF('テストケース5'!$B$6:$B$205,A76)+COUNTIF('テストケース6'!$B$6:$B$205,A76)+COUNTIF('テストケース7'!$B$6:$B$205,A76)+COUNTIF('テストケース8'!$B$6:$B$205,A76)+COUNTIF('テストケース9'!$B$6:$B$205,A76)+COUNTIF('テストケース10'!$B$6:$B$205,A76))</f>
        <v/>
      </c>
      <c r="H76" s="18">
        <f>IF(A76="","",IF(G76=0,"ケース未作成","OK"))</f>
        <v/>
      </c>
    </row>
    <row r="77">
      <c r="A77" s="8" t="n"/>
      <c r="B77" s="8" t="n"/>
      <c r="C77" s="8" t="n"/>
      <c r="D77" s="8" t="n"/>
      <c r="E77" s="8" t="n"/>
      <c r="F77" s="8" t="n"/>
      <c r="G77" s="18">
        <f>IF(A77="","",COUNTIF('テストケース1'!$B$6:$B$205,A77)+COUNTIF('テストケース2'!$B$6:$B$205,A77)+COUNTIF('テストケース3'!$B$6:$B$205,A77)+COUNTIF('テストケース4'!$B$6:$B$205,A77)+COUNTIF('テストケース5'!$B$6:$B$205,A77)+COUNTIF('テストケース6'!$B$6:$B$205,A77)+COUNTIF('テストケース7'!$B$6:$B$205,A77)+COUNTIF('テストケース8'!$B$6:$B$205,A77)+COUNTIF('テストケース9'!$B$6:$B$205,A77)+COUNTIF('テストケース10'!$B$6:$B$205,A77))</f>
        <v/>
      </c>
      <c r="H77" s="18">
        <f>IF(A77="","",IF(G77=0,"ケース未作成","OK"))</f>
        <v/>
      </c>
    </row>
    <row r="78">
      <c r="A78" s="8" t="n"/>
      <c r="B78" s="8" t="n"/>
      <c r="C78" s="8" t="n"/>
      <c r="D78" s="8" t="n"/>
      <c r="E78" s="8" t="n"/>
      <c r="F78" s="8" t="n"/>
      <c r="G78" s="18">
        <f>IF(A78="","",COUNTIF('テストケース1'!$B$6:$B$205,A78)+COUNTIF('テストケース2'!$B$6:$B$205,A78)+COUNTIF('テストケース3'!$B$6:$B$205,A78)+COUNTIF('テストケース4'!$B$6:$B$205,A78)+COUNTIF('テストケース5'!$B$6:$B$205,A78)+COUNTIF('テストケース6'!$B$6:$B$205,A78)+COUNTIF('テストケース7'!$B$6:$B$205,A78)+COUNTIF('テストケース8'!$B$6:$B$205,A78)+COUNTIF('テストケース9'!$B$6:$B$205,A78)+COUNTIF('テストケース10'!$B$6:$B$205,A78))</f>
        <v/>
      </c>
      <c r="H78" s="18">
        <f>IF(A78="","",IF(G78=0,"ケース未作成","OK"))</f>
        <v/>
      </c>
    </row>
    <row r="79">
      <c r="A79" s="8" t="n"/>
      <c r="B79" s="8" t="n"/>
      <c r="C79" s="8" t="n"/>
      <c r="D79" s="8" t="n"/>
      <c r="E79" s="8" t="n"/>
      <c r="F79" s="8" t="n"/>
      <c r="G79" s="18">
        <f>IF(A79="","",COUNTIF('テストケース1'!$B$6:$B$205,A79)+COUNTIF('テストケース2'!$B$6:$B$205,A79)+COUNTIF('テストケース3'!$B$6:$B$205,A79)+COUNTIF('テストケース4'!$B$6:$B$205,A79)+COUNTIF('テストケース5'!$B$6:$B$205,A79)+COUNTIF('テストケース6'!$B$6:$B$205,A79)+COUNTIF('テストケース7'!$B$6:$B$205,A79)+COUNTIF('テストケース8'!$B$6:$B$205,A79)+COUNTIF('テストケース9'!$B$6:$B$205,A79)+COUNTIF('テストケース10'!$B$6:$B$205,A79))</f>
        <v/>
      </c>
      <c r="H79" s="18">
        <f>IF(A79="","",IF(G79=0,"ケース未作成","OK"))</f>
        <v/>
      </c>
    </row>
    <row r="80">
      <c r="A80" s="8" t="n"/>
      <c r="B80" s="8" t="n"/>
      <c r="C80" s="8" t="n"/>
      <c r="D80" s="8" t="n"/>
      <c r="E80" s="8" t="n"/>
      <c r="F80" s="8" t="n"/>
      <c r="G80" s="18">
        <f>IF(A80="","",COUNTIF('テストケース1'!$B$6:$B$205,A80)+COUNTIF('テストケース2'!$B$6:$B$205,A80)+COUNTIF('テストケース3'!$B$6:$B$205,A80)+COUNTIF('テストケース4'!$B$6:$B$205,A80)+COUNTIF('テストケース5'!$B$6:$B$205,A80)+COUNTIF('テストケース6'!$B$6:$B$205,A80)+COUNTIF('テストケース7'!$B$6:$B$205,A80)+COUNTIF('テストケース8'!$B$6:$B$205,A80)+COUNTIF('テストケース9'!$B$6:$B$205,A80)+COUNTIF('テストケース10'!$B$6:$B$205,A80))</f>
        <v/>
      </c>
      <c r="H80" s="18">
        <f>IF(A80="","",IF(G80=0,"ケース未作成","OK"))</f>
        <v/>
      </c>
    </row>
    <row r="81">
      <c r="A81" s="8" t="n"/>
      <c r="B81" s="8" t="n"/>
      <c r="C81" s="8" t="n"/>
      <c r="D81" s="8" t="n"/>
      <c r="E81" s="8" t="n"/>
      <c r="F81" s="8" t="n"/>
      <c r="G81" s="18">
        <f>IF(A81="","",COUNTIF('テストケース1'!$B$6:$B$205,A81)+COUNTIF('テストケース2'!$B$6:$B$205,A81)+COUNTIF('テストケース3'!$B$6:$B$205,A81)+COUNTIF('テストケース4'!$B$6:$B$205,A81)+COUNTIF('テストケース5'!$B$6:$B$205,A81)+COUNTIF('テストケース6'!$B$6:$B$205,A81)+COUNTIF('テストケース7'!$B$6:$B$205,A81)+COUNTIF('テストケース8'!$B$6:$B$205,A81)+COUNTIF('テストケース9'!$B$6:$B$205,A81)+COUNTIF('テストケース10'!$B$6:$B$205,A81))</f>
        <v/>
      </c>
      <c r="H81" s="18">
        <f>IF(A81="","",IF(G81=0,"ケース未作成","OK"))</f>
        <v/>
      </c>
    </row>
    <row r="82">
      <c r="A82" s="8" t="n"/>
      <c r="B82" s="8" t="n"/>
      <c r="C82" s="8" t="n"/>
      <c r="D82" s="8" t="n"/>
      <c r="E82" s="8" t="n"/>
      <c r="F82" s="8" t="n"/>
      <c r="G82" s="18">
        <f>IF(A82="","",COUNTIF('テストケース1'!$B$6:$B$205,A82)+COUNTIF('テストケース2'!$B$6:$B$205,A82)+COUNTIF('テストケース3'!$B$6:$B$205,A82)+COUNTIF('テストケース4'!$B$6:$B$205,A82)+COUNTIF('テストケース5'!$B$6:$B$205,A82)+COUNTIF('テストケース6'!$B$6:$B$205,A82)+COUNTIF('テストケース7'!$B$6:$B$205,A82)+COUNTIF('テストケース8'!$B$6:$B$205,A82)+COUNTIF('テストケース9'!$B$6:$B$205,A82)+COUNTIF('テストケース10'!$B$6:$B$205,A82))</f>
        <v/>
      </c>
      <c r="H82" s="18">
        <f>IF(A82="","",IF(G82=0,"ケース未作成","OK"))</f>
        <v/>
      </c>
    </row>
    <row r="83">
      <c r="A83" s="8" t="n"/>
      <c r="B83" s="8" t="n"/>
      <c r="C83" s="8" t="n"/>
      <c r="D83" s="8" t="n"/>
      <c r="E83" s="8" t="n"/>
      <c r="F83" s="8" t="n"/>
      <c r="G83" s="18">
        <f>IF(A83="","",COUNTIF('テストケース1'!$B$6:$B$205,A83)+COUNTIF('テストケース2'!$B$6:$B$205,A83)+COUNTIF('テストケース3'!$B$6:$B$205,A83)+COUNTIF('テストケース4'!$B$6:$B$205,A83)+COUNTIF('テストケース5'!$B$6:$B$205,A83)+COUNTIF('テストケース6'!$B$6:$B$205,A83)+COUNTIF('テストケース7'!$B$6:$B$205,A83)+COUNTIF('テストケース8'!$B$6:$B$205,A83)+COUNTIF('テストケース9'!$B$6:$B$205,A83)+COUNTIF('テストケース10'!$B$6:$B$205,A83))</f>
        <v/>
      </c>
      <c r="H83" s="18">
        <f>IF(A83="","",IF(G83=0,"ケース未作成","OK"))</f>
        <v/>
      </c>
    </row>
    <row r="84">
      <c r="A84" s="8" t="n"/>
      <c r="B84" s="8" t="n"/>
      <c r="C84" s="8" t="n"/>
      <c r="D84" s="8" t="n"/>
      <c r="E84" s="8" t="n"/>
      <c r="F84" s="8" t="n"/>
      <c r="G84" s="18">
        <f>IF(A84="","",COUNTIF('テストケース1'!$B$6:$B$205,A84)+COUNTIF('テストケース2'!$B$6:$B$205,A84)+COUNTIF('テストケース3'!$B$6:$B$205,A84)+COUNTIF('テストケース4'!$B$6:$B$205,A84)+COUNTIF('テストケース5'!$B$6:$B$205,A84)+COUNTIF('テストケース6'!$B$6:$B$205,A84)+COUNTIF('テストケース7'!$B$6:$B$205,A84)+COUNTIF('テストケース8'!$B$6:$B$205,A84)+COUNTIF('テストケース9'!$B$6:$B$205,A84)+COUNTIF('テストケース10'!$B$6:$B$205,A84))</f>
        <v/>
      </c>
      <c r="H84" s="18">
        <f>IF(A84="","",IF(G84=0,"ケース未作成","OK"))</f>
        <v/>
      </c>
    </row>
    <row r="85">
      <c r="A85" s="8" t="n"/>
      <c r="B85" s="8" t="n"/>
      <c r="C85" s="8" t="n"/>
      <c r="D85" s="8" t="n"/>
      <c r="E85" s="8" t="n"/>
      <c r="F85" s="8" t="n"/>
      <c r="G85" s="18">
        <f>IF(A85="","",COUNTIF('テストケース1'!$B$6:$B$205,A85)+COUNTIF('テストケース2'!$B$6:$B$205,A85)+COUNTIF('テストケース3'!$B$6:$B$205,A85)+COUNTIF('テストケース4'!$B$6:$B$205,A85)+COUNTIF('テストケース5'!$B$6:$B$205,A85)+COUNTIF('テストケース6'!$B$6:$B$205,A85)+COUNTIF('テストケース7'!$B$6:$B$205,A85)+COUNTIF('テストケース8'!$B$6:$B$205,A85)+COUNTIF('テストケース9'!$B$6:$B$205,A85)+COUNTIF('テストケース10'!$B$6:$B$205,A85))</f>
        <v/>
      </c>
      <c r="H85" s="18">
        <f>IF(A85="","",IF(G85=0,"ケース未作成","OK"))</f>
        <v/>
      </c>
    </row>
    <row r="86">
      <c r="A86" s="8" t="n"/>
      <c r="B86" s="8" t="n"/>
      <c r="C86" s="8" t="n"/>
      <c r="D86" s="8" t="n"/>
      <c r="E86" s="8" t="n"/>
      <c r="F86" s="8" t="n"/>
      <c r="G86" s="18">
        <f>IF(A86="","",COUNTIF('テストケース1'!$B$6:$B$205,A86)+COUNTIF('テストケース2'!$B$6:$B$205,A86)+COUNTIF('テストケース3'!$B$6:$B$205,A86)+COUNTIF('テストケース4'!$B$6:$B$205,A86)+COUNTIF('テストケース5'!$B$6:$B$205,A86)+COUNTIF('テストケース6'!$B$6:$B$205,A86)+COUNTIF('テストケース7'!$B$6:$B$205,A86)+COUNTIF('テストケース8'!$B$6:$B$205,A86)+COUNTIF('テストケース9'!$B$6:$B$205,A86)+COUNTIF('テストケース10'!$B$6:$B$205,A86))</f>
        <v/>
      </c>
      <c r="H86" s="18">
        <f>IF(A86="","",IF(G86=0,"ケース未作成","OK"))</f>
        <v/>
      </c>
    </row>
    <row r="87">
      <c r="A87" s="8" t="n"/>
      <c r="B87" s="8" t="n"/>
      <c r="C87" s="8" t="n"/>
      <c r="D87" s="8" t="n"/>
      <c r="E87" s="8" t="n"/>
      <c r="F87" s="8" t="n"/>
      <c r="G87" s="18">
        <f>IF(A87="","",COUNTIF('テストケース1'!$B$6:$B$205,A87)+COUNTIF('テストケース2'!$B$6:$B$205,A87)+COUNTIF('テストケース3'!$B$6:$B$205,A87)+COUNTIF('テストケース4'!$B$6:$B$205,A87)+COUNTIF('テストケース5'!$B$6:$B$205,A87)+COUNTIF('テストケース6'!$B$6:$B$205,A87)+COUNTIF('テストケース7'!$B$6:$B$205,A87)+COUNTIF('テストケース8'!$B$6:$B$205,A87)+COUNTIF('テストケース9'!$B$6:$B$205,A87)+COUNTIF('テストケース10'!$B$6:$B$205,A87))</f>
        <v/>
      </c>
      <c r="H87" s="18">
        <f>IF(A87="","",IF(G87=0,"ケース未作成","OK"))</f>
        <v/>
      </c>
    </row>
    <row r="88">
      <c r="A88" s="8" t="n"/>
      <c r="B88" s="8" t="n"/>
      <c r="C88" s="8" t="n"/>
      <c r="D88" s="8" t="n"/>
      <c r="E88" s="8" t="n"/>
      <c r="F88" s="8" t="n"/>
      <c r="G88" s="18">
        <f>IF(A88="","",COUNTIF('テストケース1'!$B$6:$B$205,A88)+COUNTIF('テストケース2'!$B$6:$B$205,A88)+COUNTIF('テストケース3'!$B$6:$B$205,A88)+COUNTIF('テストケース4'!$B$6:$B$205,A88)+COUNTIF('テストケース5'!$B$6:$B$205,A88)+COUNTIF('テストケース6'!$B$6:$B$205,A88)+COUNTIF('テストケース7'!$B$6:$B$205,A88)+COUNTIF('テストケース8'!$B$6:$B$205,A88)+COUNTIF('テストケース9'!$B$6:$B$205,A88)+COUNTIF('テストケース10'!$B$6:$B$205,A88))</f>
        <v/>
      </c>
      <c r="H88" s="18">
        <f>IF(A88="","",IF(G88=0,"ケース未作成","OK"))</f>
        <v/>
      </c>
    </row>
    <row r="89">
      <c r="A89" s="8" t="n"/>
      <c r="B89" s="8" t="n"/>
      <c r="C89" s="8" t="n"/>
      <c r="D89" s="8" t="n"/>
      <c r="E89" s="8" t="n"/>
      <c r="F89" s="8" t="n"/>
      <c r="G89" s="18">
        <f>IF(A89="","",COUNTIF('テストケース1'!$B$6:$B$205,A89)+COUNTIF('テストケース2'!$B$6:$B$205,A89)+COUNTIF('テストケース3'!$B$6:$B$205,A89)+COUNTIF('テストケース4'!$B$6:$B$205,A89)+COUNTIF('テストケース5'!$B$6:$B$205,A89)+COUNTIF('テストケース6'!$B$6:$B$205,A89)+COUNTIF('テストケース7'!$B$6:$B$205,A89)+COUNTIF('テストケース8'!$B$6:$B$205,A89)+COUNTIF('テストケース9'!$B$6:$B$205,A89)+COUNTIF('テストケース10'!$B$6:$B$205,A89))</f>
        <v/>
      </c>
      <c r="H89" s="18">
        <f>IF(A89="","",IF(G89=0,"ケース未作成","OK"))</f>
        <v/>
      </c>
    </row>
    <row r="90">
      <c r="A90" s="8" t="n"/>
      <c r="B90" s="8" t="n"/>
      <c r="C90" s="8" t="n"/>
      <c r="D90" s="8" t="n"/>
      <c r="E90" s="8" t="n"/>
      <c r="F90" s="8" t="n"/>
      <c r="G90" s="18">
        <f>IF(A90="","",COUNTIF('テストケース1'!$B$6:$B$205,A90)+COUNTIF('テストケース2'!$B$6:$B$205,A90)+COUNTIF('テストケース3'!$B$6:$B$205,A90)+COUNTIF('テストケース4'!$B$6:$B$205,A90)+COUNTIF('テストケース5'!$B$6:$B$205,A90)+COUNTIF('テストケース6'!$B$6:$B$205,A90)+COUNTIF('テストケース7'!$B$6:$B$205,A90)+COUNTIF('テストケース8'!$B$6:$B$205,A90)+COUNTIF('テストケース9'!$B$6:$B$205,A90)+COUNTIF('テストケース10'!$B$6:$B$205,A90))</f>
        <v/>
      </c>
      <c r="H90" s="18">
        <f>IF(A90="","",IF(G90=0,"ケース未作成","OK"))</f>
        <v/>
      </c>
    </row>
    <row r="91">
      <c r="A91" s="8" t="n"/>
      <c r="B91" s="8" t="n"/>
      <c r="C91" s="8" t="n"/>
      <c r="D91" s="8" t="n"/>
      <c r="E91" s="8" t="n"/>
      <c r="F91" s="8" t="n"/>
      <c r="G91" s="18">
        <f>IF(A91="","",COUNTIF('テストケース1'!$B$6:$B$205,A91)+COUNTIF('テストケース2'!$B$6:$B$205,A91)+COUNTIF('テストケース3'!$B$6:$B$205,A91)+COUNTIF('テストケース4'!$B$6:$B$205,A91)+COUNTIF('テストケース5'!$B$6:$B$205,A91)+COUNTIF('テストケース6'!$B$6:$B$205,A91)+COUNTIF('テストケース7'!$B$6:$B$205,A91)+COUNTIF('テストケース8'!$B$6:$B$205,A91)+COUNTIF('テストケース9'!$B$6:$B$205,A91)+COUNTIF('テストケース10'!$B$6:$B$205,A91))</f>
        <v/>
      </c>
      <c r="H91" s="18">
        <f>IF(A91="","",IF(G91=0,"ケース未作成","OK"))</f>
        <v/>
      </c>
    </row>
    <row r="92">
      <c r="A92" s="8" t="n"/>
      <c r="B92" s="8" t="n"/>
      <c r="C92" s="8" t="n"/>
      <c r="D92" s="8" t="n"/>
      <c r="E92" s="8" t="n"/>
      <c r="F92" s="8" t="n"/>
      <c r="G92" s="18">
        <f>IF(A92="","",COUNTIF('テストケース1'!$B$6:$B$205,A92)+COUNTIF('テストケース2'!$B$6:$B$205,A92)+COUNTIF('テストケース3'!$B$6:$B$205,A92)+COUNTIF('テストケース4'!$B$6:$B$205,A92)+COUNTIF('テストケース5'!$B$6:$B$205,A92)+COUNTIF('テストケース6'!$B$6:$B$205,A92)+COUNTIF('テストケース7'!$B$6:$B$205,A92)+COUNTIF('テストケース8'!$B$6:$B$205,A92)+COUNTIF('テストケース9'!$B$6:$B$205,A92)+COUNTIF('テストケース10'!$B$6:$B$205,A92))</f>
        <v/>
      </c>
      <c r="H92" s="18">
        <f>IF(A92="","",IF(G92=0,"ケース未作成","OK"))</f>
        <v/>
      </c>
    </row>
    <row r="93">
      <c r="A93" s="8" t="n"/>
      <c r="B93" s="8" t="n"/>
      <c r="C93" s="8" t="n"/>
      <c r="D93" s="8" t="n"/>
      <c r="E93" s="8" t="n"/>
      <c r="F93" s="8" t="n"/>
      <c r="G93" s="18">
        <f>IF(A93="","",COUNTIF('テストケース1'!$B$6:$B$205,A93)+COUNTIF('テストケース2'!$B$6:$B$205,A93)+COUNTIF('テストケース3'!$B$6:$B$205,A93)+COUNTIF('テストケース4'!$B$6:$B$205,A93)+COUNTIF('テストケース5'!$B$6:$B$205,A93)+COUNTIF('テストケース6'!$B$6:$B$205,A93)+COUNTIF('テストケース7'!$B$6:$B$205,A93)+COUNTIF('テストケース8'!$B$6:$B$205,A93)+COUNTIF('テストケース9'!$B$6:$B$205,A93)+COUNTIF('テストケース10'!$B$6:$B$205,A93))</f>
        <v/>
      </c>
      <c r="H93" s="18">
        <f>IF(A93="","",IF(G93=0,"ケース未作成","OK"))</f>
        <v/>
      </c>
    </row>
    <row r="94">
      <c r="A94" s="8" t="n"/>
      <c r="B94" s="8" t="n"/>
      <c r="C94" s="8" t="n"/>
      <c r="D94" s="8" t="n"/>
      <c r="E94" s="8" t="n"/>
      <c r="F94" s="8" t="n"/>
      <c r="G94" s="18">
        <f>IF(A94="","",COUNTIF('テストケース1'!$B$6:$B$205,A94)+COUNTIF('テストケース2'!$B$6:$B$205,A94)+COUNTIF('テストケース3'!$B$6:$B$205,A94)+COUNTIF('テストケース4'!$B$6:$B$205,A94)+COUNTIF('テストケース5'!$B$6:$B$205,A94)+COUNTIF('テストケース6'!$B$6:$B$205,A94)+COUNTIF('テストケース7'!$B$6:$B$205,A94)+COUNTIF('テストケース8'!$B$6:$B$205,A94)+COUNTIF('テストケース9'!$B$6:$B$205,A94)+COUNTIF('テストケース10'!$B$6:$B$205,A94))</f>
        <v/>
      </c>
      <c r="H94" s="18">
        <f>IF(A94="","",IF(G94=0,"ケース未作成","OK"))</f>
        <v/>
      </c>
    </row>
    <row r="95">
      <c r="A95" s="8" t="n"/>
      <c r="B95" s="8" t="n"/>
      <c r="C95" s="8" t="n"/>
      <c r="D95" s="8" t="n"/>
      <c r="E95" s="8" t="n"/>
      <c r="F95" s="8" t="n"/>
      <c r="G95" s="18">
        <f>IF(A95="","",COUNTIF('テストケース1'!$B$6:$B$205,A95)+COUNTIF('テストケース2'!$B$6:$B$205,A95)+COUNTIF('テストケース3'!$B$6:$B$205,A95)+COUNTIF('テストケース4'!$B$6:$B$205,A95)+COUNTIF('テストケース5'!$B$6:$B$205,A95)+COUNTIF('テストケース6'!$B$6:$B$205,A95)+COUNTIF('テストケース7'!$B$6:$B$205,A95)+COUNTIF('テストケース8'!$B$6:$B$205,A95)+COUNTIF('テストケース9'!$B$6:$B$205,A95)+COUNTIF('テストケース10'!$B$6:$B$205,A95))</f>
        <v/>
      </c>
      <c r="H95" s="18">
        <f>IF(A95="","",IF(G95=0,"ケース未作成","OK"))</f>
        <v/>
      </c>
    </row>
    <row r="96">
      <c r="A96" s="8" t="n"/>
      <c r="B96" s="8" t="n"/>
      <c r="C96" s="8" t="n"/>
      <c r="D96" s="8" t="n"/>
      <c r="E96" s="8" t="n"/>
      <c r="F96" s="8" t="n"/>
      <c r="G96" s="18">
        <f>IF(A96="","",COUNTIF('テストケース1'!$B$6:$B$205,A96)+COUNTIF('テストケース2'!$B$6:$B$205,A96)+COUNTIF('テストケース3'!$B$6:$B$205,A96)+COUNTIF('テストケース4'!$B$6:$B$205,A96)+COUNTIF('テストケース5'!$B$6:$B$205,A96)+COUNTIF('テストケース6'!$B$6:$B$205,A96)+COUNTIF('テストケース7'!$B$6:$B$205,A96)+COUNTIF('テストケース8'!$B$6:$B$205,A96)+COUNTIF('テストケース9'!$B$6:$B$205,A96)+COUNTIF('テストケース10'!$B$6:$B$205,A96))</f>
        <v/>
      </c>
      <c r="H96" s="18">
        <f>IF(A96="","",IF(G96=0,"ケース未作成","OK"))</f>
        <v/>
      </c>
    </row>
    <row r="97">
      <c r="A97" s="8" t="n"/>
      <c r="B97" s="8" t="n"/>
      <c r="C97" s="8" t="n"/>
      <c r="D97" s="8" t="n"/>
      <c r="E97" s="8" t="n"/>
      <c r="F97" s="8" t="n"/>
      <c r="G97" s="18">
        <f>IF(A97="","",COUNTIF('テストケース1'!$B$6:$B$205,A97)+COUNTIF('テストケース2'!$B$6:$B$205,A97)+COUNTIF('テストケース3'!$B$6:$B$205,A97)+COUNTIF('テストケース4'!$B$6:$B$205,A97)+COUNTIF('テストケース5'!$B$6:$B$205,A97)+COUNTIF('テストケース6'!$B$6:$B$205,A97)+COUNTIF('テストケース7'!$B$6:$B$205,A97)+COUNTIF('テストケース8'!$B$6:$B$205,A97)+COUNTIF('テストケース9'!$B$6:$B$205,A97)+COUNTIF('テストケース10'!$B$6:$B$205,A97))</f>
        <v/>
      </c>
      <c r="H97" s="18">
        <f>IF(A97="","",IF(G97=0,"ケース未作成","OK"))</f>
        <v/>
      </c>
    </row>
    <row r="98">
      <c r="A98" s="8" t="n"/>
      <c r="B98" s="8" t="n"/>
      <c r="C98" s="8" t="n"/>
      <c r="D98" s="8" t="n"/>
      <c r="E98" s="8" t="n"/>
      <c r="F98" s="8" t="n"/>
      <c r="G98" s="18">
        <f>IF(A98="","",COUNTIF('テストケース1'!$B$6:$B$205,A98)+COUNTIF('テストケース2'!$B$6:$B$205,A98)+COUNTIF('テストケース3'!$B$6:$B$205,A98)+COUNTIF('テストケース4'!$B$6:$B$205,A98)+COUNTIF('テストケース5'!$B$6:$B$205,A98)+COUNTIF('テストケース6'!$B$6:$B$205,A98)+COUNTIF('テストケース7'!$B$6:$B$205,A98)+COUNTIF('テストケース8'!$B$6:$B$205,A98)+COUNTIF('テストケース9'!$B$6:$B$205,A98)+COUNTIF('テストケース10'!$B$6:$B$205,A98))</f>
        <v/>
      </c>
      <c r="H98" s="18">
        <f>IF(A98="","",IF(G98=0,"ケース未作成","OK"))</f>
        <v/>
      </c>
    </row>
    <row r="99">
      <c r="A99" s="8" t="n"/>
      <c r="B99" s="8" t="n"/>
      <c r="C99" s="8" t="n"/>
      <c r="D99" s="8" t="n"/>
      <c r="E99" s="8" t="n"/>
      <c r="F99" s="8" t="n"/>
      <c r="G99" s="18">
        <f>IF(A99="","",COUNTIF('テストケース1'!$B$6:$B$205,A99)+COUNTIF('テストケース2'!$B$6:$B$205,A99)+COUNTIF('テストケース3'!$B$6:$B$205,A99)+COUNTIF('テストケース4'!$B$6:$B$205,A99)+COUNTIF('テストケース5'!$B$6:$B$205,A99)+COUNTIF('テストケース6'!$B$6:$B$205,A99)+COUNTIF('テストケース7'!$B$6:$B$205,A99)+COUNTIF('テストケース8'!$B$6:$B$205,A99)+COUNTIF('テストケース9'!$B$6:$B$205,A99)+COUNTIF('テストケース10'!$B$6:$B$205,A99))</f>
        <v/>
      </c>
      <c r="H99" s="18">
        <f>IF(A99="","",IF(G99=0,"ケース未作成","OK"))</f>
        <v/>
      </c>
    </row>
    <row r="100">
      <c r="A100" s="8" t="n"/>
      <c r="B100" s="8" t="n"/>
      <c r="C100" s="8" t="n"/>
      <c r="D100" s="8" t="n"/>
      <c r="E100" s="8" t="n"/>
      <c r="F100" s="8" t="n"/>
      <c r="G100" s="18">
        <f>IF(A100="","",COUNTIF('テストケース1'!$B$6:$B$205,A100)+COUNTIF('テストケース2'!$B$6:$B$205,A100)+COUNTIF('テストケース3'!$B$6:$B$205,A100)+COUNTIF('テストケース4'!$B$6:$B$205,A100)+COUNTIF('テストケース5'!$B$6:$B$205,A100)+COUNTIF('テストケース6'!$B$6:$B$205,A100)+COUNTIF('テストケース7'!$B$6:$B$205,A100)+COUNTIF('テストケース8'!$B$6:$B$205,A100)+COUNTIF('テストケース9'!$B$6:$B$205,A100)+COUNTIF('テストケース10'!$B$6:$B$205,A100))</f>
        <v/>
      </c>
      <c r="H100" s="18">
        <f>IF(A100="","",IF(G100=0,"ケース未作成","OK"))</f>
        <v/>
      </c>
    </row>
    <row r="101">
      <c r="A101" s="8" t="n"/>
      <c r="B101" s="8" t="n"/>
      <c r="C101" s="8" t="n"/>
      <c r="D101" s="8" t="n"/>
      <c r="E101" s="8" t="n"/>
      <c r="F101" s="8" t="n"/>
      <c r="G101" s="18">
        <f>IF(A101="","",COUNTIF('テストケース1'!$B$6:$B$205,A101)+COUNTIF('テストケース2'!$B$6:$B$205,A101)+COUNTIF('テストケース3'!$B$6:$B$205,A101)+COUNTIF('テストケース4'!$B$6:$B$205,A101)+COUNTIF('テストケース5'!$B$6:$B$205,A101)+COUNTIF('テストケース6'!$B$6:$B$205,A101)+COUNTIF('テストケース7'!$B$6:$B$205,A101)+COUNTIF('テストケース8'!$B$6:$B$205,A101)+COUNTIF('テストケース9'!$B$6:$B$205,A101)+COUNTIF('テストケース10'!$B$6:$B$205,A101))</f>
        <v/>
      </c>
      <c r="H101" s="18">
        <f>IF(A101="","",IF(G101=0,"ケース未作成","OK"))</f>
        <v/>
      </c>
    </row>
    <row r="102">
      <c r="A102" s="8" t="n"/>
      <c r="B102" s="8" t="n"/>
      <c r="C102" s="8" t="n"/>
      <c r="D102" s="8" t="n"/>
      <c r="E102" s="8" t="n"/>
      <c r="F102" s="8" t="n"/>
      <c r="G102" s="18">
        <f>IF(A102="","",COUNTIF('テストケース1'!$B$6:$B$205,A102)+COUNTIF('テストケース2'!$B$6:$B$205,A102)+COUNTIF('テストケース3'!$B$6:$B$205,A102)+COUNTIF('テストケース4'!$B$6:$B$205,A102)+COUNTIF('テストケース5'!$B$6:$B$205,A102)+COUNTIF('テストケース6'!$B$6:$B$205,A102)+COUNTIF('テストケース7'!$B$6:$B$205,A102)+COUNTIF('テストケース8'!$B$6:$B$205,A102)+COUNTIF('テストケース9'!$B$6:$B$205,A102)+COUNTIF('テストケース10'!$B$6:$B$205,A102))</f>
        <v/>
      </c>
      <c r="H102" s="18">
        <f>IF(A102="","",IF(G102=0,"ケース未作成","OK"))</f>
        <v/>
      </c>
    </row>
    <row r="103">
      <c r="A103" s="8" t="n"/>
      <c r="B103" s="8" t="n"/>
      <c r="C103" s="8" t="n"/>
      <c r="D103" s="8" t="n"/>
      <c r="E103" s="8" t="n"/>
      <c r="F103" s="8" t="n"/>
      <c r="G103" s="18">
        <f>IF(A103="","",COUNTIF('テストケース1'!$B$6:$B$205,A103)+COUNTIF('テストケース2'!$B$6:$B$205,A103)+COUNTIF('テストケース3'!$B$6:$B$205,A103)+COUNTIF('テストケース4'!$B$6:$B$205,A103)+COUNTIF('テストケース5'!$B$6:$B$205,A103)+COUNTIF('テストケース6'!$B$6:$B$205,A103)+COUNTIF('テストケース7'!$B$6:$B$205,A103)+COUNTIF('テストケース8'!$B$6:$B$205,A103)+COUNTIF('テストケース9'!$B$6:$B$205,A103)+COUNTIF('テストケース10'!$B$6:$B$205,A103))</f>
        <v/>
      </c>
      <c r="H103" s="18">
        <f>IF(A103="","",IF(G103=0,"ケース未作成","OK"))</f>
        <v/>
      </c>
    </row>
    <row r="104">
      <c r="A104" s="8" t="n"/>
      <c r="B104" s="8" t="n"/>
      <c r="C104" s="8" t="n"/>
      <c r="D104" s="8" t="n"/>
      <c r="E104" s="8" t="n"/>
      <c r="F104" s="8" t="n"/>
      <c r="G104" s="18">
        <f>IF(A104="","",COUNTIF('テストケース1'!$B$6:$B$205,A104)+COUNTIF('テストケース2'!$B$6:$B$205,A104)+COUNTIF('テストケース3'!$B$6:$B$205,A104)+COUNTIF('テストケース4'!$B$6:$B$205,A104)+COUNTIF('テストケース5'!$B$6:$B$205,A104)+COUNTIF('テストケース6'!$B$6:$B$205,A104)+COUNTIF('テストケース7'!$B$6:$B$205,A104)+COUNTIF('テストケース8'!$B$6:$B$205,A104)+COUNTIF('テストケース9'!$B$6:$B$205,A104)+COUNTIF('テストケース10'!$B$6:$B$205,A104))</f>
        <v/>
      </c>
      <c r="H104" s="18">
        <f>IF(A104="","",IF(G104=0,"ケース未作成","OK"))</f>
        <v/>
      </c>
    </row>
    <row r="106">
      <c r="A106" s="11" t="inlineStr">
        <is>
          <t>優先度</t>
        </is>
      </c>
      <c r="B106" s="11" t="inlineStr">
        <is>
          <t>意味</t>
        </is>
      </c>
    </row>
    <row r="107">
      <c r="A107" s="17" t="inlineStr">
        <is>
          <t>高</t>
        </is>
      </c>
      <c r="B107" s="20" t="inlineStr">
        <is>
          <t>中核機能・セキュリティに直結。必ず実施</t>
        </is>
      </c>
    </row>
    <row r="108">
      <c r="A108" s="17" t="inlineStr">
        <is>
          <t>中</t>
        </is>
      </c>
      <c r="B108" s="20" t="inlineStr">
        <is>
          <t>バリデーションなど。実施を推奨</t>
        </is>
      </c>
    </row>
    <row r="109">
      <c r="A109" s="17" t="inlineStr">
        <is>
          <t>低</t>
        </is>
      </c>
      <c r="B109" s="20" t="inlineStr">
        <is>
          <t>余力があれば実施</t>
        </is>
      </c>
    </row>
  </sheetData>
  <dataValidations count="2">
    <dataValidation sqref="F5:F104" showDropDown="0" showInputMessage="0" showErrorMessage="0" allowBlank="1" type="list">
      <formula1>"高,中,低"</formula1>
    </dataValidation>
    <dataValidation sqref="E5:E104" showDropDown="0" showInputMessage="0" showErrorMessage="0" allowBlank="1" type="list">
      <formula1>"同値分割,境界値分析,デシジョンテーブル,状態遷移テスト,ペアワイズ,エラー推測,探索的テスト,チェックリスト"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N20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8" customWidth="1" min="4" max="4"/>
    <col width="7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30" customWidth="1" min="57" max="57"/>
    <col width="34" customWidth="1" min="58" max="58"/>
    <col width="14" customWidth="1" min="59" max="59"/>
    <col width="9" customWidth="1" min="60" max="60"/>
    <col width="11" customWidth="1" min="61" max="61"/>
    <col width="10" customWidth="1" min="62" max="62"/>
    <col width="9" customWidth="1" min="63" max="63"/>
    <col width="10" customWidth="1" min="64" max="64"/>
    <col width="24" customWidth="1" min="65" max="65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</cols>
  <sheetData>
    <row r="1">
      <c r="A1" s="1" t="inlineStr">
        <is>
          <t>テストケース</t>
        </is>
      </c>
      <c r="E1" s="2" t="inlineStr">
        <is>
          <t>2 行目でカテゴリを選ぶと、そのカテゴリの因子が左から自動で入ります。セルは水準のプルダウンから選べます。</t>
        </is>
      </c>
    </row>
    <row r="2">
      <c r="A2" s="11" t="inlineStr">
        <is>
          <t>カテゴリ</t>
        </is>
      </c>
      <c r="B2" s="8" t="inlineStr">
        <is>
          <t>ログイン画面</t>
        </is>
      </c>
      <c r="C2" s="9" t="n"/>
      <c r="D2" s="10" t="n"/>
      <c r="E2" s="18">
        <f>IF($B$2="","",COUNTIF('因子水準表'!$B$5:$KO$5,$B$2)&amp;" 因子")</f>
        <v/>
      </c>
    </row>
    <row r="3">
      <c r="A3" s="21" t="inlineStr">
        <is>
          <t>テストケース</t>
        </is>
      </c>
      <c r="B3" s="9" t="n"/>
      <c r="C3" s="9" t="n"/>
      <c r="D3" s="9" t="n"/>
      <c r="E3" s="9" t="n"/>
      <c r="F3" s="10" t="n"/>
      <c r="G3" s="21" t="inlineStr">
        <is>
          <t>因子の水準（シートのカテゴリの因子が自動で入る）</t>
        </is>
      </c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  <c r="AQ3" s="9" t="n"/>
      <c r="AR3" s="9" t="n"/>
      <c r="AS3" s="9" t="n"/>
      <c r="AT3" s="9" t="n"/>
      <c r="AU3" s="9" t="n"/>
      <c r="AV3" s="9" t="n"/>
      <c r="AW3" s="9" t="n"/>
      <c r="AX3" s="9" t="n"/>
      <c r="AY3" s="9" t="n"/>
      <c r="AZ3" s="9" t="n"/>
      <c r="BA3" s="9" t="n"/>
      <c r="BB3" s="9" t="n"/>
      <c r="BC3" s="9" t="n"/>
      <c r="BD3" s="10" t="n"/>
      <c r="BE3" s="21" t="inlineStr">
        <is>
          <t>内容</t>
        </is>
      </c>
      <c r="BF3" s="9" t="n"/>
      <c r="BG3" s="9" t="n"/>
      <c r="BH3" s="10" t="n"/>
      <c r="BI3" s="21" t="inlineStr">
        <is>
          <t>実行結果</t>
        </is>
      </c>
      <c r="BJ3" s="9" t="n"/>
      <c r="BK3" s="9" t="n"/>
      <c r="BL3" s="9" t="n"/>
      <c r="BM3" s="10" t="n"/>
    </row>
    <row r="4">
      <c r="A4" s="12" t="inlineStr">
        <is>
          <t>ID</t>
        </is>
      </c>
      <c r="B4" s="12" t="inlineStr">
        <is>
          <t>条件ID</t>
        </is>
      </c>
      <c r="C4" s="12" t="inlineStr">
        <is>
          <t>カテゴリ</t>
        </is>
      </c>
      <c r="D4" s="12" t="inlineStr">
        <is>
          <t>テスト観点（目的）</t>
        </is>
      </c>
      <c r="E4" s="12" t="inlineStr">
        <is>
          <t>優先度</t>
        </is>
      </c>
      <c r="F4" s="12" t="inlineStr">
        <is>
          <t>事前条件</t>
        </is>
      </c>
      <c r="G4" s="22">
        <f>IF($B$2="","",IFERROR(INDEX('因子水準表'!$B$4:$KO$4,MATCH($B$2&amp;"|1",'因子水準表'!$B$20:$KO$20,0)),""))</f>
        <v/>
      </c>
      <c r="H4" s="22">
        <f>IF($B$2="","",IFERROR(INDEX('因子水準表'!$B$4:$KO$4,MATCH($B$2&amp;"|2",'因子水準表'!$B$20:$KO$20,0)),""))</f>
        <v/>
      </c>
      <c r="I4" s="22">
        <f>IF($B$2="","",IFERROR(INDEX('因子水準表'!$B$4:$KO$4,MATCH($B$2&amp;"|3",'因子水準表'!$B$20:$KO$20,0)),""))</f>
        <v/>
      </c>
      <c r="J4" s="22">
        <f>IF($B$2="","",IFERROR(INDEX('因子水準表'!$B$4:$KO$4,MATCH($B$2&amp;"|4",'因子水準表'!$B$20:$KO$20,0)),""))</f>
        <v/>
      </c>
      <c r="K4" s="22">
        <f>IF($B$2="","",IFERROR(INDEX('因子水準表'!$B$4:$KO$4,MATCH($B$2&amp;"|5",'因子水準表'!$B$20:$KO$20,0)),""))</f>
        <v/>
      </c>
      <c r="L4" s="22">
        <f>IF($B$2="","",IFERROR(INDEX('因子水準表'!$B$4:$KO$4,MATCH($B$2&amp;"|6",'因子水準表'!$B$20:$KO$20,0)),""))</f>
        <v/>
      </c>
      <c r="M4" s="22">
        <f>IF($B$2="","",IFERROR(INDEX('因子水準表'!$B$4:$KO$4,MATCH($B$2&amp;"|7",'因子水準表'!$B$20:$KO$20,0)),""))</f>
        <v/>
      </c>
      <c r="N4" s="22">
        <f>IF($B$2="","",IFERROR(INDEX('因子水準表'!$B$4:$KO$4,MATCH($B$2&amp;"|8",'因子水準表'!$B$20:$KO$20,0)),""))</f>
        <v/>
      </c>
      <c r="O4" s="22">
        <f>IF($B$2="","",IFERROR(INDEX('因子水準表'!$B$4:$KO$4,MATCH($B$2&amp;"|9",'因子水準表'!$B$20:$KO$20,0)),""))</f>
        <v/>
      </c>
      <c r="P4" s="22">
        <f>IF($B$2="","",IFERROR(INDEX('因子水準表'!$B$4:$KO$4,MATCH($B$2&amp;"|10",'因子水準表'!$B$20:$KO$20,0)),""))</f>
        <v/>
      </c>
      <c r="Q4" s="22">
        <f>IF($B$2="","",IFERROR(INDEX('因子水準表'!$B$4:$KO$4,MATCH($B$2&amp;"|11",'因子水準表'!$B$20:$KO$20,0)),""))</f>
        <v/>
      </c>
      <c r="R4" s="22">
        <f>IF($B$2="","",IFERROR(INDEX('因子水準表'!$B$4:$KO$4,MATCH($B$2&amp;"|12",'因子水準表'!$B$20:$KO$20,0)),""))</f>
        <v/>
      </c>
      <c r="S4" s="22">
        <f>IF($B$2="","",IFERROR(INDEX('因子水準表'!$B$4:$KO$4,MATCH($B$2&amp;"|13",'因子水準表'!$B$20:$KO$20,0)),""))</f>
        <v/>
      </c>
      <c r="T4" s="22">
        <f>IF($B$2="","",IFERROR(INDEX('因子水準表'!$B$4:$KO$4,MATCH($B$2&amp;"|14",'因子水準表'!$B$20:$KO$20,0)),""))</f>
        <v/>
      </c>
      <c r="U4" s="22">
        <f>IF($B$2="","",IFERROR(INDEX('因子水準表'!$B$4:$KO$4,MATCH($B$2&amp;"|15",'因子水準表'!$B$20:$KO$20,0)),""))</f>
        <v/>
      </c>
      <c r="V4" s="22">
        <f>IF($B$2="","",IFERROR(INDEX('因子水準表'!$B$4:$KO$4,MATCH($B$2&amp;"|16",'因子水準表'!$B$20:$KO$20,0)),""))</f>
        <v/>
      </c>
      <c r="W4" s="22">
        <f>IF($B$2="","",IFERROR(INDEX('因子水準表'!$B$4:$KO$4,MATCH($B$2&amp;"|17",'因子水準表'!$B$20:$KO$20,0)),""))</f>
        <v/>
      </c>
      <c r="X4" s="22">
        <f>IF($B$2="","",IFERROR(INDEX('因子水準表'!$B$4:$KO$4,MATCH($B$2&amp;"|18",'因子水準表'!$B$20:$KO$20,0)),""))</f>
        <v/>
      </c>
      <c r="Y4" s="22">
        <f>IF($B$2="","",IFERROR(INDEX('因子水準表'!$B$4:$KO$4,MATCH($B$2&amp;"|19",'因子水準表'!$B$20:$KO$20,0)),""))</f>
        <v/>
      </c>
      <c r="Z4" s="22">
        <f>IF($B$2="","",IFERROR(INDEX('因子水準表'!$B$4:$KO$4,MATCH($B$2&amp;"|20",'因子水準表'!$B$20:$KO$20,0)),""))</f>
        <v/>
      </c>
      <c r="AA4" s="22">
        <f>IF($B$2="","",IFERROR(INDEX('因子水準表'!$B$4:$KO$4,MATCH($B$2&amp;"|21",'因子水準表'!$B$20:$KO$20,0)),""))</f>
        <v/>
      </c>
      <c r="AB4" s="22">
        <f>IF($B$2="","",IFERROR(INDEX('因子水準表'!$B$4:$KO$4,MATCH($B$2&amp;"|22",'因子水準表'!$B$20:$KO$20,0)),""))</f>
        <v/>
      </c>
      <c r="AC4" s="22">
        <f>IF($B$2="","",IFERROR(INDEX('因子水準表'!$B$4:$KO$4,MATCH($B$2&amp;"|23",'因子水準表'!$B$20:$KO$20,0)),""))</f>
        <v/>
      </c>
      <c r="AD4" s="22">
        <f>IF($B$2="","",IFERROR(INDEX('因子水準表'!$B$4:$KO$4,MATCH($B$2&amp;"|24",'因子水準表'!$B$20:$KO$20,0)),""))</f>
        <v/>
      </c>
      <c r="AE4" s="22">
        <f>IF($B$2="","",IFERROR(INDEX('因子水準表'!$B$4:$KO$4,MATCH($B$2&amp;"|25",'因子水準表'!$B$20:$KO$20,0)),""))</f>
        <v/>
      </c>
      <c r="AF4" s="22">
        <f>IF($B$2="","",IFERROR(INDEX('因子水準表'!$B$4:$KO$4,MATCH($B$2&amp;"|26",'因子水準表'!$B$20:$KO$20,0)),""))</f>
        <v/>
      </c>
      <c r="AG4" s="22">
        <f>IF($B$2="","",IFERROR(INDEX('因子水準表'!$B$4:$KO$4,MATCH($B$2&amp;"|27",'因子水準表'!$B$20:$KO$20,0)),""))</f>
        <v/>
      </c>
      <c r="AH4" s="22">
        <f>IF($B$2="","",IFERROR(INDEX('因子水準表'!$B$4:$KO$4,MATCH($B$2&amp;"|28",'因子水準表'!$B$20:$KO$20,0)),""))</f>
        <v/>
      </c>
      <c r="AI4" s="22">
        <f>IF($B$2="","",IFERROR(INDEX('因子水準表'!$B$4:$KO$4,MATCH($B$2&amp;"|29",'因子水準表'!$B$20:$KO$20,0)),""))</f>
        <v/>
      </c>
      <c r="AJ4" s="22">
        <f>IF($B$2="","",IFERROR(INDEX('因子水準表'!$B$4:$KO$4,MATCH($B$2&amp;"|30",'因子水準表'!$B$20:$KO$20,0)),""))</f>
        <v/>
      </c>
      <c r="AK4" s="22">
        <f>IF($B$2="","",IFERROR(INDEX('因子水準表'!$B$4:$KO$4,MATCH($B$2&amp;"|31",'因子水準表'!$B$20:$KO$20,0)),""))</f>
        <v/>
      </c>
      <c r="AL4" s="22">
        <f>IF($B$2="","",IFERROR(INDEX('因子水準表'!$B$4:$KO$4,MATCH($B$2&amp;"|32",'因子水準表'!$B$20:$KO$20,0)),""))</f>
        <v/>
      </c>
      <c r="AM4" s="22">
        <f>IF($B$2="","",IFERROR(INDEX('因子水準表'!$B$4:$KO$4,MATCH($B$2&amp;"|33",'因子水準表'!$B$20:$KO$20,0)),""))</f>
        <v/>
      </c>
      <c r="AN4" s="22">
        <f>IF($B$2="","",IFERROR(INDEX('因子水準表'!$B$4:$KO$4,MATCH($B$2&amp;"|34",'因子水準表'!$B$20:$KO$20,0)),""))</f>
        <v/>
      </c>
      <c r="AO4" s="22">
        <f>IF($B$2="","",IFERROR(INDEX('因子水準表'!$B$4:$KO$4,MATCH($B$2&amp;"|35",'因子水準表'!$B$20:$KO$20,0)),""))</f>
        <v/>
      </c>
      <c r="AP4" s="22">
        <f>IF($B$2="","",IFERROR(INDEX('因子水準表'!$B$4:$KO$4,MATCH($B$2&amp;"|36",'因子水準表'!$B$20:$KO$20,0)),""))</f>
        <v/>
      </c>
      <c r="AQ4" s="22">
        <f>IF($B$2="","",IFERROR(INDEX('因子水準表'!$B$4:$KO$4,MATCH($B$2&amp;"|37",'因子水準表'!$B$20:$KO$20,0)),""))</f>
        <v/>
      </c>
      <c r="AR4" s="22">
        <f>IF($B$2="","",IFERROR(INDEX('因子水準表'!$B$4:$KO$4,MATCH($B$2&amp;"|38",'因子水準表'!$B$20:$KO$20,0)),""))</f>
        <v/>
      </c>
      <c r="AS4" s="22">
        <f>IF($B$2="","",IFERROR(INDEX('因子水準表'!$B$4:$KO$4,MATCH($B$2&amp;"|39",'因子水準表'!$B$20:$KO$20,0)),""))</f>
        <v/>
      </c>
      <c r="AT4" s="22">
        <f>IF($B$2="","",IFERROR(INDEX('因子水準表'!$B$4:$KO$4,MATCH($B$2&amp;"|40",'因子水準表'!$B$20:$KO$20,0)),""))</f>
        <v/>
      </c>
      <c r="AU4" s="22">
        <f>IF($B$2="","",IFERROR(INDEX('因子水準表'!$B$4:$KO$4,MATCH($B$2&amp;"|41",'因子水準表'!$B$20:$KO$20,0)),""))</f>
        <v/>
      </c>
      <c r="AV4" s="22">
        <f>IF($B$2="","",IFERROR(INDEX('因子水準表'!$B$4:$KO$4,MATCH($B$2&amp;"|42",'因子水準表'!$B$20:$KO$20,0)),""))</f>
        <v/>
      </c>
      <c r="AW4" s="22">
        <f>IF($B$2="","",IFERROR(INDEX('因子水準表'!$B$4:$KO$4,MATCH($B$2&amp;"|43",'因子水準表'!$B$20:$KO$20,0)),""))</f>
        <v/>
      </c>
      <c r="AX4" s="22">
        <f>IF($B$2="","",IFERROR(INDEX('因子水準表'!$B$4:$KO$4,MATCH($B$2&amp;"|44",'因子水準表'!$B$20:$KO$20,0)),""))</f>
        <v/>
      </c>
      <c r="AY4" s="22">
        <f>IF($B$2="","",IFERROR(INDEX('因子水準表'!$B$4:$KO$4,MATCH($B$2&amp;"|45",'因子水準表'!$B$20:$KO$20,0)),""))</f>
        <v/>
      </c>
      <c r="AZ4" s="22">
        <f>IF($B$2="","",IFERROR(INDEX('因子水準表'!$B$4:$KO$4,MATCH($B$2&amp;"|46",'因子水準表'!$B$20:$KO$20,0)),""))</f>
        <v/>
      </c>
      <c r="BA4" s="22">
        <f>IF($B$2="","",IFERROR(INDEX('因子水準表'!$B$4:$KO$4,MATCH($B$2&amp;"|47",'因子水準表'!$B$20:$KO$20,0)),""))</f>
        <v/>
      </c>
      <c r="BB4" s="22">
        <f>IF($B$2="","",IFERROR(INDEX('因子水準表'!$B$4:$KO$4,MATCH($B$2&amp;"|48",'因子水準表'!$B$20:$KO$20,0)),""))</f>
        <v/>
      </c>
      <c r="BC4" s="22">
        <f>IF($B$2="","",IFERROR(INDEX('因子水準表'!$B$4:$KO$4,MATCH($B$2&amp;"|49",'因子水準表'!$B$20:$KO$20,0)),""))</f>
        <v/>
      </c>
      <c r="BD4" s="22">
        <f>IF($B$2="","",IFERROR(INDEX('因子水準表'!$B$4:$KO$4,MATCH($B$2&amp;"|50",'因子水準表'!$B$20:$KO$20,0)),""))</f>
        <v/>
      </c>
      <c r="BE4" s="12" t="inlineStr">
        <is>
          <t>手順</t>
        </is>
      </c>
      <c r="BF4" s="12" t="inlineStr">
        <is>
          <t>期待結果</t>
        </is>
      </c>
      <c r="BG4" s="12" t="inlineStr">
        <is>
          <t>技法</t>
        </is>
      </c>
      <c r="BH4" s="12" t="inlineStr">
        <is>
          <t>自動化</t>
        </is>
      </c>
      <c r="BI4" s="12" t="inlineStr">
        <is>
          <t>実行日</t>
        </is>
      </c>
      <c r="BJ4" s="12" t="inlineStr">
        <is>
          <t>実行者</t>
        </is>
      </c>
      <c r="BK4" s="12" t="inlineStr">
        <is>
          <t>結果</t>
        </is>
      </c>
      <c r="BL4" s="12" t="inlineStr">
        <is>
          <t>欠陥ID</t>
        </is>
      </c>
      <c r="BM4" s="12" t="inlineStr">
        <is>
          <t>備考</t>
        </is>
      </c>
      <c r="BO4" s="21" t="inlineStr">
        <is>
          <t>プルダウン用（非表示・編集しない）</t>
        </is>
      </c>
      <c r="BP4" s="9" t="n"/>
      <c r="BQ4" s="9" t="n"/>
      <c r="BR4" s="9" t="n"/>
      <c r="BS4" s="9" t="n"/>
      <c r="BT4" s="9" t="n"/>
      <c r="BU4" s="9" t="n"/>
      <c r="BV4" s="9" t="n"/>
      <c r="BW4" s="9" t="n"/>
      <c r="BX4" s="9" t="n"/>
      <c r="BY4" s="9" t="n"/>
      <c r="BZ4" s="9" t="n"/>
      <c r="CA4" s="9" t="n"/>
      <c r="CB4" s="9" t="n"/>
      <c r="CC4" s="9" t="n"/>
      <c r="CD4" s="9" t="n"/>
      <c r="CE4" s="9" t="n"/>
      <c r="CF4" s="9" t="n"/>
      <c r="CG4" s="9" t="n"/>
      <c r="CH4" s="9" t="n"/>
      <c r="CI4" s="9" t="n"/>
      <c r="CJ4" s="9" t="n"/>
      <c r="CK4" s="9" t="n"/>
      <c r="CL4" s="9" t="n"/>
      <c r="CM4" s="9" t="n"/>
      <c r="CN4" s="9" t="n"/>
      <c r="CO4" s="9" t="n"/>
      <c r="CP4" s="9" t="n"/>
      <c r="CQ4" s="9" t="n"/>
      <c r="CR4" s="9" t="n"/>
      <c r="CS4" s="9" t="n"/>
      <c r="CT4" s="9" t="n"/>
      <c r="CU4" s="9" t="n"/>
      <c r="CV4" s="9" t="n"/>
      <c r="CW4" s="9" t="n"/>
      <c r="CX4" s="9" t="n"/>
      <c r="CY4" s="9" t="n"/>
      <c r="CZ4" s="9" t="n"/>
      <c r="DA4" s="9" t="n"/>
      <c r="DB4" s="9" t="n"/>
      <c r="DC4" s="9" t="n"/>
      <c r="DD4" s="9" t="n"/>
      <c r="DE4" s="9" t="n"/>
      <c r="DF4" s="9" t="n"/>
      <c r="DG4" s="9" t="n"/>
      <c r="DH4" s="9" t="n"/>
      <c r="DI4" s="9" t="n"/>
      <c r="DJ4" s="9" t="n"/>
      <c r="DK4" s="9" t="n"/>
      <c r="DL4" s="9" t="n"/>
      <c r="DM4" s="9" t="n"/>
      <c r="DN4" s="10" t="n"/>
    </row>
    <row r="5">
      <c r="A5" s="23" t="n"/>
      <c r="B5" s="23" t="n"/>
      <c r="C5" s="23" t="n"/>
      <c r="D5" s="23" t="n"/>
      <c r="E5" s="23" t="n"/>
      <c r="F5" s="23" t="n"/>
      <c r="G5" s="12">
        <f>IF(G4="","（未使用）",IFERROR(INDEX('因子水準表'!$B$6:$KO$6,MATCH(G4,'因子水準表'!$B$4:$KO$4,0)),"（ID不明）"))</f>
        <v/>
      </c>
      <c r="H5" s="12">
        <f>IF(H4="","（未使用）",IFERROR(INDEX('因子水準表'!$B$6:$KO$6,MATCH(H4,'因子水準表'!$B$4:$KO$4,0)),"（ID不明）"))</f>
        <v/>
      </c>
      <c r="I5" s="12">
        <f>IF(I4="","（未使用）",IFERROR(INDEX('因子水準表'!$B$6:$KO$6,MATCH(I4,'因子水準表'!$B$4:$KO$4,0)),"（ID不明）"))</f>
        <v/>
      </c>
      <c r="J5" s="12">
        <f>IF(J4="","（未使用）",IFERROR(INDEX('因子水準表'!$B$6:$KO$6,MATCH(J4,'因子水準表'!$B$4:$KO$4,0)),"（ID不明）"))</f>
        <v/>
      </c>
      <c r="K5" s="12">
        <f>IF(K4="","（未使用）",IFERROR(INDEX('因子水準表'!$B$6:$KO$6,MATCH(K4,'因子水準表'!$B$4:$KO$4,0)),"（ID不明）"))</f>
        <v/>
      </c>
      <c r="L5" s="12">
        <f>IF(L4="","（未使用）",IFERROR(INDEX('因子水準表'!$B$6:$KO$6,MATCH(L4,'因子水準表'!$B$4:$KO$4,0)),"（ID不明）"))</f>
        <v/>
      </c>
      <c r="M5" s="12">
        <f>IF(M4="","（未使用）",IFERROR(INDEX('因子水準表'!$B$6:$KO$6,MATCH(M4,'因子水準表'!$B$4:$KO$4,0)),"（ID不明）"))</f>
        <v/>
      </c>
      <c r="N5" s="12">
        <f>IF(N4="","（未使用）",IFERROR(INDEX('因子水準表'!$B$6:$KO$6,MATCH(N4,'因子水準表'!$B$4:$KO$4,0)),"（ID不明）"))</f>
        <v/>
      </c>
      <c r="O5" s="12">
        <f>IF(O4="","（未使用）",IFERROR(INDEX('因子水準表'!$B$6:$KO$6,MATCH(O4,'因子水準表'!$B$4:$KO$4,0)),"（ID不明）"))</f>
        <v/>
      </c>
      <c r="P5" s="12">
        <f>IF(P4="","（未使用）",IFERROR(INDEX('因子水準表'!$B$6:$KO$6,MATCH(P4,'因子水準表'!$B$4:$KO$4,0)),"（ID不明）"))</f>
        <v/>
      </c>
      <c r="Q5" s="12">
        <f>IF(Q4="","（未使用）",IFERROR(INDEX('因子水準表'!$B$6:$KO$6,MATCH(Q4,'因子水準表'!$B$4:$KO$4,0)),"（ID不明）"))</f>
        <v/>
      </c>
      <c r="R5" s="12">
        <f>IF(R4="","（未使用）",IFERROR(INDEX('因子水準表'!$B$6:$KO$6,MATCH(R4,'因子水準表'!$B$4:$KO$4,0)),"（ID不明）"))</f>
        <v/>
      </c>
      <c r="S5" s="12">
        <f>IF(S4="","（未使用）",IFERROR(INDEX('因子水準表'!$B$6:$KO$6,MATCH(S4,'因子水準表'!$B$4:$KO$4,0)),"（ID不明）"))</f>
        <v/>
      </c>
      <c r="T5" s="12">
        <f>IF(T4="","（未使用）",IFERROR(INDEX('因子水準表'!$B$6:$KO$6,MATCH(T4,'因子水準表'!$B$4:$KO$4,0)),"（ID不明）"))</f>
        <v/>
      </c>
      <c r="U5" s="12">
        <f>IF(U4="","（未使用）",IFERROR(INDEX('因子水準表'!$B$6:$KO$6,MATCH(U4,'因子水準表'!$B$4:$KO$4,0)),"（ID不明）"))</f>
        <v/>
      </c>
      <c r="V5" s="12">
        <f>IF(V4="","（未使用）",IFERROR(INDEX('因子水準表'!$B$6:$KO$6,MATCH(V4,'因子水準表'!$B$4:$KO$4,0)),"（ID不明）"))</f>
        <v/>
      </c>
      <c r="W5" s="12">
        <f>IF(W4="","（未使用）",IFERROR(INDEX('因子水準表'!$B$6:$KO$6,MATCH(W4,'因子水準表'!$B$4:$KO$4,0)),"（ID不明）"))</f>
        <v/>
      </c>
      <c r="X5" s="12">
        <f>IF(X4="","（未使用）",IFERROR(INDEX('因子水準表'!$B$6:$KO$6,MATCH(X4,'因子水準表'!$B$4:$KO$4,0)),"（ID不明）"))</f>
        <v/>
      </c>
      <c r="Y5" s="12">
        <f>IF(Y4="","（未使用）",IFERROR(INDEX('因子水準表'!$B$6:$KO$6,MATCH(Y4,'因子水準表'!$B$4:$KO$4,0)),"（ID不明）"))</f>
        <v/>
      </c>
      <c r="Z5" s="12">
        <f>IF(Z4="","（未使用）",IFERROR(INDEX('因子水準表'!$B$6:$KO$6,MATCH(Z4,'因子水準表'!$B$4:$KO$4,0)),"（ID不明）"))</f>
        <v/>
      </c>
      <c r="AA5" s="12">
        <f>IF(AA4="","（未使用）",IFERROR(INDEX('因子水準表'!$B$6:$KO$6,MATCH(AA4,'因子水準表'!$B$4:$KO$4,0)),"（ID不明）"))</f>
        <v/>
      </c>
      <c r="AB5" s="12">
        <f>IF(AB4="","（未使用）",IFERROR(INDEX('因子水準表'!$B$6:$KO$6,MATCH(AB4,'因子水準表'!$B$4:$KO$4,0)),"（ID不明）"))</f>
        <v/>
      </c>
      <c r="AC5" s="12">
        <f>IF(AC4="","（未使用）",IFERROR(INDEX('因子水準表'!$B$6:$KO$6,MATCH(AC4,'因子水準表'!$B$4:$KO$4,0)),"（ID不明）"))</f>
        <v/>
      </c>
      <c r="AD5" s="12">
        <f>IF(AD4="","（未使用）",IFERROR(INDEX('因子水準表'!$B$6:$KO$6,MATCH(AD4,'因子水準表'!$B$4:$KO$4,0)),"（ID不明）"))</f>
        <v/>
      </c>
      <c r="AE5" s="12">
        <f>IF(AE4="","（未使用）",IFERROR(INDEX('因子水準表'!$B$6:$KO$6,MATCH(AE4,'因子水準表'!$B$4:$KO$4,0)),"（ID不明）"))</f>
        <v/>
      </c>
      <c r="AF5" s="12">
        <f>IF(AF4="","（未使用）",IFERROR(INDEX('因子水準表'!$B$6:$KO$6,MATCH(AF4,'因子水準表'!$B$4:$KO$4,0)),"（ID不明）"))</f>
        <v/>
      </c>
      <c r="AG5" s="12">
        <f>IF(AG4="","（未使用）",IFERROR(INDEX('因子水準表'!$B$6:$KO$6,MATCH(AG4,'因子水準表'!$B$4:$KO$4,0)),"（ID不明）"))</f>
        <v/>
      </c>
      <c r="AH5" s="12">
        <f>IF(AH4="","（未使用）",IFERROR(INDEX('因子水準表'!$B$6:$KO$6,MATCH(AH4,'因子水準表'!$B$4:$KO$4,0)),"（ID不明）"))</f>
        <v/>
      </c>
      <c r="AI5" s="12">
        <f>IF(AI4="","（未使用）",IFERROR(INDEX('因子水準表'!$B$6:$KO$6,MATCH(AI4,'因子水準表'!$B$4:$KO$4,0)),"（ID不明）"))</f>
        <v/>
      </c>
      <c r="AJ5" s="12">
        <f>IF(AJ4="","（未使用）",IFERROR(INDEX('因子水準表'!$B$6:$KO$6,MATCH(AJ4,'因子水準表'!$B$4:$KO$4,0)),"（ID不明）"))</f>
        <v/>
      </c>
      <c r="AK5" s="12">
        <f>IF(AK4="","（未使用）",IFERROR(INDEX('因子水準表'!$B$6:$KO$6,MATCH(AK4,'因子水準表'!$B$4:$KO$4,0)),"（ID不明）"))</f>
        <v/>
      </c>
      <c r="AL5" s="12">
        <f>IF(AL4="","（未使用）",IFERROR(INDEX('因子水準表'!$B$6:$KO$6,MATCH(AL4,'因子水準表'!$B$4:$KO$4,0)),"（ID不明）"))</f>
        <v/>
      </c>
      <c r="AM5" s="12">
        <f>IF(AM4="","（未使用）",IFERROR(INDEX('因子水準表'!$B$6:$KO$6,MATCH(AM4,'因子水準表'!$B$4:$KO$4,0)),"（ID不明）"))</f>
        <v/>
      </c>
      <c r="AN5" s="12">
        <f>IF(AN4="","（未使用）",IFERROR(INDEX('因子水準表'!$B$6:$KO$6,MATCH(AN4,'因子水準表'!$B$4:$KO$4,0)),"（ID不明）"))</f>
        <v/>
      </c>
      <c r="AO5" s="12">
        <f>IF(AO4="","（未使用）",IFERROR(INDEX('因子水準表'!$B$6:$KO$6,MATCH(AO4,'因子水準表'!$B$4:$KO$4,0)),"（ID不明）"))</f>
        <v/>
      </c>
      <c r="AP5" s="12">
        <f>IF(AP4="","（未使用）",IFERROR(INDEX('因子水準表'!$B$6:$KO$6,MATCH(AP4,'因子水準表'!$B$4:$KO$4,0)),"（ID不明）"))</f>
        <v/>
      </c>
      <c r="AQ5" s="12">
        <f>IF(AQ4="","（未使用）",IFERROR(INDEX('因子水準表'!$B$6:$KO$6,MATCH(AQ4,'因子水準表'!$B$4:$KO$4,0)),"（ID不明）"))</f>
        <v/>
      </c>
      <c r="AR5" s="12">
        <f>IF(AR4="","（未使用）",IFERROR(INDEX('因子水準表'!$B$6:$KO$6,MATCH(AR4,'因子水準表'!$B$4:$KO$4,0)),"（ID不明）"))</f>
        <v/>
      </c>
      <c r="AS5" s="12">
        <f>IF(AS4="","（未使用）",IFERROR(INDEX('因子水準表'!$B$6:$KO$6,MATCH(AS4,'因子水準表'!$B$4:$KO$4,0)),"（ID不明）"))</f>
        <v/>
      </c>
      <c r="AT5" s="12">
        <f>IF(AT4="","（未使用）",IFERROR(INDEX('因子水準表'!$B$6:$KO$6,MATCH(AT4,'因子水準表'!$B$4:$KO$4,0)),"（ID不明）"))</f>
        <v/>
      </c>
      <c r="AU5" s="12">
        <f>IF(AU4="","（未使用）",IFERROR(INDEX('因子水準表'!$B$6:$KO$6,MATCH(AU4,'因子水準表'!$B$4:$KO$4,0)),"（ID不明）"))</f>
        <v/>
      </c>
      <c r="AV5" s="12">
        <f>IF(AV4="","（未使用）",IFERROR(INDEX('因子水準表'!$B$6:$KO$6,MATCH(AV4,'因子水準表'!$B$4:$KO$4,0)),"（ID不明）"))</f>
        <v/>
      </c>
      <c r="AW5" s="12">
        <f>IF(AW4="","（未使用）",IFERROR(INDEX('因子水準表'!$B$6:$KO$6,MATCH(AW4,'因子水準表'!$B$4:$KO$4,0)),"（ID不明）"))</f>
        <v/>
      </c>
      <c r="AX5" s="12">
        <f>IF(AX4="","（未使用）",IFERROR(INDEX('因子水準表'!$B$6:$KO$6,MATCH(AX4,'因子水準表'!$B$4:$KO$4,0)),"（ID不明）"))</f>
        <v/>
      </c>
      <c r="AY5" s="12">
        <f>IF(AY4="","（未使用）",IFERROR(INDEX('因子水準表'!$B$6:$KO$6,MATCH(AY4,'因子水準表'!$B$4:$KO$4,0)),"（ID不明）"))</f>
        <v/>
      </c>
      <c r="AZ5" s="12">
        <f>IF(AZ4="","（未使用）",IFERROR(INDEX('因子水準表'!$B$6:$KO$6,MATCH(AZ4,'因子水準表'!$B$4:$KO$4,0)),"（ID不明）"))</f>
        <v/>
      </c>
      <c r="BA5" s="12">
        <f>IF(BA4="","（未使用）",IFERROR(INDEX('因子水準表'!$B$6:$KO$6,MATCH(BA4,'因子水準表'!$B$4:$KO$4,0)),"（ID不明）"))</f>
        <v/>
      </c>
      <c r="BB5" s="12">
        <f>IF(BB4="","（未使用）",IFERROR(INDEX('因子水準表'!$B$6:$KO$6,MATCH(BB4,'因子水準表'!$B$4:$KO$4,0)),"（ID不明）"))</f>
        <v/>
      </c>
      <c r="BC5" s="12">
        <f>IF(BC4="","（未使用）",IFERROR(INDEX('因子水準表'!$B$6:$KO$6,MATCH(BC4,'因子水準表'!$B$4:$KO$4,0)),"（ID不明）"))</f>
        <v/>
      </c>
      <c r="BD5" s="12">
        <f>IF(BD4="","（未使用）",IFERROR(INDEX('因子水準表'!$B$6:$KO$6,MATCH(BD4,'因子水準表'!$B$4:$KO$4,0)),"（ID不明）"))</f>
        <v/>
      </c>
      <c r="BE5" s="23" t="n"/>
      <c r="BF5" s="23" t="n"/>
      <c r="BG5" s="23" t="n"/>
      <c r="BH5" s="23" t="n"/>
      <c r="BI5" s="23" t="n"/>
      <c r="BJ5" s="23" t="n"/>
      <c r="BK5" s="23" t="n"/>
      <c r="BL5" s="23" t="n"/>
      <c r="BM5" s="23" t="n"/>
      <c r="BO5" s="12" t="inlineStr">
        <is>
          <t>1列目の水準</t>
        </is>
      </c>
      <c r="BP5" s="12" t="inlineStr">
        <is>
          <t>2列目の水準</t>
        </is>
      </c>
      <c r="BQ5" s="12" t="inlineStr">
        <is>
          <t>3列目の水準</t>
        </is>
      </c>
      <c r="BR5" s="12" t="inlineStr">
        <is>
          <t>4列目の水準</t>
        </is>
      </c>
      <c r="BS5" s="12" t="inlineStr">
        <is>
          <t>5列目の水準</t>
        </is>
      </c>
      <c r="BT5" s="12" t="inlineStr">
        <is>
          <t>6列目の水準</t>
        </is>
      </c>
      <c r="BU5" s="12" t="inlineStr">
        <is>
          <t>7列目の水準</t>
        </is>
      </c>
      <c r="BV5" s="12" t="inlineStr">
        <is>
          <t>8列目の水準</t>
        </is>
      </c>
      <c r="BW5" s="12" t="inlineStr">
        <is>
          <t>9列目の水準</t>
        </is>
      </c>
      <c r="BX5" s="12" t="inlineStr">
        <is>
          <t>10列目の水準</t>
        </is>
      </c>
      <c r="BY5" s="12" t="inlineStr">
        <is>
          <t>11列目の水準</t>
        </is>
      </c>
      <c r="BZ5" s="12" t="inlineStr">
        <is>
          <t>12列目の水準</t>
        </is>
      </c>
      <c r="CA5" s="12" t="inlineStr">
        <is>
          <t>13列目の水準</t>
        </is>
      </c>
      <c r="CB5" s="12" t="inlineStr">
        <is>
          <t>14列目の水準</t>
        </is>
      </c>
      <c r="CC5" s="12" t="inlineStr">
        <is>
          <t>15列目の水準</t>
        </is>
      </c>
      <c r="CD5" s="12" t="inlineStr">
        <is>
          <t>16列目の水準</t>
        </is>
      </c>
      <c r="CE5" s="12" t="inlineStr">
        <is>
          <t>17列目の水準</t>
        </is>
      </c>
      <c r="CF5" s="12" t="inlineStr">
        <is>
          <t>18列目の水準</t>
        </is>
      </c>
      <c r="CG5" s="12" t="inlineStr">
        <is>
          <t>19列目の水準</t>
        </is>
      </c>
      <c r="CH5" s="12" t="inlineStr">
        <is>
          <t>20列目の水準</t>
        </is>
      </c>
      <c r="CI5" s="12" t="inlineStr">
        <is>
          <t>21列目の水準</t>
        </is>
      </c>
      <c r="CJ5" s="12" t="inlineStr">
        <is>
          <t>22列目の水準</t>
        </is>
      </c>
      <c r="CK5" s="12" t="inlineStr">
        <is>
          <t>23列目の水準</t>
        </is>
      </c>
      <c r="CL5" s="12" t="inlineStr">
        <is>
          <t>24列目の水準</t>
        </is>
      </c>
      <c r="CM5" s="12" t="inlineStr">
        <is>
          <t>25列目の水準</t>
        </is>
      </c>
      <c r="CN5" s="12" t="inlineStr">
        <is>
          <t>26列目の水準</t>
        </is>
      </c>
      <c r="CO5" s="12" t="inlineStr">
        <is>
          <t>27列目の水準</t>
        </is>
      </c>
      <c r="CP5" s="12" t="inlineStr">
        <is>
          <t>28列目の水準</t>
        </is>
      </c>
      <c r="CQ5" s="12" t="inlineStr">
        <is>
          <t>29列目の水準</t>
        </is>
      </c>
      <c r="CR5" s="12" t="inlineStr">
        <is>
          <t>30列目の水準</t>
        </is>
      </c>
      <c r="CS5" s="12" t="inlineStr">
        <is>
          <t>31列目の水準</t>
        </is>
      </c>
      <c r="CT5" s="12" t="inlineStr">
        <is>
          <t>32列目の水準</t>
        </is>
      </c>
      <c r="CU5" s="12" t="inlineStr">
        <is>
          <t>33列目の水準</t>
        </is>
      </c>
      <c r="CV5" s="12" t="inlineStr">
        <is>
          <t>34列目の水準</t>
        </is>
      </c>
      <c r="CW5" s="12" t="inlineStr">
        <is>
          <t>35列目の水準</t>
        </is>
      </c>
      <c r="CX5" s="12" t="inlineStr">
        <is>
          <t>36列目の水準</t>
        </is>
      </c>
      <c r="CY5" s="12" t="inlineStr">
        <is>
          <t>37列目の水準</t>
        </is>
      </c>
      <c r="CZ5" s="12" t="inlineStr">
        <is>
          <t>38列目の水準</t>
        </is>
      </c>
      <c r="DA5" s="12" t="inlineStr">
        <is>
          <t>39列目の水準</t>
        </is>
      </c>
      <c r="DB5" s="12" t="inlineStr">
        <is>
          <t>40列目の水準</t>
        </is>
      </c>
      <c r="DC5" s="12" t="inlineStr">
        <is>
          <t>41列目の水準</t>
        </is>
      </c>
      <c r="DD5" s="12" t="inlineStr">
        <is>
          <t>42列目の水準</t>
        </is>
      </c>
      <c r="DE5" s="12" t="inlineStr">
        <is>
          <t>43列目の水準</t>
        </is>
      </c>
      <c r="DF5" s="12" t="inlineStr">
        <is>
          <t>44列目の水準</t>
        </is>
      </c>
      <c r="DG5" s="12" t="inlineStr">
        <is>
          <t>45列目の水準</t>
        </is>
      </c>
      <c r="DH5" s="12" t="inlineStr">
        <is>
          <t>46列目の水準</t>
        </is>
      </c>
      <c r="DI5" s="12" t="inlineStr">
        <is>
          <t>47列目の水準</t>
        </is>
      </c>
      <c r="DJ5" s="12" t="inlineStr">
        <is>
          <t>48列目の水準</t>
        </is>
      </c>
      <c r="DK5" s="12" t="inlineStr">
        <is>
          <t>49列目の水準</t>
        </is>
      </c>
      <c r="DL5" s="12" t="inlineStr">
        <is>
          <t>50列目の水準</t>
        </is>
      </c>
      <c r="DM5" s="12" t="inlineStr">
        <is>
          <t>カテゴリ</t>
        </is>
      </c>
      <c r="DN5" s="12" t="inlineStr">
        <is>
          <t>条件ID</t>
        </is>
      </c>
    </row>
    <row r="6">
      <c r="A6" s="8" t="inlineStr">
        <is>
          <t>T-01</t>
        </is>
      </c>
      <c r="B6" s="8" t="inlineStr">
        <is>
          <t>TC-A</t>
        </is>
      </c>
      <c r="C6" s="24">
        <f>IF(A6="","",$B$2)</f>
        <v/>
      </c>
      <c r="D6" s="8" t="inlineStr">
        <is>
          <t>正常ログイン</t>
        </is>
      </c>
      <c r="E6" s="8" t="inlineStr">
        <is>
          <t>高</t>
        </is>
      </c>
      <c r="F6" s="8" t="inlineStr">
        <is>
          <t>─</t>
        </is>
      </c>
      <c r="G6" s="8" t="inlineStr">
        <is>
          <t>登録済み</t>
        </is>
      </c>
      <c r="H6" s="8" t="inlineStr">
        <is>
          <t>正しい</t>
        </is>
      </c>
      <c r="I6" s="8" t="inlineStr">
        <is>
          <t>アクティブ</t>
        </is>
      </c>
      <c r="J6" s="8" t="inlineStr">
        <is>
          <t>0〜1回</t>
        </is>
      </c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inlineStr">
        <is>
          <t>1. ログイン画面を開く
2. メールアドレスとパスワードを入力
3. ログインボタンを押す</t>
        </is>
      </c>
      <c r="BF6" s="8" t="inlineStr">
        <is>
          <t>マイページに遷移する</t>
        </is>
      </c>
      <c r="BG6" s="8" t="inlineStr">
        <is>
          <t>同値分割</t>
        </is>
      </c>
      <c r="BH6" s="8" t="inlineStr">
        <is>
          <t>要</t>
        </is>
      </c>
      <c r="BI6" s="25" t="n"/>
      <c r="BJ6" s="8" t="n"/>
      <c r="BK6" s="8" t="n"/>
      <c r="BL6" s="8" t="n"/>
      <c r="BM6" s="8" t="n"/>
      <c r="BO6" s="26">
        <f>IF(G$4="","",IFERROR(INDEX('因子水準表'!$B$9:$KO$18,1,MATCH(G$4,'因子水準表'!$B$4:$KO$4,0))&amp;"",""))</f>
        <v/>
      </c>
      <c r="BP6" s="26">
        <f>IF(H$4="","",IFERROR(INDEX('因子水準表'!$B$9:$KO$18,1,MATCH(H$4,'因子水準表'!$B$4:$KO$4,0))&amp;"",""))</f>
        <v/>
      </c>
      <c r="BQ6" s="26">
        <f>IF(I$4="","",IFERROR(INDEX('因子水準表'!$B$9:$KO$18,1,MATCH(I$4,'因子水準表'!$B$4:$KO$4,0))&amp;"",""))</f>
        <v/>
      </c>
      <c r="BR6" s="26">
        <f>IF(J$4="","",IFERROR(INDEX('因子水準表'!$B$9:$KO$18,1,MATCH(J$4,'因子水準表'!$B$4:$KO$4,0))&amp;"",""))</f>
        <v/>
      </c>
      <c r="BS6" s="26">
        <f>IF(K$4="","",IFERROR(INDEX('因子水準表'!$B$9:$KO$18,1,MATCH(K$4,'因子水準表'!$B$4:$KO$4,0))&amp;"",""))</f>
        <v/>
      </c>
      <c r="BT6" s="26">
        <f>IF(L$4="","",IFERROR(INDEX('因子水準表'!$B$9:$KO$18,1,MATCH(L$4,'因子水準表'!$B$4:$KO$4,0))&amp;"",""))</f>
        <v/>
      </c>
      <c r="BU6" s="26">
        <f>IF(M$4="","",IFERROR(INDEX('因子水準表'!$B$9:$KO$18,1,MATCH(M$4,'因子水準表'!$B$4:$KO$4,0))&amp;"",""))</f>
        <v/>
      </c>
      <c r="BV6" s="26">
        <f>IF(N$4="","",IFERROR(INDEX('因子水準表'!$B$9:$KO$18,1,MATCH(N$4,'因子水準表'!$B$4:$KO$4,0))&amp;"",""))</f>
        <v/>
      </c>
      <c r="BW6" s="26">
        <f>IF(O$4="","",IFERROR(INDEX('因子水準表'!$B$9:$KO$18,1,MATCH(O$4,'因子水準表'!$B$4:$KO$4,0))&amp;"",""))</f>
        <v/>
      </c>
      <c r="BX6" s="26">
        <f>IF(P$4="","",IFERROR(INDEX('因子水準表'!$B$9:$KO$18,1,MATCH(P$4,'因子水準表'!$B$4:$KO$4,0))&amp;"",""))</f>
        <v/>
      </c>
      <c r="BY6" s="26">
        <f>IF(Q$4="","",IFERROR(INDEX('因子水準表'!$B$9:$KO$18,1,MATCH(Q$4,'因子水準表'!$B$4:$KO$4,0))&amp;"",""))</f>
        <v/>
      </c>
      <c r="BZ6" s="26">
        <f>IF(R$4="","",IFERROR(INDEX('因子水準表'!$B$9:$KO$18,1,MATCH(R$4,'因子水準表'!$B$4:$KO$4,0))&amp;"",""))</f>
        <v/>
      </c>
      <c r="CA6" s="26">
        <f>IF(S$4="","",IFERROR(INDEX('因子水準表'!$B$9:$KO$18,1,MATCH(S$4,'因子水準表'!$B$4:$KO$4,0))&amp;"",""))</f>
        <v/>
      </c>
      <c r="CB6" s="26">
        <f>IF(T$4="","",IFERROR(INDEX('因子水準表'!$B$9:$KO$18,1,MATCH(T$4,'因子水準表'!$B$4:$KO$4,0))&amp;"",""))</f>
        <v/>
      </c>
      <c r="CC6" s="26">
        <f>IF(U$4="","",IFERROR(INDEX('因子水準表'!$B$9:$KO$18,1,MATCH(U$4,'因子水準表'!$B$4:$KO$4,0))&amp;"",""))</f>
        <v/>
      </c>
      <c r="CD6" s="26">
        <f>IF(V$4="","",IFERROR(INDEX('因子水準表'!$B$9:$KO$18,1,MATCH(V$4,'因子水準表'!$B$4:$KO$4,0))&amp;"",""))</f>
        <v/>
      </c>
      <c r="CE6" s="26">
        <f>IF(W$4="","",IFERROR(INDEX('因子水準表'!$B$9:$KO$18,1,MATCH(W$4,'因子水準表'!$B$4:$KO$4,0))&amp;"",""))</f>
        <v/>
      </c>
      <c r="CF6" s="26">
        <f>IF(X$4="","",IFERROR(INDEX('因子水準表'!$B$9:$KO$18,1,MATCH(X$4,'因子水準表'!$B$4:$KO$4,0))&amp;"",""))</f>
        <v/>
      </c>
      <c r="CG6" s="26">
        <f>IF(Y$4="","",IFERROR(INDEX('因子水準表'!$B$9:$KO$18,1,MATCH(Y$4,'因子水準表'!$B$4:$KO$4,0))&amp;"",""))</f>
        <v/>
      </c>
      <c r="CH6" s="26">
        <f>IF(Z$4="","",IFERROR(INDEX('因子水準表'!$B$9:$KO$18,1,MATCH(Z$4,'因子水準表'!$B$4:$KO$4,0))&amp;"",""))</f>
        <v/>
      </c>
      <c r="CI6" s="26">
        <f>IF(AA$4="","",IFERROR(INDEX('因子水準表'!$B$9:$KO$18,1,MATCH(AA$4,'因子水準表'!$B$4:$KO$4,0))&amp;"",""))</f>
        <v/>
      </c>
      <c r="CJ6" s="26">
        <f>IF(AB$4="","",IFERROR(INDEX('因子水準表'!$B$9:$KO$18,1,MATCH(AB$4,'因子水準表'!$B$4:$KO$4,0))&amp;"",""))</f>
        <v/>
      </c>
      <c r="CK6" s="26">
        <f>IF(AC$4="","",IFERROR(INDEX('因子水準表'!$B$9:$KO$18,1,MATCH(AC$4,'因子水準表'!$B$4:$KO$4,0))&amp;"",""))</f>
        <v/>
      </c>
      <c r="CL6" s="26">
        <f>IF(AD$4="","",IFERROR(INDEX('因子水準表'!$B$9:$KO$18,1,MATCH(AD$4,'因子水準表'!$B$4:$KO$4,0))&amp;"",""))</f>
        <v/>
      </c>
      <c r="CM6" s="26">
        <f>IF(AE$4="","",IFERROR(INDEX('因子水準表'!$B$9:$KO$18,1,MATCH(AE$4,'因子水準表'!$B$4:$KO$4,0))&amp;"",""))</f>
        <v/>
      </c>
      <c r="CN6" s="26">
        <f>IF(AF$4="","",IFERROR(INDEX('因子水準表'!$B$9:$KO$18,1,MATCH(AF$4,'因子水準表'!$B$4:$KO$4,0))&amp;"",""))</f>
        <v/>
      </c>
      <c r="CO6" s="26">
        <f>IF(AG$4="","",IFERROR(INDEX('因子水準表'!$B$9:$KO$18,1,MATCH(AG$4,'因子水準表'!$B$4:$KO$4,0))&amp;"",""))</f>
        <v/>
      </c>
      <c r="CP6" s="26">
        <f>IF(AH$4="","",IFERROR(INDEX('因子水準表'!$B$9:$KO$18,1,MATCH(AH$4,'因子水準表'!$B$4:$KO$4,0))&amp;"",""))</f>
        <v/>
      </c>
      <c r="CQ6" s="26">
        <f>IF(AI$4="","",IFERROR(INDEX('因子水準表'!$B$9:$KO$18,1,MATCH(AI$4,'因子水準表'!$B$4:$KO$4,0))&amp;"",""))</f>
        <v/>
      </c>
      <c r="CR6" s="26">
        <f>IF(AJ$4="","",IFERROR(INDEX('因子水準表'!$B$9:$KO$18,1,MATCH(AJ$4,'因子水準表'!$B$4:$KO$4,0))&amp;"",""))</f>
        <v/>
      </c>
      <c r="CS6" s="26">
        <f>IF(AK$4="","",IFERROR(INDEX('因子水準表'!$B$9:$KO$18,1,MATCH(AK$4,'因子水準表'!$B$4:$KO$4,0))&amp;"",""))</f>
        <v/>
      </c>
      <c r="CT6" s="26">
        <f>IF(AL$4="","",IFERROR(INDEX('因子水準表'!$B$9:$KO$18,1,MATCH(AL$4,'因子水準表'!$B$4:$KO$4,0))&amp;"",""))</f>
        <v/>
      </c>
      <c r="CU6" s="26">
        <f>IF(AM$4="","",IFERROR(INDEX('因子水準表'!$B$9:$KO$18,1,MATCH(AM$4,'因子水準表'!$B$4:$KO$4,0))&amp;"",""))</f>
        <v/>
      </c>
      <c r="CV6" s="26">
        <f>IF(AN$4="","",IFERROR(INDEX('因子水準表'!$B$9:$KO$18,1,MATCH(AN$4,'因子水準表'!$B$4:$KO$4,0))&amp;"",""))</f>
        <v/>
      </c>
      <c r="CW6" s="26">
        <f>IF(AO$4="","",IFERROR(INDEX('因子水準表'!$B$9:$KO$18,1,MATCH(AO$4,'因子水準表'!$B$4:$KO$4,0))&amp;"",""))</f>
        <v/>
      </c>
      <c r="CX6" s="26">
        <f>IF(AP$4="","",IFERROR(INDEX('因子水準表'!$B$9:$KO$18,1,MATCH(AP$4,'因子水準表'!$B$4:$KO$4,0))&amp;"",""))</f>
        <v/>
      </c>
      <c r="CY6" s="26">
        <f>IF(AQ$4="","",IFERROR(INDEX('因子水準表'!$B$9:$KO$18,1,MATCH(AQ$4,'因子水準表'!$B$4:$KO$4,0))&amp;"",""))</f>
        <v/>
      </c>
      <c r="CZ6" s="26">
        <f>IF(AR$4="","",IFERROR(INDEX('因子水準表'!$B$9:$KO$18,1,MATCH(AR$4,'因子水準表'!$B$4:$KO$4,0))&amp;"",""))</f>
        <v/>
      </c>
      <c r="DA6" s="26">
        <f>IF(AS$4="","",IFERROR(INDEX('因子水準表'!$B$9:$KO$18,1,MATCH(AS$4,'因子水準表'!$B$4:$KO$4,0))&amp;"",""))</f>
        <v/>
      </c>
      <c r="DB6" s="26">
        <f>IF(AT$4="","",IFERROR(INDEX('因子水準表'!$B$9:$KO$18,1,MATCH(AT$4,'因子水準表'!$B$4:$KO$4,0))&amp;"",""))</f>
        <v/>
      </c>
      <c r="DC6" s="26">
        <f>IF(AU$4="","",IFERROR(INDEX('因子水準表'!$B$9:$KO$18,1,MATCH(AU$4,'因子水準表'!$B$4:$KO$4,0))&amp;"",""))</f>
        <v/>
      </c>
      <c r="DD6" s="26">
        <f>IF(AV$4="","",IFERROR(INDEX('因子水準表'!$B$9:$KO$18,1,MATCH(AV$4,'因子水準表'!$B$4:$KO$4,0))&amp;"",""))</f>
        <v/>
      </c>
      <c r="DE6" s="26">
        <f>IF(AW$4="","",IFERROR(INDEX('因子水準表'!$B$9:$KO$18,1,MATCH(AW$4,'因子水準表'!$B$4:$KO$4,0))&amp;"",""))</f>
        <v/>
      </c>
      <c r="DF6" s="26">
        <f>IF(AX$4="","",IFERROR(INDEX('因子水準表'!$B$9:$KO$18,1,MATCH(AX$4,'因子水準表'!$B$4:$KO$4,0))&amp;"",""))</f>
        <v/>
      </c>
      <c r="DG6" s="26">
        <f>IF(AY$4="","",IFERROR(INDEX('因子水準表'!$B$9:$KO$18,1,MATCH(AY$4,'因子水準表'!$B$4:$KO$4,0))&amp;"",""))</f>
        <v/>
      </c>
      <c r="DH6" s="26">
        <f>IF(AZ$4="","",IFERROR(INDEX('因子水準表'!$B$9:$KO$18,1,MATCH(AZ$4,'因子水準表'!$B$4:$KO$4,0))&amp;"",""))</f>
        <v/>
      </c>
      <c r="DI6" s="26">
        <f>IF(BA$4="","",IFERROR(INDEX('因子水準表'!$B$9:$KO$18,1,MATCH(BA$4,'因子水準表'!$B$4:$KO$4,0))&amp;"",""))</f>
        <v/>
      </c>
      <c r="DJ6" s="26">
        <f>IF(BB$4="","",IFERROR(INDEX('因子水準表'!$B$9:$KO$18,1,MATCH(BB$4,'因子水準表'!$B$4:$KO$4,0))&amp;"",""))</f>
        <v/>
      </c>
      <c r="DK6" s="26">
        <f>IF(BC$4="","",IFERROR(INDEX('因子水準表'!$B$9:$KO$18,1,MATCH(BC$4,'因子水準表'!$B$4:$KO$4,0))&amp;"",""))</f>
        <v/>
      </c>
      <c r="DL6" s="26">
        <f>IF(BD$4="","",IFERROR(INDEX('因子水準表'!$B$9:$KO$18,1,MATCH(BD$4,'因子水準表'!$B$4:$KO$4,0))&amp;"",""))</f>
        <v/>
      </c>
      <c r="DM6" s="26">
        <f>IF('因子水準表'!B29="","",'因子水準表'!B29)</f>
        <v/>
      </c>
      <c r="DN6" s="26">
        <f>IF('テスト条件'!A5="","",'テスト条件'!A5)</f>
        <v/>
      </c>
    </row>
    <row r="7">
      <c r="A7" s="8" t="inlineStr">
        <is>
          <t>T-02</t>
        </is>
      </c>
      <c r="B7" s="8" t="inlineStr">
        <is>
          <t>TC-B</t>
        </is>
      </c>
      <c r="C7" s="24">
        <f>IF(A7="","",$B$2)</f>
        <v/>
      </c>
      <c r="D7" s="8" t="inlineStr">
        <is>
          <t>境界：2回目の失敗では未ロック</t>
        </is>
      </c>
      <c r="E7" s="8" t="inlineStr">
        <is>
          <t>高</t>
        </is>
      </c>
      <c r="F7" s="8" t="inlineStr">
        <is>
          <t>直前に1回失敗している</t>
        </is>
      </c>
      <c r="G7" s="8" t="inlineStr">
        <is>
          <t>登録済み</t>
        </is>
      </c>
      <c r="H7" s="8" t="inlineStr">
        <is>
          <t>間違っている</t>
        </is>
      </c>
      <c r="I7" s="8" t="inlineStr">
        <is>
          <t>アクティブ</t>
        </is>
      </c>
      <c r="J7" s="8" t="inlineStr">
        <is>
          <t>2回（境界・未ロック）</t>
        </is>
      </c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inlineStr">
        <is>
          <t>1. 間違ったパスワードでログインする</t>
        </is>
      </c>
      <c r="BF7" s="8" t="inlineStr">
        <is>
          <t>「メールまたはパスワードが正しくありません」と表示され、ロックされない</t>
        </is>
      </c>
      <c r="BG7" s="8" t="inlineStr">
        <is>
          <t>境界値分析</t>
        </is>
      </c>
      <c r="BH7" s="8" t="inlineStr">
        <is>
          <t>要</t>
        </is>
      </c>
      <c r="BI7" s="25" t="n"/>
      <c r="BJ7" s="8" t="n"/>
      <c r="BK7" s="8" t="n"/>
      <c r="BL7" s="8" t="n"/>
      <c r="BM7" s="8" t="n"/>
      <c r="BO7" s="26">
        <f>IF(G$4="","",IFERROR(INDEX('因子水準表'!$B$9:$KO$18,2,MATCH(G$4,'因子水準表'!$B$4:$KO$4,0))&amp;"",""))</f>
        <v/>
      </c>
      <c r="BP7" s="26">
        <f>IF(H$4="","",IFERROR(INDEX('因子水準表'!$B$9:$KO$18,2,MATCH(H$4,'因子水準表'!$B$4:$KO$4,0))&amp;"",""))</f>
        <v/>
      </c>
      <c r="BQ7" s="26">
        <f>IF(I$4="","",IFERROR(INDEX('因子水準表'!$B$9:$KO$18,2,MATCH(I$4,'因子水準表'!$B$4:$KO$4,0))&amp;"",""))</f>
        <v/>
      </c>
      <c r="BR7" s="26">
        <f>IF(J$4="","",IFERROR(INDEX('因子水準表'!$B$9:$KO$18,2,MATCH(J$4,'因子水準表'!$B$4:$KO$4,0))&amp;"",""))</f>
        <v/>
      </c>
      <c r="BS7" s="26">
        <f>IF(K$4="","",IFERROR(INDEX('因子水準表'!$B$9:$KO$18,2,MATCH(K$4,'因子水準表'!$B$4:$KO$4,0))&amp;"",""))</f>
        <v/>
      </c>
      <c r="BT7" s="26">
        <f>IF(L$4="","",IFERROR(INDEX('因子水準表'!$B$9:$KO$18,2,MATCH(L$4,'因子水準表'!$B$4:$KO$4,0))&amp;"",""))</f>
        <v/>
      </c>
      <c r="BU7" s="26">
        <f>IF(M$4="","",IFERROR(INDEX('因子水準表'!$B$9:$KO$18,2,MATCH(M$4,'因子水準表'!$B$4:$KO$4,0))&amp;"",""))</f>
        <v/>
      </c>
      <c r="BV7" s="26">
        <f>IF(N$4="","",IFERROR(INDEX('因子水準表'!$B$9:$KO$18,2,MATCH(N$4,'因子水準表'!$B$4:$KO$4,0))&amp;"",""))</f>
        <v/>
      </c>
      <c r="BW7" s="26">
        <f>IF(O$4="","",IFERROR(INDEX('因子水準表'!$B$9:$KO$18,2,MATCH(O$4,'因子水準表'!$B$4:$KO$4,0))&amp;"",""))</f>
        <v/>
      </c>
      <c r="BX7" s="26">
        <f>IF(P$4="","",IFERROR(INDEX('因子水準表'!$B$9:$KO$18,2,MATCH(P$4,'因子水準表'!$B$4:$KO$4,0))&amp;"",""))</f>
        <v/>
      </c>
      <c r="BY7" s="26">
        <f>IF(Q$4="","",IFERROR(INDEX('因子水準表'!$B$9:$KO$18,2,MATCH(Q$4,'因子水準表'!$B$4:$KO$4,0))&amp;"",""))</f>
        <v/>
      </c>
      <c r="BZ7" s="26">
        <f>IF(R$4="","",IFERROR(INDEX('因子水準表'!$B$9:$KO$18,2,MATCH(R$4,'因子水準表'!$B$4:$KO$4,0))&amp;"",""))</f>
        <v/>
      </c>
      <c r="CA7" s="26">
        <f>IF(S$4="","",IFERROR(INDEX('因子水準表'!$B$9:$KO$18,2,MATCH(S$4,'因子水準表'!$B$4:$KO$4,0))&amp;"",""))</f>
        <v/>
      </c>
      <c r="CB7" s="26">
        <f>IF(T$4="","",IFERROR(INDEX('因子水準表'!$B$9:$KO$18,2,MATCH(T$4,'因子水準表'!$B$4:$KO$4,0))&amp;"",""))</f>
        <v/>
      </c>
      <c r="CC7" s="26">
        <f>IF(U$4="","",IFERROR(INDEX('因子水準表'!$B$9:$KO$18,2,MATCH(U$4,'因子水準表'!$B$4:$KO$4,0))&amp;"",""))</f>
        <v/>
      </c>
      <c r="CD7" s="26">
        <f>IF(V$4="","",IFERROR(INDEX('因子水準表'!$B$9:$KO$18,2,MATCH(V$4,'因子水準表'!$B$4:$KO$4,0))&amp;"",""))</f>
        <v/>
      </c>
      <c r="CE7" s="26">
        <f>IF(W$4="","",IFERROR(INDEX('因子水準表'!$B$9:$KO$18,2,MATCH(W$4,'因子水準表'!$B$4:$KO$4,0))&amp;"",""))</f>
        <v/>
      </c>
      <c r="CF7" s="26">
        <f>IF(X$4="","",IFERROR(INDEX('因子水準表'!$B$9:$KO$18,2,MATCH(X$4,'因子水準表'!$B$4:$KO$4,0))&amp;"",""))</f>
        <v/>
      </c>
      <c r="CG7" s="26">
        <f>IF(Y$4="","",IFERROR(INDEX('因子水準表'!$B$9:$KO$18,2,MATCH(Y$4,'因子水準表'!$B$4:$KO$4,0))&amp;"",""))</f>
        <v/>
      </c>
      <c r="CH7" s="26">
        <f>IF(Z$4="","",IFERROR(INDEX('因子水準表'!$B$9:$KO$18,2,MATCH(Z$4,'因子水準表'!$B$4:$KO$4,0))&amp;"",""))</f>
        <v/>
      </c>
      <c r="CI7" s="26">
        <f>IF(AA$4="","",IFERROR(INDEX('因子水準表'!$B$9:$KO$18,2,MATCH(AA$4,'因子水準表'!$B$4:$KO$4,0))&amp;"",""))</f>
        <v/>
      </c>
      <c r="CJ7" s="26">
        <f>IF(AB$4="","",IFERROR(INDEX('因子水準表'!$B$9:$KO$18,2,MATCH(AB$4,'因子水準表'!$B$4:$KO$4,0))&amp;"",""))</f>
        <v/>
      </c>
      <c r="CK7" s="26">
        <f>IF(AC$4="","",IFERROR(INDEX('因子水準表'!$B$9:$KO$18,2,MATCH(AC$4,'因子水準表'!$B$4:$KO$4,0))&amp;"",""))</f>
        <v/>
      </c>
      <c r="CL7" s="26">
        <f>IF(AD$4="","",IFERROR(INDEX('因子水準表'!$B$9:$KO$18,2,MATCH(AD$4,'因子水準表'!$B$4:$KO$4,0))&amp;"",""))</f>
        <v/>
      </c>
      <c r="CM7" s="26">
        <f>IF(AE$4="","",IFERROR(INDEX('因子水準表'!$B$9:$KO$18,2,MATCH(AE$4,'因子水準表'!$B$4:$KO$4,0))&amp;"",""))</f>
        <v/>
      </c>
      <c r="CN7" s="26">
        <f>IF(AF$4="","",IFERROR(INDEX('因子水準表'!$B$9:$KO$18,2,MATCH(AF$4,'因子水準表'!$B$4:$KO$4,0))&amp;"",""))</f>
        <v/>
      </c>
      <c r="CO7" s="26">
        <f>IF(AG$4="","",IFERROR(INDEX('因子水準表'!$B$9:$KO$18,2,MATCH(AG$4,'因子水準表'!$B$4:$KO$4,0))&amp;"",""))</f>
        <v/>
      </c>
      <c r="CP7" s="26">
        <f>IF(AH$4="","",IFERROR(INDEX('因子水準表'!$B$9:$KO$18,2,MATCH(AH$4,'因子水準表'!$B$4:$KO$4,0))&amp;"",""))</f>
        <v/>
      </c>
      <c r="CQ7" s="26">
        <f>IF(AI$4="","",IFERROR(INDEX('因子水準表'!$B$9:$KO$18,2,MATCH(AI$4,'因子水準表'!$B$4:$KO$4,0))&amp;"",""))</f>
        <v/>
      </c>
      <c r="CR7" s="26">
        <f>IF(AJ$4="","",IFERROR(INDEX('因子水準表'!$B$9:$KO$18,2,MATCH(AJ$4,'因子水準表'!$B$4:$KO$4,0))&amp;"",""))</f>
        <v/>
      </c>
      <c r="CS7" s="26">
        <f>IF(AK$4="","",IFERROR(INDEX('因子水準表'!$B$9:$KO$18,2,MATCH(AK$4,'因子水準表'!$B$4:$KO$4,0))&amp;"",""))</f>
        <v/>
      </c>
      <c r="CT7" s="26">
        <f>IF(AL$4="","",IFERROR(INDEX('因子水準表'!$B$9:$KO$18,2,MATCH(AL$4,'因子水準表'!$B$4:$KO$4,0))&amp;"",""))</f>
        <v/>
      </c>
      <c r="CU7" s="26">
        <f>IF(AM$4="","",IFERROR(INDEX('因子水準表'!$B$9:$KO$18,2,MATCH(AM$4,'因子水準表'!$B$4:$KO$4,0))&amp;"",""))</f>
        <v/>
      </c>
      <c r="CV7" s="26">
        <f>IF(AN$4="","",IFERROR(INDEX('因子水準表'!$B$9:$KO$18,2,MATCH(AN$4,'因子水準表'!$B$4:$KO$4,0))&amp;"",""))</f>
        <v/>
      </c>
      <c r="CW7" s="26">
        <f>IF(AO$4="","",IFERROR(INDEX('因子水準表'!$B$9:$KO$18,2,MATCH(AO$4,'因子水準表'!$B$4:$KO$4,0))&amp;"",""))</f>
        <v/>
      </c>
      <c r="CX7" s="26">
        <f>IF(AP$4="","",IFERROR(INDEX('因子水準表'!$B$9:$KO$18,2,MATCH(AP$4,'因子水準表'!$B$4:$KO$4,0))&amp;"",""))</f>
        <v/>
      </c>
      <c r="CY7" s="26">
        <f>IF(AQ$4="","",IFERROR(INDEX('因子水準表'!$B$9:$KO$18,2,MATCH(AQ$4,'因子水準表'!$B$4:$KO$4,0))&amp;"",""))</f>
        <v/>
      </c>
      <c r="CZ7" s="26">
        <f>IF(AR$4="","",IFERROR(INDEX('因子水準表'!$B$9:$KO$18,2,MATCH(AR$4,'因子水準表'!$B$4:$KO$4,0))&amp;"",""))</f>
        <v/>
      </c>
      <c r="DA7" s="26">
        <f>IF(AS$4="","",IFERROR(INDEX('因子水準表'!$B$9:$KO$18,2,MATCH(AS$4,'因子水準表'!$B$4:$KO$4,0))&amp;"",""))</f>
        <v/>
      </c>
      <c r="DB7" s="26">
        <f>IF(AT$4="","",IFERROR(INDEX('因子水準表'!$B$9:$KO$18,2,MATCH(AT$4,'因子水準表'!$B$4:$KO$4,0))&amp;"",""))</f>
        <v/>
      </c>
      <c r="DC7" s="26">
        <f>IF(AU$4="","",IFERROR(INDEX('因子水準表'!$B$9:$KO$18,2,MATCH(AU$4,'因子水準表'!$B$4:$KO$4,0))&amp;"",""))</f>
        <v/>
      </c>
      <c r="DD7" s="26">
        <f>IF(AV$4="","",IFERROR(INDEX('因子水準表'!$B$9:$KO$18,2,MATCH(AV$4,'因子水準表'!$B$4:$KO$4,0))&amp;"",""))</f>
        <v/>
      </c>
      <c r="DE7" s="26">
        <f>IF(AW$4="","",IFERROR(INDEX('因子水準表'!$B$9:$KO$18,2,MATCH(AW$4,'因子水準表'!$B$4:$KO$4,0))&amp;"",""))</f>
        <v/>
      </c>
      <c r="DF7" s="26">
        <f>IF(AX$4="","",IFERROR(INDEX('因子水準表'!$B$9:$KO$18,2,MATCH(AX$4,'因子水準表'!$B$4:$KO$4,0))&amp;"",""))</f>
        <v/>
      </c>
      <c r="DG7" s="26">
        <f>IF(AY$4="","",IFERROR(INDEX('因子水準表'!$B$9:$KO$18,2,MATCH(AY$4,'因子水準表'!$B$4:$KO$4,0))&amp;"",""))</f>
        <v/>
      </c>
      <c r="DH7" s="26">
        <f>IF(AZ$4="","",IFERROR(INDEX('因子水準表'!$B$9:$KO$18,2,MATCH(AZ$4,'因子水準表'!$B$4:$KO$4,0))&amp;"",""))</f>
        <v/>
      </c>
      <c r="DI7" s="26">
        <f>IF(BA$4="","",IFERROR(INDEX('因子水準表'!$B$9:$KO$18,2,MATCH(BA$4,'因子水準表'!$B$4:$KO$4,0))&amp;"",""))</f>
        <v/>
      </c>
      <c r="DJ7" s="26">
        <f>IF(BB$4="","",IFERROR(INDEX('因子水準表'!$B$9:$KO$18,2,MATCH(BB$4,'因子水準表'!$B$4:$KO$4,0))&amp;"",""))</f>
        <v/>
      </c>
      <c r="DK7" s="26">
        <f>IF(BC$4="","",IFERROR(INDEX('因子水準表'!$B$9:$KO$18,2,MATCH(BC$4,'因子水準表'!$B$4:$KO$4,0))&amp;"",""))</f>
        <v/>
      </c>
      <c r="DL7" s="26">
        <f>IF(BD$4="","",IFERROR(INDEX('因子水準表'!$B$9:$KO$18,2,MATCH(BD$4,'因子水準表'!$B$4:$KO$4,0))&amp;"",""))</f>
        <v/>
      </c>
      <c r="DM7" s="26">
        <f>IF('因子水準表'!B30="","",'因子水準表'!B30)</f>
        <v/>
      </c>
      <c r="DN7" s="26">
        <f>IF('テスト条件'!A6="","",'テスト条件'!A6)</f>
        <v/>
      </c>
    </row>
    <row r="8">
      <c r="A8" s="8" t="inlineStr">
        <is>
          <t>T-03</t>
        </is>
      </c>
      <c r="B8" s="8" t="inlineStr">
        <is>
          <t>TC-B</t>
        </is>
      </c>
      <c r="C8" s="24">
        <f>IF(A8="","",$B$2)</f>
        <v/>
      </c>
      <c r="D8" s="8" t="inlineStr">
        <is>
          <t>境界：3回目の失敗でロック</t>
        </is>
      </c>
      <c r="E8" s="8" t="inlineStr">
        <is>
          <t>高</t>
        </is>
      </c>
      <c r="F8" s="8" t="inlineStr">
        <is>
          <t>直前に2回失敗している</t>
        </is>
      </c>
      <c r="G8" s="8" t="inlineStr">
        <is>
          <t>登録済み</t>
        </is>
      </c>
      <c r="H8" s="8" t="inlineStr">
        <is>
          <t>間違っている</t>
        </is>
      </c>
      <c r="I8" s="8" t="inlineStr">
        <is>
          <t>アクティブ</t>
        </is>
      </c>
      <c r="J8" s="8" t="inlineStr">
        <is>
          <t>3回（境界・ロック発動）</t>
        </is>
      </c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inlineStr">
        <is>
          <t>1. 間違ったパスワードでログインする</t>
        </is>
      </c>
      <c r="BF8" s="8" t="inlineStr">
        <is>
          <t>ロックのメッセージが表示され、アカウント状態がロック済みになる</t>
        </is>
      </c>
      <c r="BG8" s="8" t="inlineStr">
        <is>
          <t>境界値分析</t>
        </is>
      </c>
      <c r="BH8" s="8" t="inlineStr">
        <is>
          <t>要</t>
        </is>
      </c>
      <c r="BI8" s="25" t="n"/>
      <c r="BJ8" s="8" t="n"/>
      <c r="BK8" s="8" t="n"/>
      <c r="BL8" s="8" t="n"/>
      <c r="BM8" s="8" t="n"/>
      <c r="BO8" s="26">
        <f>IF(G$4="","",IFERROR(INDEX('因子水準表'!$B$9:$KO$18,3,MATCH(G$4,'因子水準表'!$B$4:$KO$4,0))&amp;"",""))</f>
        <v/>
      </c>
      <c r="BP8" s="26">
        <f>IF(H$4="","",IFERROR(INDEX('因子水準表'!$B$9:$KO$18,3,MATCH(H$4,'因子水準表'!$B$4:$KO$4,0))&amp;"",""))</f>
        <v/>
      </c>
      <c r="BQ8" s="26">
        <f>IF(I$4="","",IFERROR(INDEX('因子水準表'!$B$9:$KO$18,3,MATCH(I$4,'因子水準表'!$B$4:$KO$4,0))&amp;"",""))</f>
        <v/>
      </c>
      <c r="BR8" s="26">
        <f>IF(J$4="","",IFERROR(INDEX('因子水準表'!$B$9:$KO$18,3,MATCH(J$4,'因子水準表'!$B$4:$KO$4,0))&amp;"",""))</f>
        <v/>
      </c>
      <c r="BS8" s="26">
        <f>IF(K$4="","",IFERROR(INDEX('因子水準表'!$B$9:$KO$18,3,MATCH(K$4,'因子水準表'!$B$4:$KO$4,0))&amp;"",""))</f>
        <v/>
      </c>
      <c r="BT8" s="26">
        <f>IF(L$4="","",IFERROR(INDEX('因子水準表'!$B$9:$KO$18,3,MATCH(L$4,'因子水準表'!$B$4:$KO$4,0))&amp;"",""))</f>
        <v/>
      </c>
      <c r="BU8" s="26">
        <f>IF(M$4="","",IFERROR(INDEX('因子水準表'!$B$9:$KO$18,3,MATCH(M$4,'因子水準表'!$B$4:$KO$4,0))&amp;"",""))</f>
        <v/>
      </c>
      <c r="BV8" s="26">
        <f>IF(N$4="","",IFERROR(INDEX('因子水準表'!$B$9:$KO$18,3,MATCH(N$4,'因子水準表'!$B$4:$KO$4,0))&amp;"",""))</f>
        <v/>
      </c>
      <c r="BW8" s="26">
        <f>IF(O$4="","",IFERROR(INDEX('因子水準表'!$B$9:$KO$18,3,MATCH(O$4,'因子水準表'!$B$4:$KO$4,0))&amp;"",""))</f>
        <v/>
      </c>
      <c r="BX8" s="26">
        <f>IF(P$4="","",IFERROR(INDEX('因子水準表'!$B$9:$KO$18,3,MATCH(P$4,'因子水準表'!$B$4:$KO$4,0))&amp;"",""))</f>
        <v/>
      </c>
      <c r="BY8" s="26">
        <f>IF(Q$4="","",IFERROR(INDEX('因子水準表'!$B$9:$KO$18,3,MATCH(Q$4,'因子水準表'!$B$4:$KO$4,0))&amp;"",""))</f>
        <v/>
      </c>
      <c r="BZ8" s="26">
        <f>IF(R$4="","",IFERROR(INDEX('因子水準表'!$B$9:$KO$18,3,MATCH(R$4,'因子水準表'!$B$4:$KO$4,0))&amp;"",""))</f>
        <v/>
      </c>
      <c r="CA8" s="26">
        <f>IF(S$4="","",IFERROR(INDEX('因子水準表'!$B$9:$KO$18,3,MATCH(S$4,'因子水準表'!$B$4:$KO$4,0))&amp;"",""))</f>
        <v/>
      </c>
      <c r="CB8" s="26">
        <f>IF(T$4="","",IFERROR(INDEX('因子水準表'!$B$9:$KO$18,3,MATCH(T$4,'因子水準表'!$B$4:$KO$4,0))&amp;"",""))</f>
        <v/>
      </c>
      <c r="CC8" s="26">
        <f>IF(U$4="","",IFERROR(INDEX('因子水準表'!$B$9:$KO$18,3,MATCH(U$4,'因子水準表'!$B$4:$KO$4,0))&amp;"",""))</f>
        <v/>
      </c>
      <c r="CD8" s="26">
        <f>IF(V$4="","",IFERROR(INDEX('因子水準表'!$B$9:$KO$18,3,MATCH(V$4,'因子水準表'!$B$4:$KO$4,0))&amp;"",""))</f>
        <v/>
      </c>
      <c r="CE8" s="26">
        <f>IF(W$4="","",IFERROR(INDEX('因子水準表'!$B$9:$KO$18,3,MATCH(W$4,'因子水準表'!$B$4:$KO$4,0))&amp;"",""))</f>
        <v/>
      </c>
      <c r="CF8" s="26">
        <f>IF(X$4="","",IFERROR(INDEX('因子水準表'!$B$9:$KO$18,3,MATCH(X$4,'因子水準表'!$B$4:$KO$4,0))&amp;"",""))</f>
        <v/>
      </c>
      <c r="CG8" s="26">
        <f>IF(Y$4="","",IFERROR(INDEX('因子水準表'!$B$9:$KO$18,3,MATCH(Y$4,'因子水準表'!$B$4:$KO$4,0))&amp;"",""))</f>
        <v/>
      </c>
      <c r="CH8" s="26">
        <f>IF(Z$4="","",IFERROR(INDEX('因子水準表'!$B$9:$KO$18,3,MATCH(Z$4,'因子水準表'!$B$4:$KO$4,0))&amp;"",""))</f>
        <v/>
      </c>
      <c r="CI8" s="26">
        <f>IF(AA$4="","",IFERROR(INDEX('因子水準表'!$B$9:$KO$18,3,MATCH(AA$4,'因子水準表'!$B$4:$KO$4,0))&amp;"",""))</f>
        <v/>
      </c>
      <c r="CJ8" s="26">
        <f>IF(AB$4="","",IFERROR(INDEX('因子水準表'!$B$9:$KO$18,3,MATCH(AB$4,'因子水準表'!$B$4:$KO$4,0))&amp;"",""))</f>
        <v/>
      </c>
      <c r="CK8" s="26">
        <f>IF(AC$4="","",IFERROR(INDEX('因子水準表'!$B$9:$KO$18,3,MATCH(AC$4,'因子水準表'!$B$4:$KO$4,0))&amp;"",""))</f>
        <v/>
      </c>
      <c r="CL8" s="26">
        <f>IF(AD$4="","",IFERROR(INDEX('因子水準表'!$B$9:$KO$18,3,MATCH(AD$4,'因子水準表'!$B$4:$KO$4,0))&amp;"",""))</f>
        <v/>
      </c>
      <c r="CM8" s="26">
        <f>IF(AE$4="","",IFERROR(INDEX('因子水準表'!$B$9:$KO$18,3,MATCH(AE$4,'因子水準表'!$B$4:$KO$4,0))&amp;"",""))</f>
        <v/>
      </c>
      <c r="CN8" s="26">
        <f>IF(AF$4="","",IFERROR(INDEX('因子水準表'!$B$9:$KO$18,3,MATCH(AF$4,'因子水準表'!$B$4:$KO$4,0))&amp;"",""))</f>
        <v/>
      </c>
      <c r="CO8" s="26">
        <f>IF(AG$4="","",IFERROR(INDEX('因子水準表'!$B$9:$KO$18,3,MATCH(AG$4,'因子水準表'!$B$4:$KO$4,0))&amp;"",""))</f>
        <v/>
      </c>
      <c r="CP8" s="26">
        <f>IF(AH$4="","",IFERROR(INDEX('因子水準表'!$B$9:$KO$18,3,MATCH(AH$4,'因子水準表'!$B$4:$KO$4,0))&amp;"",""))</f>
        <v/>
      </c>
      <c r="CQ8" s="26">
        <f>IF(AI$4="","",IFERROR(INDEX('因子水準表'!$B$9:$KO$18,3,MATCH(AI$4,'因子水準表'!$B$4:$KO$4,0))&amp;"",""))</f>
        <v/>
      </c>
      <c r="CR8" s="26">
        <f>IF(AJ$4="","",IFERROR(INDEX('因子水準表'!$B$9:$KO$18,3,MATCH(AJ$4,'因子水準表'!$B$4:$KO$4,0))&amp;"",""))</f>
        <v/>
      </c>
      <c r="CS8" s="26">
        <f>IF(AK$4="","",IFERROR(INDEX('因子水準表'!$B$9:$KO$18,3,MATCH(AK$4,'因子水準表'!$B$4:$KO$4,0))&amp;"",""))</f>
        <v/>
      </c>
      <c r="CT8" s="26">
        <f>IF(AL$4="","",IFERROR(INDEX('因子水準表'!$B$9:$KO$18,3,MATCH(AL$4,'因子水準表'!$B$4:$KO$4,0))&amp;"",""))</f>
        <v/>
      </c>
      <c r="CU8" s="26">
        <f>IF(AM$4="","",IFERROR(INDEX('因子水準表'!$B$9:$KO$18,3,MATCH(AM$4,'因子水準表'!$B$4:$KO$4,0))&amp;"",""))</f>
        <v/>
      </c>
      <c r="CV8" s="26">
        <f>IF(AN$4="","",IFERROR(INDEX('因子水準表'!$B$9:$KO$18,3,MATCH(AN$4,'因子水準表'!$B$4:$KO$4,0))&amp;"",""))</f>
        <v/>
      </c>
      <c r="CW8" s="26">
        <f>IF(AO$4="","",IFERROR(INDEX('因子水準表'!$B$9:$KO$18,3,MATCH(AO$4,'因子水準表'!$B$4:$KO$4,0))&amp;"",""))</f>
        <v/>
      </c>
      <c r="CX8" s="26">
        <f>IF(AP$4="","",IFERROR(INDEX('因子水準表'!$B$9:$KO$18,3,MATCH(AP$4,'因子水準表'!$B$4:$KO$4,0))&amp;"",""))</f>
        <v/>
      </c>
      <c r="CY8" s="26">
        <f>IF(AQ$4="","",IFERROR(INDEX('因子水準表'!$B$9:$KO$18,3,MATCH(AQ$4,'因子水準表'!$B$4:$KO$4,0))&amp;"",""))</f>
        <v/>
      </c>
      <c r="CZ8" s="26">
        <f>IF(AR$4="","",IFERROR(INDEX('因子水準表'!$B$9:$KO$18,3,MATCH(AR$4,'因子水準表'!$B$4:$KO$4,0))&amp;"",""))</f>
        <v/>
      </c>
      <c r="DA8" s="26">
        <f>IF(AS$4="","",IFERROR(INDEX('因子水準表'!$B$9:$KO$18,3,MATCH(AS$4,'因子水準表'!$B$4:$KO$4,0))&amp;"",""))</f>
        <v/>
      </c>
      <c r="DB8" s="26">
        <f>IF(AT$4="","",IFERROR(INDEX('因子水準表'!$B$9:$KO$18,3,MATCH(AT$4,'因子水準表'!$B$4:$KO$4,0))&amp;"",""))</f>
        <v/>
      </c>
      <c r="DC8" s="26">
        <f>IF(AU$4="","",IFERROR(INDEX('因子水準表'!$B$9:$KO$18,3,MATCH(AU$4,'因子水準表'!$B$4:$KO$4,0))&amp;"",""))</f>
        <v/>
      </c>
      <c r="DD8" s="26">
        <f>IF(AV$4="","",IFERROR(INDEX('因子水準表'!$B$9:$KO$18,3,MATCH(AV$4,'因子水準表'!$B$4:$KO$4,0))&amp;"",""))</f>
        <v/>
      </c>
      <c r="DE8" s="26">
        <f>IF(AW$4="","",IFERROR(INDEX('因子水準表'!$B$9:$KO$18,3,MATCH(AW$4,'因子水準表'!$B$4:$KO$4,0))&amp;"",""))</f>
        <v/>
      </c>
      <c r="DF8" s="26">
        <f>IF(AX$4="","",IFERROR(INDEX('因子水準表'!$B$9:$KO$18,3,MATCH(AX$4,'因子水準表'!$B$4:$KO$4,0))&amp;"",""))</f>
        <v/>
      </c>
      <c r="DG8" s="26">
        <f>IF(AY$4="","",IFERROR(INDEX('因子水準表'!$B$9:$KO$18,3,MATCH(AY$4,'因子水準表'!$B$4:$KO$4,0))&amp;"",""))</f>
        <v/>
      </c>
      <c r="DH8" s="26">
        <f>IF(AZ$4="","",IFERROR(INDEX('因子水準表'!$B$9:$KO$18,3,MATCH(AZ$4,'因子水準表'!$B$4:$KO$4,0))&amp;"",""))</f>
        <v/>
      </c>
      <c r="DI8" s="26">
        <f>IF(BA$4="","",IFERROR(INDEX('因子水準表'!$B$9:$KO$18,3,MATCH(BA$4,'因子水準表'!$B$4:$KO$4,0))&amp;"",""))</f>
        <v/>
      </c>
      <c r="DJ8" s="26">
        <f>IF(BB$4="","",IFERROR(INDEX('因子水準表'!$B$9:$KO$18,3,MATCH(BB$4,'因子水準表'!$B$4:$KO$4,0))&amp;"",""))</f>
        <v/>
      </c>
      <c r="DK8" s="26">
        <f>IF(BC$4="","",IFERROR(INDEX('因子水準表'!$B$9:$KO$18,3,MATCH(BC$4,'因子水準表'!$B$4:$KO$4,0))&amp;"",""))</f>
        <v/>
      </c>
      <c r="DL8" s="26">
        <f>IF(BD$4="","",IFERROR(INDEX('因子水準表'!$B$9:$KO$18,3,MATCH(BD$4,'因子水準表'!$B$4:$KO$4,0))&amp;"",""))</f>
        <v/>
      </c>
      <c r="DM8" s="26">
        <f>IF('因子水準表'!B31="","",'因子水準表'!B31)</f>
        <v/>
      </c>
      <c r="DN8" s="26">
        <f>IF('テスト条件'!A7="","",'テスト条件'!A7)</f>
        <v/>
      </c>
    </row>
    <row r="9">
      <c r="A9" s="8" t="inlineStr">
        <is>
          <t>T-04</t>
        </is>
      </c>
      <c r="B9" s="8" t="inlineStr">
        <is>
          <t>TC-D</t>
        </is>
      </c>
      <c r="C9" s="24">
        <f>IF(A9="","",$B$2)</f>
        <v/>
      </c>
      <c r="D9" s="8" t="inlineStr">
        <is>
          <t>メールアドレス空欄</t>
        </is>
      </c>
      <c r="E9" s="8" t="inlineStr">
        <is>
          <t>中</t>
        </is>
      </c>
      <c r="F9" s="8" t="inlineStr">
        <is>
          <t>─</t>
        </is>
      </c>
      <c r="G9" s="8" t="inlineStr">
        <is>
          <t>空欄（無効）</t>
        </is>
      </c>
      <c r="H9" s="8" t="inlineStr">
        <is>
          <t>正しい</t>
        </is>
      </c>
      <c r="I9" s="8" t="inlineStr">
        <is>
          <t>アクティブ</t>
        </is>
      </c>
      <c r="J9" s="8" t="inlineStr">
        <is>
          <t>0〜1回</t>
        </is>
      </c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inlineStr">
        <is>
          <t>1. メールアドレスを空のままログインボタンを押す</t>
        </is>
      </c>
      <c r="BF9" s="8" t="inlineStr">
        <is>
          <t>「メールアドレスを入力してください」と表示される</t>
        </is>
      </c>
      <c r="BG9" s="8" t="inlineStr">
        <is>
          <t>同値分割</t>
        </is>
      </c>
      <c r="BH9" s="8" t="inlineStr">
        <is>
          <t>否</t>
        </is>
      </c>
      <c r="BI9" s="25" t="n"/>
      <c r="BJ9" s="8" t="n"/>
      <c r="BK9" s="8" t="n"/>
      <c r="BL9" s="8" t="n"/>
      <c r="BM9" s="8" t="n"/>
      <c r="BO9" s="26">
        <f>IF(G$4="","",IFERROR(INDEX('因子水準表'!$B$9:$KO$18,4,MATCH(G$4,'因子水準表'!$B$4:$KO$4,0))&amp;"",""))</f>
        <v/>
      </c>
      <c r="BP9" s="26">
        <f>IF(H$4="","",IFERROR(INDEX('因子水準表'!$B$9:$KO$18,4,MATCH(H$4,'因子水準表'!$B$4:$KO$4,0))&amp;"",""))</f>
        <v/>
      </c>
      <c r="BQ9" s="26">
        <f>IF(I$4="","",IFERROR(INDEX('因子水準表'!$B$9:$KO$18,4,MATCH(I$4,'因子水準表'!$B$4:$KO$4,0))&amp;"",""))</f>
        <v/>
      </c>
      <c r="BR9" s="26">
        <f>IF(J$4="","",IFERROR(INDEX('因子水準表'!$B$9:$KO$18,4,MATCH(J$4,'因子水準表'!$B$4:$KO$4,0))&amp;"",""))</f>
        <v/>
      </c>
      <c r="BS9" s="26">
        <f>IF(K$4="","",IFERROR(INDEX('因子水準表'!$B$9:$KO$18,4,MATCH(K$4,'因子水準表'!$B$4:$KO$4,0))&amp;"",""))</f>
        <v/>
      </c>
      <c r="BT9" s="26">
        <f>IF(L$4="","",IFERROR(INDEX('因子水準表'!$B$9:$KO$18,4,MATCH(L$4,'因子水準表'!$B$4:$KO$4,0))&amp;"",""))</f>
        <v/>
      </c>
      <c r="BU9" s="26">
        <f>IF(M$4="","",IFERROR(INDEX('因子水準表'!$B$9:$KO$18,4,MATCH(M$4,'因子水準表'!$B$4:$KO$4,0))&amp;"",""))</f>
        <v/>
      </c>
      <c r="BV9" s="26">
        <f>IF(N$4="","",IFERROR(INDEX('因子水準表'!$B$9:$KO$18,4,MATCH(N$4,'因子水準表'!$B$4:$KO$4,0))&amp;"",""))</f>
        <v/>
      </c>
      <c r="BW9" s="26">
        <f>IF(O$4="","",IFERROR(INDEX('因子水準表'!$B$9:$KO$18,4,MATCH(O$4,'因子水準表'!$B$4:$KO$4,0))&amp;"",""))</f>
        <v/>
      </c>
      <c r="BX9" s="26">
        <f>IF(P$4="","",IFERROR(INDEX('因子水準表'!$B$9:$KO$18,4,MATCH(P$4,'因子水準表'!$B$4:$KO$4,0))&amp;"",""))</f>
        <v/>
      </c>
      <c r="BY9" s="26">
        <f>IF(Q$4="","",IFERROR(INDEX('因子水準表'!$B$9:$KO$18,4,MATCH(Q$4,'因子水準表'!$B$4:$KO$4,0))&amp;"",""))</f>
        <v/>
      </c>
      <c r="BZ9" s="26">
        <f>IF(R$4="","",IFERROR(INDEX('因子水準表'!$B$9:$KO$18,4,MATCH(R$4,'因子水準表'!$B$4:$KO$4,0))&amp;"",""))</f>
        <v/>
      </c>
      <c r="CA9" s="26">
        <f>IF(S$4="","",IFERROR(INDEX('因子水準表'!$B$9:$KO$18,4,MATCH(S$4,'因子水準表'!$B$4:$KO$4,0))&amp;"",""))</f>
        <v/>
      </c>
      <c r="CB9" s="26">
        <f>IF(T$4="","",IFERROR(INDEX('因子水準表'!$B$9:$KO$18,4,MATCH(T$4,'因子水準表'!$B$4:$KO$4,0))&amp;"",""))</f>
        <v/>
      </c>
      <c r="CC9" s="26">
        <f>IF(U$4="","",IFERROR(INDEX('因子水準表'!$B$9:$KO$18,4,MATCH(U$4,'因子水準表'!$B$4:$KO$4,0))&amp;"",""))</f>
        <v/>
      </c>
      <c r="CD9" s="26">
        <f>IF(V$4="","",IFERROR(INDEX('因子水準表'!$B$9:$KO$18,4,MATCH(V$4,'因子水準表'!$B$4:$KO$4,0))&amp;"",""))</f>
        <v/>
      </c>
      <c r="CE9" s="26">
        <f>IF(W$4="","",IFERROR(INDEX('因子水準表'!$B$9:$KO$18,4,MATCH(W$4,'因子水準表'!$B$4:$KO$4,0))&amp;"",""))</f>
        <v/>
      </c>
      <c r="CF9" s="26">
        <f>IF(X$4="","",IFERROR(INDEX('因子水準表'!$B$9:$KO$18,4,MATCH(X$4,'因子水準表'!$B$4:$KO$4,0))&amp;"",""))</f>
        <v/>
      </c>
      <c r="CG9" s="26">
        <f>IF(Y$4="","",IFERROR(INDEX('因子水準表'!$B$9:$KO$18,4,MATCH(Y$4,'因子水準表'!$B$4:$KO$4,0))&amp;"",""))</f>
        <v/>
      </c>
      <c r="CH9" s="26">
        <f>IF(Z$4="","",IFERROR(INDEX('因子水準表'!$B$9:$KO$18,4,MATCH(Z$4,'因子水準表'!$B$4:$KO$4,0))&amp;"",""))</f>
        <v/>
      </c>
      <c r="CI9" s="26">
        <f>IF(AA$4="","",IFERROR(INDEX('因子水準表'!$B$9:$KO$18,4,MATCH(AA$4,'因子水準表'!$B$4:$KO$4,0))&amp;"",""))</f>
        <v/>
      </c>
      <c r="CJ9" s="26">
        <f>IF(AB$4="","",IFERROR(INDEX('因子水準表'!$B$9:$KO$18,4,MATCH(AB$4,'因子水準表'!$B$4:$KO$4,0))&amp;"",""))</f>
        <v/>
      </c>
      <c r="CK9" s="26">
        <f>IF(AC$4="","",IFERROR(INDEX('因子水準表'!$B$9:$KO$18,4,MATCH(AC$4,'因子水準表'!$B$4:$KO$4,0))&amp;"",""))</f>
        <v/>
      </c>
      <c r="CL9" s="26">
        <f>IF(AD$4="","",IFERROR(INDEX('因子水準表'!$B$9:$KO$18,4,MATCH(AD$4,'因子水準表'!$B$4:$KO$4,0))&amp;"",""))</f>
        <v/>
      </c>
      <c r="CM9" s="26">
        <f>IF(AE$4="","",IFERROR(INDEX('因子水準表'!$B$9:$KO$18,4,MATCH(AE$4,'因子水準表'!$B$4:$KO$4,0))&amp;"",""))</f>
        <v/>
      </c>
      <c r="CN9" s="26">
        <f>IF(AF$4="","",IFERROR(INDEX('因子水準表'!$B$9:$KO$18,4,MATCH(AF$4,'因子水準表'!$B$4:$KO$4,0))&amp;"",""))</f>
        <v/>
      </c>
      <c r="CO9" s="26">
        <f>IF(AG$4="","",IFERROR(INDEX('因子水準表'!$B$9:$KO$18,4,MATCH(AG$4,'因子水準表'!$B$4:$KO$4,0))&amp;"",""))</f>
        <v/>
      </c>
      <c r="CP9" s="26">
        <f>IF(AH$4="","",IFERROR(INDEX('因子水準表'!$B$9:$KO$18,4,MATCH(AH$4,'因子水準表'!$B$4:$KO$4,0))&amp;"",""))</f>
        <v/>
      </c>
      <c r="CQ9" s="26">
        <f>IF(AI$4="","",IFERROR(INDEX('因子水準表'!$B$9:$KO$18,4,MATCH(AI$4,'因子水準表'!$B$4:$KO$4,0))&amp;"",""))</f>
        <v/>
      </c>
      <c r="CR9" s="26">
        <f>IF(AJ$4="","",IFERROR(INDEX('因子水準表'!$B$9:$KO$18,4,MATCH(AJ$4,'因子水準表'!$B$4:$KO$4,0))&amp;"",""))</f>
        <v/>
      </c>
      <c r="CS9" s="26">
        <f>IF(AK$4="","",IFERROR(INDEX('因子水準表'!$B$9:$KO$18,4,MATCH(AK$4,'因子水準表'!$B$4:$KO$4,0))&amp;"",""))</f>
        <v/>
      </c>
      <c r="CT9" s="26">
        <f>IF(AL$4="","",IFERROR(INDEX('因子水準表'!$B$9:$KO$18,4,MATCH(AL$4,'因子水準表'!$B$4:$KO$4,0))&amp;"",""))</f>
        <v/>
      </c>
      <c r="CU9" s="26">
        <f>IF(AM$4="","",IFERROR(INDEX('因子水準表'!$B$9:$KO$18,4,MATCH(AM$4,'因子水準表'!$B$4:$KO$4,0))&amp;"",""))</f>
        <v/>
      </c>
      <c r="CV9" s="26">
        <f>IF(AN$4="","",IFERROR(INDEX('因子水準表'!$B$9:$KO$18,4,MATCH(AN$4,'因子水準表'!$B$4:$KO$4,0))&amp;"",""))</f>
        <v/>
      </c>
      <c r="CW9" s="26">
        <f>IF(AO$4="","",IFERROR(INDEX('因子水準表'!$B$9:$KO$18,4,MATCH(AO$4,'因子水準表'!$B$4:$KO$4,0))&amp;"",""))</f>
        <v/>
      </c>
      <c r="CX9" s="26">
        <f>IF(AP$4="","",IFERROR(INDEX('因子水準表'!$B$9:$KO$18,4,MATCH(AP$4,'因子水準表'!$B$4:$KO$4,0))&amp;"",""))</f>
        <v/>
      </c>
      <c r="CY9" s="26">
        <f>IF(AQ$4="","",IFERROR(INDEX('因子水準表'!$B$9:$KO$18,4,MATCH(AQ$4,'因子水準表'!$B$4:$KO$4,0))&amp;"",""))</f>
        <v/>
      </c>
      <c r="CZ9" s="26">
        <f>IF(AR$4="","",IFERROR(INDEX('因子水準表'!$B$9:$KO$18,4,MATCH(AR$4,'因子水準表'!$B$4:$KO$4,0))&amp;"",""))</f>
        <v/>
      </c>
      <c r="DA9" s="26">
        <f>IF(AS$4="","",IFERROR(INDEX('因子水準表'!$B$9:$KO$18,4,MATCH(AS$4,'因子水準表'!$B$4:$KO$4,0))&amp;"",""))</f>
        <v/>
      </c>
      <c r="DB9" s="26">
        <f>IF(AT$4="","",IFERROR(INDEX('因子水準表'!$B$9:$KO$18,4,MATCH(AT$4,'因子水準表'!$B$4:$KO$4,0))&amp;"",""))</f>
        <v/>
      </c>
      <c r="DC9" s="26">
        <f>IF(AU$4="","",IFERROR(INDEX('因子水準表'!$B$9:$KO$18,4,MATCH(AU$4,'因子水準表'!$B$4:$KO$4,0))&amp;"",""))</f>
        <v/>
      </c>
      <c r="DD9" s="26">
        <f>IF(AV$4="","",IFERROR(INDEX('因子水準表'!$B$9:$KO$18,4,MATCH(AV$4,'因子水準表'!$B$4:$KO$4,0))&amp;"",""))</f>
        <v/>
      </c>
      <c r="DE9" s="26">
        <f>IF(AW$4="","",IFERROR(INDEX('因子水準表'!$B$9:$KO$18,4,MATCH(AW$4,'因子水準表'!$B$4:$KO$4,0))&amp;"",""))</f>
        <v/>
      </c>
      <c r="DF9" s="26">
        <f>IF(AX$4="","",IFERROR(INDEX('因子水準表'!$B$9:$KO$18,4,MATCH(AX$4,'因子水準表'!$B$4:$KO$4,0))&amp;"",""))</f>
        <v/>
      </c>
      <c r="DG9" s="26">
        <f>IF(AY$4="","",IFERROR(INDEX('因子水準表'!$B$9:$KO$18,4,MATCH(AY$4,'因子水準表'!$B$4:$KO$4,0))&amp;"",""))</f>
        <v/>
      </c>
      <c r="DH9" s="26">
        <f>IF(AZ$4="","",IFERROR(INDEX('因子水準表'!$B$9:$KO$18,4,MATCH(AZ$4,'因子水準表'!$B$4:$KO$4,0))&amp;"",""))</f>
        <v/>
      </c>
      <c r="DI9" s="26">
        <f>IF(BA$4="","",IFERROR(INDEX('因子水準表'!$B$9:$KO$18,4,MATCH(BA$4,'因子水準表'!$B$4:$KO$4,0))&amp;"",""))</f>
        <v/>
      </c>
      <c r="DJ9" s="26">
        <f>IF(BB$4="","",IFERROR(INDEX('因子水準表'!$B$9:$KO$18,4,MATCH(BB$4,'因子水準表'!$B$4:$KO$4,0))&amp;"",""))</f>
        <v/>
      </c>
      <c r="DK9" s="26">
        <f>IF(BC$4="","",IFERROR(INDEX('因子水準表'!$B$9:$KO$18,4,MATCH(BC$4,'因子水準表'!$B$4:$KO$4,0))&amp;"",""))</f>
        <v/>
      </c>
      <c r="DL9" s="26">
        <f>IF(BD$4="","",IFERROR(INDEX('因子水準表'!$B$9:$KO$18,4,MATCH(BD$4,'因子水準表'!$B$4:$KO$4,0))&amp;"",""))</f>
        <v/>
      </c>
      <c r="DM9" s="26">
        <f>IF('因子水準表'!B32="","",'因子水準表'!B32)</f>
        <v/>
      </c>
      <c r="DN9" s="26">
        <f>IF('テスト条件'!A8="","",'テスト条件'!A8)</f>
        <v/>
      </c>
    </row>
    <row r="10">
      <c r="A10" s="27" t="n"/>
      <c r="B10" s="27" t="n"/>
      <c r="C10" s="28">
        <f>IF(A10="","",$B$2)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  <c r="AI10" s="27" t="n"/>
      <c r="AJ10" s="27" t="n"/>
      <c r="AK10" s="27" t="n"/>
      <c r="AL10" s="27" t="n"/>
      <c r="AM10" s="27" t="n"/>
      <c r="AN10" s="27" t="n"/>
      <c r="AO10" s="27" t="n"/>
      <c r="AP10" s="27" t="n"/>
      <c r="AQ10" s="27" t="n"/>
      <c r="AR10" s="27" t="n"/>
      <c r="AS10" s="27" t="n"/>
      <c r="AT10" s="27" t="n"/>
      <c r="AU10" s="27" t="n"/>
      <c r="AV10" s="27" t="n"/>
      <c r="AW10" s="27" t="n"/>
      <c r="AX10" s="27" t="n"/>
      <c r="AY10" s="27" t="n"/>
      <c r="AZ10" s="27" t="n"/>
      <c r="BA10" s="27" t="n"/>
      <c r="BB10" s="27" t="n"/>
      <c r="BC10" s="27" t="n"/>
      <c r="BD10" s="27" t="n"/>
      <c r="BE10" s="27" t="n"/>
      <c r="BF10" s="27" t="n"/>
      <c r="BG10" s="27" t="n"/>
      <c r="BH10" s="27" t="n"/>
      <c r="BI10" s="29" t="n"/>
      <c r="BJ10" s="27" t="n"/>
      <c r="BK10" s="27" t="n"/>
      <c r="BL10" s="27" t="n"/>
      <c r="BM10" s="27" t="n"/>
      <c r="BO10" s="26">
        <f>IF(G$4="","",IFERROR(INDEX('因子水準表'!$B$9:$KO$18,5,MATCH(G$4,'因子水準表'!$B$4:$KO$4,0))&amp;"",""))</f>
        <v/>
      </c>
      <c r="BP10" s="26">
        <f>IF(H$4="","",IFERROR(INDEX('因子水準表'!$B$9:$KO$18,5,MATCH(H$4,'因子水準表'!$B$4:$KO$4,0))&amp;"",""))</f>
        <v/>
      </c>
      <c r="BQ10" s="26">
        <f>IF(I$4="","",IFERROR(INDEX('因子水準表'!$B$9:$KO$18,5,MATCH(I$4,'因子水準表'!$B$4:$KO$4,0))&amp;"",""))</f>
        <v/>
      </c>
      <c r="BR10" s="26">
        <f>IF(J$4="","",IFERROR(INDEX('因子水準表'!$B$9:$KO$18,5,MATCH(J$4,'因子水準表'!$B$4:$KO$4,0))&amp;"",""))</f>
        <v/>
      </c>
      <c r="BS10" s="26">
        <f>IF(K$4="","",IFERROR(INDEX('因子水準表'!$B$9:$KO$18,5,MATCH(K$4,'因子水準表'!$B$4:$KO$4,0))&amp;"",""))</f>
        <v/>
      </c>
      <c r="BT10" s="26">
        <f>IF(L$4="","",IFERROR(INDEX('因子水準表'!$B$9:$KO$18,5,MATCH(L$4,'因子水準表'!$B$4:$KO$4,0))&amp;"",""))</f>
        <v/>
      </c>
      <c r="BU10" s="26">
        <f>IF(M$4="","",IFERROR(INDEX('因子水準表'!$B$9:$KO$18,5,MATCH(M$4,'因子水準表'!$B$4:$KO$4,0))&amp;"",""))</f>
        <v/>
      </c>
      <c r="BV10" s="26">
        <f>IF(N$4="","",IFERROR(INDEX('因子水準表'!$B$9:$KO$18,5,MATCH(N$4,'因子水準表'!$B$4:$KO$4,0))&amp;"",""))</f>
        <v/>
      </c>
      <c r="BW10" s="26">
        <f>IF(O$4="","",IFERROR(INDEX('因子水準表'!$B$9:$KO$18,5,MATCH(O$4,'因子水準表'!$B$4:$KO$4,0))&amp;"",""))</f>
        <v/>
      </c>
      <c r="BX10" s="26">
        <f>IF(P$4="","",IFERROR(INDEX('因子水準表'!$B$9:$KO$18,5,MATCH(P$4,'因子水準表'!$B$4:$KO$4,0))&amp;"",""))</f>
        <v/>
      </c>
      <c r="BY10" s="26">
        <f>IF(Q$4="","",IFERROR(INDEX('因子水準表'!$B$9:$KO$18,5,MATCH(Q$4,'因子水準表'!$B$4:$KO$4,0))&amp;"",""))</f>
        <v/>
      </c>
      <c r="BZ10" s="26">
        <f>IF(R$4="","",IFERROR(INDEX('因子水準表'!$B$9:$KO$18,5,MATCH(R$4,'因子水準表'!$B$4:$KO$4,0))&amp;"",""))</f>
        <v/>
      </c>
      <c r="CA10" s="26">
        <f>IF(S$4="","",IFERROR(INDEX('因子水準表'!$B$9:$KO$18,5,MATCH(S$4,'因子水準表'!$B$4:$KO$4,0))&amp;"",""))</f>
        <v/>
      </c>
      <c r="CB10" s="26">
        <f>IF(T$4="","",IFERROR(INDEX('因子水準表'!$B$9:$KO$18,5,MATCH(T$4,'因子水準表'!$B$4:$KO$4,0))&amp;"",""))</f>
        <v/>
      </c>
      <c r="CC10" s="26">
        <f>IF(U$4="","",IFERROR(INDEX('因子水準表'!$B$9:$KO$18,5,MATCH(U$4,'因子水準表'!$B$4:$KO$4,0))&amp;"",""))</f>
        <v/>
      </c>
      <c r="CD10" s="26">
        <f>IF(V$4="","",IFERROR(INDEX('因子水準表'!$B$9:$KO$18,5,MATCH(V$4,'因子水準表'!$B$4:$KO$4,0))&amp;"",""))</f>
        <v/>
      </c>
      <c r="CE10" s="26">
        <f>IF(W$4="","",IFERROR(INDEX('因子水準表'!$B$9:$KO$18,5,MATCH(W$4,'因子水準表'!$B$4:$KO$4,0))&amp;"",""))</f>
        <v/>
      </c>
      <c r="CF10" s="26">
        <f>IF(X$4="","",IFERROR(INDEX('因子水準表'!$B$9:$KO$18,5,MATCH(X$4,'因子水準表'!$B$4:$KO$4,0))&amp;"",""))</f>
        <v/>
      </c>
      <c r="CG10" s="26">
        <f>IF(Y$4="","",IFERROR(INDEX('因子水準表'!$B$9:$KO$18,5,MATCH(Y$4,'因子水準表'!$B$4:$KO$4,0))&amp;"",""))</f>
        <v/>
      </c>
      <c r="CH10" s="26">
        <f>IF(Z$4="","",IFERROR(INDEX('因子水準表'!$B$9:$KO$18,5,MATCH(Z$4,'因子水準表'!$B$4:$KO$4,0))&amp;"",""))</f>
        <v/>
      </c>
      <c r="CI10" s="26">
        <f>IF(AA$4="","",IFERROR(INDEX('因子水準表'!$B$9:$KO$18,5,MATCH(AA$4,'因子水準表'!$B$4:$KO$4,0))&amp;"",""))</f>
        <v/>
      </c>
      <c r="CJ10" s="26">
        <f>IF(AB$4="","",IFERROR(INDEX('因子水準表'!$B$9:$KO$18,5,MATCH(AB$4,'因子水準表'!$B$4:$KO$4,0))&amp;"",""))</f>
        <v/>
      </c>
      <c r="CK10" s="26">
        <f>IF(AC$4="","",IFERROR(INDEX('因子水準表'!$B$9:$KO$18,5,MATCH(AC$4,'因子水準表'!$B$4:$KO$4,0))&amp;"",""))</f>
        <v/>
      </c>
      <c r="CL10" s="26">
        <f>IF(AD$4="","",IFERROR(INDEX('因子水準表'!$B$9:$KO$18,5,MATCH(AD$4,'因子水準表'!$B$4:$KO$4,0))&amp;"",""))</f>
        <v/>
      </c>
      <c r="CM10" s="26">
        <f>IF(AE$4="","",IFERROR(INDEX('因子水準表'!$B$9:$KO$18,5,MATCH(AE$4,'因子水準表'!$B$4:$KO$4,0))&amp;"",""))</f>
        <v/>
      </c>
      <c r="CN10" s="26">
        <f>IF(AF$4="","",IFERROR(INDEX('因子水準表'!$B$9:$KO$18,5,MATCH(AF$4,'因子水準表'!$B$4:$KO$4,0))&amp;"",""))</f>
        <v/>
      </c>
      <c r="CO10" s="26">
        <f>IF(AG$4="","",IFERROR(INDEX('因子水準表'!$B$9:$KO$18,5,MATCH(AG$4,'因子水準表'!$B$4:$KO$4,0))&amp;"",""))</f>
        <v/>
      </c>
      <c r="CP10" s="26">
        <f>IF(AH$4="","",IFERROR(INDEX('因子水準表'!$B$9:$KO$18,5,MATCH(AH$4,'因子水準表'!$B$4:$KO$4,0))&amp;"",""))</f>
        <v/>
      </c>
      <c r="CQ10" s="26">
        <f>IF(AI$4="","",IFERROR(INDEX('因子水準表'!$B$9:$KO$18,5,MATCH(AI$4,'因子水準表'!$B$4:$KO$4,0))&amp;"",""))</f>
        <v/>
      </c>
      <c r="CR10" s="26">
        <f>IF(AJ$4="","",IFERROR(INDEX('因子水準表'!$B$9:$KO$18,5,MATCH(AJ$4,'因子水準表'!$B$4:$KO$4,0))&amp;"",""))</f>
        <v/>
      </c>
      <c r="CS10" s="26">
        <f>IF(AK$4="","",IFERROR(INDEX('因子水準表'!$B$9:$KO$18,5,MATCH(AK$4,'因子水準表'!$B$4:$KO$4,0))&amp;"",""))</f>
        <v/>
      </c>
      <c r="CT10" s="26">
        <f>IF(AL$4="","",IFERROR(INDEX('因子水準表'!$B$9:$KO$18,5,MATCH(AL$4,'因子水準表'!$B$4:$KO$4,0))&amp;"",""))</f>
        <v/>
      </c>
      <c r="CU10" s="26">
        <f>IF(AM$4="","",IFERROR(INDEX('因子水準表'!$B$9:$KO$18,5,MATCH(AM$4,'因子水準表'!$B$4:$KO$4,0))&amp;"",""))</f>
        <v/>
      </c>
      <c r="CV10" s="26">
        <f>IF(AN$4="","",IFERROR(INDEX('因子水準表'!$B$9:$KO$18,5,MATCH(AN$4,'因子水準表'!$B$4:$KO$4,0))&amp;"",""))</f>
        <v/>
      </c>
      <c r="CW10" s="26">
        <f>IF(AO$4="","",IFERROR(INDEX('因子水準表'!$B$9:$KO$18,5,MATCH(AO$4,'因子水準表'!$B$4:$KO$4,0))&amp;"",""))</f>
        <v/>
      </c>
      <c r="CX10" s="26">
        <f>IF(AP$4="","",IFERROR(INDEX('因子水準表'!$B$9:$KO$18,5,MATCH(AP$4,'因子水準表'!$B$4:$KO$4,0))&amp;"",""))</f>
        <v/>
      </c>
      <c r="CY10" s="26">
        <f>IF(AQ$4="","",IFERROR(INDEX('因子水準表'!$B$9:$KO$18,5,MATCH(AQ$4,'因子水準表'!$B$4:$KO$4,0))&amp;"",""))</f>
        <v/>
      </c>
      <c r="CZ10" s="26">
        <f>IF(AR$4="","",IFERROR(INDEX('因子水準表'!$B$9:$KO$18,5,MATCH(AR$4,'因子水準表'!$B$4:$KO$4,0))&amp;"",""))</f>
        <v/>
      </c>
      <c r="DA10" s="26">
        <f>IF(AS$4="","",IFERROR(INDEX('因子水準表'!$B$9:$KO$18,5,MATCH(AS$4,'因子水準表'!$B$4:$KO$4,0))&amp;"",""))</f>
        <v/>
      </c>
      <c r="DB10" s="26">
        <f>IF(AT$4="","",IFERROR(INDEX('因子水準表'!$B$9:$KO$18,5,MATCH(AT$4,'因子水準表'!$B$4:$KO$4,0))&amp;"",""))</f>
        <v/>
      </c>
      <c r="DC10" s="26">
        <f>IF(AU$4="","",IFERROR(INDEX('因子水準表'!$B$9:$KO$18,5,MATCH(AU$4,'因子水準表'!$B$4:$KO$4,0))&amp;"",""))</f>
        <v/>
      </c>
      <c r="DD10" s="26">
        <f>IF(AV$4="","",IFERROR(INDEX('因子水準表'!$B$9:$KO$18,5,MATCH(AV$4,'因子水準表'!$B$4:$KO$4,0))&amp;"",""))</f>
        <v/>
      </c>
      <c r="DE10" s="26">
        <f>IF(AW$4="","",IFERROR(INDEX('因子水準表'!$B$9:$KO$18,5,MATCH(AW$4,'因子水準表'!$B$4:$KO$4,0))&amp;"",""))</f>
        <v/>
      </c>
      <c r="DF10" s="26">
        <f>IF(AX$4="","",IFERROR(INDEX('因子水準表'!$B$9:$KO$18,5,MATCH(AX$4,'因子水準表'!$B$4:$KO$4,0))&amp;"",""))</f>
        <v/>
      </c>
      <c r="DG10" s="26">
        <f>IF(AY$4="","",IFERROR(INDEX('因子水準表'!$B$9:$KO$18,5,MATCH(AY$4,'因子水準表'!$B$4:$KO$4,0))&amp;"",""))</f>
        <v/>
      </c>
      <c r="DH10" s="26">
        <f>IF(AZ$4="","",IFERROR(INDEX('因子水準表'!$B$9:$KO$18,5,MATCH(AZ$4,'因子水準表'!$B$4:$KO$4,0))&amp;"",""))</f>
        <v/>
      </c>
      <c r="DI10" s="26">
        <f>IF(BA$4="","",IFERROR(INDEX('因子水準表'!$B$9:$KO$18,5,MATCH(BA$4,'因子水準表'!$B$4:$KO$4,0))&amp;"",""))</f>
        <v/>
      </c>
      <c r="DJ10" s="26">
        <f>IF(BB$4="","",IFERROR(INDEX('因子水準表'!$B$9:$KO$18,5,MATCH(BB$4,'因子水準表'!$B$4:$KO$4,0))&amp;"",""))</f>
        <v/>
      </c>
      <c r="DK10" s="26">
        <f>IF(BC$4="","",IFERROR(INDEX('因子水準表'!$B$9:$KO$18,5,MATCH(BC$4,'因子水準表'!$B$4:$KO$4,0))&amp;"",""))</f>
        <v/>
      </c>
      <c r="DL10" s="26">
        <f>IF(BD$4="","",IFERROR(INDEX('因子水準表'!$B$9:$KO$18,5,MATCH(BD$4,'因子水準表'!$B$4:$KO$4,0))&amp;"",""))</f>
        <v/>
      </c>
      <c r="DM10" s="26">
        <f>IF('因子水準表'!B33="","",'因子水準表'!B33)</f>
        <v/>
      </c>
      <c r="DN10" s="26">
        <f>IF('テスト条件'!A9="","",'テスト条件'!A9)</f>
        <v/>
      </c>
    </row>
    <row r="11">
      <c r="A11" s="27" t="n"/>
      <c r="B11" s="27" t="n"/>
      <c r="C11" s="28">
        <f>IF(A11="","",$B$2)</f>
        <v/>
      </c>
      <c r="D11" s="27" t="n"/>
      <c r="E11" s="27" t="n"/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  <c r="AA11" s="27" t="n"/>
      <c r="AB11" s="27" t="n"/>
      <c r="AC11" s="27" t="n"/>
      <c r="AD11" s="27" t="n"/>
      <c r="AE11" s="27" t="n"/>
      <c r="AF11" s="27" t="n"/>
      <c r="AG11" s="27" t="n"/>
      <c r="AH11" s="27" t="n"/>
      <c r="AI11" s="27" t="n"/>
      <c r="AJ11" s="27" t="n"/>
      <c r="AK11" s="27" t="n"/>
      <c r="AL11" s="27" t="n"/>
      <c r="AM11" s="27" t="n"/>
      <c r="AN11" s="27" t="n"/>
      <c r="AO11" s="27" t="n"/>
      <c r="AP11" s="27" t="n"/>
      <c r="AQ11" s="27" t="n"/>
      <c r="AR11" s="27" t="n"/>
      <c r="AS11" s="27" t="n"/>
      <c r="AT11" s="27" t="n"/>
      <c r="AU11" s="27" t="n"/>
      <c r="AV11" s="27" t="n"/>
      <c r="AW11" s="27" t="n"/>
      <c r="AX11" s="27" t="n"/>
      <c r="AY11" s="27" t="n"/>
      <c r="AZ11" s="27" t="n"/>
      <c r="BA11" s="27" t="n"/>
      <c r="BB11" s="27" t="n"/>
      <c r="BC11" s="27" t="n"/>
      <c r="BD11" s="27" t="n"/>
      <c r="BE11" s="27" t="n"/>
      <c r="BF11" s="27" t="n"/>
      <c r="BG11" s="27" t="n"/>
      <c r="BH11" s="27" t="n"/>
      <c r="BI11" s="29" t="n"/>
      <c r="BJ11" s="27" t="n"/>
      <c r="BK11" s="27" t="n"/>
      <c r="BL11" s="27" t="n"/>
      <c r="BM11" s="27" t="n"/>
      <c r="BO11" s="26">
        <f>IF(G$4="","",IFERROR(INDEX('因子水準表'!$B$9:$KO$18,6,MATCH(G$4,'因子水準表'!$B$4:$KO$4,0))&amp;"",""))</f>
        <v/>
      </c>
      <c r="BP11" s="26">
        <f>IF(H$4="","",IFERROR(INDEX('因子水準表'!$B$9:$KO$18,6,MATCH(H$4,'因子水準表'!$B$4:$KO$4,0))&amp;"",""))</f>
        <v/>
      </c>
      <c r="BQ11" s="26">
        <f>IF(I$4="","",IFERROR(INDEX('因子水準表'!$B$9:$KO$18,6,MATCH(I$4,'因子水準表'!$B$4:$KO$4,0))&amp;"",""))</f>
        <v/>
      </c>
      <c r="BR11" s="26">
        <f>IF(J$4="","",IFERROR(INDEX('因子水準表'!$B$9:$KO$18,6,MATCH(J$4,'因子水準表'!$B$4:$KO$4,0))&amp;"",""))</f>
        <v/>
      </c>
      <c r="BS11" s="26">
        <f>IF(K$4="","",IFERROR(INDEX('因子水準表'!$B$9:$KO$18,6,MATCH(K$4,'因子水準表'!$B$4:$KO$4,0))&amp;"",""))</f>
        <v/>
      </c>
      <c r="BT11" s="26">
        <f>IF(L$4="","",IFERROR(INDEX('因子水準表'!$B$9:$KO$18,6,MATCH(L$4,'因子水準表'!$B$4:$KO$4,0))&amp;"",""))</f>
        <v/>
      </c>
      <c r="BU11" s="26">
        <f>IF(M$4="","",IFERROR(INDEX('因子水準表'!$B$9:$KO$18,6,MATCH(M$4,'因子水準表'!$B$4:$KO$4,0))&amp;"",""))</f>
        <v/>
      </c>
      <c r="BV11" s="26">
        <f>IF(N$4="","",IFERROR(INDEX('因子水準表'!$B$9:$KO$18,6,MATCH(N$4,'因子水準表'!$B$4:$KO$4,0))&amp;"",""))</f>
        <v/>
      </c>
      <c r="BW11" s="26">
        <f>IF(O$4="","",IFERROR(INDEX('因子水準表'!$B$9:$KO$18,6,MATCH(O$4,'因子水準表'!$B$4:$KO$4,0))&amp;"",""))</f>
        <v/>
      </c>
      <c r="BX11" s="26">
        <f>IF(P$4="","",IFERROR(INDEX('因子水準表'!$B$9:$KO$18,6,MATCH(P$4,'因子水準表'!$B$4:$KO$4,0))&amp;"",""))</f>
        <v/>
      </c>
      <c r="BY11" s="26">
        <f>IF(Q$4="","",IFERROR(INDEX('因子水準表'!$B$9:$KO$18,6,MATCH(Q$4,'因子水準表'!$B$4:$KO$4,0))&amp;"",""))</f>
        <v/>
      </c>
      <c r="BZ11" s="26">
        <f>IF(R$4="","",IFERROR(INDEX('因子水準表'!$B$9:$KO$18,6,MATCH(R$4,'因子水準表'!$B$4:$KO$4,0))&amp;"",""))</f>
        <v/>
      </c>
      <c r="CA11" s="26">
        <f>IF(S$4="","",IFERROR(INDEX('因子水準表'!$B$9:$KO$18,6,MATCH(S$4,'因子水準表'!$B$4:$KO$4,0))&amp;"",""))</f>
        <v/>
      </c>
      <c r="CB11" s="26">
        <f>IF(T$4="","",IFERROR(INDEX('因子水準表'!$B$9:$KO$18,6,MATCH(T$4,'因子水準表'!$B$4:$KO$4,0))&amp;"",""))</f>
        <v/>
      </c>
      <c r="CC11" s="26">
        <f>IF(U$4="","",IFERROR(INDEX('因子水準表'!$B$9:$KO$18,6,MATCH(U$4,'因子水準表'!$B$4:$KO$4,0))&amp;"",""))</f>
        <v/>
      </c>
      <c r="CD11" s="26">
        <f>IF(V$4="","",IFERROR(INDEX('因子水準表'!$B$9:$KO$18,6,MATCH(V$4,'因子水準表'!$B$4:$KO$4,0))&amp;"",""))</f>
        <v/>
      </c>
      <c r="CE11" s="26">
        <f>IF(W$4="","",IFERROR(INDEX('因子水準表'!$B$9:$KO$18,6,MATCH(W$4,'因子水準表'!$B$4:$KO$4,0))&amp;"",""))</f>
        <v/>
      </c>
      <c r="CF11" s="26">
        <f>IF(X$4="","",IFERROR(INDEX('因子水準表'!$B$9:$KO$18,6,MATCH(X$4,'因子水準表'!$B$4:$KO$4,0))&amp;"",""))</f>
        <v/>
      </c>
      <c r="CG11" s="26">
        <f>IF(Y$4="","",IFERROR(INDEX('因子水準表'!$B$9:$KO$18,6,MATCH(Y$4,'因子水準表'!$B$4:$KO$4,0))&amp;"",""))</f>
        <v/>
      </c>
      <c r="CH11" s="26">
        <f>IF(Z$4="","",IFERROR(INDEX('因子水準表'!$B$9:$KO$18,6,MATCH(Z$4,'因子水準表'!$B$4:$KO$4,0))&amp;"",""))</f>
        <v/>
      </c>
      <c r="CI11" s="26">
        <f>IF(AA$4="","",IFERROR(INDEX('因子水準表'!$B$9:$KO$18,6,MATCH(AA$4,'因子水準表'!$B$4:$KO$4,0))&amp;"",""))</f>
        <v/>
      </c>
      <c r="CJ11" s="26">
        <f>IF(AB$4="","",IFERROR(INDEX('因子水準表'!$B$9:$KO$18,6,MATCH(AB$4,'因子水準表'!$B$4:$KO$4,0))&amp;"",""))</f>
        <v/>
      </c>
      <c r="CK11" s="26">
        <f>IF(AC$4="","",IFERROR(INDEX('因子水準表'!$B$9:$KO$18,6,MATCH(AC$4,'因子水準表'!$B$4:$KO$4,0))&amp;"",""))</f>
        <v/>
      </c>
      <c r="CL11" s="26">
        <f>IF(AD$4="","",IFERROR(INDEX('因子水準表'!$B$9:$KO$18,6,MATCH(AD$4,'因子水準表'!$B$4:$KO$4,0))&amp;"",""))</f>
        <v/>
      </c>
      <c r="CM11" s="26">
        <f>IF(AE$4="","",IFERROR(INDEX('因子水準表'!$B$9:$KO$18,6,MATCH(AE$4,'因子水準表'!$B$4:$KO$4,0))&amp;"",""))</f>
        <v/>
      </c>
      <c r="CN11" s="26">
        <f>IF(AF$4="","",IFERROR(INDEX('因子水準表'!$B$9:$KO$18,6,MATCH(AF$4,'因子水準表'!$B$4:$KO$4,0))&amp;"",""))</f>
        <v/>
      </c>
      <c r="CO11" s="26">
        <f>IF(AG$4="","",IFERROR(INDEX('因子水準表'!$B$9:$KO$18,6,MATCH(AG$4,'因子水準表'!$B$4:$KO$4,0))&amp;"",""))</f>
        <v/>
      </c>
      <c r="CP11" s="26">
        <f>IF(AH$4="","",IFERROR(INDEX('因子水準表'!$B$9:$KO$18,6,MATCH(AH$4,'因子水準表'!$B$4:$KO$4,0))&amp;"",""))</f>
        <v/>
      </c>
      <c r="CQ11" s="26">
        <f>IF(AI$4="","",IFERROR(INDEX('因子水準表'!$B$9:$KO$18,6,MATCH(AI$4,'因子水準表'!$B$4:$KO$4,0))&amp;"",""))</f>
        <v/>
      </c>
      <c r="CR11" s="26">
        <f>IF(AJ$4="","",IFERROR(INDEX('因子水準表'!$B$9:$KO$18,6,MATCH(AJ$4,'因子水準表'!$B$4:$KO$4,0))&amp;"",""))</f>
        <v/>
      </c>
      <c r="CS11" s="26">
        <f>IF(AK$4="","",IFERROR(INDEX('因子水準表'!$B$9:$KO$18,6,MATCH(AK$4,'因子水準表'!$B$4:$KO$4,0))&amp;"",""))</f>
        <v/>
      </c>
      <c r="CT11" s="26">
        <f>IF(AL$4="","",IFERROR(INDEX('因子水準表'!$B$9:$KO$18,6,MATCH(AL$4,'因子水準表'!$B$4:$KO$4,0))&amp;"",""))</f>
        <v/>
      </c>
      <c r="CU11" s="26">
        <f>IF(AM$4="","",IFERROR(INDEX('因子水準表'!$B$9:$KO$18,6,MATCH(AM$4,'因子水準表'!$B$4:$KO$4,0))&amp;"",""))</f>
        <v/>
      </c>
      <c r="CV11" s="26">
        <f>IF(AN$4="","",IFERROR(INDEX('因子水準表'!$B$9:$KO$18,6,MATCH(AN$4,'因子水準表'!$B$4:$KO$4,0))&amp;"",""))</f>
        <v/>
      </c>
      <c r="CW11" s="26">
        <f>IF(AO$4="","",IFERROR(INDEX('因子水準表'!$B$9:$KO$18,6,MATCH(AO$4,'因子水準表'!$B$4:$KO$4,0))&amp;"",""))</f>
        <v/>
      </c>
      <c r="CX11" s="26">
        <f>IF(AP$4="","",IFERROR(INDEX('因子水準表'!$B$9:$KO$18,6,MATCH(AP$4,'因子水準表'!$B$4:$KO$4,0))&amp;"",""))</f>
        <v/>
      </c>
      <c r="CY11" s="26">
        <f>IF(AQ$4="","",IFERROR(INDEX('因子水準表'!$B$9:$KO$18,6,MATCH(AQ$4,'因子水準表'!$B$4:$KO$4,0))&amp;"",""))</f>
        <v/>
      </c>
      <c r="CZ11" s="26">
        <f>IF(AR$4="","",IFERROR(INDEX('因子水準表'!$B$9:$KO$18,6,MATCH(AR$4,'因子水準表'!$B$4:$KO$4,0))&amp;"",""))</f>
        <v/>
      </c>
      <c r="DA11" s="26">
        <f>IF(AS$4="","",IFERROR(INDEX('因子水準表'!$B$9:$KO$18,6,MATCH(AS$4,'因子水準表'!$B$4:$KO$4,0))&amp;"",""))</f>
        <v/>
      </c>
      <c r="DB11" s="26">
        <f>IF(AT$4="","",IFERROR(INDEX('因子水準表'!$B$9:$KO$18,6,MATCH(AT$4,'因子水準表'!$B$4:$KO$4,0))&amp;"",""))</f>
        <v/>
      </c>
      <c r="DC11" s="26">
        <f>IF(AU$4="","",IFERROR(INDEX('因子水準表'!$B$9:$KO$18,6,MATCH(AU$4,'因子水準表'!$B$4:$KO$4,0))&amp;"",""))</f>
        <v/>
      </c>
      <c r="DD11" s="26">
        <f>IF(AV$4="","",IFERROR(INDEX('因子水準表'!$B$9:$KO$18,6,MATCH(AV$4,'因子水準表'!$B$4:$KO$4,0))&amp;"",""))</f>
        <v/>
      </c>
      <c r="DE11" s="26">
        <f>IF(AW$4="","",IFERROR(INDEX('因子水準表'!$B$9:$KO$18,6,MATCH(AW$4,'因子水準表'!$B$4:$KO$4,0))&amp;"",""))</f>
        <v/>
      </c>
      <c r="DF11" s="26">
        <f>IF(AX$4="","",IFERROR(INDEX('因子水準表'!$B$9:$KO$18,6,MATCH(AX$4,'因子水準表'!$B$4:$KO$4,0))&amp;"",""))</f>
        <v/>
      </c>
      <c r="DG11" s="26">
        <f>IF(AY$4="","",IFERROR(INDEX('因子水準表'!$B$9:$KO$18,6,MATCH(AY$4,'因子水準表'!$B$4:$KO$4,0))&amp;"",""))</f>
        <v/>
      </c>
      <c r="DH11" s="26">
        <f>IF(AZ$4="","",IFERROR(INDEX('因子水準表'!$B$9:$KO$18,6,MATCH(AZ$4,'因子水準表'!$B$4:$KO$4,0))&amp;"",""))</f>
        <v/>
      </c>
      <c r="DI11" s="26">
        <f>IF(BA$4="","",IFERROR(INDEX('因子水準表'!$B$9:$KO$18,6,MATCH(BA$4,'因子水準表'!$B$4:$KO$4,0))&amp;"",""))</f>
        <v/>
      </c>
      <c r="DJ11" s="26">
        <f>IF(BB$4="","",IFERROR(INDEX('因子水準表'!$B$9:$KO$18,6,MATCH(BB$4,'因子水準表'!$B$4:$KO$4,0))&amp;"",""))</f>
        <v/>
      </c>
      <c r="DK11" s="26">
        <f>IF(BC$4="","",IFERROR(INDEX('因子水準表'!$B$9:$KO$18,6,MATCH(BC$4,'因子水準表'!$B$4:$KO$4,0))&amp;"",""))</f>
        <v/>
      </c>
      <c r="DL11" s="26">
        <f>IF(BD$4="","",IFERROR(INDEX('因子水準表'!$B$9:$KO$18,6,MATCH(BD$4,'因子水準表'!$B$4:$KO$4,0))&amp;"",""))</f>
        <v/>
      </c>
      <c r="DM11" s="26">
        <f>IF('因子水準表'!B34="","",'因子水準表'!B34)</f>
        <v/>
      </c>
      <c r="DN11" s="26">
        <f>IF('テスト条件'!A10="","",'テスト条件'!A10)</f>
        <v/>
      </c>
    </row>
    <row r="12">
      <c r="A12" s="27" t="n"/>
      <c r="B12" s="27" t="n"/>
      <c r="C12" s="28">
        <f>IF(A12="","",$B$2)</f>
        <v/>
      </c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  <c r="AJ12" s="27" t="n"/>
      <c r="AK12" s="27" t="n"/>
      <c r="AL12" s="27" t="n"/>
      <c r="AM12" s="27" t="n"/>
      <c r="AN12" s="27" t="n"/>
      <c r="AO12" s="27" t="n"/>
      <c r="AP12" s="27" t="n"/>
      <c r="AQ12" s="27" t="n"/>
      <c r="AR12" s="27" t="n"/>
      <c r="AS12" s="27" t="n"/>
      <c r="AT12" s="27" t="n"/>
      <c r="AU12" s="27" t="n"/>
      <c r="AV12" s="27" t="n"/>
      <c r="AW12" s="27" t="n"/>
      <c r="AX12" s="27" t="n"/>
      <c r="AY12" s="27" t="n"/>
      <c r="AZ12" s="27" t="n"/>
      <c r="BA12" s="27" t="n"/>
      <c r="BB12" s="27" t="n"/>
      <c r="BC12" s="27" t="n"/>
      <c r="BD12" s="27" t="n"/>
      <c r="BE12" s="27" t="n"/>
      <c r="BF12" s="27" t="n"/>
      <c r="BG12" s="27" t="n"/>
      <c r="BH12" s="27" t="n"/>
      <c r="BI12" s="29" t="n"/>
      <c r="BJ12" s="27" t="n"/>
      <c r="BK12" s="27" t="n"/>
      <c r="BL12" s="27" t="n"/>
      <c r="BM12" s="27" t="n"/>
      <c r="BO12" s="26">
        <f>IF(G$4="","",IFERROR(INDEX('因子水準表'!$B$9:$KO$18,7,MATCH(G$4,'因子水準表'!$B$4:$KO$4,0))&amp;"",""))</f>
        <v/>
      </c>
      <c r="BP12" s="26">
        <f>IF(H$4="","",IFERROR(INDEX('因子水準表'!$B$9:$KO$18,7,MATCH(H$4,'因子水準表'!$B$4:$KO$4,0))&amp;"",""))</f>
        <v/>
      </c>
      <c r="BQ12" s="26">
        <f>IF(I$4="","",IFERROR(INDEX('因子水準表'!$B$9:$KO$18,7,MATCH(I$4,'因子水準表'!$B$4:$KO$4,0))&amp;"",""))</f>
        <v/>
      </c>
      <c r="BR12" s="26">
        <f>IF(J$4="","",IFERROR(INDEX('因子水準表'!$B$9:$KO$18,7,MATCH(J$4,'因子水準表'!$B$4:$KO$4,0))&amp;"",""))</f>
        <v/>
      </c>
      <c r="BS12" s="26">
        <f>IF(K$4="","",IFERROR(INDEX('因子水準表'!$B$9:$KO$18,7,MATCH(K$4,'因子水準表'!$B$4:$KO$4,0))&amp;"",""))</f>
        <v/>
      </c>
      <c r="BT12" s="26">
        <f>IF(L$4="","",IFERROR(INDEX('因子水準表'!$B$9:$KO$18,7,MATCH(L$4,'因子水準表'!$B$4:$KO$4,0))&amp;"",""))</f>
        <v/>
      </c>
      <c r="BU12" s="26">
        <f>IF(M$4="","",IFERROR(INDEX('因子水準表'!$B$9:$KO$18,7,MATCH(M$4,'因子水準表'!$B$4:$KO$4,0))&amp;"",""))</f>
        <v/>
      </c>
      <c r="BV12" s="26">
        <f>IF(N$4="","",IFERROR(INDEX('因子水準表'!$B$9:$KO$18,7,MATCH(N$4,'因子水準表'!$B$4:$KO$4,0))&amp;"",""))</f>
        <v/>
      </c>
      <c r="BW12" s="26">
        <f>IF(O$4="","",IFERROR(INDEX('因子水準表'!$B$9:$KO$18,7,MATCH(O$4,'因子水準表'!$B$4:$KO$4,0))&amp;"",""))</f>
        <v/>
      </c>
      <c r="BX12" s="26">
        <f>IF(P$4="","",IFERROR(INDEX('因子水準表'!$B$9:$KO$18,7,MATCH(P$4,'因子水準表'!$B$4:$KO$4,0))&amp;"",""))</f>
        <v/>
      </c>
      <c r="BY12" s="26">
        <f>IF(Q$4="","",IFERROR(INDEX('因子水準表'!$B$9:$KO$18,7,MATCH(Q$4,'因子水準表'!$B$4:$KO$4,0))&amp;"",""))</f>
        <v/>
      </c>
      <c r="BZ12" s="26">
        <f>IF(R$4="","",IFERROR(INDEX('因子水準表'!$B$9:$KO$18,7,MATCH(R$4,'因子水準表'!$B$4:$KO$4,0))&amp;"",""))</f>
        <v/>
      </c>
      <c r="CA12" s="26">
        <f>IF(S$4="","",IFERROR(INDEX('因子水準表'!$B$9:$KO$18,7,MATCH(S$4,'因子水準表'!$B$4:$KO$4,0))&amp;"",""))</f>
        <v/>
      </c>
      <c r="CB12" s="26">
        <f>IF(T$4="","",IFERROR(INDEX('因子水準表'!$B$9:$KO$18,7,MATCH(T$4,'因子水準表'!$B$4:$KO$4,0))&amp;"",""))</f>
        <v/>
      </c>
      <c r="CC12" s="26">
        <f>IF(U$4="","",IFERROR(INDEX('因子水準表'!$B$9:$KO$18,7,MATCH(U$4,'因子水準表'!$B$4:$KO$4,0))&amp;"",""))</f>
        <v/>
      </c>
      <c r="CD12" s="26">
        <f>IF(V$4="","",IFERROR(INDEX('因子水準表'!$B$9:$KO$18,7,MATCH(V$4,'因子水準表'!$B$4:$KO$4,0))&amp;"",""))</f>
        <v/>
      </c>
      <c r="CE12" s="26">
        <f>IF(W$4="","",IFERROR(INDEX('因子水準表'!$B$9:$KO$18,7,MATCH(W$4,'因子水準表'!$B$4:$KO$4,0))&amp;"",""))</f>
        <v/>
      </c>
      <c r="CF12" s="26">
        <f>IF(X$4="","",IFERROR(INDEX('因子水準表'!$B$9:$KO$18,7,MATCH(X$4,'因子水準表'!$B$4:$KO$4,0))&amp;"",""))</f>
        <v/>
      </c>
      <c r="CG12" s="26">
        <f>IF(Y$4="","",IFERROR(INDEX('因子水準表'!$B$9:$KO$18,7,MATCH(Y$4,'因子水準表'!$B$4:$KO$4,0))&amp;"",""))</f>
        <v/>
      </c>
      <c r="CH12" s="26">
        <f>IF(Z$4="","",IFERROR(INDEX('因子水準表'!$B$9:$KO$18,7,MATCH(Z$4,'因子水準表'!$B$4:$KO$4,0))&amp;"",""))</f>
        <v/>
      </c>
      <c r="CI12" s="26">
        <f>IF(AA$4="","",IFERROR(INDEX('因子水準表'!$B$9:$KO$18,7,MATCH(AA$4,'因子水準表'!$B$4:$KO$4,0))&amp;"",""))</f>
        <v/>
      </c>
      <c r="CJ12" s="26">
        <f>IF(AB$4="","",IFERROR(INDEX('因子水準表'!$B$9:$KO$18,7,MATCH(AB$4,'因子水準表'!$B$4:$KO$4,0))&amp;"",""))</f>
        <v/>
      </c>
      <c r="CK12" s="26">
        <f>IF(AC$4="","",IFERROR(INDEX('因子水準表'!$B$9:$KO$18,7,MATCH(AC$4,'因子水準表'!$B$4:$KO$4,0))&amp;"",""))</f>
        <v/>
      </c>
      <c r="CL12" s="26">
        <f>IF(AD$4="","",IFERROR(INDEX('因子水準表'!$B$9:$KO$18,7,MATCH(AD$4,'因子水準表'!$B$4:$KO$4,0))&amp;"",""))</f>
        <v/>
      </c>
      <c r="CM12" s="26">
        <f>IF(AE$4="","",IFERROR(INDEX('因子水準表'!$B$9:$KO$18,7,MATCH(AE$4,'因子水準表'!$B$4:$KO$4,0))&amp;"",""))</f>
        <v/>
      </c>
      <c r="CN12" s="26">
        <f>IF(AF$4="","",IFERROR(INDEX('因子水準表'!$B$9:$KO$18,7,MATCH(AF$4,'因子水準表'!$B$4:$KO$4,0))&amp;"",""))</f>
        <v/>
      </c>
      <c r="CO12" s="26">
        <f>IF(AG$4="","",IFERROR(INDEX('因子水準表'!$B$9:$KO$18,7,MATCH(AG$4,'因子水準表'!$B$4:$KO$4,0))&amp;"",""))</f>
        <v/>
      </c>
      <c r="CP12" s="26">
        <f>IF(AH$4="","",IFERROR(INDEX('因子水準表'!$B$9:$KO$18,7,MATCH(AH$4,'因子水準表'!$B$4:$KO$4,0))&amp;"",""))</f>
        <v/>
      </c>
      <c r="CQ12" s="26">
        <f>IF(AI$4="","",IFERROR(INDEX('因子水準表'!$B$9:$KO$18,7,MATCH(AI$4,'因子水準表'!$B$4:$KO$4,0))&amp;"",""))</f>
        <v/>
      </c>
      <c r="CR12" s="26">
        <f>IF(AJ$4="","",IFERROR(INDEX('因子水準表'!$B$9:$KO$18,7,MATCH(AJ$4,'因子水準表'!$B$4:$KO$4,0))&amp;"",""))</f>
        <v/>
      </c>
      <c r="CS12" s="26">
        <f>IF(AK$4="","",IFERROR(INDEX('因子水準表'!$B$9:$KO$18,7,MATCH(AK$4,'因子水準表'!$B$4:$KO$4,0))&amp;"",""))</f>
        <v/>
      </c>
      <c r="CT12" s="26">
        <f>IF(AL$4="","",IFERROR(INDEX('因子水準表'!$B$9:$KO$18,7,MATCH(AL$4,'因子水準表'!$B$4:$KO$4,0))&amp;"",""))</f>
        <v/>
      </c>
      <c r="CU12" s="26">
        <f>IF(AM$4="","",IFERROR(INDEX('因子水準表'!$B$9:$KO$18,7,MATCH(AM$4,'因子水準表'!$B$4:$KO$4,0))&amp;"",""))</f>
        <v/>
      </c>
      <c r="CV12" s="26">
        <f>IF(AN$4="","",IFERROR(INDEX('因子水準表'!$B$9:$KO$18,7,MATCH(AN$4,'因子水準表'!$B$4:$KO$4,0))&amp;"",""))</f>
        <v/>
      </c>
      <c r="CW12" s="26">
        <f>IF(AO$4="","",IFERROR(INDEX('因子水準表'!$B$9:$KO$18,7,MATCH(AO$4,'因子水準表'!$B$4:$KO$4,0))&amp;"",""))</f>
        <v/>
      </c>
      <c r="CX12" s="26">
        <f>IF(AP$4="","",IFERROR(INDEX('因子水準表'!$B$9:$KO$18,7,MATCH(AP$4,'因子水準表'!$B$4:$KO$4,0))&amp;"",""))</f>
        <v/>
      </c>
      <c r="CY12" s="26">
        <f>IF(AQ$4="","",IFERROR(INDEX('因子水準表'!$B$9:$KO$18,7,MATCH(AQ$4,'因子水準表'!$B$4:$KO$4,0))&amp;"",""))</f>
        <v/>
      </c>
      <c r="CZ12" s="26">
        <f>IF(AR$4="","",IFERROR(INDEX('因子水準表'!$B$9:$KO$18,7,MATCH(AR$4,'因子水準表'!$B$4:$KO$4,0))&amp;"",""))</f>
        <v/>
      </c>
      <c r="DA12" s="26">
        <f>IF(AS$4="","",IFERROR(INDEX('因子水準表'!$B$9:$KO$18,7,MATCH(AS$4,'因子水準表'!$B$4:$KO$4,0))&amp;"",""))</f>
        <v/>
      </c>
      <c r="DB12" s="26">
        <f>IF(AT$4="","",IFERROR(INDEX('因子水準表'!$B$9:$KO$18,7,MATCH(AT$4,'因子水準表'!$B$4:$KO$4,0))&amp;"",""))</f>
        <v/>
      </c>
      <c r="DC12" s="26">
        <f>IF(AU$4="","",IFERROR(INDEX('因子水準表'!$B$9:$KO$18,7,MATCH(AU$4,'因子水準表'!$B$4:$KO$4,0))&amp;"",""))</f>
        <v/>
      </c>
      <c r="DD12" s="26">
        <f>IF(AV$4="","",IFERROR(INDEX('因子水準表'!$B$9:$KO$18,7,MATCH(AV$4,'因子水準表'!$B$4:$KO$4,0))&amp;"",""))</f>
        <v/>
      </c>
      <c r="DE12" s="26">
        <f>IF(AW$4="","",IFERROR(INDEX('因子水準表'!$B$9:$KO$18,7,MATCH(AW$4,'因子水準表'!$B$4:$KO$4,0))&amp;"",""))</f>
        <v/>
      </c>
      <c r="DF12" s="26">
        <f>IF(AX$4="","",IFERROR(INDEX('因子水準表'!$B$9:$KO$18,7,MATCH(AX$4,'因子水準表'!$B$4:$KO$4,0))&amp;"",""))</f>
        <v/>
      </c>
      <c r="DG12" s="26">
        <f>IF(AY$4="","",IFERROR(INDEX('因子水準表'!$B$9:$KO$18,7,MATCH(AY$4,'因子水準表'!$B$4:$KO$4,0))&amp;"",""))</f>
        <v/>
      </c>
      <c r="DH12" s="26">
        <f>IF(AZ$4="","",IFERROR(INDEX('因子水準表'!$B$9:$KO$18,7,MATCH(AZ$4,'因子水準表'!$B$4:$KO$4,0))&amp;"",""))</f>
        <v/>
      </c>
      <c r="DI12" s="26">
        <f>IF(BA$4="","",IFERROR(INDEX('因子水準表'!$B$9:$KO$18,7,MATCH(BA$4,'因子水準表'!$B$4:$KO$4,0))&amp;"",""))</f>
        <v/>
      </c>
      <c r="DJ12" s="26">
        <f>IF(BB$4="","",IFERROR(INDEX('因子水準表'!$B$9:$KO$18,7,MATCH(BB$4,'因子水準表'!$B$4:$KO$4,0))&amp;"",""))</f>
        <v/>
      </c>
      <c r="DK12" s="26">
        <f>IF(BC$4="","",IFERROR(INDEX('因子水準表'!$B$9:$KO$18,7,MATCH(BC$4,'因子水準表'!$B$4:$KO$4,0))&amp;"",""))</f>
        <v/>
      </c>
      <c r="DL12" s="26">
        <f>IF(BD$4="","",IFERROR(INDEX('因子水準表'!$B$9:$KO$18,7,MATCH(BD$4,'因子水準表'!$B$4:$KO$4,0))&amp;"",""))</f>
        <v/>
      </c>
      <c r="DM12" s="26">
        <f>IF('因子水準表'!B35="","",'因子水準表'!B35)</f>
        <v/>
      </c>
      <c r="DN12" s="26">
        <f>IF('テスト条件'!A11="","",'テスト条件'!A11)</f>
        <v/>
      </c>
    </row>
    <row r="13">
      <c r="A13" s="27" t="n"/>
      <c r="B13" s="27" t="n"/>
      <c r="C13" s="28">
        <f>IF(A13="","",$B$2)</f>
        <v/>
      </c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  <c r="AA13" s="27" t="n"/>
      <c r="AB13" s="27" t="n"/>
      <c r="AC13" s="27" t="n"/>
      <c r="AD13" s="27" t="n"/>
      <c r="AE13" s="27" t="n"/>
      <c r="AF13" s="27" t="n"/>
      <c r="AG13" s="27" t="n"/>
      <c r="AH13" s="27" t="n"/>
      <c r="AI13" s="27" t="n"/>
      <c r="AJ13" s="27" t="n"/>
      <c r="AK13" s="27" t="n"/>
      <c r="AL13" s="27" t="n"/>
      <c r="AM13" s="27" t="n"/>
      <c r="AN13" s="27" t="n"/>
      <c r="AO13" s="27" t="n"/>
      <c r="AP13" s="27" t="n"/>
      <c r="AQ13" s="27" t="n"/>
      <c r="AR13" s="27" t="n"/>
      <c r="AS13" s="27" t="n"/>
      <c r="AT13" s="27" t="n"/>
      <c r="AU13" s="27" t="n"/>
      <c r="AV13" s="27" t="n"/>
      <c r="AW13" s="27" t="n"/>
      <c r="AX13" s="27" t="n"/>
      <c r="AY13" s="27" t="n"/>
      <c r="AZ13" s="27" t="n"/>
      <c r="BA13" s="27" t="n"/>
      <c r="BB13" s="27" t="n"/>
      <c r="BC13" s="27" t="n"/>
      <c r="BD13" s="27" t="n"/>
      <c r="BE13" s="27" t="n"/>
      <c r="BF13" s="27" t="n"/>
      <c r="BG13" s="27" t="n"/>
      <c r="BH13" s="27" t="n"/>
      <c r="BI13" s="29" t="n"/>
      <c r="BJ13" s="27" t="n"/>
      <c r="BK13" s="27" t="n"/>
      <c r="BL13" s="27" t="n"/>
      <c r="BM13" s="27" t="n"/>
      <c r="BO13" s="26">
        <f>IF(G$4="","",IFERROR(INDEX('因子水準表'!$B$9:$KO$18,8,MATCH(G$4,'因子水準表'!$B$4:$KO$4,0))&amp;"",""))</f>
        <v/>
      </c>
      <c r="BP13" s="26">
        <f>IF(H$4="","",IFERROR(INDEX('因子水準表'!$B$9:$KO$18,8,MATCH(H$4,'因子水準表'!$B$4:$KO$4,0))&amp;"",""))</f>
        <v/>
      </c>
      <c r="BQ13" s="26">
        <f>IF(I$4="","",IFERROR(INDEX('因子水準表'!$B$9:$KO$18,8,MATCH(I$4,'因子水準表'!$B$4:$KO$4,0))&amp;"",""))</f>
        <v/>
      </c>
      <c r="BR13" s="26">
        <f>IF(J$4="","",IFERROR(INDEX('因子水準表'!$B$9:$KO$18,8,MATCH(J$4,'因子水準表'!$B$4:$KO$4,0))&amp;"",""))</f>
        <v/>
      </c>
      <c r="BS13" s="26">
        <f>IF(K$4="","",IFERROR(INDEX('因子水準表'!$B$9:$KO$18,8,MATCH(K$4,'因子水準表'!$B$4:$KO$4,0))&amp;"",""))</f>
        <v/>
      </c>
      <c r="BT13" s="26">
        <f>IF(L$4="","",IFERROR(INDEX('因子水準表'!$B$9:$KO$18,8,MATCH(L$4,'因子水準表'!$B$4:$KO$4,0))&amp;"",""))</f>
        <v/>
      </c>
      <c r="BU13" s="26">
        <f>IF(M$4="","",IFERROR(INDEX('因子水準表'!$B$9:$KO$18,8,MATCH(M$4,'因子水準表'!$B$4:$KO$4,0))&amp;"",""))</f>
        <v/>
      </c>
      <c r="BV13" s="26">
        <f>IF(N$4="","",IFERROR(INDEX('因子水準表'!$B$9:$KO$18,8,MATCH(N$4,'因子水準表'!$B$4:$KO$4,0))&amp;"",""))</f>
        <v/>
      </c>
      <c r="BW13" s="26">
        <f>IF(O$4="","",IFERROR(INDEX('因子水準表'!$B$9:$KO$18,8,MATCH(O$4,'因子水準表'!$B$4:$KO$4,0))&amp;"",""))</f>
        <v/>
      </c>
      <c r="BX13" s="26">
        <f>IF(P$4="","",IFERROR(INDEX('因子水準表'!$B$9:$KO$18,8,MATCH(P$4,'因子水準表'!$B$4:$KO$4,0))&amp;"",""))</f>
        <v/>
      </c>
      <c r="BY13" s="26">
        <f>IF(Q$4="","",IFERROR(INDEX('因子水準表'!$B$9:$KO$18,8,MATCH(Q$4,'因子水準表'!$B$4:$KO$4,0))&amp;"",""))</f>
        <v/>
      </c>
      <c r="BZ13" s="26">
        <f>IF(R$4="","",IFERROR(INDEX('因子水準表'!$B$9:$KO$18,8,MATCH(R$4,'因子水準表'!$B$4:$KO$4,0))&amp;"",""))</f>
        <v/>
      </c>
      <c r="CA13" s="26">
        <f>IF(S$4="","",IFERROR(INDEX('因子水準表'!$B$9:$KO$18,8,MATCH(S$4,'因子水準表'!$B$4:$KO$4,0))&amp;"",""))</f>
        <v/>
      </c>
      <c r="CB13" s="26">
        <f>IF(T$4="","",IFERROR(INDEX('因子水準表'!$B$9:$KO$18,8,MATCH(T$4,'因子水準表'!$B$4:$KO$4,0))&amp;"",""))</f>
        <v/>
      </c>
      <c r="CC13" s="26">
        <f>IF(U$4="","",IFERROR(INDEX('因子水準表'!$B$9:$KO$18,8,MATCH(U$4,'因子水準表'!$B$4:$KO$4,0))&amp;"",""))</f>
        <v/>
      </c>
      <c r="CD13" s="26">
        <f>IF(V$4="","",IFERROR(INDEX('因子水準表'!$B$9:$KO$18,8,MATCH(V$4,'因子水準表'!$B$4:$KO$4,0))&amp;"",""))</f>
        <v/>
      </c>
      <c r="CE13" s="26">
        <f>IF(W$4="","",IFERROR(INDEX('因子水準表'!$B$9:$KO$18,8,MATCH(W$4,'因子水準表'!$B$4:$KO$4,0))&amp;"",""))</f>
        <v/>
      </c>
      <c r="CF13" s="26">
        <f>IF(X$4="","",IFERROR(INDEX('因子水準表'!$B$9:$KO$18,8,MATCH(X$4,'因子水準表'!$B$4:$KO$4,0))&amp;"",""))</f>
        <v/>
      </c>
      <c r="CG13" s="26">
        <f>IF(Y$4="","",IFERROR(INDEX('因子水準表'!$B$9:$KO$18,8,MATCH(Y$4,'因子水準表'!$B$4:$KO$4,0))&amp;"",""))</f>
        <v/>
      </c>
      <c r="CH13" s="26">
        <f>IF(Z$4="","",IFERROR(INDEX('因子水準表'!$B$9:$KO$18,8,MATCH(Z$4,'因子水準表'!$B$4:$KO$4,0))&amp;"",""))</f>
        <v/>
      </c>
      <c r="CI13" s="26">
        <f>IF(AA$4="","",IFERROR(INDEX('因子水準表'!$B$9:$KO$18,8,MATCH(AA$4,'因子水準表'!$B$4:$KO$4,0))&amp;"",""))</f>
        <v/>
      </c>
      <c r="CJ13" s="26">
        <f>IF(AB$4="","",IFERROR(INDEX('因子水準表'!$B$9:$KO$18,8,MATCH(AB$4,'因子水準表'!$B$4:$KO$4,0))&amp;"",""))</f>
        <v/>
      </c>
      <c r="CK13" s="26">
        <f>IF(AC$4="","",IFERROR(INDEX('因子水準表'!$B$9:$KO$18,8,MATCH(AC$4,'因子水準表'!$B$4:$KO$4,0))&amp;"",""))</f>
        <v/>
      </c>
      <c r="CL13" s="26">
        <f>IF(AD$4="","",IFERROR(INDEX('因子水準表'!$B$9:$KO$18,8,MATCH(AD$4,'因子水準表'!$B$4:$KO$4,0))&amp;"",""))</f>
        <v/>
      </c>
      <c r="CM13" s="26">
        <f>IF(AE$4="","",IFERROR(INDEX('因子水準表'!$B$9:$KO$18,8,MATCH(AE$4,'因子水準表'!$B$4:$KO$4,0))&amp;"",""))</f>
        <v/>
      </c>
      <c r="CN13" s="26">
        <f>IF(AF$4="","",IFERROR(INDEX('因子水準表'!$B$9:$KO$18,8,MATCH(AF$4,'因子水準表'!$B$4:$KO$4,0))&amp;"",""))</f>
        <v/>
      </c>
      <c r="CO13" s="26">
        <f>IF(AG$4="","",IFERROR(INDEX('因子水準表'!$B$9:$KO$18,8,MATCH(AG$4,'因子水準表'!$B$4:$KO$4,0))&amp;"",""))</f>
        <v/>
      </c>
      <c r="CP13" s="26">
        <f>IF(AH$4="","",IFERROR(INDEX('因子水準表'!$B$9:$KO$18,8,MATCH(AH$4,'因子水準表'!$B$4:$KO$4,0))&amp;"",""))</f>
        <v/>
      </c>
      <c r="CQ13" s="26">
        <f>IF(AI$4="","",IFERROR(INDEX('因子水準表'!$B$9:$KO$18,8,MATCH(AI$4,'因子水準表'!$B$4:$KO$4,0))&amp;"",""))</f>
        <v/>
      </c>
      <c r="CR13" s="26">
        <f>IF(AJ$4="","",IFERROR(INDEX('因子水準表'!$B$9:$KO$18,8,MATCH(AJ$4,'因子水準表'!$B$4:$KO$4,0))&amp;"",""))</f>
        <v/>
      </c>
      <c r="CS13" s="26">
        <f>IF(AK$4="","",IFERROR(INDEX('因子水準表'!$B$9:$KO$18,8,MATCH(AK$4,'因子水準表'!$B$4:$KO$4,0))&amp;"",""))</f>
        <v/>
      </c>
      <c r="CT13" s="26">
        <f>IF(AL$4="","",IFERROR(INDEX('因子水準表'!$B$9:$KO$18,8,MATCH(AL$4,'因子水準表'!$B$4:$KO$4,0))&amp;"",""))</f>
        <v/>
      </c>
      <c r="CU13" s="26">
        <f>IF(AM$4="","",IFERROR(INDEX('因子水準表'!$B$9:$KO$18,8,MATCH(AM$4,'因子水準表'!$B$4:$KO$4,0))&amp;"",""))</f>
        <v/>
      </c>
      <c r="CV13" s="26">
        <f>IF(AN$4="","",IFERROR(INDEX('因子水準表'!$B$9:$KO$18,8,MATCH(AN$4,'因子水準表'!$B$4:$KO$4,0))&amp;"",""))</f>
        <v/>
      </c>
      <c r="CW13" s="26">
        <f>IF(AO$4="","",IFERROR(INDEX('因子水準表'!$B$9:$KO$18,8,MATCH(AO$4,'因子水準表'!$B$4:$KO$4,0))&amp;"",""))</f>
        <v/>
      </c>
      <c r="CX13" s="26">
        <f>IF(AP$4="","",IFERROR(INDEX('因子水準表'!$B$9:$KO$18,8,MATCH(AP$4,'因子水準表'!$B$4:$KO$4,0))&amp;"",""))</f>
        <v/>
      </c>
      <c r="CY13" s="26">
        <f>IF(AQ$4="","",IFERROR(INDEX('因子水準表'!$B$9:$KO$18,8,MATCH(AQ$4,'因子水準表'!$B$4:$KO$4,0))&amp;"",""))</f>
        <v/>
      </c>
      <c r="CZ13" s="26">
        <f>IF(AR$4="","",IFERROR(INDEX('因子水準表'!$B$9:$KO$18,8,MATCH(AR$4,'因子水準表'!$B$4:$KO$4,0))&amp;"",""))</f>
        <v/>
      </c>
      <c r="DA13" s="26">
        <f>IF(AS$4="","",IFERROR(INDEX('因子水準表'!$B$9:$KO$18,8,MATCH(AS$4,'因子水準表'!$B$4:$KO$4,0))&amp;"",""))</f>
        <v/>
      </c>
      <c r="DB13" s="26">
        <f>IF(AT$4="","",IFERROR(INDEX('因子水準表'!$B$9:$KO$18,8,MATCH(AT$4,'因子水準表'!$B$4:$KO$4,0))&amp;"",""))</f>
        <v/>
      </c>
      <c r="DC13" s="26">
        <f>IF(AU$4="","",IFERROR(INDEX('因子水準表'!$B$9:$KO$18,8,MATCH(AU$4,'因子水準表'!$B$4:$KO$4,0))&amp;"",""))</f>
        <v/>
      </c>
      <c r="DD13" s="26">
        <f>IF(AV$4="","",IFERROR(INDEX('因子水準表'!$B$9:$KO$18,8,MATCH(AV$4,'因子水準表'!$B$4:$KO$4,0))&amp;"",""))</f>
        <v/>
      </c>
      <c r="DE13" s="26">
        <f>IF(AW$4="","",IFERROR(INDEX('因子水準表'!$B$9:$KO$18,8,MATCH(AW$4,'因子水準表'!$B$4:$KO$4,0))&amp;"",""))</f>
        <v/>
      </c>
      <c r="DF13" s="26">
        <f>IF(AX$4="","",IFERROR(INDEX('因子水準表'!$B$9:$KO$18,8,MATCH(AX$4,'因子水準表'!$B$4:$KO$4,0))&amp;"",""))</f>
        <v/>
      </c>
      <c r="DG13" s="26">
        <f>IF(AY$4="","",IFERROR(INDEX('因子水準表'!$B$9:$KO$18,8,MATCH(AY$4,'因子水準表'!$B$4:$KO$4,0))&amp;"",""))</f>
        <v/>
      </c>
      <c r="DH13" s="26">
        <f>IF(AZ$4="","",IFERROR(INDEX('因子水準表'!$B$9:$KO$18,8,MATCH(AZ$4,'因子水準表'!$B$4:$KO$4,0))&amp;"",""))</f>
        <v/>
      </c>
      <c r="DI13" s="26">
        <f>IF(BA$4="","",IFERROR(INDEX('因子水準表'!$B$9:$KO$18,8,MATCH(BA$4,'因子水準表'!$B$4:$KO$4,0))&amp;"",""))</f>
        <v/>
      </c>
      <c r="DJ13" s="26">
        <f>IF(BB$4="","",IFERROR(INDEX('因子水準表'!$B$9:$KO$18,8,MATCH(BB$4,'因子水準表'!$B$4:$KO$4,0))&amp;"",""))</f>
        <v/>
      </c>
      <c r="DK13" s="26">
        <f>IF(BC$4="","",IFERROR(INDEX('因子水準表'!$B$9:$KO$18,8,MATCH(BC$4,'因子水準表'!$B$4:$KO$4,0))&amp;"",""))</f>
        <v/>
      </c>
      <c r="DL13" s="26">
        <f>IF(BD$4="","",IFERROR(INDEX('因子水準表'!$B$9:$KO$18,8,MATCH(BD$4,'因子水準表'!$B$4:$KO$4,0))&amp;"",""))</f>
        <v/>
      </c>
      <c r="DM13" s="26">
        <f>IF('因子水準表'!B36="","",'因子水準表'!B36)</f>
        <v/>
      </c>
      <c r="DN13" s="26">
        <f>IF('テスト条件'!A12="","",'テスト条件'!A12)</f>
        <v/>
      </c>
    </row>
    <row r="14">
      <c r="A14" s="27" t="n"/>
      <c r="B14" s="27" t="n"/>
      <c r="C14" s="28">
        <f>IF(A14="","",$B$2)</f>
        <v/>
      </c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7" t="n"/>
      <c r="AO14" s="27" t="n"/>
      <c r="AP14" s="27" t="n"/>
      <c r="AQ14" s="27" t="n"/>
      <c r="AR14" s="27" t="n"/>
      <c r="AS14" s="27" t="n"/>
      <c r="AT14" s="27" t="n"/>
      <c r="AU14" s="27" t="n"/>
      <c r="AV14" s="27" t="n"/>
      <c r="AW14" s="27" t="n"/>
      <c r="AX14" s="27" t="n"/>
      <c r="AY14" s="27" t="n"/>
      <c r="AZ14" s="27" t="n"/>
      <c r="BA14" s="27" t="n"/>
      <c r="BB14" s="27" t="n"/>
      <c r="BC14" s="27" t="n"/>
      <c r="BD14" s="27" t="n"/>
      <c r="BE14" s="27" t="n"/>
      <c r="BF14" s="27" t="n"/>
      <c r="BG14" s="27" t="n"/>
      <c r="BH14" s="27" t="n"/>
      <c r="BI14" s="29" t="n"/>
      <c r="BJ14" s="27" t="n"/>
      <c r="BK14" s="27" t="n"/>
      <c r="BL14" s="27" t="n"/>
      <c r="BM14" s="27" t="n"/>
      <c r="BO14" s="26">
        <f>IF(G$4="","",IFERROR(INDEX('因子水準表'!$B$9:$KO$18,9,MATCH(G$4,'因子水準表'!$B$4:$KO$4,0))&amp;"",""))</f>
        <v/>
      </c>
      <c r="BP14" s="26">
        <f>IF(H$4="","",IFERROR(INDEX('因子水準表'!$B$9:$KO$18,9,MATCH(H$4,'因子水準表'!$B$4:$KO$4,0))&amp;"",""))</f>
        <v/>
      </c>
      <c r="BQ14" s="26">
        <f>IF(I$4="","",IFERROR(INDEX('因子水準表'!$B$9:$KO$18,9,MATCH(I$4,'因子水準表'!$B$4:$KO$4,0))&amp;"",""))</f>
        <v/>
      </c>
      <c r="BR14" s="26">
        <f>IF(J$4="","",IFERROR(INDEX('因子水準表'!$B$9:$KO$18,9,MATCH(J$4,'因子水準表'!$B$4:$KO$4,0))&amp;"",""))</f>
        <v/>
      </c>
      <c r="BS14" s="26">
        <f>IF(K$4="","",IFERROR(INDEX('因子水準表'!$B$9:$KO$18,9,MATCH(K$4,'因子水準表'!$B$4:$KO$4,0))&amp;"",""))</f>
        <v/>
      </c>
      <c r="BT14" s="26">
        <f>IF(L$4="","",IFERROR(INDEX('因子水準表'!$B$9:$KO$18,9,MATCH(L$4,'因子水準表'!$B$4:$KO$4,0))&amp;"",""))</f>
        <v/>
      </c>
      <c r="BU14" s="26">
        <f>IF(M$4="","",IFERROR(INDEX('因子水準表'!$B$9:$KO$18,9,MATCH(M$4,'因子水準表'!$B$4:$KO$4,0))&amp;"",""))</f>
        <v/>
      </c>
      <c r="BV14" s="26">
        <f>IF(N$4="","",IFERROR(INDEX('因子水準表'!$B$9:$KO$18,9,MATCH(N$4,'因子水準表'!$B$4:$KO$4,0))&amp;"",""))</f>
        <v/>
      </c>
      <c r="BW14" s="26">
        <f>IF(O$4="","",IFERROR(INDEX('因子水準表'!$B$9:$KO$18,9,MATCH(O$4,'因子水準表'!$B$4:$KO$4,0))&amp;"",""))</f>
        <v/>
      </c>
      <c r="BX14" s="26">
        <f>IF(P$4="","",IFERROR(INDEX('因子水準表'!$B$9:$KO$18,9,MATCH(P$4,'因子水準表'!$B$4:$KO$4,0))&amp;"",""))</f>
        <v/>
      </c>
      <c r="BY14" s="26">
        <f>IF(Q$4="","",IFERROR(INDEX('因子水準表'!$B$9:$KO$18,9,MATCH(Q$4,'因子水準表'!$B$4:$KO$4,0))&amp;"",""))</f>
        <v/>
      </c>
      <c r="BZ14" s="26">
        <f>IF(R$4="","",IFERROR(INDEX('因子水準表'!$B$9:$KO$18,9,MATCH(R$4,'因子水準表'!$B$4:$KO$4,0))&amp;"",""))</f>
        <v/>
      </c>
      <c r="CA14" s="26">
        <f>IF(S$4="","",IFERROR(INDEX('因子水準表'!$B$9:$KO$18,9,MATCH(S$4,'因子水準表'!$B$4:$KO$4,0))&amp;"",""))</f>
        <v/>
      </c>
      <c r="CB14" s="26">
        <f>IF(T$4="","",IFERROR(INDEX('因子水準表'!$B$9:$KO$18,9,MATCH(T$4,'因子水準表'!$B$4:$KO$4,0))&amp;"",""))</f>
        <v/>
      </c>
      <c r="CC14" s="26">
        <f>IF(U$4="","",IFERROR(INDEX('因子水準表'!$B$9:$KO$18,9,MATCH(U$4,'因子水準表'!$B$4:$KO$4,0))&amp;"",""))</f>
        <v/>
      </c>
      <c r="CD14" s="26">
        <f>IF(V$4="","",IFERROR(INDEX('因子水準表'!$B$9:$KO$18,9,MATCH(V$4,'因子水準表'!$B$4:$KO$4,0))&amp;"",""))</f>
        <v/>
      </c>
      <c r="CE14" s="26">
        <f>IF(W$4="","",IFERROR(INDEX('因子水準表'!$B$9:$KO$18,9,MATCH(W$4,'因子水準表'!$B$4:$KO$4,0))&amp;"",""))</f>
        <v/>
      </c>
      <c r="CF14" s="26">
        <f>IF(X$4="","",IFERROR(INDEX('因子水準表'!$B$9:$KO$18,9,MATCH(X$4,'因子水準表'!$B$4:$KO$4,0))&amp;"",""))</f>
        <v/>
      </c>
      <c r="CG14" s="26">
        <f>IF(Y$4="","",IFERROR(INDEX('因子水準表'!$B$9:$KO$18,9,MATCH(Y$4,'因子水準表'!$B$4:$KO$4,0))&amp;"",""))</f>
        <v/>
      </c>
      <c r="CH14" s="26">
        <f>IF(Z$4="","",IFERROR(INDEX('因子水準表'!$B$9:$KO$18,9,MATCH(Z$4,'因子水準表'!$B$4:$KO$4,0))&amp;"",""))</f>
        <v/>
      </c>
      <c r="CI14" s="26">
        <f>IF(AA$4="","",IFERROR(INDEX('因子水準表'!$B$9:$KO$18,9,MATCH(AA$4,'因子水準表'!$B$4:$KO$4,0))&amp;"",""))</f>
        <v/>
      </c>
      <c r="CJ14" s="26">
        <f>IF(AB$4="","",IFERROR(INDEX('因子水準表'!$B$9:$KO$18,9,MATCH(AB$4,'因子水準表'!$B$4:$KO$4,0))&amp;"",""))</f>
        <v/>
      </c>
      <c r="CK14" s="26">
        <f>IF(AC$4="","",IFERROR(INDEX('因子水準表'!$B$9:$KO$18,9,MATCH(AC$4,'因子水準表'!$B$4:$KO$4,0))&amp;"",""))</f>
        <v/>
      </c>
      <c r="CL14" s="26">
        <f>IF(AD$4="","",IFERROR(INDEX('因子水準表'!$B$9:$KO$18,9,MATCH(AD$4,'因子水準表'!$B$4:$KO$4,0))&amp;"",""))</f>
        <v/>
      </c>
      <c r="CM14" s="26">
        <f>IF(AE$4="","",IFERROR(INDEX('因子水準表'!$B$9:$KO$18,9,MATCH(AE$4,'因子水準表'!$B$4:$KO$4,0))&amp;"",""))</f>
        <v/>
      </c>
      <c r="CN14" s="26">
        <f>IF(AF$4="","",IFERROR(INDEX('因子水準表'!$B$9:$KO$18,9,MATCH(AF$4,'因子水準表'!$B$4:$KO$4,0))&amp;"",""))</f>
        <v/>
      </c>
      <c r="CO14" s="26">
        <f>IF(AG$4="","",IFERROR(INDEX('因子水準表'!$B$9:$KO$18,9,MATCH(AG$4,'因子水準表'!$B$4:$KO$4,0))&amp;"",""))</f>
        <v/>
      </c>
      <c r="CP14" s="26">
        <f>IF(AH$4="","",IFERROR(INDEX('因子水準表'!$B$9:$KO$18,9,MATCH(AH$4,'因子水準表'!$B$4:$KO$4,0))&amp;"",""))</f>
        <v/>
      </c>
      <c r="CQ14" s="26">
        <f>IF(AI$4="","",IFERROR(INDEX('因子水準表'!$B$9:$KO$18,9,MATCH(AI$4,'因子水準表'!$B$4:$KO$4,0))&amp;"",""))</f>
        <v/>
      </c>
      <c r="CR14" s="26">
        <f>IF(AJ$4="","",IFERROR(INDEX('因子水準表'!$B$9:$KO$18,9,MATCH(AJ$4,'因子水準表'!$B$4:$KO$4,0))&amp;"",""))</f>
        <v/>
      </c>
      <c r="CS14" s="26">
        <f>IF(AK$4="","",IFERROR(INDEX('因子水準表'!$B$9:$KO$18,9,MATCH(AK$4,'因子水準表'!$B$4:$KO$4,0))&amp;"",""))</f>
        <v/>
      </c>
      <c r="CT14" s="26">
        <f>IF(AL$4="","",IFERROR(INDEX('因子水準表'!$B$9:$KO$18,9,MATCH(AL$4,'因子水準表'!$B$4:$KO$4,0))&amp;"",""))</f>
        <v/>
      </c>
      <c r="CU14" s="26">
        <f>IF(AM$4="","",IFERROR(INDEX('因子水準表'!$B$9:$KO$18,9,MATCH(AM$4,'因子水準表'!$B$4:$KO$4,0))&amp;"",""))</f>
        <v/>
      </c>
      <c r="CV14" s="26">
        <f>IF(AN$4="","",IFERROR(INDEX('因子水準表'!$B$9:$KO$18,9,MATCH(AN$4,'因子水準表'!$B$4:$KO$4,0))&amp;"",""))</f>
        <v/>
      </c>
      <c r="CW14" s="26">
        <f>IF(AO$4="","",IFERROR(INDEX('因子水準表'!$B$9:$KO$18,9,MATCH(AO$4,'因子水準表'!$B$4:$KO$4,0))&amp;"",""))</f>
        <v/>
      </c>
      <c r="CX14" s="26">
        <f>IF(AP$4="","",IFERROR(INDEX('因子水準表'!$B$9:$KO$18,9,MATCH(AP$4,'因子水準表'!$B$4:$KO$4,0))&amp;"",""))</f>
        <v/>
      </c>
      <c r="CY14" s="26">
        <f>IF(AQ$4="","",IFERROR(INDEX('因子水準表'!$B$9:$KO$18,9,MATCH(AQ$4,'因子水準表'!$B$4:$KO$4,0))&amp;"",""))</f>
        <v/>
      </c>
      <c r="CZ14" s="26">
        <f>IF(AR$4="","",IFERROR(INDEX('因子水準表'!$B$9:$KO$18,9,MATCH(AR$4,'因子水準表'!$B$4:$KO$4,0))&amp;"",""))</f>
        <v/>
      </c>
      <c r="DA14" s="26">
        <f>IF(AS$4="","",IFERROR(INDEX('因子水準表'!$B$9:$KO$18,9,MATCH(AS$4,'因子水準表'!$B$4:$KO$4,0))&amp;"",""))</f>
        <v/>
      </c>
      <c r="DB14" s="26">
        <f>IF(AT$4="","",IFERROR(INDEX('因子水準表'!$B$9:$KO$18,9,MATCH(AT$4,'因子水準表'!$B$4:$KO$4,0))&amp;"",""))</f>
        <v/>
      </c>
      <c r="DC14" s="26">
        <f>IF(AU$4="","",IFERROR(INDEX('因子水準表'!$B$9:$KO$18,9,MATCH(AU$4,'因子水準表'!$B$4:$KO$4,0))&amp;"",""))</f>
        <v/>
      </c>
      <c r="DD14" s="26">
        <f>IF(AV$4="","",IFERROR(INDEX('因子水準表'!$B$9:$KO$18,9,MATCH(AV$4,'因子水準表'!$B$4:$KO$4,0))&amp;"",""))</f>
        <v/>
      </c>
      <c r="DE14" s="26">
        <f>IF(AW$4="","",IFERROR(INDEX('因子水準表'!$B$9:$KO$18,9,MATCH(AW$4,'因子水準表'!$B$4:$KO$4,0))&amp;"",""))</f>
        <v/>
      </c>
      <c r="DF14" s="26">
        <f>IF(AX$4="","",IFERROR(INDEX('因子水準表'!$B$9:$KO$18,9,MATCH(AX$4,'因子水準表'!$B$4:$KO$4,0))&amp;"",""))</f>
        <v/>
      </c>
      <c r="DG14" s="26">
        <f>IF(AY$4="","",IFERROR(INDEX('因子水準表'!$B$9:$KO$18,9,MATCH(AY$4,'因子水準表'!$B$4:$KO$4,0))&amp;"",""))</f>
        <v/>
      </c>
      <c r="DH14" s="26">
        <f>IF(AZ$4="","",IFERROR(INDEX('因子水準表'!$B$9:$KO$18,9,MATCH(AZ$4,'因子水準表'!$B$4:$KO$4,0))&amp;"",""))</f>
        <v/>
      </c>
      <c r="DI14" s="26">
        <f>IF(BA$4="","",IFERROR(INDEX('因子水準表'!$B$9:$KO$18,9,MATCH(BA$4,'因子水準表'!$B$4:$KO$4,0))&amp;"",""))</f>
        <v/>
      </c>
      <c r="DJ14" s="26">
        <f>IF(BB$4="","",IFERROR(INDEX('因子水準表'!$B$9:$KO$18,9,MATCH(BB$4,'因子水準表'!$B$4:$KO$4,0))&amp;"",""))</f>
        <v/>
      </c>
      <c r="DK14" s="26">
        <f>IF(BC$4="","",IFERROR(INDEX('因子水準表'!$B$9:$KO$18,9,MATCH(BC$4,'因子水準表'!$B$4:$KO$4,0))&amp;"",""))</f>
        <v/>
      </c>
      <c r="DL14" s="26">
        <f>IF(BD$4="","",IFERROR(INDEX('因子水準表'!$B$9:$KO$18,9,MATCH(BD$4,'因子水準表'!$B$4:$KO$4,0))&amp;"",""))</f>
        <v/>
      </c>
      <c r="DM14" s="26">
        <f>IF('因子水準表'!B37="","",'因子水準表'!B37)</f>
        <v/>
      </c>
      <c r="DN14" s="26">
        <f>IF('テスト条件'!A13="","",'テスト条件'!A13)</f>
        <v/>
      </c>
    </row>
    <row r="15">
      <c r="A15" s="27" t="n"/>
      <c r="B15" s="27" t="n"/>
      <c r="C15" s="28">
        <f>IF(A15="","",$B$2)</f>
        <v/>
      </c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  <c r="AI15" s="27" t="n"/>
      <c r="AJ15" s="27" t="n"/>
      <c r="AK15" s="27" t="n"/>
      <c r="AL15" s="27" t="n"/>
      <c r="AM15" s="27" t="n"/>
      <c r="AN15" s="27" t="n"/>
      <c r="AO15" s="27" t="n"/>
      <c r="AP15" s="27" t="n"/>
      <c r="AQ15" s="27" t="n"/>
      <c r="AR15" s="27" t="n"/>
      <c r="AS15" s="27" t="n"/>
      <c r="AT15" s="27" t="n"/>
      <c r="AU15" s="27" t="n"/>
      <c r="AV15" s="27" t="n"/>
      <c r="AW15" s="27" t="n"/>
      <c r="AX15" s="27" t="n"/>
      <c r="AY15" s="27" t="n"/>
      <c r="AZ15" s="27" t="n"/>
      <c r="BA15" s="27" t="n"/>
      <c r="BB15" s="27" t="n"/>
      <c r="BC15" s="27" t="n"/>
      <c r="BD15" s="27" t="n"/>
      <c r="BE15" s="27" t="n"/>
      <c r="BF15" s="27" t="n"/>
      <c r="BG15" s="27" t="n"/>
      <c r="BH15" s="27" t="n"/>
      <c r="BI15" s="29" t="n"/>
      <c r="BJ15" s="27" t="n"/>
      <c r="BK15" s="27" t="n"/>
      <c r="BL15" s="27" t="n"/>
      <c r="BM15" s="27" t="n"/>
      <c r="BO15" s="26">
        <f>IF(G$4="","",IFERROR(INDEX('因子水準表'!$B$9:$KO$18,10,MATCH(G$4,'因子水準表'!$B$4:$KO$4,0))&amp;"",""))</f>
        <v/>
      </c>
      <c r="BP15" s="26">
        <f>IF(H$4="","",IFERROR(INDEX('因子水準表'!$B$9:$KO$18,10,MATCH(H$4,'因子水準表'!$B$4:$KO$4,0))&amp;"",""))</f>
        <v/>
      </c>
      <c r="BQ15" s="26">
        <f>IF(I$4="","",IFERROR(INDEX('因子水準表'!$B$9:$KO$18,10,MATCH(I$4,'因子水準表'!$B$4:$KO$4,0))&amp;"",""))</f>
        <v/>
      </c>
      <c r="BR15" s="26">
        <f>IF(J$4="","",IFERROR(INDEX('因子水準表'!$B$9:$KO$18,10,MATCH(J$4,'因子水準表'!$B$4:$KO$4,0))&amp;"",""))</f>
        <v/>
      </c>
      <c r="BS15" s="26">
        <f>IF(K$4="","",IFERROR(INDEX('因子水準表'!$B$9:$KO$18,10,MATCH(K$4,'因子水準表'!$B$4:$KO$4,0))&amp;"",""))</f>
        <v/>
      </c>
      <c r="BT15" s="26">
        <f>IF(L$4="","",IFERROR(INDEX('因子水準表'!$B$9:$KO$18,10,MATCH(L$4,'因子水準表'!$B$4:$KO$4,0))&amp;"",""))</f>
        <v/>
      </c>
      <c r="BU15" s="26">
        <f>IF(M$4="","",IFERROR(INDEX('因子水準表'!$B$9:$KO$18,10,MATCH(M$4,'因子水準表'!$B$4:$KO$4,0))&amp;"",""))</f>
        <v/>
      </c>
      <c r="BV15" s="26">
        <f>IF(N$4="","",IFERROR(INDEX('因子水準表'!$B$9:$KO$18,10,MATCH(N$4,'因子水準表'!$B$4:$KO$4,0))&amp;"",""))</f>
        <v/>
      </c>
      <c r="BW15" s="26">
        <f>IF(O$4="","",IFERROR(INDEX('因子水準表'!$B$9:$KO$18,10,MATCH(O$4,'因子水準表'!$B$4:$KO$4,0))&amp;"",""))</f>
        <v/>
      </c>
      <c r="BX15" s="26">
        <f>IF(P$4="","",IFERROR(INDEX('因子水準表'!$B$9:$KO$18,10,MATCH(P$4,'因子水準表'!$B$4:$KO$4,0))&amp;"",""))</f>
        <v/>
      </c>
      <c r="BY15" s="26">
        <f>IF(Q$4="","",IFERROR(INDEX('因子水準表'!$B$9:$KO$18,10,MATCH(Q$4,'因子水準表'!$B$4:$KO$4,0))&amp;"",""))</f>
        <v/>
      </c>
      <c r="BZ15" s="26">
        <f>IF(R$4="","",IFERROR(INDEX('因子水準表'!$B$9:$KO$18,10,MATCH(R$4,'因子水準表'!$B$4:$KO$4,0))&amp;"",""))</f>
        <v/>
      </c>
      <c r="CA15" s="26">
        <f>IF(S$4="","",IFERROR(INDEX('因子水準表'!$B$9:$KO$18,10,MATCH(S$4,'因子水準表'!$B$4:$KO$4,0))&amp;"",""))</f>
        <v/>
      </c>
      <c r="CB15" s="26">
        <f>IF(T$4="","",IFERROR(INDEX('因子水準表'!$B$9:$KO$18,10,MATCH(T$4,'因子水準表'!$B$4:$KO$4,0))&amp;"",""))</f>
        <v/>
      </c>
      <c r="CC15" s="26">
        <f>IF(U$4="","",IFERROR(INDEX('因子水準表'!$B$9:$KO$18,10,MATCH(U$4,'因子水準表'!$B$4:$KO$4,0))&amp;"",""))</f>
        <v/>
      </c>
      <c r="CD15" s="26">
        <f>IF(V$4="","",IFERROR(INDEX('因子水準表'!$B$9:$KO$18,10,MATCH(V$4,'因子水準表'!$B$4:$KO$4,0))&amp;"",""))</f>
        <v/>
      </c>
      <c r="CE15" s="26">
        <f>IF(W$4="","",IFERROR(INDEX('因子水準表'!$B$9:$KO$18,10,MATCH(W$4,'因子水準表'!$B$4:$KO$4,0))&amp;"",""))</f>
        <v/>
      </c>
      <c r="CF15" s="26">
        <f>IF(X$4="","",IFERROR(INDEX('因子水準表'!$B$9:$KO$18,10,MATCH(X$4,'因子水準表'!$B$4:$KO$4,0))&amp;"",""))</f>
        <v/>
      </c>
      <c r="CG15" s="26">
        <f>IF(Y$4="","",IFERROR(INDEX('因子水準表'!$B$9:$KO$18,10,MATCH(Y$4,'因子水準表'!$B$4:$KO$4,0))&amp;"",""))</f>
        <v/>
      </c>
      <c r="CH15" s="26">
        <f>IF(Z$4="","",IFERROR(INDEX('因子水準表'!$B$9:$KO$18,10,MATCH(Z$4,'因子水準表'!$B$4:$KO$4,0))&amp;"",""))</f>
        <v/>
      </c>
      <c r="CI15" s="26">
        <f>IF(AA$4="","",IFERROR(INDEX('因子水準表'!$B$9:$KO$18,10,MATCH(AA$4,'因子水準表'!$B$4:$KO$4,0))&amp;"",""))</f>
        <v/>
      </c>
      <c r="CJ15" s="26">
        <f>IF(AB$4="","",IFERROR(INDEX('因子水準表'!$B$9:$KO$18,10,MATCH(AB$4,'因子水準表'!$B$4:$KO$4,0))&amp;"",""))</f>
        <v/>
      </c>
      <c r="CK15" s="26">
        <f>IF(AC$4="","",IFERROR(INDEX('因子水準表'!$B$9:$KO$18,10,MATCH(AC$4,'因子水準表'!$B$4:$KO$4,0))&amp;"",""))</f>
        <v/>
      </c>
      <c r="CL15" s="26">
        <f>IF(AD$4="","",IFERROR(INDEX('因子水準表'!$B$9:$KO$18,10,MATCH(AD$4,'因子水準表'!$B$4:$KO$4,0))&amp;"",""))</f>
        <v/>
      </c>
      <c r="CM15" s="26">
        <f>IF(AE$4="","",IFERROR(INDEX('因子水準表'!$B$9:$KO$18,10,MATCH(AE$4,'因子水準表'!$B$4:$KO$4,0))&amp;"",""))</f>
        <v/>
      </c>
      <c r="CN15" s="26">
        <f>IF(AF$4="","",IFERROR(INDEX('因子水準表'!$B$9:$KO$18,10,MATCH(AF$4,'因子水準表'!$B$4:$KO$4,0))&amp;"",""))</f>
        <v/>
      </c>
      <c r="CO15" s="26">
        <f>IF(AG$4="","",IFERROR(INDEX('因子水準表'!$B$9:$KO$18,10,MATCH(AG$4,'因子水準表'!$B$4:$KO$4,0))&amp;"",""))</f>
        <v/>
      </c>
      <c r="CP15" s="26">
        <f>IF(AH$4="","",IFERROR(INDEX('因子水準表'!$B$9:$KO$18,10,MATCH(AH$4,'因子水準表'!$B$4:$KO$4,0))&amp;"",""))</f>
        <v/>
      </c>
      <c r="CQ15" s="26">
        <f>IF(AI$4="","",IFERROR(INDEX('因子水準表'!$B$9:$KO$18,10,MATCH(AI$4,'因子水準表'!$B$4:$KO$4,0))&amp;"",""))</f>
        <v/>
      </c>
      <c r="CR15" s="26">
        <f>IF(AJ$4="","",IFERROR(INDEX('因子水準表'!$B$9:$KO$18,10,MATCH(AJ$4,'因子水準表'!$B$4:$KO$4,0))&amp;"",""))</f>
        <v/>
      </c>
      <c r="CS15" s="26">
        <f>IF(AK$4="","",IFERROR(INDEX('因子水準表'!$B$9:$KO$18,10,MATCH(AK$4,'因子水準表'!$B$4:$KO$4,0))&amp;"",""))</f>
        <v/>
      </c>
      <c r="CT15" s="26">
        <f>IF(AL$4="","",IFERROR(INDEX('因子水準表'!$B$9:$KO$18,10,MATCH(AL$4,'因子水準表'!$B$4:$KO$4,0))&amp;"",""))</f>
        <v/>
      </c>
      <c r="CU15" s="26">
        <f>IF(AM$4="","",IFERROR(INDEX('因子水準表'!$B$9:$KO$18,10,MATCH(AM$4,'因子水準表'!$B$4:$KO$4,0))&amp;"",""))</f>
        <v/>
      </c>
      <c r="CV15" s="26">
        <f>IF(AN$4="","",IFERROR(INDEX('因子水準表'!$B$9:$KO$18,10,MATCH(AN$4,'因子水準表'!$B$4:$KO$4,0))&amp;"",""))</f>
        <v/>
      </c>
      <c r="CW15" s="26">
        <f>IF(AO$4="","",IFERROR(INDEX('因子水準表'!$B$9:$KO$18,10,MATCH(AO$4,'因子水準表'!$B$4:$KO$4,0))&amp;"",""))</f>
        <v/>
      </c>
      <c r="CX15" s="26">
        <f>IF(AP$4="","",IFERROR(INDEX('因子水準表'!$B$9:$KO$18,10,MATCH(AP$4,'因子水準表'!$B$4:$KO$4,0))&amp;"",""))</f>
        <v/>
      </c>
      <c r="CY15" s="26">
        <f>IF(AQ$4="","",IFERROR(INDEX('因子水準表'!$B$9:$KO$18,10,MATCH(AQ$4,'因子水準表'!$B$4:$KO$4,0))&amp;"",""))</f>
        <v/>
      </c>
      <c r="CZ15" s="26">
        <f>IF(AR$4="","",IFERROR(INDEX('因子水準表'!$B$9:$KO$18,10,MATCH(AR$4,'因子水準表'!$B$4:$KO$4,0))&amp;"",""))</f>
        <v/>
      </c>
      <c r="DA15" s="26">
        <f>IF(AS$4="","",IFERROR(INDEX('因子水準表'!$B$9:$KO$18,10,MATCH(AS$4,'因子水準表'!$B$4:$KO$4,0))&amp;"",""))</f>
        <v/>
      </c>
      <c r="DB15" s="26">
        <f>IF(AT$4="","",IFERROR(INDEX('因子水準表'!$B$9:$KO$18,10,MATCH(AT$4,'因子水準表'!$B$4:$KO$4,0))&amp;"",""))</f>
        <v/>
      </c>
      <c r="DC15" s="26">
        <f>IF(AU$4="","",IFERROR(INDEX('因子水準表'!$B$9:$KO$18,10,MATCH(AU$4,'因子水準表'!$B$4:$KO$4,0))&amp;"",""))</f>
        <v/>
      </c>
      <c r="DD15" s="26">
        <f>IF(AV$4="","",IFERROR(INDEX('因子水準表'!$B$9:$KO$18,10,MATCH(AV$4,'因子水準表'!$B$4:$KO$4,0))&amp;"",""))</f>
        <v/>
      </c>
      <c r="DE15" s="26">
        <f>IF(AW$4="","",IFERROR(INDEX('因子水準表'!$B$9:$KO$18,10,MATCH(AW$4,'因子水準表'!$B$4:$KO$4,0))&amp;"",""))</f>
        <v/>
      </c>
      <c r="DF15" s="26">
        <f>IF(AX$4="","",IFERROR(INDEX('因子水準表'!$B$9:$KO$18,10,MATCH(AX$4,'因子水準表'!$B$4:$KO$4,0))&amp;"",""))</f>
        <v/>
      </c>
      <c r="DG15" s="26">
        <f>IF(AY$4="","",IFERROR(INDEX('因子水準表'!$B$9:$KO$18,10,MATCH(AY$4,'因子水準表'!$B$4:$KO$4,0))&amp;"",""))</f>
        <v/>
      </c>
      <c r="DH15" s="26">
        <f>IF(AZ$4="","",IFERROR(INDEX('因子水準表'!$B$9:$KO$18,10,MATCH(AZ$4,'因子水準表'!$B$4:$KO$4,0))&amp;"",""))</f>
        <v/>
      </c>
      <c r="DI15" s="26">
        <f>IF(BA$4="","",IFERROR(INDEX('因子水準表'!$B$9:$KO$18,10,MATCH(BA$4,'因子水準表'!$B$4:$KO$4,0))&amp;"",""))</f>
        <v/>
      </c>
      <c r="DJ15" s="26">
        <f>IF(BB$4="","",IFERROR(INDEX('因子水準表'!$B$9:$KO$18,10,MATCH(BB$4,'因子水準表'!$B$4:$KO$4,0))&amp;"",""))</f>
        <v/>
      </c>
      <c r="DK15" s="26">
        <f>IF(BC$4="","",IFERROR(INDEX('因子水準表'!$B$9:$KO$18,10,MATCH(BC$4,'因子水準表'!$B$4:$KO$4,0))&amp;"",""))</f>
        <v/>
      </c>
      <c r="DL15" s="26">
        <f>IF(BD$4="","",IFERROR(INDEX('因子水準表'!$B$9:$KO$18,10,MATCH(BD$4,'因子水準表'!$B$4:$KO$4,0))&amp;"",""))</f>
        <v/>
      </c>
      <c r="DM15" s="26">
        <f>IF('因子水準表'!B38="","",'因子水準表'!B38)</f>
        <v/>
      </c>
      <c r="DN15" s="26">
        <f>IF('テスト条件'!A14="","",'テスト条件'!A14)</f>
        <v/>
      </c>
    </row>
    <row r="16">
      <c r="A16" s="27" t="n"/>
      <c r="B16" s="27" t="n"/>
      <c r="C16" s="28">
        <f>IF(A16="","",$B$2)</f>
        <v/>
      </c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  <c r="AA16" s="27" t="n"/>
      <c r="AB16" s="27" t="n"/>
      <c r="AC16" s="27" t="n"/>
      <c r="AD16" s="27" t="n"/>
      <c r="AE16" s="27" t="n"/>
      <c r="AF16" s="27" t="n"/>
      <c r="AG16" s="27" t="n"/>
      <c r="AH16" s="27" t="n"/>
      <c r="AI16" s="27" t="n"/>
      <c r="AJ16" s="27" t="n"/>
      <c r="AK16" s="27" t="n"/>
      <c r="AL16" s="27" t="n"/>
      <c r="AM16" s="27" t="n"/>
      <c r="AN16" s="27" t="n"/>
      <c r="AO16" s="27" t="n"/>
      <c r="AP16" s="27" t="n"/>
      <c r="AQ16" s="27" t="n"/>
      <c r="AR16" s="27" t="n"/>
      <c r="AS16" s="27" t="n"/>
      <c r="AT16" s="27" t="n"/>
      <c r="AU16" s="27" t="n"/>
      <c r="AV16" s="27" t="n"/>
      <c r="AW16" s="27" t="n"/>
      <c r="AX16" s="27" t="n"/>
      <c r="AY16" s="27" t="n"/>
      <c r="AZ16" s="27" t="n"/>
      <c r="BA16" s="27" t="n"/>
      <c r="BB16" s="27" t="n"/>
      <c r="BC16" s="27" t="n"/>
      <c r="BD16" s="27" t="n"/>
      <c r="BE16" s="27" t="n"/>
      <c r="BF16" s="27" t="n"/>
      <c r="BG16" s="27" t="n"/>
      <c r="BH16" s="27" t="n"/>
      <c r="BI16" s="29" t="n"/>
      <c r="BJ16" s="27" t="n"/>
      <c r="BK16" s="27" t="n"/>
      <c r="BL16" s="27" t="n"/>
      <c r="BM16" s="27" t="n"/>
      <c r="DM16" s="26">
        <f>IF('因子水準表'!B39="","",'因子水準表'!B39)</f>
        <v/>
      </c>
      <c r="DN16" s="26">
        <f>IF('テスト条件'!A15="","",'テスト条件'!A15)</f>
        <v/>
      </c>
    </row>
    <row r="17">
      <c r="A17" s="27" t="n"/>
      <c r="B17" s="27" t="n"/>
      <c r="C17" s="28">
        <f>IF(A17="","",$B$2)</f>
        <v/>
      </c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  <c r="AI17" s="27" t="n"/>
      <c r="AJ17" s="27" t="n"/>
      <c r="AK17" s="27" t="n"/>
      <c r="AL17" s="27" t="n"/>
      <c r="AM17" s="27" t="n"/>
      <c r="AN17" s="27" t="n"/>
      <c r="AO17" s="27" t="n"/>
      <c r="AP17" s="27" t="n"/>
      <c r="AQ17" s="27" t="n"/>
      <c r="AR17" s="27" t="n"/>
      <c r="AS17" s="27" t="n"/>
      <c r="AT17" s="27" t="n"/>
      <c r="AU17" s="27" t="n"/>
      <c r="AV17" s="27" t="n"/>
      <c r="AW17" s="27" t="n"/>
      <c r="AX17" s="27" t="n"/>
      <c r="AY17" s="27" t="n"/>
      <c r="AZ17" s="27" t="n"/>
      <c r="BA17" s="27" t="n"/>
      <c r="BB17" s="27" t="n"/>
      <c r="BC17" s="27" t="n"/>
      <c r="BD17" s="27" t="n"/>
      <c r="BE17" s="27" t="n"/>
      <c r="BF17" s="27" t="n"/>
      <c r="BG17" s="27" t="n"/>
      <c r="BH17" s="27" t="n"/>
      <c r="BI17" s="29" t="n"/>
      <c r="BJ17" s="27" t="n"/>
      <c r="BK17" s="27" t="n"/>
      <c r="BL17" s="27" t="n"/>
      <c r="BM17" s="27" t="n"/>
      <c r="DM17" s="26">
        <f>IF('因子水準表'!B40="","",'因子水準表'!B40)</f>
        <v/>
      </c>
      <c r="DN17" s="26">
        <f>IF('テスト条件'!A16="","",'テスト条件'!A16)</f>
        <v/>
      </c>
    </row>
    <row r="18">
      <c r="A18" s="27" t="n"/>
      <c r="B18" s="27" t="n"/>
      <c r="C18" s="28">
        <f>IF(A18="","",$B$2)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  <c r="AJ18" s="27" t="n"/>
      <c r="AK18" s="27" t="n"/>
      <c r="AL18" s="27" t="n"/>
      <c r="AM18" s="27" t="n"/>
      <c r="AN18" s="27" t="n"/>
      <c r="AO18" s="27" t="n"/>
      <c r="AP18" s="27" t="n"/>
      <c r="AQ18" s="27" t="n"/>
      <c r="AR18" s="27" t="n"/>
      <c r="AS18" s="27" t="n"/>
      <c r="AT18" s="27" t="n"/>
      <c r="AU18" s="27" t="n"/>
      <c r="AV18" s="27" t="n"/>
      <c r="AW18" s="27" t="n"/>
      <c r="AX18" s="27" t="n"/>
      <c r="AY18" s="27" t="n"/>
      <c r="AZ18" s="27" t="n"/>
      <c r="BA18" s="27" t="n"/>
      <c r="BB18" s="27" t="n"/>
      <c r="BC18" s="27" t="n"/>
      <c r="BD18" s="27" t="n"/>
      <c r="BE18" s="27" t="n"/>
      <c r="BF18" s="27" t="n"/>
      <c r="BG18" s="27" t="n"/>
      <c r="BH18" s="27" t="n"/>
      <c r="BI18" s="29" t="n"/>
      <c r="BJ18" s="27" t="n"/>
      <c r="BK18" s="27" t="n"/>
      <c r="BL18" s="27" t="n"/>
      <c r="BM18" s="27" t="n"/>
      <c r="DM18" s="26">
        <f>IF('因子水準表'!B41="","",'因子水準表'!B41)</f>
        <v/>
      </c>
      <c r="DN18" s="26">
        <f>IF('テスト条件'!A17="","",'テスト条件'!A17)</f>
        <v/>
      </c>
    </row>
    <row r="19">
      <c r="A19" s="27" t="n"/>
      <c r="B19" s="27" t="n"/>
      <c r="C19" s="28">
        <f>IF(A19="","",$B$2)</f>
        <v/>
      </c>
      <c r="D19" s="27" t="n"/>
      <c r="E19" s="27" t="n"/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  <c r="AA19" s="27" t="n"/>
      <c r="AB19" s="27" t="n"/>
      <c r="AC19" s="27" t="n"/>
      <c r="AD19" s="27" t="n"/>
      <c r="AE19" s="27" t="n"/>
      <c r="AF19" s="27" t="n"/>
      <c r="AG19" s="27" t="n"/>
      <c r="AH19" s="27" t="n"/>
      <c r="AI19" s="27" t="n"/>
      <c r="AJ19" s="27" t="n"/>
      <c r="AK19" s="27" t="n"/>
      <c r="AL19" s="27" t="n"/>
      <c r="AM19" s="27" t="n"/>
      <c r="AN19" s="27" t="n"/>
      <c r="AO19" s="27" t="n"/>
      <c r="AP19" s="27" t="n"/>
      <c r="AQ19" s="27" t="n"/>
      <c r="AR19" s="27" t="n"/>
      <c r="AS19" s="27" t="n"/>
      <c r="AT19" s="27" t="n"/>
      <c r="AU19" s="27" t="n"/>
      <c r="AV19" s="27" t="n"/>
      <c r="AW19" s="27" t="n"/>
      <c r="AX19" s="27" t="n"/>
      <c r="AY19" s="27" t="n"/>
      <c r="AZ19" s="27" t="n"/>
      <c r="BA19" s="27" t="n"/>
      <c r="BB19" s="27" t="n"/>
      <c r="BC19" s="27" t="n"/>
      <c r="BD19" s="27" t="n"/>
      <c r="BE19" s="27" t="n"/>
      <c r="BF19" s="27" t="n"/>
      <c r="BG19" s="27" t="n"/>
      <c r="BH19" s="27" t="n"/>
      <c r="BI19" s="29" t="n"/>
      <c r="BJ19" s="27" t="n"/>
      <c r="BK19" s="27" t="n"/>
      <c r="BL19" s="27" t="n"/>
      <c r="BM19" s="27" t="n"/>
      <c r="DM19" s="26">
        <f>IF('因子水準表'!B42="","",'因子水準表'!B42)</f>
        <v/>
      </c>
      <c r="DN19" s="26">
        <f>IF('テスト条件'!A18="","",'テスト条件'!A18)</f>
        <v/>
      </c>
    </row>
    <row r="20">
      <c r="A20" s="27" t="n"/>
      <c r="B20" s="27" t="n"/>
      <c r="C20" s="28">
        <f>IF(A20="","",$B$2)</f>
        <v/>
      </c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7" t="n"/>
      <c r="AI20" s="27" t="n"/>
      <c r="AJ20" s="27" t="n"/>
      <c r="AK20" s="27" t="n"/>
      <c r="AL20" s="27" t="n"/>
      <c r="AM20" s="27" t="n"/>
      <c r="AN20" s="27" t="n"/>
      <c r="AO20" s="27" t="n"/>
      <c r="AP20" s="27" t="n"/>
      <c r="AQ20" s="27" t="n"/>
      <c r="AR20" s="27" t="n"/>
      <c r="AS20" s="27" t="n"/>
      <c r="AT20" s="27" t="n"/>
      <c r="AU20" s="27" t="n"/>
      <c r="AV20" s="27" t="n"/>
      <c r="AW20" s="27" t="n"/>
      <c r="AX20" s="27" t="n"/>
      <c r="AY20" s="27" t="n"/>
      <c r="AZ20" s="27" t="n"/>
      <c r="BA20" s="27" t="n"/>
      <c r="BB20" s="27" t="n"/>
      <c r="BC20" s="27" t="n"/>
      <c r="BD20" s="27" t="n"/>
      <c r="BE20" s="27" t="n"/>
      <c r="BF20" s="27" t="n"/>
      <c r="BG20" s="27" t="n"/>
      <c r="BH20" s="27" t="n"/>
      <c r="BI20" s="29" t="n"/>
      <c r="BJ20" s="27" t="n"/>
      <c r="BK20" s="27" t="n"/>
      <c r="BL20" s="27" t="n"/>
      <c r="BM20" s="27" t="n"/>
      <c r="DM20" s="26">
        <f>IF('因子水準表'!B43="","",'因子水準表'!B43)</f>
        <v/>
      </c>
      <c r="DN20" s="26">
        <f>IF('テスト条件'!A19="","",'テスト条件'!A19)</f>
        <v/>
      </c>
    </row>
    <row r="21">
      <c r="A21" s="27" t="n"/>
      <c r="B21" s="27" t="n"/>
      <c r="C21" s="28">
        <f>IF(A21="","",$B$2)</f>
        <v/>
      </c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  <c r="AI21" s="27" t="n"/>
      <c r="AJ21" s="27" t="n"/>
      <c r="AK21" s="27" t="n"/>
      <c r="AL21" s="27" t="n"/>
      <c r="AM21" s="27" t="n"/>
      <c r="AN21" s="27" t="n"/>
      <c r="AO21" s="27" t="n"/>
      <c r="AP21" s="27" t="n"/>
      <c r="AQ21" s="27" t="n"/>
      <c r="AR21" s="27" t="n"/>
      <c r="AS21" s="27" t="n"/>
      <c r="AT21" s="27" t="n"/>
      <c r="AU21" s="27" t="n"/>
      <c r="AV21" s="27" t="n"/>
      <c r="AW21" s="27" t="n"/>
      <c r="AX21" s="27" t="n"/>
      <c r="AY21" s="27" t="n"/>
      <c r="AZ21" s="27" t="n"/>
      <c r="BA21" s="27" t="n"/>
      <c r="BB21" s="27" t="n"/>
      <c r="BC21" s="27" t="n"/>
      <c r="BD21" s="27" t="n"/>
      <c r="BE21" s="27" t="n"/>
      <c r="BF21" s="27" t="n"/>
      <c r="BG21" s="27" t="n"/>
      <c r="BH21" s="27" t="n"/>
      <c r="BI21" s="29" t="n"/>
      <c r="BJ21" s="27" t="n"/>
      <c r="BK21" s="27" t="n"/>
      <c r="BL21" s="27" t="n"/>
      <c r="BM21" s="27" t="n"/>
      <c r="DM21" s="26">
        <f>IF('因子水準表'!B44="","",'因子水準表'!B44)</f>
        <v/>
      </c>
      <c r="DN21" s="26">
        <f>IF('テスト条件'!A20="","",'テスト条件'!A20)</f>
        <v/>
      </c>
    </row>
    <row r="22">
      <c r="A22" s="27" t="n"/>
      <c r="B22" s="27" t="n"/>
      <c r="C22" s="28">
        <f>IF(A22="","",$B$2)</f>
        <v/>
      </c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  <c r="AA22" s="27" t="n"/>
      <c r="AB22" s="27" t="n"/>
      <c r="AC22" s="27" t="n"/>
      <c r="AD22" s="27" t="n"/>
      <c r="AE22" s="27" t="n"/>
      <c r="AF22" s="27" t="n"/>
      <c r="AG22" s="27" t="n"/>
      <c r="AH22" s="27" t="n"/>
      <c r="AI22" s="27" t="n"/>
      <c r="AJ22" s="27" t="n"/>
      <c r="AK22" s="27" t="n"/>
      <c r="AL22" s="27" t="n"/>
      <c r="AM22" s="27" t="n"/>
      <c r="AN22" s="27" t="n"/>
      <c r="AO22" s="27" t="n"/>
      <c r="AP22" s="27" t="n"/>
      <c r="AQ22" s="27" t="n"/>
      <c r="AR22" s="27" t="n"/>
      <c r="AS22" s="27" t="n"/>
      <c r="AT22" s="27" t="n"/>
      <c r="AU22" s="27" t="n"/>
      <c r="AV22" s="27" t="n"/>
      <c r="AW22" s="27" t="n"/>
      <c r="AX22" s="27" t="n"/>
      <c r="AY22" s="27" t="n"/>
      <c r="AZ22" s="27" t="n"/>
      <c r="BA22" s="27" t="n"/>
      <c r="BB22" s="27" t="n"/>
      <c r="BC22" s="27" t="n"/>
      <c r="BD22" s="27" t="n"/>
      <c r="BE22" s="27" t="n"/>
      <c r="BF22" s="27" t="n"/>
      <c r="BG22" s="27" t="n"/>
      <c r="BH22" s="27" t="n"/>
      <c r="BI22" s="29" t="n"/>
      <c r="BJ22" s="27" t="n"/>
      <c r="BK22" s="27" t="n"/>
      <c r="BL22" s="27" t="n"/>
      <c r="BM22" s="27" t="n"/>
      <c r="DM22" s="26">
        <f>IF('因子水準表'!B45="","",'因子水準表'!B45)</f>
        <v/>
      </c>
      <c r="DN22" s="26">
        <f>IF('テスト条件'!A21="","",'テスト条件'!A21)</f>
        <v/>
      </c>
    </row>
    <row r="23">
      <c r="A23" s="27" t="n"/>
      <c r="B23" s="27" t="n"/>
      <c r="C23" s="28">
        <f>IF(A23="","",$B$2)</f>
        <v/>
      </c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  <c r="AI23" s="27" t="n"/>
      <c r="AJ23" s="27" t="n"/>
      <c r="AK23" s="27" t="n"/>
      <c r="AL23" s="27" t="n"/>
      <c r="AM23" s="27" t="n"/>
      <c r="AN23" s="27" t="n"/>
      <c r="AO23" s="27" t="n"/>
      <c r="AP23" s="27" t="n"/>
      <c r="AQ23" s="27" t="n"/>
      <c r="AR23" s="27" t="n"/>
      <c r="AS23" s="27" t="n"/>
      <c r="AT23" s="27" t="n"/>
      <c r="AU23" s="27" t="n"/>
      <c r="AV23" s="27" t="n"/>
      <c r="AW23" s="27" t="n"/>
      <c r="AX23" s="27" t="n"/>
      <c r="AY23" s="27" t="n"/>
      <c r="AZ23" s="27" t="n"/>
      <c r="BA23" s="27" t="n"/>
      <c r="BB23" s="27" t="n"/>
      <c r="BC23" s="27" t="n"/>
      <c r="BD23" s="27" t="n"/>
      <c r="BE23" s="27" t="n"/>
      <c r="BF23" s="27" t="n"/>
      <c r="BG23" s="27" t="n"/>
      <c r="BH23" s="27" t="n"/>
      <c r="BI23" s="29" t="n"/>
      <c r="BJ23" s="27" t="n"/>
      <c r="BK23" s="27" t="n"/>
      <c r="BL23" s="27" t="n"/>
      <c r="BM23" s="27" t="n"/>
      <c r="DM23" s="26">
        <f>IF('因子水準表'!B46="","",'因子水準表'!B46)</f>
        <v/>
      </c>
      <c r="DN23" s="26">
        <f>IF('テスト条件'!A22="","",'テスト条件'!A22)</f>
        <v/>
      </c>
    </row>
    <row r="24">
      <c r="A24" s="27" t="n"/>
      <c r="B24" s="27" t="n"/>
      <c r="C24" s="28">
        <f>IF(A24="","",$B$2)</f>
        <v/>
      </c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7" t="n"/>
      <c r="AB24" s="27" t="n"/>
      <c r="AC24" s="27" t="n"/>
      <c r="AD24" s="27" t="n"/>
      <c r="AE24" s="27" t="n"/>
      <c r="AF24" s="27" t="n"/>
      <c r="AG24" s="27" t="n"/>
      <c r="AH24" s="27" t="n"/>
      <c r="AI24" s="27" t="n"/>
      <c r="AJ24" s="27" t="n"/>
      <c r="AK24" s="27" t="n"/>
      <c r="AL24" s="27" t="n"/>
      <c r="AM24" s="27" t="n"/>
      <c r="AN24" s="27" t="n"/>
      <c r="AO24" s="27" t="n"/>
      <c r="AP24" s="27" t="n"/>
      <c r="AQ24" s="27" t="n"/>
      <c r="AR24" s="27" t="n"/>
      <c r="AS24" s="27" t="n"/>
      <c r="AT24" s="27" t="n"/>
      <c r="AU24" s="27" t="n"/>
      <c r="AV24" s="27" t="n"/>
      <c r="AW24" s="27" t="n"/>
      <c r="AX24" s="27" t="n"/>
      <c r="AY24" s="27" t="n"/>
      <c r="AZ24" s="27" t="n"/>
      <c r="BA24" s="27" t="n"/>
      <c r="BB24" s="27" t="n"/>
      <c r="BC24" s="27" t="n"/>
      <c r="BD24" s="27" t="n"/>
      <c r="BE24" s="27" t="n"/>
      <c r="BF24" s="27" t="n"/>
      <c r="BG24" s="27" t="n"/>
      <c r="BH24" s="27" t="n"/>
      <c r="BI24" s="29" t="n"/>
      <c r="BJ24" s="27" t="n"/>
      <c r="BK24" s="27" t="n"/>
      <c r="BL24" s="27" t="n"/>
      <c r="BM24" s="27" t="n"/>
      <c r="DM24" s="26">
        <f>IF('因子水準表'!B47="","",'因子水準表'!B47)</f>
        <v/>
      </c>
      <c r="DN24" s="26">
        <f>IF('テスト条件'!A23="","",'テスト条件'!A23)</f>
        <v/>
      </c>
    </row>
    <row r="25">
      <c r="A25" s="27" t="n"/>
      <c r="B25" s="27" t="n"/>
      <c r="C25" s="28">
        <f>IF(A25="","",$B$2)</f>
        <v/>
      </c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  <c r="AI25" s="27" t="n"/>
      <c r="AJ25" s="27" t="n"/>
      <c r="AK25" s="27" t="n"/>
      <c r="AL25" s="27" t="n"/>
      <c r="AM25" s="27" t="n"/>
      <c r="AN25" s="27" t="n"/>
      <c r="AO25" s="27" t="n"/>
      <c r="AP25" s="27" t="n"/>
      <c r="AQ25" s="27" t="n"/>
      <c r="AR25" s="27" t="n"/>
      <c r="AS25" s="27" t="n"/>
      <c r="AT25" s="27" t="n"/>
      <c r="AU25" s="27" t="n"/>
      <c r="AV25" s="27" t="n"/>
      <c r="AW25" s="27" t="n"/>
      <c r="AX25" s="27" t="n"/>
      <c r="AY25" s="27" t="n"/>
      <c r="AZ25" s="27" t="n"/>
      <c r="BA25" s="27" t="n"/>
      <c r="BB25" s="27" t="n"/>
      <c r="BC25" s="27" t="n"/>
      <c r="BD25" s="27" t="n"/>
      <c r="BE25" s="27" t="n"/>
      <c r="BF25" s="27" t="n"/>
      <c r="BG25" s="27" t="n"/>
      <c r="BH25" s="27" t="n"/>
      <c r="BI25" s="29" t="n"/>
      <c r="BJ25" s="27" t="n"/>
      <c r="BK25" s="27" t="n"/>
      <c r="BL25" s="27" t="n"/>
      <c r="BM25" s="27" t="n"/>
      <c r="DM25" s="26">
        <f>IF('因子水準表'!B48="","",'因子水準表'!B48)</f>
        <v/>
      </c>
      <c r="DN25" s="26">
        <f>IF('テスト条件'!A24="","",'テスト条件'!A24)</f>
        <v/>
      </c>
    </row>
    <row r="26">
      <c r="A26" s="27" t="n"/>
      <c r="B26" s="27" t="n"/>
      <c r="C26" s="28">
        <f>IF(A26="","",$B$2)</f>
        <v/>
      </c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  <c r="AA26" s="27" t="n"/>
      <c r="AB26" s="27" t="n"/>
      <c r="AC26" s="27" t="n"/>
      <c r="AD26" s="27" t="n"/>
      <c r="AE26" s="27" t="n"/>
      <c r="AF26" s="27" t="n"/>
      <c r="AG26" s="27" t="n"/>
      <c r="AH26" s="27" t="n"/>
      <c r="AI26" s="27" t="n"/>
      <c r="AJ26" s="27" t="n"/>
      <c r="AK26" s="27" t="n"/>
      <c r="AL26" s="27" t="n"/>
      <c r="AM26" s="27" t="n"/>
      <c r="AN26" s="27" t="n"/>
      <c r="AO26" s="27" t="n"/>
      <c r="AP26" s="27" t="n"/>
      <c r="AQ26" s="27" t="n"/>
      <c r="AR26" s="27" t="n"/>
      <c r="AS26" s="27" t="n"/>
      <c r="AT26" s="27" t="n"/>
      <c r="AU26" s="27" t="n"/>
      <c r="AV26" s="27" t="n"/>
      <c r="AW26" s="27" t="n"/>
      <c r="AX26" s="27" t="n"/>
      <c r="AY26" s="27" t="n"/>
      <c r="AZ26" s="27" t="n"/>
      <c r="BA26" s="27" t="n"/>
      <c r="BB26" s="27" t="n"/>
      <c r="BC26" s="27" t="n"/>
      <c r="BD26" s="27" t="n"/>
      <c r="BE26" s="27" t="n"/>
      <c r="BF26" s="27" t="n"/>
      <c r="BG26" s="27" t="n"/>
      <c r="BH26" s="27" t="n"/>
      <c r="BI26" s="29" t="n"/>
      <c r="BJ26" s="27" t="n"/>
      <c r="BK26" s="27" t="n"/>
      <c r="BL26" s="27" t="n"/>
      <c r="BM26" s="27" t="n"/>
      <c r="DM26" s="26">
        <f>IF('因子水準表'!B49="","",'因子水準表'!B49)</f>
        <v/>
      </c>
      <c r="DN26" s="26">
        <f>IF('テスト条件'!A25="","",'テスト条件'!A25)</f>
        <v/>
      </c>
    </row>
    <row r="27">
      <c r="A27" s="27" t="n"/>
      <c r="B27" s="27" t="n"/>
      <c r="C27" s="28">
        <f>IF(A27="","",$B$2)</f>
        <v/>
      </c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  <c r="AI27" s="27" t="n"/>
      <c r="AJ27" s="27" t="n"/>
      <c r="AK27" s="27" t="n"/>
      <c r="AL27" s="27" t="n"/>
      <c r="AM27" s="27" t="n"/>
      <c r="AN27" s="27" t="n"/>
      <c r="AO27" s="27" t="n"/>
      <c r="AP27" s="27" t="n"/>
      <c r="AQ27" s="27" t="n"/>
      <c r="AR27" s="27" t="n"/>
      <c r="AS27" s="27" t="n"/>
      <c r="AT27" s="27" t="n"/>
      <c r="AU27" s="27" t="n"/>
      <c r="AV27" s="27" t="n"/>
      <c r="AW27" s="27" t="n"/>
      <c r="AX27" s="27" t="n"/>
      <c r="AY27" s="27" t="n"/>
      <c r="AZ27" s="27" t="n"/>
      <c r="BA27" s="27" t="n"/>
      <c r="BB27" s="27" t="n"/>
      <c r="BC27" s="27" t="n"/>
      <c r="BD27" s="27" t="n"/>
      <c r="BE27" s="27" t="n"/>
      <c r="BF27" s="27" t="n"/>
      <c r="BG27" s="27" t="n"/>
      <c r="BH27" s="27" t="n"/>
      <c r="BI27" s="29" t="n"/>
      <c r="BJ27" s="27" t="n"/>
      <c r="BK27" s="27" t="n"/>
      <c r="BL27" s="27" t="n"/>
      <c r="BM27" s="27" t="n"/>
      <c r="DM27" s="26">
        <f>IF('因子水準表'!B50="","",'因子水準表'!B50)</f>
        <v/>
      </c>
      <c r="DN27" s="26">
        <f>IF('テスト条件'!A26="","",'テスト条件'!A26)</f>
        <v/>
      </c>
    </row>
    <row r="28">
      <c r="A28" s="27" t="n"/>
      <c r="B28" s="27" t="n"/>
      <c r="C28" s="28">
        <f>IF(A28="","",$B$2)</f>
        <v/>
      </c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  <c r="AA28" s="27" t="n"/>
      <c r="AB28" s="27" t="n"/>
      <c r="AC28" s="27" t="n"/>
      <c r="AD28" s="27" t="n"/>
      <c r="AE28" s="27" t="n"/>
      <c r="AF28" s="27" t="n"/>
      <c r="AG28" s="27" t="n"/>
      <c r="AH28" s="27" t="n"/>
      <c r="AI28" s="27" t="n"/>
      <c r="AJ28" s="27" t="n"/>
      <c r="AK28" s="27" t="n"/>
      <c r="AL28" s="27" t="n"/>
      <c r="AM28" s="27" t="n"/>
      <c r="AN28" s="27" t="n"/>
      <c r="AO28" s="27" t="n"/>
      <c r="AP28" s="27" t="n"/>
      <c r="AQ28" s="27" t="n"/>
      <c r="AR28" s="27" t="n"/>
      <c r="AS28" s="27" t="n"/>
      <c r="AT28" s="27" t="n"/>
      <c r="AU28" s="27" t="n"/>
      <c r="AV28" s="27" t="n"/>
      <c r="AW28" s="27" t="n"/>
      <c r="AX28" s="27" t="n"/>
      <c r="AY28" s="27" t="n"/>
      <c r="AZ28" s="27" t="n"/>
      <c r="BA28" s="27" t="n"/>
      <c r="BB28" s="27" t="n"/>
      <c r="BC28" s="27" t="n"/>
      <c r="BD28" s="27" t="n"/>
      <c r="BE28" s="27" t="n"/>
      <c r="BF28" s="27" t="n"/>
      <c r="BG28" s="27" t="n"/>
      <c r="BH28" s="27" t="n"/>
      <c r="BI28" s="29" t="n"/>
      <c r="BJ28" s="27" t="n"/>
      <c r="BK28" s="27" t="n"/>
      <c r="BL28" s="27" t="n"/>
      <c r="BM28" s="27" t="n"/>
      <c r="DM28" s="26">
        <f>IF('因子水準表'!B51="","",'因子水準表'!B51)</f>
        <v/>
      </c>
      <c r="DN28" s="26">
        <f>IF('テスト条件'!A27="","",'テスト条件'!A27)</f>
        <v/>
      </c>
    </row>
    <row r="29">
      <c r="A29" s="27" t="n"/>
      <c r="B29" s="27" t="n"/>
      <c r="C29" s="28">
        <f>IF(A29="","",$B$2)</f>
        <v/>
      </c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  <c r="AI29" s="27" t="n"/>
      <c r="AJ29" s="27" t="n"/>
      <c r="AK29" s="27" t="n"/>
      <c r="AL29" s="27" t="n"/>
      <c r="AM29" s="27" t="n"/>
      <c r="AN29" s="27" t="n"/>
      <c r="AO29" s="27" t="n"/>
      <c r="AP29" s="27" t="n"/>
      <c r="AQ29" s="27" t="n"/>
      <c r="AR29" s="27" t="n"/>
      <c r="AS29" s="27" t="n"/>
      <c r="AT29" s="27" t="n"/>
      <c r="AU29" s="27" t="n"/>
      <c r="AV29" s="27" t="n"/>
      <c r="AW29" s="27" t="n"/>
      <c r="AX29" s="27" t="n"/>
      <c r="AY29" s="27" t="n"/>
      <c r="AZ29" s="27" t="n"/>
      <c r="BA29" s="27" t="n"/>
      <c r="BB29" s="27" t="n"/>
      <c r="BC29" s="27" t="n"/>
      <c r="BD29" s="27" t="n"/>
      <c r="BE29" s="27" t="n"/>
      <c r="BF29" s="27" t="n"/>
      <c r="BG29" s="27" t="n"/>
      <c r="BH29" s="27" t="n"/>
      <c r="BI29" s="29" t="n"/>
      <c r="BJ29" s="27" t="n"/>
      <c r="BK29" s="27" t="n"/>
      <c r="BL29" s="27" t="n"/>
      <c r="BM29" s="27" t="n"/>
      <c r="DM29" s="26">
        <f>IF('因子水準表'!B52="","",'因子水準表'!B52)</f>
        <v/>
      </c>
      <c r="DN29" s="26">
        <f>IF('テスト条件'!A28="","",'テスト条件'!A28)</f>
        <v/>
      </c>
    </row>
    <row r="30">
      <c r="A30" s="27" t="n"/>
      <c r="B30" s="27" t="n"/>
      <c r="C30" s="28">
        <f>IF(A30="","",$B$2)</f>
        <v/>
      </c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7" t="n"/>
      <c r="AF30" s="27" t="n"/>
      <c r="AG30" s="27" t="n"/>
      <c r="AH30" s="27" t="n"/>
      <c r="AI30" s="27" t="n"/>
      <c r="AJ30" s="27" t="n"/>
      <c r="AK30" s="27" t="n"/>
      <c r="AL30" s="27" t="n"/>
      <c r="AM30" s="27" t="n"/>
      <c r="AN30" s="27" t="n"/>
      <c r="AO30" s="27" t="n"/>
      <c r="AP30" s="27" t="n"/>
      <c r="AQ30" s="27" t="n"/>
      <c r="AR30" s="27" t="n"/>
      <c r="AS30" s="27" t="n"/>
      <c r="AT30" s="27" t="n"/>
      <c r="AU30" s="27" t="n"/>
      <c r="AV30" s="27" t="n"/>
      <c r="AW30" s="27" t="n"/>
      <c r="AX30" s="27" t="n"/>
      <c r="AY30" s="27" t="n"/>
      <c r="AZ30" s="27" t="n"/>
      <c r="BA30" s="27" t="n"/>
      <c r="BB30" s="27" t="n"/>
      <c r="BC30" s="27" t="n"/>
      <c r="BD30" s="27" t="n"/>
      <c r="BE30" s="27" t="n"/>
      <c r="BF30" s="27" t="n"/>
      <c r="BG30" s="27" t="n"/>
      <c r="BH30" s="27" t="n"/>
      <c r="BI30" s="29" t="n"/>
      <c r="BJ30" s="27" t="n"/>
      <c r="BK30" s="27" t="n"/>
      <c r="BL30" s="27" t="n"/>
      <c r="BM30" s="27" t="n"/>
      <c r="DM30" s="26">
        <f>IF('因子水準表'!B53="","",'因子水準表'!B53)</f>
        <v/>
      </c>
      <c r="DN30" s="26">
        <f>IF('テスト条件'!A29="","",'テスト条件'!A29)</f>
        <v/>
      </c>
    </row>
    <row r="31">
      <c r="A31" s="27" t="n"/>
      <c r="B31" s="27" t="n"/>
      <c r="C31" s="28">
        <f>IF(A31="","",$B$2)</f>
        <v/>
      </c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27" t="n"/>
      <c r="AJ31" s="27" t="n"/>
      <c r="AK31" s="27" t="n"/>
      <c r="AL31" s="27" t="n"/>
      <c r="AM31" s="27" t="n"/>
      <c r="AN31" s="27" t="n"/>
      <c r="AO31" s="27" t="n"/>
      <c r="AP31" s="27" t="n"/>
      <c r="AQ31" s="27" t="n"/>
      <c r="AR31" s="27" t="n"/>
      <c r="AS31" s="27" t="n"/>
      <c r="AT31" s="27" t="n"/>
      <c r="AU31" s="27" t="n"/>
      <c r="AV31" s="27" t="n"/>
      <c r="AW31" s="27" t="n"/>
      <c r="AX31" s="27" t="n"/>
      <c r="AY31" s="27" t="n"/>
      <c r="AZ31" s="27" t="n"/>
      <c r="BA31" s="27" t="n"/>
      <c r="BB31" s="27" t="n"/>
      <c r="BC31" s="27" t="n"/>
      <c r="BD31" s="27" t="n"/>
      <c r="BE31" s="27" t="n"/>
      <c r="BF31" s="27" t="n"/>
      <c r="BG31" s="27" t="n"/>
      <c r="BH31" s="27" t="n"/>
      <c r="BI31" s="29" t="n"/>
      <c r="BJ31" s="27" t="n"/>
      <c r="BK31" s="27" t="n"/>
      <c r="BL31" s="27" t="n"/>
      <c r="BM31" s="27" t="n"/>
      <c r="DM31" s="26">
        <f>IF('因子水準表'!B54="","",'因子水準表'!B54)</f>
        <v/>
      </c>
      <c r="DN31" s="26">
        <f>IF('テスト条件'!A30="","",'テスト条件'!A30)</f>
        <v/>
      </c>
    </row>
    <row r="32">
      <c r="A32" s="27" t="n"/>
      <c r="B32" s="27" t="n"/>
      <c r="C32" s="28">
        <f>IF(A32="","",$B$2)</f>
        <v/>
      </c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27" t="n"/>
      <c r="AJ32" s="27" t="n"/>
      <c r="AK32" s="27" t="n"/>
      <c r="AL32" s="27" t="n"/>
      <c r="AM32" s="27" t="n"/>
      <c r="AN32" s="27" t="n"/>
      <c r="AO32" s="27" t="n"/>
      <c r="AP32" s="27" t="n"/>
      <c r="AQ32" s="27" t="n"/>
      <c r="AR32" s="27" t="n"/>
      <c r="AS32" s="27" t="n"/>
      <c r="AT32" s="27" t="n"/>
      <c r="AU32" s="27" t="n"/>
      <c r="AV32" s="27" t="n"/>
      <c r="AW32" s="27" t="n"/>
      <c r="AX32" s="27" t="n"/>
      <c r="AY32" s="27" t="n"/>
      <c r="AZ32" s="27" t="n"/>
      <c r="BA32" s="27" t="n"/>
      <c r="BB32" s="27" t="n"/>
      <c r="BC32" s="27" t="n"/>
      <c r="BD32" s="27" t="n"/>
      <c r="BE32" s="27" t="n"/>
      <c r="BF32" s="27" t="n"/>
      <c r="BG32" s="27" t="n"/>
      <c r="BH32" s="27" t="n"/>
      <c r="BI32" s="29" t="n"/>
      <c r="BJ32" s="27" t="n"/>
      <c r="BK32" s="27" t="n"/>
      <c r="BL32" s="27" t="n"/>
      <c r="BM32" s="27" t="n"/>
      <c r="DM32" s="26">
        <f>IF('因子水準表'!B55="","",'因子水準表'!B55)</f>
        <v/>
      </c>
      <c r="DN32" s="26">
        <f>IF('テスト条件'!A31="","",'テスト条件'!A31)</f>
        <v/>
      </c>
    </row>
    <row r="33">
      <c r="A33" s="27" t="n"/>
      <c r="B33" s="27" t="n"/>
      <c r="C33" s="28">
        <f>IF(A33="","",$B$2)</f>
        <v/>
      </c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  <c r="AJ33" s="27" t="n"/>
      <c r="AK33" s="27" t="n"/>
      <c r="AL33" s="27" t="n"/>
      <c r="AM33" s="27" t="n"/>
      <c r="AN33" s="27" t="n"/>
      <c r="AO33" s="27" t="n"/>
      <c r="AP33" s="27" t="n"/>
      <c r="AQ33" s="27" t="n"/>
      <c r="AR33" s="27" t="n"/>
      <c r="AS33" s="27" t="n"/>
      <c r="AT33" s="27" t="n"/>
      <c r="AU33" s="27" t="n"/>
      <c r="AV33" s="27" t="n"/>
      <c r="AW33" s="27" t="n"/>
      <c r="AX33" s="27" t="n"/>
      <c r="AY33" s="27" t="n"/>
      <c r="AZ33" s="27" t="n"/>
      <c r="BA33" s="27" t="n"/>
      <c r="BB33" s="27" t="n"/>
      <c r="BC33" s="27" t="n"/>
      <c r="BD33" s="27" t="n"/>
      <c r="BE33" s="27" t="n"/>
      <c r="BF33" s="27" t="n"/>
      <c r="BG33" s="27" t="n"/>
      <c r="BH33" s="27" t="n"/>
      <c r="BI33" s="29" t="n"/>
      <c r="BJ33" s="27" t="n"/>
      <c r="BK33" s="27" t="n"/>
      <c r="BL33" s="27" t="n"/>
      <c r="BM33" s="27" t="n"/>
      <c r="DM33" s="26">
        <f>IF('因子水準表'!B56="","",'因子水準表'!B56)</f>
        <v/>
      </c>
      <c r="DN33" s="26">
        <f>IF('テスト条件'!A32="","",'テスト条件'!A32)</f>
        <v/>
      </c>
    </row>
    <row r="34">
      <c r="A34" s="27" t="n"/>
      <c r="B34" s="27" t="n"/>
      <c r="C34" s="28">
        <f>IF(A34="","",$B$2)</f>
        <v/>
      </c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  <c r="AJ34" s="27" t="n"/>
      <c r="AK34" s="27" t="n"/>
      <c r="AL34" s="27" t="n"/>
      <c r="AM34" s="27" t="n"/>
      <c r="AN34" s="27" t="n"/>
      <c r="AO34" s="27" t="n"/>
      <c r="AP34" s="27" t="n"/>
      <c r="AQ34" s="27" t="n"/>
      <c r="AR34" s="27" t="n"/>
      <c r="AS34" s="27" t="n"/>
      <c r="AT34" s="27" t="n"/>
      <c r="AU34" s="27" t="n"/>
      <c r="AV34" s="27" t="n"/>
      <c r="AW34" s="27" t="n"/>
      <c r="AX34" s="27" t="n"/>
      <c r="AY34" s="27" t="n"/>
      <c r="AZ34" s="27" t="n"/>
      <c r="BA34" s="27" t="n"/>
      <c r="BB34" s="27" t="n"/>
      <c r="BC34" s="27" t="n"/>
      <c r="BD34" s="27" t="n"/>
      <c r="BE34" s="27" t="n"/>
      <c r="BF34" s="27" t="n"/>
      <c r="BG34" s="27" t="n"/>
      <c r="BH34" s="27" t="n"/>
      <c r="BI34" s="29" t="n"/>
      <c r="BJ34" s="27" t="n"/>
      <c r="BK34" s="27" t="n"/>
      <c r="BL34" s="27" t="n"/>
      <c r="BM34" s="27" t="n"/>
      <c r="DM34" s="26">
        <f>IF('因子水準表'!B57="","",'因子水準表'!B57)</f>
        <v/>
      </c>
      <c r="DN34" s="26">
        <f>IF('テスト条件'!A33="","",'テスト条件'!A33)</f>
        <v/>
      </c>
    </row>
    <row r="35">
      <c r="A35" s="27" t="n"/>
      <c r="B35" s="27" t="n"/>
      <c r="C35" s="28">
        <f>IF(A35="","",$B$2)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27" t="n"/>
      <c r="AJ35" s="27" t="n"/>
      <c r="AK35" s="27" t="n"/>
      <c r="AL35" s="27" t="n"/>
      <c r="AM35" s="27" t="n"/>
      <c r="AN35" s="27" t="n"/>
      <c r="AO35" s="27" t="n"/>
      <c r="AP35" s="27" t="n"/>
      <c r="AQ35" s="27" t="n"/>
      <c r="AR35" s="27" t="n"/>
      <c r="AS35" s="27" t="n"/>
      <c r="AT35" s="27" t="n"/>
      <c r="AU35" s="27" t="n"/>
      <c r="AV35" s="27" t="n"/>
      <c r="AW35" s="27" t="n"/>
      <c r="AX35" s="27" t="n"/>
      <c r="AY35" s="27" t="n"/>
      <c r="AZ35" s="27" t="n"/>
      <c r="BA35" s="27" t="n"/>
      <c r="BB35" s="27" t="n"/>
      <c r="BC35" s="27" t="n"/>
      <c r="BD35" s="27" t="n"/>
      <c r="BE35" s="27" t="n"/>
      <c r="BF35" s="27" t="n"/>
      <c r="BG35" s="27" t="n"/>
      <c r="BH35" s="27" t="n"/>
      <c r="BI35" s="29" t="n"/>
      <c r="BJ35" s="27" t="n"/>
      <c r="BK35" s="27" t="n"/>
      <c r="BL35" s="27" t="n"/>
      <c r="BM35" s="27" t="n"/>
      <c r="DM35" s="26">
        <f>IF('因子水準表'!B58="","",'因子水準表'!B58)</f>
        <v/>
      </c>
      <c r="DN35" s="26">
        <f>IF('テスト条件'!A34="","",'テスト条件'!A34)</f>
        <v/>
      </c>
    </row>
    <row r="36">
      <c r="A36" s="27" t="n"/>
      <c r="B36" s="27" t="n"/>
      <c r="C36" s="28">
        <f>IF(A36="","",$B$2)</f>
        <v/>
      </c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27" t="n"/>
      <c r="AJ36" s="27" t="n"/>
      <c r="AK36" s="27" t="n"/>
      <c r="AL36" s="27" t="n"/>
      <c r="AM36" s="27" t="n"/>
      <c r="AN36" s="27" t="n"/>
      <c r="AO36" s="27" t="n"/>
      <c r="AP36" s="27" t="n"/>
      <c r="AQ36" s="27" t="n"/>
      <c r="AR36" s="27" t="n"/>
      <c r="AS36" s="27" t="n"/>
      <c r="AT36" s="27" t="n"/>
      <c r="AU36" s="27" t="n"/>
      <c r="AV36" s="27" t="n"/>
      <c r="AW36" s="27" t="n"/>
      <c r="AX36" s="27" t="n"/>
      <c r="AY36" s="27" t="n"/>
      <c r="AZ36" s="27" t="n"/>
      <c r="BA36" s="27" t="n"/>
      <c r="BB36" s="27" t="n"/>
      <c r="BC36" s="27" t="n"/>
      <c r="BD36" s="27" t="n"/>
      <c r="BE36" s="27" t="n"/>
      <c r="BF36" s="27" t="n"/>
      <c r="BG36" s="27" t="n"/>
      <c r="BH36" s="27" t="n"/>
      <c r="BI36" s="29" t="n"/>
      <c r="BJ36" s="27" t="n"/>
      <c r="BK36" s="27" t="n"/>
      <c r="BL36" s="27" t="n"/>
      <c r="BM36" s="27" t="n"/>
      <c r="DN36" s="26">
        <f>IF('テスト条件'!A35="","",'テスト条件'!A35)</f>
        <v/>
      </c>
    </row>
    <row r="37">
      <c r="A37" s="27" t="n"/>
      <c r="B37" s="27" t="n"/>
      <c r="C37" s="28">
        <f>IF(A37="","",$B$2)</f>
        <v/>
      </c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27" t="n"/>
      <c r="AJ37" s="27" t="n"/>
      <c r="AK37" s="27" t="n"/>
      <c r="AL37" s="27" t="n"/>
      <c r="AM37" s="27" t="n"/>
      <c r="AN37" s="27" t="n"/>
      <c r="AO37" s="27" t="n"/>
      <c r="AP37" s="27" t="n"/>
      <c r="AQ37" s="27" t="n"/>
      <c r="AR37" s="27" t="n"/>
      <c r="AS37" s="27" t="n"/>
      <c r="AT37" s="27" t="n"/>
      <c r="AU37" s="27" t="n"/>
      <c r="AV37" s="27" t="n"/>
      <c r="AW37" s="27" t="n"/>
      <c r="AX37" s="27" t="n"/>
      <c r="AY37" s="27" t="n"/>
      <c r="AZ37" s="27" t="n"/>
      <c r="BA37" s="27" t="n"/>
      <c r="BB37" s="27" t="n"/>
      <c r="BC37" s="27" t="n"/>
      <c r="BD37" s="27" t="n"/>
      <c r="BE37" s="27" t="n"/>
      <c r="BF37" s="27" t="n"/>
      <c r="BG37" s="27" t="n"/>
      <c r="BH37" s="27" t="n"/>
      <c r="BI37" s="29" t="n"/>
      <c r="BJ37" s="27" t="n"/>
      <c r="BK37" s="27" t="n"/>
      <c r="BL37" s="27" t="n"/>
      <c r="BM37" s="27" t="n"/>
      <c r="DN37" s="26">
        <f>IF('テスト条件'!A36="","",'テスト条件'!A36)</f>
        <v/>
      </c>
    </row>
    <row r="38">
      <c r="A38" s="27" t="n"/>
      <c r="B38" s="27" t="n"/>
      <c r="C38" s="28">
        <f>IF(A38="","",$B$2)</f>
        <v/>
      </c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27" t="n"/>
      <c r="AJ38" s="27" t="n"/>
      <c r="AK38" s="27" t="n"/>
      <c r="AL38" s="27" t="n"/>
      <c r="AM38" s="27" t="n"/>
      <c r="AN38" s="27" t="n"/>
      <c r="AO38" s="27" t="n"/>
      <c r="AP38" s="27" t="n"/>
      <c r="AQ38" s="27" t="n"/>
      <c r="AR38" s="27" t="n"/>
      <c r="AS38" s="27" t="n"/>
      <c r="AT38" s="27" t="n"/>
      <c r="AU38" s="27" t="n"/>
      <c r="AV38" s="27" t="n"/>
      <c r="AW38" s="27" t="n"/>
      <c r="AX38" s="27" t="n"/>
      <c r="AY38" s="27" t="n"/>
      <c r="AZ38" s="27" t="n"/>
      <c r="BA38" s="27" t="n"/>
      <c r="BB38" s="27" t="n"/>
      <c r="BC38" s="27" t="n"/>
      <c r="BD38" s="27" t="n"/>
      <c r="BE38" s="27" t="n"/>
      <c r="BF38" s="27" t="n"/>
      <c r="BG38" s="27" t="n"/>
      <c r="BH38" s="27" t="n"/>
      <c r="BI38" s="29" t="n"/>
      <c r="BJ38" s="27" t="n"/>
      <c r="BK38" s="27" t="n"/>
      <c r="BL38" s="27" t="n"/>
      <c r="BM38" s="27" t="n"/>
      <c r="DN38" s="26">
        <f>IF('テスト条件'!A37="","",'テスト条件'!A37)</f>
        <v/>
      </c>
    </row>
    <row r="39">
      <c r="A39" s="27" t="n"/>
      <c r="B39" s="27" t="n"/>
      <c r="C39" s="28">
        <f>IF(A39="","",$B$2)</f>
        <v/>
      </c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27" t="n"/>
      <c r="AJ39" s="27" t="n"/>
      <c r="AK39" s="27" t="n"/>
      <c r="AL39" s="27" t="n"/>
      <c r="AM39" s="27" t="n"/>
      <c r="AN39" s="27" t="n"/>
      <c r="AO39" s="27" t="n"/>
      <c r="AP39" s="27" t="n"/>
      <c r="AQ39" s="27" t="n"/>
      <c r="AR39" s="27" t="n"/>
      <c r="AS39" s="27" t="n"/>
      <c r="AT39" s="27" t="n"/>
      <c r="AU39" s="27" t="n"/>
      <c r="AV39" s="27" t="n"/>
      <c r="AW39" s="27" t="n"/>
      <c r="AX39" s="27" t="n"/>
      <c r="AY39" s="27" t="n"/>
      <c r="AZ39" s="27" t="n"/>
      <c r="BA39" s="27" t="n"/>
      <c r="BB39" s="27" t="n"/>
      <c r="BC39" s="27" t="n"/>
      <c r="BD39" s="27" t="n"/>
      <c r="BE39" s="27" t="n"/>
      <c r="BF39" s="27" t="n"/>
      <c r="BG39" s="27" t="n"/>
      <c r="BH39" s="27" t="n"/>
      <c r="BI39" s="29" t="n"/>
      <c r="BJ39" s="27" t="n"/>
      <c r="BK39" s="27" t="n"/>
      <c r="BL39" s="27" t="n"/>
      <c r="BM39" s="27" t="n"/>
      <c r="DN39" s="26">
        <f>IF('テスト条件'!A38="","",'テスト条件'!A38)</f>
        <v/>
      </c>
    </row>
    <row r="40">
      <c r="A40" s="27" t="n"/>
      <c r="B40" s="27" t="n"/>
      <c r="C40" s="28">
        <f>IF(A40="","",$B$2)</f>
        <v/>
      </c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7" t="n"/>
      <c r="AJ40" s="27" t="n"/>
      <c r="AK40" s="27" t="n"/>
      <c r="AL40" s="27" t="n"/>
      <c r="AM40" s="27" t="n"/>
      <c r="AN40" s="27" t="n"/>
      <c r="AO40" s="27" t="n"/>
      <c r="AP40" s="27" t="n"/>
      <c r="AQ40" s="27" t="n"/>
      <c r="AR40" s="27" t="n"/>
      <c r="AS40" s="27" t="n"/>
      <c r="AT40" s="27" t="n"/>
      <c r="AU40" s="27" t="n"/>
      <c r="AV40" s="27" t="n"/>
      <c r="AW40" s="27" t="n"/>
      <c r="AX40" s="27" t="n"/>
      <c r="AY40" s="27" t="n"/>
      <c r="AZ40" s="27" t="n"/>
      <c r="BA40" s="27" t="n"/>
      <c r="BB40" s="27" t="n"/>
      <c r="BC40" s="27" t="n"/>
      <c r="BD40" s="27" t="n"/>
      <c r="BE40" s="27" t="n"/>
      <c r="BF40" s="27" t="n"/>
      <c r="BG40" s="27" t="n"/>
      <c r="BH40" s="27" t="n"/>
      <c r="BI40" s="29" t="n"/>
      <c r="BJ40" s="27" t="n"/>
      <c r="BK40" s="27" t="n"/>
      <c r="BL40" s="27" t="n"/>
      <c r="BM40" s="27" t="n"/>
      <c r="DN40" s="26">
        <f>IF('テスト条件'!A39="","",'テスト条件'!A39)</f>
        <v/>
      </c>
    </row>
    <row r="41">
      <c r="A41" s="27" t="n"/>
      <c r="B41" s="27" t="n"/>
      <c r="C41" s="28">
        <f>IF(A41="","",$B$2)</f>
        <v/>
      </c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27" t="n"/>
      <c r="AJ41" s="27" t="n"/>
      <c r="AK41" s="27" t="n"/>
      <c r="AL41" s="27" t="n"/>
      <c r="AM41" s="27" t="n"/>
      <c r="AN41" s="27" t="n"/>
      <c r="AO41" s="27" t="n"/>
      <c r="AP41" s="27" t="n"/>
      <c r="AQ41" s="27" t="n"/>
      <c r="AR41" s="27" t="n"/>
      <c r="AS41" s="27" t="n"/>
      <c r="AT41" s="27" t="n"/>
      <c r="AU41" s="27" t="n"/>
      <c r="AV41" s="27" t="n"/>
      <c r="AW41" s="27" t="n"/>
      <c r="AX41" s="27" t="n"/>
      <c r="AY41" s="27" t="n"/>
      <c r="AZ41" s="27" t="n"/>
      <c r="BA41" s="27" t="n"/>
      <c r="BB41" s="27" t="n"/>
      <c r="BC41" s="27" t="n"/>
      <c r="BD41" s="27" t="n"/>
      <c r="BE41" s="27" t="n"/>
      <c r="BF41" s="27" t="n"/>
      <c r="BG41" s="27" t="n"/>
      <c r="BH41" s="27" t="n"/>
      <c r="BI41" s="29" t="n"/>
      <c r="BJ41" s="27" t="n"/>
      <c r="BK41" s="27" t="n"/>
      <c r="BL41" s="27" t="n"/>
      <c r="BM41" s="27" t="n"/>
      <c r="DN41" s="26">
        <f>IF('テスト条件'!A40="","",'テスト条件'!A40)</f>
        <v/>
      </c>
    </row>
    <row r="42">
      <c r="A42" s="27" t="n"/>
      <c r="B42" s="27" t="n"/>
      <c r="C42" s="28">
        <f>IF(A42="","",$B$2)</f>
        <v/>
      </c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27" t="n"/>
      <c r="AJ42" s="27" t="n"/>
      <c r="AK42" s="27" t="n"/>
      <c r="AL42" s="27" t="n"/>
      <c r="AM42" s="27" t="n"/>
      <c r="AN42" s="27" t="n"/>
      <c r="AO42" s="27" t="n"/>
      <c r="AP42" s="27" t="n"/>
      <c r="AQ42" s="27" t="n"/>
      <c r="AR42" s="27" t="n"/>
      <c r="AS42" s="27" t="n"/>
      <c r="AT42" s="27" t="n"/>
      <c r="AU42" s="27" t="n"/>
      <c r="AV42" s="27" t="n"/>
      <c r="AW42" s="27" t="n"/>
      <c r="AX42" s="27" t="n"/>
      <c r="AY42" s="27" t="n"/>
      <c r="AZ42" s="27" t="n"/>
      <c r="BA42" s="27" t="n"/>
      <c r="BB42" s="27" t="n"/>
      <c r="BC42" s="27" t="n"/>
      <c r="BD42" s="27" t="n"/>
      <c r="BE42" s="27" t="n"/>
      <c r="BF42" s="27" t="n"/>
      <c r="BG42" s="27" t="n"/>
      <c r="BH42" s="27" t="n"/>
      <c r="BI42" s="29" t="n"/>
      <c r="BJ42" s="27" t="n"/>
      <c r="BK42" s="27" t="n"/>
      <c r="BL42" s="27" t="n"/>
      <c r="BM42" s="27" t="n"/>
      <c r="DN42" s="26">
        <f>IF('テスト条件'!A41="","",'テスト条件'!A41)</f>
        <v/>
      </c>
    </row>
    <row r="43">
      <c r="A43" s="27" t="n"/>
      <c r="B43" s="27" t="n"/>
      <c r="C43" s="28">
        <f>IF(A43="","",$B$2)</f>
        <v/>
      </c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27" t="n"/>
      <c r="AJ43" s="27" t="n"/>
      <c r="AK43" s="27" t="n"/>
      <c r="AL43" s="27" t="n"/>
      <c r="AM43" s="27" t="n"/>
      <c r="AN43" s="27" t="n"/>
      <c r="AO43" s="27" t="n"/>
      <c r="AP43" s="27" t="n"/>
      <c r="AQ43" s="27" t="n"/>
      <c r="AR43" s="27" t="n"/>
      <c r="AS43" s="27" t="n"/>
      <c r="AT43" s="27" t="n"/>
      <c r="AU43" s="27" t="n"/>
      <c r="AV43" s="27" t="n"/>
      <c r="AW43" s="27" t="n"/>
      <c r="AX43" s="27" t="n"/>
      <c r="AY43" s="27" t="n"/>
      <c r="AZ43" s="27" t="n"/>
      <c r="BA43" s="27" t="n"/>
      <c r="BB43" s="27" t="n"/>
      <c r="BC43" s="27" t="n"/>
      <c r="BD43" s="27" t="n"/>
      <c r="BE43" s="27" t="n"/>
      <c r="BF43" s="27" t="n"/>
      <c r="BG43" s="27" t="n"/>
      <c r="BH43" s="27" t="n"/>
      <c r="BI43" s="29" t="n"/>
      <c r="BJ43" s="27" t="n"/>
      <c r="BK43" s="27" t="n"/>
      <c r="BL43" s="27" t="n"/>
      <c r="BM43" s="27" t="n"/>
      <c r="DN43" s="26">
        <f>IF('テスト条件'!A42="","",'テスト条件'!A42)</f>
        <v/>
      </c>
    </row>
    <row r="44">
      <c r="A44" s="27" t="n"/>
      <c r="B44" s="27" t="n"/>
      <c r="C44" s="28">
        <f>IF(A44="","",$B$2)</f>
        <v/>
      </c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  <c r="AJ44" s="27" t="n"/>
      <c r="AK44" s="27" t="n"/>
      <c r="AL44" s="27" t="n"/>
      <c r="AM44" s="27" t="n"/>
      <c r="AN44" s="27" t="n"/>
      <c r="AO44" s="27" t="n"/>
      <c r="AP44" s="27" t="n"/>
      <c r="AQ44" s="27" t="n"/>
      <c r="AR44" s="27" t="n"/>
      <c r="AS44" s="27" t="n"/>
      <c r="AT44" s="27" t="n"/>
      <c r="AU44" s="27" t="n"/>
      <c r="AV44" s="27" t="n"/>
      <c r="AW44" s="27" t="n"/>
      <c r="AX44" s="27" t="n"/>
      <c r="AY44" s="27" t="n"/>
      <c r="AZ44" s="27" t="n"/>
      <c r="BA44" s="27" t="n"/>
      <c r="BB44" s="27" t="n"/>
      <c r="BC44" s="27" t="n"/>
      <c r="BD44" s="27" t="n"/>
      <c r="BE44" s="27" t="n"/>
      <c r="BF44" s="27" t="n"/>
      <c r="BG44" s="27" t="n"/>
      <c r="BH44" s="27" t="n"/>
      <c r="BI44" s="29" t="n"/>
      <c r="BJ44" s="27" t="n"/>
      <c r="BK44" s="27" t="n"/>
      <c r="BL44" s="27" t="n"/>
      <c r="BM44" s="27" t="n"/>
      <c r="DN44" s="26">
        <f>IF('テスト条件'!A43="","",'テスト条件'!A43)</f>
        <v/>
      </c>
    </row>
    <row r="45">
      <c r="A45" s="27" t="n"/>
      <c r="B45" s="27" t="n"/>
      <c r="C45" s="28">
        <f>IF(A45="","",$B$2)</f>
        <v/>
      </c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27" t="n"/>
      <c r="AJ45" s="27" t="n"/>
      <c r="AK45" s="27" t="n"/>
      <c r="AL45" s="27" t="n"/>
      <c r="AM45" s="27" t="n"/>
      <c r="AN45" s="27" t="n"/>
      <c r="AO45" s="27" t="n"/>
      <c r="AP45" s="27" t="n"/>
      <c r="AQ45" s="27" t="n"/>
      <c r="AR45" s="27" t="n"/>
      <c r="AS45" s="27" t="n"/>
      <c r="AT45" s="27" t="n"/>
      <c r="AU45" s="27" t="n"/>
      <c r="AV45" s="27" t="n"/>
      <c r="AW45" s="27" t="n"/>
      <c r="AX45" s="27" t="n"/>
      <c r="AY45" s="27" t="n"/>
      <c r="AZ45" s="27" t="n"/>
      <c r="BA45" s="27" t="n"/>
      <c r="BB45" s="27" t="n"/>
      <c r="BC45" s="27" t="n"/>
      <c r="BD45" s="27" t="n"/>
      <c r="BE45" s="27" t="n"/>
      <c r="BF45" s="27" t="n"/>
      <c r="BG45" s="27" t="n"/>
      <c r="BH45" s="27" t="n"/>
      <c r="BI45" s="29" t="n"/>
      <c r="BJ45" s="27" t="n"/>
      <c r="BK45" s="27" t="n"/>
      <c r="BL45" s="27" t="n"/>
      <c r="BM45" s="27" t="n"/>
      <c r="DN45" s="26">
        <f>IF('テスト条件'!A44="","",'テスト条件'!A44)</f>
        <v/>
      </c>
    </row>
    <row r="46">
      <c r="A46" s="27" t="n"/>
      <c r="B46" s="27" t="n"/>
      <c r="C46" s="28">
        <f>IF(A46="","",$B$2)</f>
        <v/>
      </c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  <c r="AJ46" s="27" t="n"/>
      <c r="AK46" s="27" t="n"/>
      <c r="AL46" s="27" t="n"/>
      <c r="AM46" s="27" t="n"/>
      <c r="AN46" s="27" t="n"/>
      <c r="AO46" s="27" t="n"/>
      <c r="AP46" s="27" t="n"/>
      <c r="AQ46" s="27" t="n"/>
      <c r="AR46" s="27" t="n"/>
      <c r="AS46" s="27" t="n"/>
      <c r="AT46" s="27" t="n"/>
      <c r="AU46" s="27" t="n"/>
      <c r="AV46" s="27" t="n"/>
      <c r="AW46" s="27" t="n"/>
      <c r="AX46" s="27" t="n"/>
      <c r="AY46" s="27" t="n"/>
      <c r="AZ46" s="27" t="n"/>
      <c r="BA46" s="27" t="n"/>
      <c r="BB46" s="27" t="n"/>
      <c r="BC46" s="27" t="n"/>
      <c r="BD46" s="27" t="n"/>
      <c r="BE46" s="27" t="n"/>
      <c r="BF46" s="27" t="n"/>
      <c r="BG46" s="27" t="n"/>
      <c r="BH46" s="27" t="n"/>
      <c r="BI46" s="29" t="n"/>
      <c r="BJ46" s="27" t="n"/>
      <c r="BK46" s="27" t="n"/>
      <c r="BL46" s="27" t="n"/>
      <c r="BM46" s="27" t="n"/>
      <c r="DN46" s="26">
        <f>IF('テスト条件'!A45="","",'テスト条件'!A45)</f>
        <v/>
      </c>
    </row>
    <row r="47">
      <c r="A47" s="27" t="n"/>
      <c r="B47" s="27" t="n"/>
      <c r="C47" s="28">
        <f>IF(A47="","",$B$2)</f>
        <v/>
      </c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  <c r="AJ47" s="27" t="n"/>
      <c r="AK47" s="27" t="n"/>
      <c r="AL47" s="27" t="n"/>
      <c r="AM47" s="27" t="n"/>
      <c r="AN47" s="27" t="n"/>
      <c r="AO47" s="27" t="n"/>
      <c r="AP47" s="27" t="n"/>
      <c r="AQ47" s="27" t="n"/>
      <c r="AR47" s="27" t="n"/>
      <c r="AS47" s="27" t="n"/>
      <c r="AT47" s="27" t="n"/>
      <c r="AU47" s="27" t="n"/>
      <c r="AV47" s="27" t="n"/>
      <c r="AW47" s="27" t="n"/>
      <c r="AX47" s="27" t="n"/>
      <c r="AY47" s="27" t="n"/>
      <c r="AZ47" s="27" t="n"/>
      <c r="BA47" s="27" t="n"/>
      <c r="BB47" s="27" t="n"/>
      <c r="BC47" s="27" t="n"/>
      <c r="BD47" s="27" t="n"/>
      <c r="BE47" s="27" t="n"/>
      <c r="BF47" s="27" t="n"/>
      <c r="BG47" s="27" t="n"/>
      <c r="BH47" s="27" t="n"/>
      <c r="BI47" s="29" t="n"/>
      <c r="BJ47" s="27" t="n"/>
      <c r="BK47" s="27" t="n"/>
      <c r="BL47" s="27" t="n"/>
      <c r="BM47" s="27" t="n"/>
      <c r="DN47" s="26">
        <f>IF('テスト条件'!A46="","",'テスト条件'!A46)</f>
        <v/>
      </c>
    </row>
    <row r="48">
      <c r="A48" s="27" t="n"/>
      <c r="B48" s="27" t="n"/>
      <c r="C48" s="28">
        <f>IF(A48="","",$B$2)</f>
        <v/>
      </c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27" t="n"/>
      <c r="AJ48" s="27" t="n"/>
      <c r="AK48" s="27" t="n"/>
      <c r="AL48" s="27" t="n"/>
      <c r="AM48" s="27" t="n"/>
      <c r="AN48" s="27" t="n"/>
      <c r="AO48" s="27" t="n"/>
      <c r="AP48" s="27" t="n"/>
      <c r="AQ48" s="27" t="n"/>
      <c r="AR48" s="27" t="n"/>
      <c r="AS48" s="27" t="n"/>
      <c r="AT48" s="27" t="n"/>
      <c r="AU48" s="27" t="n"/>
      <c r="AV48" s="27" t="n"/>
      <c r="AW48" s="27" t="n"/>
      <c r="AX48" s="27" t="n"/>
      <c r="AY48" s="27" t="n"/>
      <c r="AZ48" s="27" t="n"/>
      <c r="BA48" s="27" t="n"/>
      <c r="BB48" s="27" t="n"/>
      <c r="BC48" s="27" t="n"/>
      <c r="BD48" s="27" t="n"/>
      <c r="BE48" s="27" t="n"/>
      <c r="BF48" s="27" t="n"/>
      <c r="BG48" s="27" t="n"/>
      <c r="BH48" s="27" t="n"/>
      <c r="BI48" s="29" t="n"/>
      <c r="BJ48" s="27" t="n"/>
      <c r="BK48" s="27" t="n"/>
      <c r="BL48" s="27" t="n"/>
      <c r="BM48" s="27" t="n"/>
      <c r="DN48" s="26">
        <f>IF('テスト条件'!A47="","",'テスト条件'!A47)</f>
        <v/>
      </c>
    </row>
    <row r="49">
      <c r="A49" s="27" t="n"/>
      <c r="B49" s="27" t="n"/>
      <c r="C49" s="28">
        <f>IF(A49="","",$B$2)</f>
        <v/>
      </c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27" t="n"/>
      <c r="AJ49" s="27" t="n"/>
      <c r="AK49" s="27" t="n"/>
      <c r="AL49" s="27" t="n"/>
      <c r="AM49" s="27" t="n"/>
      <c r="AN49" s="27" t="n"/>
      <c r="AO49" s="27" t="n"/>
      <c r="AP49" s="27" t="n"/>
      <c r="AQ49" s="27" t="n"/>
      <c r="AR49" s="27" t="n"/>
      <c r="AS49" s="27" t="n"/>
      <c r="AT49" s="27" t="n"/>
      <c r="AU49" s="27" t="n"/>
      <c r="AV49" s="27" t="n"/>
      <c r="AW49" s="27" t="n"/>
      <c r="AX49" s="27" t="n"/>
      <c r="AY49" s="27" t="n"/>
      <c r="AZ49" s="27" t="n"/>
      <c r="BA49" s="27" t="n"/>
      <c r="BB49" s="27" t="n"/>
      <c r="BC49" s="27" t="n"/>
      <c r="BD49" s="27" t="n"/>
      <c r="BE49" s="27" t="n"/>
      <c r="BF49" s="27" t="n"/>
      <c r="BG49" s="27" t="n"/>
      <c r="BH49" s="27" t="n"/>
      <c r="BI49" s="29" t="n"/>
      <c r="BJ49" s="27" t="n"/>
      <c r="BK49" s="27" t="n"/>
      <c r="BL49" s="27" t="n"/>
      <c r="BM49" s="27" t="n"/>
      <c r="DN49" s="26">
        <f>IF('テスト条件'!A48="","",'テスト条件'!A48)</f>
        <v/>
      </c>
    </row>
    <row r="50">
      <c r="A50" s="27" t="n"/>
      <c r="B50" s="27" t="n"/>
      <c r="C50" s="28">
        <f>IF(A50="","",$B$2)</f>
        <v/>
      </c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27" t="n"/>
      <c r="AJ50" s="27" t="n"/>
      <c r="AK50" s="27" t="n"/>
      <c r="AL50" s="27" t="n"/>
      <c r="AM50" s="27" t="n"/>
      <c r="AN50" s="27" t="n"/>
      <c r="AO50" s="27" t="n"/>
      <c r="AP50" s="27" t="n"/>
      <c r="AQ50" s="27" t="n"/>
      <c r="AR50" s="27" t="n"/>
      <c r="AS50" s="27" t="n"/>
      <c r="AT50" s="27" t="n"/>
      <c r="AU50" s="27" t="n"/>
      <c r="AV50" s="27" t="n"/>
      <c r="AW50" s="27" t="n"/>
      <c r="AX50" s="27" t="n"/>
      <c r="AY50" s="27" t="n"/>
      <c r="AZ50" s="27" t="n"/>
      <c r="BA50" s="27" t="n"/>
      <c r="BB50" s="27" t="n"/>
      <c r="BC50" s="27" t="n"/>
      <c r="BD50" s="27" t="n"/>
      <c r="BE50" s="27" t="n"/>
      <c r="BF50" s="27" t="n"/>
      <c r="BG50" s="27" t="n"/>
      <c r="BH50" s="27" t="n"/>
      <c r="BI50" s="29" t="n"/>
      <c r="BJ50" s="27" t="n"/>
      <c r="BK50" s="27" t="n"/>
      <c r="BL50" s="27" t="n"/>
      <c r="BM50" s="27" t="n"/>
      <c r="DN50" s="26">
        <f>IF('テスト条件'!A49="","",'テスト条件'!A49)</f>
        <v/>
      </c>
    </row>
    <row r="51">
      <c r="A51" s="27" t="n"/>
      <c r="B51" s="27" t="n"/>
      <c r="C51" s="28">
        <f>IF(A51="","",$B$2)</f>
        <v/>
      </c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27" t="n"/>
      <c r="AJ51" s="27" t="n"/>
      <c r="AK51" s="27" t="n"/>
      <c r="AL51" s="27" t="n"/>
      <c r="AM51" s="27" t="n"/>
      <c r="AN51" s="27" t="n"/>
      <c r="AO51" s="27" t="n"/>
      <c r="AP51" s="27" t="n"/>
      <c r="AQ51" s="27" t="n"/>
      <c r="AR51" s="27" t="n"/>
      <c r="AS51" s="27" t="n"/>
      <c r="AT51" s="27" t="n"/>
      <c r="AU51" s="27" t="n"/>
      <c r="AV51" s="27" t="n"/>
      <c r="AW51" s="27" t="n"/>
      <c r="AX51" s="27" t="n"/>
      <c r="AY51" s="27" t="n"/>
      <c r="AZ51" s="27" t="n"/>
      <c r="BA51" s="27" t="n"/>
      <c r="BB51" s="27" t="n"/>
      <c r="BC51" s="27" t="n"/>
      <c r="BD51" s="27" t="n"/>
      <c r="BE51" s="27" t="n"/>
      <c r="BF51" s="27" t="n"/>
      <c r="BG51" s="27" t="n"/>
      <c r="BH51" s="27" t="n"/>
      <c r="BI51" s="29" t="n"/>
      <c r="BJ51" s="27" t="n"/>
      <c r="BK51" s="27" t="n"/>
      <c r="BL51" s="27" t="n"/>
      <c r="BM51" s="27" t="n"/>
      <c r="DN51" s="26">
        <f>IF('テスト条件'!A50="","",'テスト条件'!A50)</f>
        <v/>
      </c>
    </row>
    <row r="52">
      <c r="A52" s="27" t="n"/>
      <c r="B52" s="27" t="n"/>
      <c r="C52" s="28">
        <f>IF(A52="","",$B$2)</f>
        <v/>
      </c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27" t="n"/>
      <c r="AJ52" s="27" t="n"/>
      <c r="AK52" s="27" t="n"/>
      <c r="AL52" s="27" t="n"/>
      <c r="AM52" s="27" t="n"/>
      <c r="AN52" s="27" t="n"/>
      <c r="AO52" s="27" t="n"/>
      <c r="AP52" s="27" t="n"/>
      <c r="AQ52" s="27" t="n"/>
      <c r="AR52" s="27" t="n"/>
      <c r="AS52" s="27" t="n"/>
      <c r="AT52" s="27" t="n"/>
      <c r="AU52" s="27" t="n"/>
      <c r="AV52" s="27" t="n"/>
      <c r="AW52" s="27" t="n"/>
      <c r="AX52" s="27" t="n"/>
      <c r="AY52" s="27" t="n"/>
      <c r="AZ52" s="27" t="n"/>
      <c r="BA52" s="27" t="n"/>
      <c r="BB52" s="27" t="n"/>
      <c r="BC52" s="27" t="n"/>
      <c r="BD52" s="27" t="n"/>
      <c r="BE52" s="27" t="n"/>
      <c r="BF52" s="27" t="n"/>
      <c r="BG52" s="27" t="n"/>
      <c r="BH52" s="27" t="n"/>
      <c r="BI52" s="29" t="n"/>
      <c r="BJ52" s="27" t="n"/>
      <c r="BK52" s="27" t="n"/>
      <c r="BL52" s="27" t="n"/>
      <c r="BM52" s="27" t="n"/>
      <c r="DN52" s="26">
        <f>IF('テスト条件'!A51="","",'テスト条件'!A51)</f>
        <v/>
      </c>
    </row>
    <row r="53">
      <c r="A53" s="27" t="n"/>
      <c r="B53" s="27" t="n"/>
      <c r="C53" s="28">
        <f>IF(A53="","",$B$2)</f>
        <v/>
      </c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27" t="n"/>
      <c r="AJ53" s="27" t="n"/>
      <c r="AK53" s="27" t="n"/>
      <c r="AL53" s="27" t="n"/>
      <c r="AM53" s="27" t="n"/>
      <c r="AN53" s="27" t="n"/>
      <c r="AO53" s="27" t="n"/>
      <c r="AP53" s="27" t="n"/>
      <c r="AQ53" s="27" t="n"/>
      <c r="AR53" s="27" t="n"/>
      <c r="AS53" s="27" t="n"/>
      <c r="AT53" s="27" t="n"/>
      <c r="AU53" s="27" t="n"/>
      <c r="AV53" s="27" t="n"/>
      <c r="AW53" s="27" t="n"/>
      <c r="AX53" s="27" t="n"/>
      <c r="AY53" s="27" t="n"/>
      <c r="AZ53" s="27" t="n"/>
      <c r="BA53" s="27" t="n"/>
      <c r="BB53" s="27" t="n"/>
      <c r="BC53" s="27" t="n"/>
      <c r="BD53" s="27" t="n"/>
      <c r="BE53" s="27" t="n"/>
      <c r="BF53" s="27" t="n"/>
      <c r="BG53" s="27" t="n"/>
      <c r="BH53" s="27" t="n"/>
      <c r="BI53" s="29" t="n"/>
      <c r="BJ53" s="27" t="n"/>
      <c r="BK53" s="27" t="n"/>
      <c r="BL53" s="27" t="n"/>
      <c r="BM53" s="27" t="n"/>
      <c r="DN53" s="26">
        <f>IF('テスト条件'!A52="","",'テスト条件'!A52)</f>
        <v/>
      </c>
    </row>
    <row r="54">
      <c r="A54" s="27" t="n"/>
      <c r="B54" s="27" t="n"/>
      <c r="C54" s="28">
        <f>IF(A54="","",$B$2)</f>
        <v/>
      </c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27" t="n"/>
      <c r="AJ54" s="27" t="n"/>
      <c r="AK54" s="27" t="n"/>
      <c r="AL54" s="27" t="n"/>
      <c r="AM54" s="27" t="n"/>
      <c r="AN54" s="27" t="n"/>
      <c r="AO54" s="27" t="n"/>
      <c r="AP54" s="27" t="n"/>
      <c r="AQ54" s="27" t="n"/>
      <c r="AR54" s="27" t="n"/>
      <c r="AS54" s="27" t="n"/>
      <c r="AT54" s="27" t="n"/>
      <c r="AU54" s="27" t="n"/>
      <c r="AV54" s="27" t="n"/>
      <c r="AW54" s="27" t="n"/>
      <c r="AX54" s="27" t="n"/>
      <c r="AY54" s="27" t="n"/>
      <c r="AZ54" s="27" t="n"/>
      <c r="BA54" s="27" t="n"/>
      <c r="BB54" s="27" t="n"/>
      <c r="BC54" s="27" t="n"/>
      <c r="BD54" s="27" t="n"/>
      <c r="BE54" s="27" t="n"/>
      <c r="BF54" s="27" t="n"/>
      <c r="BG54" s="27" t="n"/>
      <c r="BH54" s="27" t="n"/>
      <c r="BI54" s="29" t="n"/>
      <c r="BJ54" s="27" t="n"/>
      <c r="BK54" s="27" t="n"/>
      <c r="BL54" s="27" t="n"/>
      <c r="BM54" s="27" t="n"/>
      <c r="DN54" s="26">
        <f>IF('テスト条件'!A53="","",'テスト条件'!A53)</f>
        <v/>
      </c>
    </row>
    <row r="55">
      <c r="A55" s="27" t="n"/>
      <c r="B55" s="27" t="n"/>
      <c r="C55" s="28">
        <f>IF(A55="","",$B$2)</f>
        <v/>
      </c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27" t="n"/>
      <c r="AJ55" s="27" t="n"/>
      <c r="AK55" s="27" t="n"/>
      <c r="AL55" s="27" t="n"/>
      <c r="AM55" s="27" t="n"/>
      <c r="AN55" s="27" t="n"/>
      <c r="AO55" s="27" t="n"/>
      <c r="AP55" s="27" t="n"/>
      <c r="AQ55" s="27" t="n"/>
      <c r="AR55" s="27" t="n"/>
      <c r="AS55" s="27" t="n"/>
      <c r="AT55" s="27" t="n"/>
      <c r="AU55" s="27" t="n"/>
      <c r="AV55" s="27" t="n"/>
      <c r="AW55" s="27" t="n"/>
      <c r="AX55" s="27" t="n"/>
      <c r="AY55" s="27" t="n"/>
      <c r="AZ55" s="27" t="n"/>
      <c r="BA55" s="27" t="n"/>
      <c r="BB55" s="27" t="n"/>
      <c r="BC55" s="27" t="n"/>
      <c r="BD55" s="27" t="n"/>
      <c r="BE55" s="27" t="n"/>
      <c r="BF55" s="27" t="n"/>
      <c r="BG55" s="27" t="n"/>
      <c r="BH55" s="27" t="n"/>
      <c r="BI55" s="29" t="n"/>
      <c r="BJ55" s="27" t="n"/>
      <c r="BK55" s="27" t="n"/>
      <c r="BL55" s="27" t="n"/>
      <c r="BM55" s="27" t="n"/>
      <c r="DN55" s="26">
        <f>IF('テスト条件'!A54="","",'テスト条件'!A54)</f>
        <v/>
      </c>
    </row>
    <row r="56">
      <c r="A56" s="27" t="n"/>
      <c r="B56" s="27" t="n"/>
      <c r="C56" s="28">
        <f>IF(A56="","",$B$2)</f>
        <v/>
      </c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  <c r="AJ56" s="27" t="n"/>
      <c r="AK56" s="27" t="n"/>
      <c r="AL56" s="27" t="n"/>
      <c r="AM56" s="27" t="n"/>
      <c r="AN56" s="27" t="n"/>
      <c r="AO56" s="27" t="n"/>
      <c r="AP56" s="27" t="n"/>
      <c r="AQ56" s="27" t="n"/>
      <c r="AR56" s="27" t="n"/>
      <c r="AS56" s="27" t="n"/>
      <c r="AT56" s="27" t="n"/>
      <c r="AU56" s="27" t="n"/>
      <c r="AV56" s="27" t="n"/>
      <c r="AW56" s="27" t="n"/>
      <c r="AX56" s="27" t="n"/>
      <c r="AY56" s="27" t="n"/>
      <c r="AZ56" s="27" t="n"/>
      <c r="BA56" s="27" t="n"/>
      <c r="BB56" s="27" t="n"/>
      <c r="BC56" s="27" t="n"/>
      <c r="BD56" s="27" t="n"/>
      <c r="BE56" s="27" t="n"/>
      <c r="BF56" s="27" t="n"/>
      <c r="BG56" s="27" t="n"/>
      <c r="BH56" s="27" t="n"/>
      <c r="BI56" s="29" t="n"/>
      <c r="BJ56" s="27" t="n"/>
      <c r="BK56" s="27" t="n"/>
      <c r="BL56" s="27" t="n"/>
      <c r="BM56" s="27" t="n"/>
      <c r="DN56" s="26">
        <f>IF('テスト条件'!A55="","",'テスト条件'!A55)</f>
        <v/>
      </c>
    </row>
    <row r="57">
      <c r="A57" s="27" t="n"/>
      <c r="B57" s="27" t="n"/>
      <c r="C57" s="28">
        <f>IF(A57="","",$B$2)</f>
        <v/>
      </c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  <c r="AA57" s="27" t="n"/>
      <c r="AB57" s="27" t="n"/>
      <c r="AC57" s="27" t="n"/>
      <c r="AD57" s="27" t="n"/>
      <c r="AE57" s="27" t="n"/>
      <c r="AF57" s="27" t="n"/>
      <c r="AG57" s="27" t="n"/>
      <c r="AH57" s="27" t="n"/>
      <c r="AI57" s="27" t="n"/>
      <c r="AJ57" s="27" t="n"/>
      <c r="AK57" s="27" t="n"/>
      <c r="AL57" s="27" t="n"/>
      <c r="AM57" s="27" t="n"/>
      <c r="AN57" s="27" t="n"/>
      <c r="AO57" s="27" t="n"/>
      <c r="AP57" s="27" t="n"/>
      <c r="AQ57" s="27" t="n"/>
      <c r="AR57" s="27" t="n"/>
      <c r="AS57" s="27" t="n"/>
      <c r="AT57" s="27" t="n"/>
      <c r="AU57" s="27" t="n"/>
      <c r="AV57" s="27" t="n"/>
      <c r="AW57" s="27" t="n"/>
      <c r="AX57" s="27" t="n"/>
      <c r="AY57" s="27" t="n"/>
      <c r="AZ57" s="27" t="n"/>
      <c r="BA57" s="27" t="n"/>
      <c r="BB57" s="27" t="n"/>
      <c r="BC57" s="27" t="n"/>
      <c r="BD57" s="27" t="n"/>
      <c r="BE57" s="27" t="n"/>
      <c r="BF57" s="27" t="n"/>
      <c r="BG57" s="27" t="n"/>
      <c r="BH57" s="27" t="n"/>
      <c r="BI57" s="29" t="n"/>
      <c r="BJ57" s="27" t="n"/>
      <c r="BK57" s="27" t="n"/>
      <c r="BL57" s="27" t="n"/>
      <c r="BM57" s="27" t="n"/>
      <c r="DN57" s="26">
        <f>IF('テスト条件'!A56="","",'テスト条件'!A56)</f>
        <v/>
      </c>
    </row>
    <row r="58">
      <c r="A58" s="27" t="n"/>
      <c r="B58" s="27" t="n"/>
      <c r="C58" s="28">
        <f>IF(A58="","",$B$2)</f>
        <v/>
      </c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27" t="n"/>
      <c r="AJ58" s="27" t="n"/>
      <c r="AK58" s="27" t="n"/>
      <c r="AL58" s="27" t="n"/>
      <c r="AM58" s="27" t="n"/>
      <c r="AN58" s="27" t="n"/>
      <c r="AO58" s="27" t="n"/>
      <c r="AP58" s="27" t="n"/>
      <c r="AQ58" s="27" t="n"/>
      <c r="AR58" s="27" t="n"/>
      <c r="AS58" s="27" t="n"/>
      <c r="AT58" s="27" t="n"/>
      <c r="AU58" s="27" t="n"/>
      <c r="AV58" s="27" t="n"/>
      <c r="AW58" s="27" t="n"/>
      <c r="AX58" s="27" t="n"/>
      <c r="AY58" s="27" t="n"/>
      <c r="AZ58" s="27" t="n"/>
      <c r="BA58" s="27" t="n"/>
      <c r="BB58" s="27" t="n"/>
      <c r="BC58" s="27" t="n"/>
      <c r="BD58" s="27" t="n"/>
      <c r="BE58" s="27" t="n"/>
      <c r="BF58" s="27" t="n"/>
      <c r="BG58" s="27" t="n"/>
      <c r="BH58" s="27" t="n"/>
      <c r="BI58" s="29" t="n"/>
      <c r="BJ58" s="27" t="n"/>
      <c r="BK58" s="27" t="n"/>
      <c r="BL58" s="27" t="n"/>
      <c r="BM58" s="27" t="n"/>
      <c r="DN58" s="26">
        <f>IF('テスト条件'!A57="","",'テスト条件'!A57)</f>
        <v/>
      </c>
    </row>
    <row r="59">
      <c r="A59" s="27" t="n"/>
      <c r="B59" s="27" t="n"/>
      <c r="C59" s="28">
        <f>IF(A59="","",$B$2)</f>
        <v/>
      </c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27" t="n"/>
      <c r="AJ59" s="27" t="n"/>
      <c r="AK59" s="27" t="n"/>
      <c r="AL59" s="27" t="n"/>
      <c r="AM59" s="27" t="n"/>
      <c r="AN59" s="27" t="n"/>
      <c r="AO59" s="27" t="n"/>
      <c r="AP59" s="27" t="n"/>
      <c r="AQ59" s="27" t="n"/>
      <c r="AR59" s="27" t="n"/>
      <c r="AS59" s="27" t="n"/>
      <c r="AT59" s="27" t="n"/>
      <c r="AU59" s="27" t="n"/>
      <c r="AV59" s="27" t="n"/>
      <c r="AW59" s="27" t="n"/>
      <c r="AX59" s="27" t="n"/>
      <c r="AY59" s="27" t="n"/>
      <c r="AZ59" s="27" t="n"/>
      <c r="BA59" s="27" t="n"/>
      <c r="BB59" s="27" t="n"/>
      <c r="BC59" s="27" t="n"/>
      <c r="BD59" s="27" t="n"/>
      <c r="BE59" s="27" t="n"/>
      <c r="BF59" s="27" t="n"/>
      <c r="BG59" s="27" t="n"/>
      <c r="BH59" s="27" t="n"/>
      <c r="BI59" s="29" t="n"/>
      <c r="BJ59" s="27" t="n"/>
      <c r="BK59" s="27" t="n"/>
      <c r="BL59" s="27" t="n"/>
      <c r="BM59" s="27" t="n"/>
      <c r="DN59" s="26">
        <f>IF('テスト条件'!A58="","",'テスト条件'!A58)</f>
        <v/>
      </c>
    </row>
    <row r="60">
      <c r="A60" s="27" t="n"/>
      <c r="B60" s="27" t="n"/>
      <c r="C60" s="28">
        <f>IF(A60="","",$B$2)</f>
        <v/>
      </c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27" t="n"/>
      <c r="AJ60" s="27" t="n"/>
      <c r="AK60" s="27" t="n"/>
      <c r="AL60" s="27" t="n"/>
      <c r="AM60" s="27" t="n"/>
      <c r="AN60" s="27" t="n"/>
      <c r="AO60" s="27" t="n"/>
      <c r="AP60" s="27" t="n"/>
      <c r="AQ60" s="27" t="n"/>
      <c r="AR60" s="27" t="n"/>
      <c r="AS60" s="27" t="n"/>
      <c r="AT60" s="27" t="n"/>
      <c r="AU60" s="27" t="n"/>
      <c r="AV60" s="27" t="n"/>
      <c r="AW60" s="27" t="n"/>
      <c r="AX60" s="27" t="n"/>
      <c r="AY60" s="27" t="n"/>
      <c r="AZ60" s="27" t="n"/>
      <c r="BA60" s="27" t="n"/>
      <c r="BB60" s="27" t="n"/>
      <c r="BC60" s="27" t="n"/>
      <c r="BD60" s="27" t="n"/>
      <c r="BE60" s="27" t="n"/>
      <c r="BF60" s="27" t="n"/>
      <c r="BG60" s="27" t="n"/>
      <c r="BH60" s="27" t="n"/>
      <c r="BI60" s="29" t="n"/>
      <c r="BJ60" s="27" t="n"/>
      <c r="BK60" s="27" t="n"/>
      <c r="BL60" s="27" t="n"/>
      <c r="BM60" s="27" t="n"/>
      <c r="DN60" s="26">
        <f>IF('テスト条件'!A59="","",'テスト条件'!A59)</f>
        <v/>
      </c>
    </row>
    <row r="61">
      <c r="A61" s="27" t="n"/>
      <c r="B61" s="27" t="n"/>
      <c r="C61" s="28">
        <f>IF(A61="","",$B$2)</f>
        <v/>
      </c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27" t="n"/>
      <c r="AJ61" s="27" t="n"/>
      <c r="AK61" s="27" t="n"/>
      <c r="AL61" s="27" t="n"/>
      <c r="AM61" s="27" t="n"/>
      <c r="AN61" s="27" t="n"/>
      <c r="AO61" s="27" t="n"/>
      <c r="AP61" s="27" t="n"/>
      <c r="AQ61" s="27" t="n"/>
      <c r="AR61" s="27" t="n"/>
      <c r="AS61" s="27" t="n"/>
      <c r="AT61" s="27" t="n"/>
      <c r="AU61" s="27" t="n"/>
      <c r="AV61" s="27" t="n"/>
      <c r="AW61" s="27" t="n"/>
      <c r="AX61" s="27" t="n"/>
      <c r="AY61" s="27" t="n"/>
      <c r="AZ61" s="27" t="n"/>
      <c r="BA61" s="27" t="n"/>
      <c r="BB61" s="27" t="n"/>
      <c r="BC61" s="27" t="n"/>
      <c r="BD61" s="27" t="n"/>
      <c r="BE61" s="27" t="n"/>
      <c r="BF61" s="27" t="n"/>
      <c r="BG61" s="27" t="n"/>
      <c r="BH61" s="27" t="n"/>
      <c r="BI61" s="29" t="n"/>
      <c r="BJ61" s="27" t="n"/>
      <c r="BK61" s="27" t="n"/>
      <c r="BL61" s="27" t="n"/>
      <c r="BM61" s="27" t="n"/>
      <c r="DN61" s="26">
        <f>IF('テスト条件'!A60="","",'テスト条件'!A60)</f>
        <v/>
      </c>
    </row>
    <row r="62">
      <c r="A62" s="27" t="n"/>
      <c r="B62" s="27" t="n"/>
      <c r="C62" s="28">
        <f>IF(A62="","",$B$2)</f>
        <v/>
      </c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27" t="n"/>
      <c r="AJ62" s="27" t="n"/>
      <c r="AK62" s="27" t="n"/>
      <c r="AL62" s="27" t="n"/>
      <c r="AM62" s="27" t="n"/>
      <c r="AN62" s="27" t="n"/>
      <c r="AO62" s="27" t="n"/>
      <c r="AP62" s="27" t="n"/>
      <c r="AQ62" s="27" t="n"/>
      <c r="AR62" s="27" t="n"/>
      <c r="AS62" s="27" t="n"/>
      <c r="AT62" s="27" t="n"/>
      <c r="AU62" s="27" t="n"/>
      <c r="AV62" s="27" t="n"/>
      <c r="AW62" s="27" t="n"/>
      <c r="AX62" s="27" t="n"/>
      <c r="AY62" s="27" t="n"/>
      <c r="AZ62" s="27" t="n"/>
      <c r="BA62" s="27" t="n"/>
      <c r="BB62" s="27" t="n"/>
      <c r="BC62" s="27" t="n"/>
      <c r="BD62" s="27" t="n"/>
      <c r="BE62" s="27" t="n"/>
      <c r="BF62" s="27" t="n"/>
      <c r="BG62" s="27" t="n"/>
      <c r="BH62" s="27" t="n"/>
      <c r="BI62" s="29" t="n"/>
      <c r="BJ62" s="27" t="n"/>
      <c r="BK62" s="27" t="n"/>
      <c r="BL62" s="27" t="n"/>
      <c r="BM62" s="27" t="n"/>
      <c r="DN62" s="26">
        <f>IF('テスト条件'!A61="","",'テスト条件'!A61)</f>
        <v/>
      </c>
    </row>
    <row r="63">
      <c r="A63" s="27" t="n"/>
      <c r="B63" s="27" t="n"/>
      <c r="C63" s="28">
        <f>IF(A63="","",$B$2)</f>
        <v/>
      </c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  <c r="AA63" s="27" t="n"/>
      <c r="AB63" s="27" t="n"/>
      <c r="AC63" s="27" t="n"/>
      <c r="AD63" s="27" t="n"/>
      <c r="AE63" s="27" t="n"/>
      <c r="AF63" s="27" t="n"/>
      <c r="AG63" s="27" t="n"/>
      <c r="AH63" s="27" t="n"/>
      <c r="AI63" s="27" t="n"/>
      <c r="AJ63" s="27" t="n"/>
      <c r="AK63" s="27" t="n"/>
      <c r="AL63" s="27" t="n"/>
      <c r="AM63" s="27" t="n"/>
      <c r="AN63" s="27" t="n"/>
      <c r="AO63" s="27" t="n"/>
      <c r="AP63" s="27" t="n"/>
      <c r="AQ63" s="27" t="n"/>
      <c r="AR63" s="27" t="n"/>
      <c r="AS63" s="27" t="n"/>
      <c r="AT63" s="27" t="n"/>
      <c r="AU63" s="27" t="n"/>
      <c r="AV63" s="27" t="n"/>
      <c r="AW63" s="27" t="n"/>
      <c r="AX63" s="27" t="n"/>
      <c r="AY63" s="27" t="n"/>
      <c r="AZ63" s="27" t="n"/>
      <c r="BA63" s="27" t="n"/>
      <c r="BB63" s="27" t="n"/>
      <c r="BC63" s="27" t="n"/>
      <c r="BD63" s="27" t="n"/>
      <c r="BE63" s="27" t="n"/>
      <c r="BF63" s="27" t="n"/>
      <c r="BG63" s="27" t="n"/>
      <c r="BH63" s="27" t="n"/>
      <c r="BI63" s="29" t="n"/>
      <c r="BJ63" s="27" t="n"/>
      <c r="BK63" s="27" t="n"/>
      <c r="BL63" s="27" t="n"/>
      <c r="BM63" s="27" t="n"/>
      <c r="DN63" s="26">
        <f>IF('テスト条件'!A62="","",'テスト条件'!A62)</f>
        <v/>
      </c>
    </row>
    <row r="64">
      <c r="A64" s="27" t="n"/>
      <c r="B64" s="27" t="n"/>
      <c r="C64" s="28">
        <f>IF(A64="","",$B$2)</f>
        <v/>
      </c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27" t="n"/>
      <c r="AJ64" s="27" t="n"/>
      <c r="AK64" s="27" t="n"/>
      <c r="AL64" s="27" t="n"/>
      <c r="AM64" s="27" t="n"/>
      <c r="AN64" s="27" t="n"/>
      <c r="AO64" s="27" t="n"/>
      <c r="AP64" s="27" t="n"/>
      <c r="AQ64" s="27" t="n"/>
      <c r="AR64" s="27" t="n"/>
      <c r="AS64" s="27" t="n"/>
      <c r="AT64" s="27" t="n"/>
      <c r="AU64" s="27" t="n"/>
      <c r="AV64" s="27" t="n"/>
      <c r="AW64" s="27" t="n"/>
      <c r="AX64" s="27" t="n"/>
      <c r="AY64" s="27" t="n"/>
      <c r="AZ64" s="27" t="n"/>
      <c r="BA64" s="27" t="n"/>
      <c r="BB64" s="27" t="n"/>
      <c r="BC64" s="27" t="n"/>
      <c r="BD64" s="27" t="n"/>
      <c r="BE64" s="27" t="n"/>
      <c r="BF64" s="27" t="n"/>
      <c r="BG64" s="27" t="n"/>
      <c r="BH64" s="27" t="n"/>
      <c r="BI64" s="29" t="n"/>
      <c r="BJ64" s="27" t="n"/>
      <c r="BK64" s="27" t="n"/>
      <c r="BL64" s="27" t="n"/>
      <c r="BM64" s="27" t="n"/>
      <c r="DN64" s="26">
        <f>IF('テスト条件'!A63="","",'テスト条件'!A63)</f>
        <v/>
      </c>
    </row>
    <row r="65">
      <c r="A65" s="27" t="n"/>
      <c r="B65" s="27" t="n"/>
      <c r="C65" s="28">
        <f>IF(A65="","",$B$2)</f>
        <v/>
      </c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27" t="n"/>
      <c r="AJ65" s="27" t="n"/>
      <c r="AK65" s="27" t="n"/>
      <c r="AL65" s="27" t="n"/>
      <c r="AM65" s="27" t="n"/>
      <c r="AN65" s="27" t="n"/>
      <c r="AO65" s="27" t="n"/>
      <c r="AP65" s="27" t="n"/>
      <c r="AQ65" s="27" t="n"/>
      <c r="AR65" s="27" t="n"/>
      <c r="AS65" s="27" t="n"/>
      <c r="AT65" s="27" t="n"/>
      <c r="AU65" s="27" t="n"/>
      <c r="AV65" s="27" t="n"/>
      <c r="AW65" s="27" t="n"/>
      <c r="AX65" s="27" t="n"/>
      <c r="AY65" s="27" t="n"/>
      <c r="AZ65" s="27" t="n"/>
      <c r="BA65" s="27" t="n"/>
      <c r="BB65" s="27" t="n"/>
      <c r="BC65" s="27" t="n"/>
      <c r="BD65" s="27" t="n"/>
      <c r="BE65" s="27" t="n"/>
      <c r="BF65" s="27" t="n"/>
      <c r="BG65" s="27" t="n"/>
      <c r="BH65" s="27" t="n"/>
      <c r="BI65" s="29" t="n"/>
      <c r="BJ65" s="27" t="n"/>
      <c r="BK65" s="27" t="n"/>
      <c r="BL65" s="27" t="n"/>
      <c r="BM65" s="27" t="n"/>
      <c r="DN65" s="26">
        <f>IF('テスト条件'!A64="","",'テスト条件'!A64)</f>
        <v/>
      </c>
    </row>
    <row r="66">
      <c r="A66" s="27" t="n"/>
      <c r="B66" s="27" t="n"/>
      <c r="C66" s="28">
        <f>IF(A66="","",$B$2)</f>
        <v/>
      </c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27" t="n"/>
      <c r="AJ66" s="27" t="n"/>
      <c r="AK66" s="27" t="n"/>
      <c r="AL66" s="27" t="n"/>
      <c r="AM66" s="27" t="n"/>
      <c r="AN66" s="27" t="n"/>
      <c r="AO66" s="27" t="n"/>
      <c r="AP66" s="27" t="n"/>
      <c r="AQ66" s="27" t="n"/>
      <c r="AR66" s="27" t="n"/>
      <c r="AS66" s="27" t="n"/>
      <c r="AT66" s="27" t="n"/>
      <c r="AU66" s="27" t="n"/>
      <c r="AV66" s="27" t="n"/>
      <c r="AW66" s="27" t="n"/>
      <c r="AX66" s="27" t="n"/>
      <c r="AY66" s="27" t="n"/>
      <c r="AZ66" s="27" t="n"/>
      <c r="BA66" s="27" t="n"/>
      <c r="BB66" s="27" t="n"/>
      <c r="BC66" s="27" t="n"/>
      <c r="BD66" s="27" t="n"/>
      <c r="BE66" s="27" t="n"/>
      <c r="BF66" s="27" t="n"/>
      <c r="BG66" s="27" t="n"/>
      <c r="BH66" s="27" t="n"/>
      <c r="BI66" s="29" t="n"/>
      <c r="BJ66" s="27" t="n"/>
      <c r="BK66" s="27" t="n"/>
      <c r="BL66" s="27" t="n"/>
      <c r="BM66" s="27" t="n"/>
      <c r="DN66" s="26">
        <f>IF('テスト条件'!A65="","",'テスト条件'!A65)</f>
        <v/>
      </c>
    </row>
    <row r="67">
      <c r="A67" s="27" t="n"/>
      <c r="B67" s="27" t="n"/>
      <c r="C67" s="28">
        <f>IF(A67="","",$B$2)</f>
        <v/>
      </c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  <c r="AA67" s="27" t="n"/>
      <c r="AB67" s="27" t="n"/>
      <c r="AC67" s="27" t="n"/>
      <c r="AD67" s="27" t="n"/>
      <c r="AE67" s="27" t="n"/>
      <c r="AF67" s="27" t="n"/>
      <c r="AG67" s="27" t="n"/>
      <c r="AH67" s="27" t="n"/>
      <c r="AI67" s="27" t="n"/>
      <c r="AJ67" s="27" t="n"/>
      <c r="AK67" s="27" t="n"/>
      <c r="AL67" s="27" t="n"/>
      <c r="AM67" s="27" t="n"/>
      <c r="AN67" s="27" t="n"/>
      <c r="AO67" s="27" t="n"/>
      <c r="AP67" s="27" t="n"/>
      <c r="AQ67" s="27" t="n"/>
      <c r="AR67" s="27" t="n"/>
      <c r="AS67" s="27" t="n"/>
      <c r="AT67" s="27" t="n"/>
      <c r="AU67" s="27" t="n"/>
      <c r="AV67" s="27" t="n"/>
      <c r="AW67" s="27" t="n"/>
      <c r="AX67" s="27" t="n"/>
      <c r="AY67" s="27" t="n"/>
      <c r="AZ67" s="27" t="n"/>
      <c r="BA67" s="27" t="n"/>
      <c r="BB67" s="27" t="n"/>
      <c r="BC67" s="27" t="n"/>
      <c r="BD67" s="27" t="n"/>
      <c r="BE67" s="27" t="n"/>
      <c r="BF67" s="27" t="n"/>
      <c r="BG67" s="27" t="n"/>
      <c r="BH67" s="27" t="n"/>
      <c r="BI67" s="29" t="n"/>
      <c r="BJ67" s="27" t="n"/>
      <c r="BK67" s="27" t="n"/>
      <c r="BL67" s="27" t="n"/>
      <c r="BM67" s="27" t="n"/>
      <c r="DN67" s="26">
        <f>IF('テスト条件'!A66="","",'テスト条件'!A66)</f>
        <v/>
      </c>
    </row>
    <row r="68">
      <c r="A68" s="27" t="n"/>
      <c r="B68" s="27" t="n"/>
      <c r="C68" s="28">
        <f>IF(A68="","",$B$2)</f>
        <v/>
      </c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  <c r="AA68" s="27" t="n"/>
      <c r="AB68" s="27" t="n"/>
      <c r="AC68" s="27" t="n"/>
      <c r="AD68" s="27" t="n"/>
      <c r="AE68" s="27" t="n"/>
      <c r="AF68" s="27" t="n"/>
      <c r="AG68" s="27" t="n"/>
      <c r="AH68" s="27" t="n"/>
      <c r="AI68" s="27" t="n"/>
      <c r="AJ68" s="27" t="n"/>
      <c r="AK68" s="27" t="n"/>
      <c r="AL68" s="27" t="n"/>
      <c r="AM68" s="27" t="n"/>
      <c r="AN68" s="27" t="n"/>
      <c r="AO68" s="27" t="n"/>
      <c r="AP68" s="27" t="n"/>
      <c r="AQ68" s="27" t="n"/>
      <c r="AR68" s="27" t="n"/>
      <c r="AS68" s="27" t="n"/>
      <c r="AT68" s="27" t="n"/>
      <c r="AU68" s="27" t="n"/>
      <c r="AV68" s="27" t="n"/>
      <c r="AW68" s="27" t="n"/>
      <c r="AX68" s="27" t="n"/>
      <c r="AY68" s="27" t="n"/>
      <c r="AZ68" s="27" t="n"/>
      <c r="BA68" s="27" t="n"/>
      <c r="BB68" s="27" t="n"/>
      <c r="BC68" s="27" t="n"/>
      <c r="BD68" s="27" t="n"/>
      <c r="BE68" s="27" t="n"/>
      <c r="BF68" s="27" t="n"/>
      <c r="BG68" s="27" t="n"/>
      <c r="BH68" s="27" t="n"/>
      <c r="BI68" s="29" t="n"/>
      <c r="BJ68" s="27" t="n"/>
      <c r="BK68" s="27" t="n"/>
      <c r="BL68" s="27" t="n"/>
      <c r="BM68" s="27" t="n"/>
      <c r="DN68" s="26">
        <f>IF('テスト条件'!A67="","",'テスト条件'!A67)</f>
        <v/>
      </c>
    </row>
    <row r="69">
      <c r="A69" s="27" t="n"/>
      <c r="B69" s="27" t="n"/>
      <c r="C69" s="28">
        <f>IF(A69="","",$B$2)</f>
        <v/>
      </c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  <c r="AA69" s="27" t="n"/>
      <c r="AB69" s="27" t="n"/>
      <c r="AC69" s="27" t="n"/>
      <c r="AD69" s="27" t="n"/>
      <c r="AE69" s="27" t="n"/>
      <c r="AF69" s="27" t="n"/>
      <c r="AG69" s="27" t="n"/>
      <c r="AH69" s="27" t="n"/>
      <c r="AI69" s="27" t="n"/>
      <c r="AJ69" s="27" t="n"/>
      <c r="AK69" s="27" t="n"/>
      <c r="AL69" s="27" t="n"/>
      <c r="AM69" s="27" t="n"/>
      <c r="AN69" s="27" t="n"/>
      <c r="AO69" s="27" t="n"/>
      <c r="AP69" s="27" t="n"/>
      <c r="AQ69" s="27" t="n"/>
      <c r="AR69" s="27" t="n"/>
      <c r="AS69" s="27" t="n"/>
      <c r="AT69" s="27" t="n"/>
      <c r="AU69" s="27" t="n"/>
      <c r="AV69" s="27" t="n"/>
      <c r="AW69" s="27" t="n"/>
      <c r="AX69" s="27" t="n"/>
      <c r="AY69" s="27" t="n"/>
      <c r="AZ69" s="27" t="n"/>
      <c r="BA69" s="27" t="n"/>
      <c r="BB69" s="27" t="n"/>
      <c r="BC69" s="27" t="n"/>
      <c r="BD69" s="27" t="n"/>
      <c r="BE69" s="27" t="n"/>
      <c r="BF69" s="27" t="n"/>
      <c r="BG69" s="27" t="n"/>
      <c r="BH69" s="27" t="n"/>
      <c r="BI69" s="29" t="n"/>
      <c r="BJ69" s="27" t="n"/>
      <c r="BK69" s="27" t="n"/>
      <c r="BL69" s="27" t="n"/>
      <c r="BM69" s="27" t="n"/>
      <c r="DN69" s="26">
        <f>IF('テスト条件'!A68="","",'テスト条件'!A68)</f>
        <v/>
      </c>
    </row>
    <row r="70">
      <c r="A70" s="27" t="n"/>
      <c r="B70" s="27" t="n"/>
      <c r="C70" s="28">
        <f>IF(A70="","",$B$2)</f>
        <v/>
      </c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  <c r="AA70" s="27" t="n"/>
      <c r="AB70" s="27" t="n"/>
      <c r="AC70" s="27" t="n"/>
      <c r="AD70" s="27" t="n"/>
      <c r="AE70" s="27" t="n"/>
      <c r="AF70" s="27" t="n"/>
      <c r="AG70" s="27" t="n"/>
      <c r="AH70" s="27" t="n"/>
      <c r="AI70" s="27" t="n"/>
      <c r="AJ70" s="27" t="n"/>
      <c r="AK70" s="27" t="n"/>
      <c r="AL70" s="27" t="n"/>
      <c r="AM70" s="27" t="n"/>
      <c r="AN70" s="27" t="n"/>
      <c r="AO70" s="27" t="n"/>
      <c r="AP70" s="27" t="n"/>
      <c r="AQ70" s="27" t="n"/>
      <c r="AR70" s="27" t="n"/>
      <c r="AS70" s="27" t="n"/>
      <c r="AT70" s="27" t="n"/>
      <c r="AU70" s="27" t="n"/>
      <c r="AV70" s="27" t="n"/>
      <c r="AW70" s="27" t="n"/>
      <c r="AX70" s="27" t="n"/>
      <c r="AY70" s="27" t="n"/>
      <c r="AZ70" s="27" t="n"/>
      <c r="BA70" s="27" t="n"/>
      <c r="BB70" s="27" t="n"/>
      <c r="BC70" s="27" t="n"/>
      <c r="BD70" s="27" t="n"/>
      <c r="BE70" s="27" t="n"/>
      <c r="BF70" s="27" t="n"/>
      <c r="BG70" s="27" t="n"/>
      <c r="BH70" s="27" t="n"/>
      <c r="BI70" s="29" t="n"/>
      <c r="BJ70" s="27" t="n"/>
      <c r="BK70" s="27" t="n"/>
      <c r="BL70" s="27" t="n"/>
      <c r="BM70" s="27" t="n"/>
      <c r="DN70" s="26">
        <f>IF('テスト条件'!A69="","",'テスト条件'!A69)</f>
        <v/>
      </c>
    </row>
    <row r="71">
      <c r="A71" s="27" t="n"/>
      <c r="B71" s="27" t="n"/>
      <c r="C71" s="28">
        <f>IF(A71="","",$B$2)</f>
        <v/>
      </c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  <c r="AA71" s="27" t="n"/>
      <c r="AB71" s="27" t="n"/>
      <c r="AC71" s="27" t="n"/>
      <c r="AD71" s="27" t="n"/>
      <c r="AE71" s="27" t="n"/>
      <c r="AF71" s="27" t="n"/>
      <c r="AG71" s="27" t="n"/>
      <c r="AH71" s="27" t="n"/>
      <c r="AI71" s="27" t="n"/>
      <c r="AJ71" s="27" t="n"/>
      <c r="AK71" s="27" t="n"/>
      <c r="AL71" s="27" t="n"/>
      <c r="AM71" s="27" t="n"/>
      <c r="AN71" s="27" t="n"/>
      <c r="AO71" s="27" t="n"/>
      <c r="AP71" s="27" t="n"/>
      <c r="AQ71" s="27" t="n"/>
      <c r="AR71" s="27" t="n"/>
      <c r="AS71" s="27" t="n"/>
      <c r="AT71" s="27" t="n"/>
      <c r="AU71" s="27" t="n"/>
      <c r="AV71" s="27" t="n"/>
      <c r="AW71" s="27" t="n"/>
      <c r="AX71" s="27" t="n"/>
      <c r="AY71" s="27" t="n"/>
      <c r="AZ71" s="27" t="n"/>
      <c r="BA71" s="27" t="n"/>
      <c r="BB71" s="27" t="n"/>
      <c r="BC71" s="27" t="n"/>
      <c r="BD71" s="27" t="n"/>
      <c r="BE71" s="27" t="n"/>
      <c r="BF71" s="27" t="n"/>
      <c r="BG71" s="27" t="n"/>
      <c r="BH71" s="27" t="n"/>
      <c r="BI71" s="29" t="n"/>
      <c r="BJ71" s="27" t="n"/>
      <c r="BK71" s="27" t="n"/>
      <c r="BL71" s="27" t="n"/>
      <c r="BM71" s="27" t="n"/>
      <c r="DN71" s="26">
        <f>IF('テスト条件'!A70="","",'テスト条件'!A70)</f>
        <v/>
      </c>
    </row>
    <row r="72">
      <c r="A72" s="27" t="n"/>
      <c r="B72" s="27" t="n"/>
      <c r="C72" s="28">
        <f>IF(A72="","",$B$2)</f>
        <v/>
      </c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  <c r="AA72" s="27" t="n"/>
      <c r="AB72" s="27" t="n"/>
      <c r="AC72" s="27" t="n"/>
      <c r="AD72" s="27" t="n"/>
      <c r="AE72" s="27" t="n"/>
      <c r="AF72" s="27" t="n"/>
      <c r="AG72" s="27" t="n"/>
      <c r="AH72" s="27" t="n"/>
      <c r="AI72" s="27" t="n"/>
      <c r="AJ72" s="27" t="n"/>
      <c r="AK72" s="27" t="n"/>
      <c r="AL72" s="27" t="n"/>
      <c r="AM72" s="27" t="n"/>
      <c r="AN72" s="27" t="n"/>
      <c r="AO72" s="27" t="n"/>
      <c r="AP72" s="27" t="n"/>
      <c r="AQ72" s="27" t="n"/>
      <c r="AR72" s="27" t="n"/>
      <c r="AS72" s="27" t="n"/>
      <c r="AT72" s="27" t="n"/>
      <c r="AU72" s="27" t="n"/>
      <c r="AV72" s="27" t="n"/>
      <c r="AW72" s="27" t="n"/>
      <c r="AX72" s="27" t="n"/>
      <c r="AY72" s="27" t="n"/>
      <c r="AZ72" s="27" t="n"/>
      <c r="BA72" s="27" t="n"/>
      <c r="BB72" s="27" t="n"/>
      <c r="BC72" s="27" t="n"/>
      <c r="BD72" s="27" t="n"/>
      <c r="BE72" s="27" t="n"/>
      <c r="BF72" s="27" t="n"/>
      <c r="BG72" s="27" t="n"/>
      <c r="BH72" s="27" t="n"/>
      <c r="BI72" s="29" t="n"/>
      <c r="BJ72" s="27" t="n"/>
      <c r="BK72" s="27" t="n"/>
      <c r="BL72" s="27" t="n"/>
      <c r="BM72" s="27" t="n"/>
      <c r="DN72" s="26">
        <f>IF('テスト条件'!A71="","",'テスト条件'!A71)</f>
        <v/>
      </c>
    </row>
    <row r="73">
      <c r="A73" s="27" t="n"/>
      <c r="B73" s="27" t="n"/>
      <c r="C73" s="28">
        <f>IF(A73="","",$B$2)</f>
        <v/>
      </c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  <c r="AA73" s="27" t="n"/>
      <c r="AB73" s="27" t="n"/>
      <c r="AC73" s="27" t="n"/>
      <c r="AD73" s="27" t="n"/>
      <c r="AE73" s="27" t="n"/>
      <c r="AF73" s="27" t="n"/>
      <c r="AG73" s="27" t="n"/>
      <c r="AH73" s="27" t="n"/>
      <c r="AI73" s="27" t="n"/>
      <c r="AJ73" s="27" t="n"/>
      <c r="AK73" s="27" t="n"/>
      <c r="AL73" s="27" t="n"/>
      <c r="AM73" s="27" t="n"/>
      <c r="AN73" s="27" t="n"/>
      <c r="AO73" s="27" t="n"/>
      <c r="AP73" s="27" t="n"/>
      <c r="AQ73" s="27" t="n"/>
      <c r="AR73" s="27" t="n"/>
      <c r="AS73" s="27" t="n"/>
      <c r="AT73" s="27" t="n"/>
      <c r="AU73" s="27" t="n"/>
      <c r="AV73" s="27" t="n"/>
      <c r="AW73" s="27" t="n"/>
      <c r="AX73" s="27" t="n"/>
      <c r="AY73" s="27" t="n"/>
      <c r="AZ73" s="27" t="n"/>
      <c r="BA73" s="27" t="n"/>
      <c r="BB73" s="27" t="n"/>
      <c r="BC73" s="27" t="n"/>
      <c r="BD73" s="27" t="n"/>
      <c r="BE73" s="27" t="n"/>
      <c r="BF73" s="27" t="n"/>
      <c r="BG73" s="27" t="n"/>
      <c r="BH73" s="27" t="n"/>
      <c r="BI73" s="29" t="n"/>
      <c r="BJ73" s="27" t="n"/>
      <c r="BK73" s="27" t="n"/>
      <c r="BL73" s="27" t="n"/>
      <c r="BM73" s="27" t="n"/>
      <c r="DN73" s="26">
        <f>IF('テスト条件'!A72="","",'テスト条件'!A72)</f>
        <v/>
      </c>
    </row>
    <row r="74">
      <c r="A74" s="27" t="n"/>
      <c r="B74" s="27" t="n"/>
      <c r="C74" s="28">
        <f>IF(A74="","",$B$2)</f>
        <v/>
      </c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  <c r="AA74" s="27" t="n"/>
      <c r="AB74" s="27" t="n"/>
      <c r="AC74" s="27" t="n"/>
      <c r="AD74" s="27" t="n"/>
      <c r="AE74" s="27" t="n"/>
      <c r="AF74" s="27" t="n"/>
      <c r="AG74" s="27" t="n"/>
      <c r="AH74" s="27" t="n"/>
      <c r="AI74" s="27" t="n"/>
      <c r="AJ74" s="27" t="n"/>
      <c r="AK74" s="27" t="n"/>
      <c r="AL74" s="27" t="n"/>
      <c r="AM74" s="27" t="n"/>
      <c r="AN74" s="27" t="n"/>
      <c r="AO74" s="27" t="n"/>
      <c r="AP74" s="27" t="n"/>
      <c r="AQ74" s="27" t="n"/>
      <c r="AR74" s="27" t="n"/>
      <c r="AS74" s="27" t="n"/>
      <c r="AT74" s="27" t="n"/>
      <c r="AU74" s="27" t="n"/>
      <c r="AV74" s="27" t="n"/>
      <c r="AW74" s="27" t="n"/>
      <c r="AX74" s="27" t="n"/>
      <c r="AY74" s="27" t="n"/>
      <c r="AZ74" s="27" t="n"/>
      <c r="BA74" s="27" t="n"/>
      <c r="BB74" s="27" t="n"/>
      <c r="BC74" s="27" t="n"/>
      <c r="BD74" s="27" t="n"/>
      <c r="BE74" s="27" t="n"/>
      <c r="BF74" s="27" t="n"/>
      <c r="BG74" s="27" t="n"/>
      <c r="BH74" s="27" t="n"/>
      <c r="BI74" s="29" t="n"/>
      <c r="BJ74" s="27" t="n"/>
      <c r="BK74" s="27" t="n"/>
      <c r="BL74" s="27" t="n"/>
      <c r="BM74" s="27" t="n"/>
      <c r="DN74" s="26">
        <f>IF('テスト条件'!A73="","",'テスト条件'!A73)</f>
        <v/>
      </c>
    </row>
    <row r="75">
      <c r="A75" s="27" t="n"/>
      <c r="B75" s="27" t="n"/>
      <c r="C75" s="28">
        <f>IF(A75="","",$B$2)</f>
        <v/>
      </c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  <c r="AA75" s="27" t="n"/>
      <c r="AB75" s="27" t="n"/>
      <c r="AC75" s="27" t="n"/>
      <c r="AD75" s="27" t="n"/>
      <c r="AE75" s="27" t="n"/>
      <c r="AF75" s="27" t="n"/>
      <c r="AG75" s="27" t="n"/>
      <c r="AH75" s="27" t="n"/>
      <c r="AI75" s="27" t="n"/>
      <c r="AJ75" s="27" t="n"/>
      <c r="AK75" s="27" t="n"/>
      <c r="AL75" s="27" t="n"/>
      <c r="AM75" s="27" t="n"/>
      <c r="AN75" s="27" t="n"/>
      <c r="AO75" s="27" t="n"/>
      <c r="AP75" s="27" t="n"/>
      <c r="AQ75" s="27" t="n"/>
      <c r="AR75" s="27" t="n"/>
      <c r="AS75" s="27" t="n"/>
      <c r="AT75" s="27" t="n"/>
      <c r="AU75" s="27" t="n"/>
      <c r="AV75" s="27" t="n"/>
      <c r="AW75" s="27" t="n"/>
      <c r="AX75" s="27" t="n"/>
      <c r="AY75" s="27" t="n"/>
      <c r="AZ75" s="27" t="n"/>
      <c r="BA75" s="27" t="n"/>
      <c r="BB75" s="27" t="n"/>
      <c r="BC75" s="27" t="n"/>
      <c r="BD75" s="27" t="n"/>
      <c r="BE75" s="27" t="n"/>
      <c r="BF75" s="27" t="n"/>
      <c r="BG75" s="27" t="n"/>
      <c r="BH75" s="27" t="n"/>
      <c r="BI75" s="29" t="n"/>
      <c r="BJ75" s="27" t="n"/>
      <c r="BK75" s="27" t="n"/>
      <c r="BL75" s="27" t="n"/>
      <c r="BM75" s="27" t="n"/>
      <c r="DN75" s="26">
        <f>IF('テスト条件'!A74="","",'テスト条件'!A74)</f>
        <v/>
      </c>
    </row>
    <row r="76">
      <c r="A76" s="27" t="n"/>
      <c r="B76" s="27" t="n"/>
      <c r="C76" s="28">
        <f>IF(A76="","",$B$2)</f>
        <v/>
      </c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  <c r="AA76" s="27" t="n"/>
      <c r="AB76" s="27" t="n"/>
      <c r="AC76" s="27" t="n"/>
      <c r="AD76" s="27" t="n"/>
      <c r="AE76" s="27" t="n"/>
      <c r="AF76" s="27" t="n"/>
      <c r="AG76" s="27" t="n"/>
      <c r="AH76" s="27" t="n"/>
      <c r="AI76" s="27" t="n"/>
      <c r="AJ76" s="27" t="n"/>
      <c r="AK76" s="27" t="n"/>
      <c r="AL76" s="27" t="n"/>
      <c r="AM76" s="27" t="n"/>
      <c r="AN76" s="27" t="n"/>
      <c r="AO76" s="27" t="n"/>
      <c r="AP76" s="27" t="n"/>
      <c r="AQ76" s="27" t="n"/>
      <c r="AR76" s="27" t="n"/>
      <c r="AS76" s="27" t="n"/>
      <c r="AT76" s="27" t="n"/>
      <c r="AU76" s="27" t="n"/>
      <c r="AV76" s="27" t="n"/>
      <c r="AW76" s="27" t="n"/>
      <c r="AX76" s="27" t="n"/>
      <c r="AY76" s="27" t="n"/>
      <c r="AZ76" s="27" t="n"/>
      <c r="BA76" s="27" t="n"/>
      <c r="BB76" s="27" t="n"/>
      <c r="BC76" s="27" t="n"/>
      <c r="BD76" s="27" t="n"/>
      <c r="BE76" s="27" t="n"/>
      <c r="BF76" s="27" t="n"/>
      <c r="BG76" s="27" t="n"/>
      <c r="BH76" s="27" t="n"/>
      <c r="BI76" s="29" t="n"/>
      <c r="BJ76" s="27" t="n"/>
      <c r="BK76" s="27" t="n"/>
      <c r="BL76" s="27" t="n"/>
      <c r="BM76" s="27" t="n"/>
      <c r="DN76" s="26">
        <f>IF('テスト条件'!A75="","",'テスト条件'!A75)</f>
        <v/>
      </c>
    </row>
    <row r="77">
      <c r="A77" s="27" t="n"/>
      <c r="B77" s="27" t="n"/>
      <c r="C77" s="28">
        <f>IF(A77="","",$B$2)</f>
        <v/>
      </c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  <c r="AA77" s="27" t="n"/>
      <c r="AB77" s="27" t="n"/>
      <c r="AC77" s="27" t="n"/>
      <c r="AD77" s="27" t="n"/>
      <c r="AE77" s="27" t="n"/>
      <c r="AF77" s="27" t="n"/>
      <c r="AG77" s="27" t="n"/>
      <c r="AH77" s="27" t="n"/>
      <c r="AI77" s="27" t="n"/>
      <c r="AJ77" s="27" t="n"/>
      <c r="AK77" s="27" t="n"/>
      <c r="AL77" s="27" t="n"/>
      <c r="AM77" s="27" t="n"/>
      <c r="AN77" s="27" t="n"/>
      <c r="AO77" s="27" t="n"/>
      <c r="AP77" s="27" t="n"/>
      <c r="AQ77" s="27" t="n"/>
      <c r="AR77" s="27" t="n"/>
      <c r="AS77" s="27" t="n"/>
      <c r="AT77" s="27" t="n"/>
      <c r="AU77" s="27" t="n"/>
      <c r="AV77" s="27" t="n"/>
      <c r="AW77" s="27" t="n"/>
      <c r="AX77" s="27" t="n"/>
      <c r="AY77" s="27" t="n"/>
      <c r="AZ77" s="27" t="n"/>
      <c r="BA77" s="27" t="n"/>
      <c r="BB77" s="27" t="n"/>
      <c r="BC77" s="27" t="n"/>
      <c r="BD77" s="27" t="n"/>
      <c r="BE77" s="27" t="n"/>
      <c r="BF77" s="27" t="n"/>
      <c r="BG77" s="27" t="n"/>
      <c r="BH77" s="27" t="n"/>
      <c r="BI77" s="29" t="n"/>
      <c r="BJ77" s="27" t="n"/>
      <c r="BK77" s="27" t="n"/>
      <c r="BL77" s="27" t="n"/>
      <c r="BM77" s="27" t="n"/>
      <c r="DN77" s="26">
        <f>IF('テスト条件'!A76="","",'テスト条件'!A76)</f>
        <v/>
      </c>
    </row>
    <row r="78">
      <c r="A78" s="27" t="n"/>
      <c r="B78" s="27" t="n"/>
      <c r="C78" s="28">
        <f>IF(A78="","",$B$2)</f>
        <v/>
      </c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  <c r="AA78" s="27" t="n"/>
      <c r="AB78" s="27" t="n"/>
      <c r="AC78" s="27" t="n"/>
      <c r="AD78" s="27" t="n"/>
      <c r="AE78" s="27" t="n"/>
      <c r="AF78" s="27" t="n"/>
      <c r="AG78" s="27" t="n"/>
      <c r="AH78" s="27" t="n"/>
      <c r="AI78" s="27" t="n"/>
      <c r="AJ78" s="27" t="n"/>
      <c r="AK78" s="27" t="n"/>
      <c r="AL78" s="27" t="n"/>
      <c r="AM78" s="27" t="n"/>
      <c r="AN78" s="27" t="n"/>
      <c r="AO78" s="27" t="n"/>
      <c r="AP78" s="27" t="n"/>
      <c r="AQ78" s="27" t="n"/>
      <c r="AR78" s="27" t="n"/>
      <c r="AS78" s="27" t="n"/>
      <c r="AT78" s="27" t="n"/>
      <c r="AU78" s="27" t="n"/>
      <c r="AV78" s="27" t="n"/>
      <c r="AW78" s="27" t="n"/>
      <c r="AX78" s="27" t="n"/>
      <c r="AY78" s="27" t="n"/>
      <c r="AZ78" s="27" t="n"/>
      <c r="BA78" s="27" t="n"/>
      <c r="BB78" s="27" t="n"/>
      <c r="BC78" s="27" t="n"/>
      <c r="BD78" s="27" t="n"/>
      <c r="BE78" s="27" t="n"/>
      <c r="BF78" s="27" t="n"/>
      <c r="BG78" s="27" t="n"/>
      <c r="BH78" s="27" t="n"/>
      <c r="BI78" s="29" t="n"/>
      <c r="BJ78" s="27" t="n"/>
      <c r="BK78" s="27" t="n"/>
      <c r="BL78" s="27" t="n"/>
      <c r="BM78" s="27" t="n"/>
      <c r="DN78" s="26">
        <f>IF('テスト条件'!A77="","",'テスト条件'!A77)</f>
        <v/>
      </c>
    </row>
    <row r="79">
      <c r="A79" s="27" t="n"/>
      <c r="B79" s="27" t="n"/>
      <c r="C79" s="28">
        <f>IF(A79="","",$B$2)</f>
        <v/>
      </c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  <c r="AA79" s="27" t="n"/>
      <c r="AB79" s="27" t="n"/>
      <c r="AC79" s="27" t="n"/>
      <c r="AD79" s="27" t="n"/>
      <c r="AE79" s="27" t="n"/>
      <c r="AF79" s="27" t="n"/>
      <c r="AG79" s="27" t="n"/>
      <c r="AH79" s="27" t="n"/>
      <c r="AI79" s="27" t="n"/>
      <c r="AJ79" s="27" t="n"/>
      <c r="AK79" s="27" t="n"/>
      <c r="AL79" s="27" t="n"/>
      <c r="AM79" s="27" t="n"/>
      <c r="AN79" s="27" t="n"/>
      <c r="AO79" s="27" t="n"/>
      <c r="AP79" s="27" t="n"/>
      <c r="AQ79" s="27" t="n"/>
      <c r="AR79" s="27" t="n"/>
      <c r="AS79" s="27" t="n"/>
      <c r="AT79" s="27" t="n"/>
      <c r="AU79" s="27" t="n"/>
      <c r="AV79" s="27" t="n"/>
      <c r="AW79" s="27" t="n"/>
      <c r="AX79" s="27" t="n"/>
      <c r="AY79" s="27" t="n"/>
      <c r="AZ79" s="27" t="n"/>
      <c r="BA79" s="27" t="n"/>
      <c r="BB79" s="27" t="n"/>
      <c r="BC79" s="27" t="n"/>
      <c r="BD79" s="27" t="n"/>
      <c r="BE79" s="27" t="n"/>
      <c r="BF79" s="27" t="n"/>
      <c r="BG79" s="27" t="n"/>
      <c r="BH79" s="27" t="n"/>
      <c r="BI79" s="29" t="n"/>
      <c r="BJ79" s="27" t="n"/>
      <c r="BK79" s="27" t="n"/>
      <c r="BL79" s="27" t="n"/>
      <c r="BM79" s="27" t="n"/>
      <c r="DN79" s="26">
        <f>IF('テスト条件'!A78="","",'テスト条件'!A78)</f>
        <v/>
      </c>
    </row>
    <row r="80">
      <c r="A80" s="27" t="n"/>
      <c r="B80" s="27" t="n"/>
      <c r="C80" s="28">
        <f>IF(A80="","",$B$2)</f>
        <v/>
      </c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27" t="n"/>
      <c r="AJ80" s="27" t="n"/>
      <c r="AK80" s="27" t="n"/>
      <c r="AL80" s="27" t="n"/>
      <c r="AM80" s="27" t="n"/>
      <c r="AN80" s="27" t="n"/>
      <c r="AO80" s="27" t="n"/>
      <c r="AP80" s="27" t="n"/>
      <c r="AQ80" s="27" t="n"/>
      <c r="AR80" s="27" t="n"/>
      <c r="AS80" s="27" t="n"/>
      <c r="AT80" s="27" t="n"/>
      <c r="AU80" s="27" t="n"/>
      <c r="AV80" s="27" t="n"/>
      <c r="AW80" s="27" t="n"/>
      <c r="AX80" s="27" t="n"/>
      <c r="AY80" s="27" t="n"/>
      <c r="AZ80" s="27" t="n"/>
      <c r="BA80" s="27" t="n"/>
      <c r="BB80" s="27" t="n"/>
      <c r="BC80" s="27" t="n"/>
      <c r="BD80" s="27" t="n"/>
      <c r="BE80" s="27" t="n"/>
      <c r="BF80" s="27" t="n"/>
      <c r="BG80" s="27" t="n"/>
      <c r="BH80" s="27" t="n"/>
      <c r="BI80" s="29" t="n"/>
      <c r="BJ80" s="27" t="n"/>
      <c r="BK80" s="27" t="n"/>
      <c r="BL80" s="27" t="n"/>
      <c r="BM80" s="27" t="n"/>
      <c r="DN80" s="26">
        <f>IF('テスト条件'!A79="","",'テスト条件'!A79)</f>
        <v/>
      </c>
    </row>
    <row r="81">
      <c r="A81" s="27" t="n"/>
      <c r="B81" s="27" t="n"/>
      <c r="C81" s="28">
        <f>IF(A81="","",$B$2)</f>
        <v/>
      </c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  <c r="AA81" s="27" t="n"/>
      <c r="AB81" s="27" t="n"/>
      <c r="AC81" s="27" t="n"/>
      <c r="AD81" s="27" t="n"/>
      <c r="AE81" s="27" t="n"/>
      <c r="AF81" s="27" t="n"/>
      <c r="AG81" s="27" t="n"/>
      <c r="AH81" s="27" t="n"/>
      <c r="AI81" s="27" t="n"/>
      <c r="AJ81" s="27" t="n"/>
      <c r="AK81" s="27" t="n"/>
      <c r="AL81" s="27" t="n"/>
      <c r="AM81" s="27" t="n"/>
      <c r="AN81" s="27" t="n"/>
      <c r="AO81" s="27" t="n"/>
      <c r="AP81" s="27" t="n"/>
      <c r="AQ81" s="27" t="n"/>
      <c r="AR81" s="27" t="n"/>
      <c r="AS81" s="27" t="n"/>
      <c r="AT81" s="27" t="n"/>
      <c r="AU81" s="27" t="n"/>
      <c r="AV81" s="27" t="n"/>
      <c r="AW81" s="27" t="n"/>
      <c r="AX81" s="27" t="n"/>
      <c r="AY81" s="27" t="n"/>
      <c r="AZ81" s="27" t="n"/>
      <c r="BA81" s="27" t="n"/>
      <c r="BB81" s="27" t="n"/>
      <c r="BC81" s="27" t="n"/>
      <c r="BD81" s="27" t="n"/>
      <c r="BE81" s="27" t="n"/>
      <c r="BF81" s="27" t="n"/>
      <c r="BG81" s="27" t="n"/>
      <c r="BH81" s="27" t="n"/>
      <c r="BI81" s="29" t="n"/>
      <c r="BJ81" s="27" t="n"/>
      <c r="BK81" s="27" t="n"/>
      <c r="BL81" s="27" t="n"/>
      <c r="BM81" s="27" t="n"/>
      <c r="DN81" s="26">
        <f>IF('テスト条件'!A80="","",'テスト条件'!A80)</f>
        <v/>
      </c>
    </row>
    <row r="82">
      <c r="A82" s="27" t="n"/>
      <c r="B82" s="27" t="n"/>
      <c r="C82" s="28">
        <f>IF(A82="","",$B$2)</f>
        <v/>
      </c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  <c r="AA82" s="27" t="n"/>
      <c r="AB82" s="27" t="n"/>
      <c r="AC82" s="27" t="n"/>
      <c r="AD82" s="27" t="n"/>
      <c r="AE82" s="27" t="n"/>
      <c r="AF82" s="27" t="n"/>
      <c r="AG82" s="27" t="n"/>
      <c r="AH82" s="27" t="n"/>
      <c r="AI82" s="27" t="n"/>
      <c r="AJ82" s="27" t="n"/>
      <c r="AK82" s="27" t="n"/>
      <c r="AL82" s="27" t="n"/>
      <c r="AM82" s="27" t="n"/>
      <c r="AN82" s="27" t="n"/>
      <c r="AO82" s="27" t="n"/>
      <c r="AP82" s="27" t="n"/>
      <c r="AQ82" s="27" t="n"/>
      <c r="AR82" s="27" t="n"/>
      <c r="AS82" s="27" t="n"/>
      <c r="AT82" s="27" t="n"/>
      <c r="AU82" s="27" t="n"/>
      <c r="AV82" s="27" t="n"/>
      <c r="AW82" s="27" t="n"/>
      <c r="AX82" s="27" t="n"/>
      <c r="AY82" s="27" t="n"/>
      <c r="AZ82" s="27" t="n"/>
      <c r="BA82" s="27" t="n"/>
      <c r="BB82" s="27" t="n"/>
      <c r="BC82" s="27" t="n"/>
      <c r="BD82" s="27" t="n"/>
      <c r="BE82" s="27" t="n"/>
      <c r="BF82" s="27" t="n"/>
      <c r="BG82" s="27" t="n"/>
      <c r="BH82" s="27" t="n"/>
      <c r="BI82" s="29" t="n"/>
      <c r="BJ82" s="27" t="n"/>
      <c r="BK82" s="27" t="n"/>
      <c r="BL82" s="27" t="n"/>
      <c r="BM82" s="27" t="n"/>
      <c r="DN82" s="26">
        <f>IF('テスト条件'!A81="","",'テスト条件'!A81)</f>
        <v/>
      </c>
    </row>
    <row r="83">
      <c r="A83" s="27" t="n"/>
      <c r="B83" s="27" t="n"/>
      <c r="C83" s="28">
        <f>IF(A83="","",$B$2)</f>
        <v/>
      </c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  <c r="AA83" s="27" t="n"/>
      <c r="AB83" s="27" t="n"/>
      <c r="AC83" s="27" t="n"/>
      <c r="AD83" s="27" t="n"/>
      <c r="AE83" s="27" t="n"/>
      <c r="AF83" s="27" t="n"/>
      <c r="AG83" s="27" t="n"/>
      <c r="AH83" s="27" t="n"/>
      <c r="AI83" s="27" t="n"/>
      <c r="AJ83" s="27" t="n"/>
      <c r="AK83" s="27" t="n"/>
      <c r="AL83" s="27" t="n"/>
      <c r="AM83" s="27" t="n"/>
      <c r="AN83" s="27" t="n"/>
      <c r="AO83" s="27" t="n"/>
      <c r="AP83" s="27" t="n"/>
      <c r="AQ83" s="27" t="n"/>
      <c r="AR83" s="27" t="n"/>
      <c r="AS83" s="27" t="n"/>
      <c r="AT83" s="27" t="n"/>
      <c r="AU83" s="27" t="n"/>
      <c r="AV83" s="27" t="n"/>
      <c r="AW83" s="27" t="n"/>
      <c r="AX83" s="27" t="n"/>
      <c r="AY83" s="27" t="n"/>
      <c r="AZ83" s="27" t="n"/>
      <c r="BA83" s="27" t="n"/>
      <c r="BB83" s="27" t="n"/>
      <c r="BC83" s="27" t="n"/>
      <c r="BD83" s="27" t="n"/>
      <c r="BE83" s="27" t="n"/>
      <c r="BF83" s="27" t="n"/>
      <c r="BG83" s="27" t="n"/>
      <c r="BH83" s="27" t="n"/>
      <c r="BI83" s="29" t="n"/>
      <c r="BJ83" s="27" t="n"/>
      <c r="BK83" s="27" t="n"/>
      <c r="BL83" s="27" t="n"/>
      <c r="BM83" s="27" t="n"/>
      <c r="DN83" s="26">
        <f>IF('テスト条件'!A82="","",'テスト条件'!A82)</f>
        <v/>
      </c>
    </row>
    <row r="84">
      <c r="A84" s="27" t="n"/>
      <c r="B84" s="27" t="n"/>
      <c r="C84" s="28">
        <f>IF(A84="","",$B$2)</f>
        <v/>
      </c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  <c r="AA84" s="27" t="n"/>
      <c r="AB84" s="27" t="n"/>
      <c r="AC84" s="27" t="n"/>
      <c r="AD84" s="27" t="n"/>
      <c r="AE84" s="27" t="n"/>
      <c r="AF84" s="27" t="n"/>
      <c r="AG84" s="27" t="n"/>
      <c r="AH84" s="27" t="n"/>
      <c r="AI84" s="27" t="n"/>
      <c r="AJ84" s="27" t="n"/>
      <c r="AK84" s="27" t="n"/>
      <c r="AL84" s="27" t="n"/>
      <c r="AM84" s="27" t="n"/>
      <c r="AN84" s="27" t="n"/>
      <c r="AO84" s="27" t="n"/>
      <c r="AP84" s="27" t="n"/>
      <c r="AQ84" s="27" t="n"/>
      <c r="AR84" s="27" t="n"/>
      <c r="AS84" s="27" t="n"/>
      <c r="AT84" s="27" t="n"/>
      <c r="AU84" s="27" t="n"/>
      <c r="AV84" s="27" t="n"/>
      <c r="AW84" s="27" t="n"/>
      <c r="AX84" s="27" t="n"/>
      <c r="AY84" s="27" t="n"/>
      <c r="AZ84" s="27" t="n"/>
      <c r="BA84" s="27" t="n"/>
      <c r="BB84" s="27" t="n"/>
      <c r="BC84" s="27" t="n"/>
      <c r="BD84" s="27" t="n"/>
      <c r="BE84" s="27" t="n"/>
      <c r="BF84" s="27" t="n"/>
      <c r="BG84" s="27" t="n"/>
      <c r="BH84" s="27" t="n"/>
      <c r="BI84" s="29" t="n"/>
      <c r="BJ84" s="27" t="n"/>
      <c r="BK84" s="27" t="n"/>
      <c r="BL84" s="27" t="n"/>
      <c r="BM84" s="27" t="n"/>
      <c r="DN84" s="26">
        <f>IF('テスト条件'!A83="","",'テスト条件'!A83)</f>
        <v/>
      </c>
    </row>
    <row r="85">
      <c r="A85" s="27" t="n"/>
      <c r="B85" s="27" t="n"/>
      <c r="C85" s="28">
        <f>IF(A85="","",$B$2)</f>
        <v/>
      </c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  <c r="AA85" s="27" t="n"/>
      <c r="AB85" s="27" t="n"/>
      <c r="AC85" s="27" t="n"/>
      <c r="AD85" s="27" t="n"/>
      <c r="AE85" s="27" t="n"/>
      <c r="AF85" s="27" t="n"/>
      <c r="AG85" s="27" t="n"/>
      <c r="AH85" s="27" t="n"/>
      <c r="AI85" s="27" t="n"/>
      <c r="AJ85" s="27" t="n"/>
      <c r="AK85" s="27" t="n"/>
      <c r="AL85" s="27" t="n"/>
      <c r="AM85" s="27" t="n"/>
      <c r="AN85" s="27" t="n"/>
      <c r="AO85" s="27" t="n"/>
      <c r="AP85" s="27" t="n"/>
      <c r="AQ85" s="27" t="n"/>
      <c r="AR85" s="27" t="n"/>
      <c r="AS85" s="27" t="n"/>
      <c r="AT85" s="27" t="n"/>
      <c r="AU85" s="27" t="n"/>
      <c r="AV85" s="27" t="n"/>
      <c r="AW85" s="27" t="n"/>
      <c r="AX85" s="27" t="n"/>
      <c r="AY85" s="27" t="n"/>
      <c r="AZ85" s="27" t="n"/>
      <c r="BA85" s="27" t="n"/>
      <c r="BB85" s="27" t="n"/>
      <c r="BC85" s="27" t="n"/>
      <c r="BD85" s="27" t="n"/>
      <c r="BE85" s="27" t="n"/>
      <c r="BF85" s="27" t="n"/>
      <c r="BG85" s="27" t="n"/>
      <c r="BH85" s="27" t="n"/>
      <c r="BI85" s="29" t="n"/>
      <c r="BJ85" s="27" t="n"/>
      <c r="BK85" s="27" t="n"/>
      <c r="BL85" s="27" t="n"/>
      <c r="BM85" s="27" t="n"/>
      <c r="DN85" s="26">
        <f>IF('テスト条件'!A84="","",'テスト条件'!A84)</f>
        <v/>
      </c>
    </row>
    <row r="86">
      <c r="A86" s="27" t="n"/>
      <c r="B86" s="27" t="n"/>
      <c r="C86" s="28">
        <f>IF(A86="","",$B$2)</f>
        <v/>
      </c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27" t="n"/>
      <c r="AJ86" s="27" t="n"/>
      <c r="AK86" s="27" t="n"/>
      <c r="AL86" s="27" t="n"/>
      <c r="AM86" s="27" t="n"/>
      <c r="AN86" s="27" t="n"/>
      <c r="AO86" s="27" t="n"/>
      <c r="AP86" s="27" t="n"/>
      <c r="AQ86" s="27" t="n"/>
      <c r="AR86" s="27" t="n"/>
      <c r="AS86" s="27" t="n"/>
      <c r="AT86" s="27" t="n"/>
      <c r="AU86" s="27" t="n"/>
      <c r="AV86" s="27" t="n"/>
      <c r="AW86" s="27" t="n"/>
      <c r="AX86" s="27" t="n"/>
      <c r="AY86" s="27" t="n"/>
      <c r="AZ86" s="27" t="n"/>
      <c r="BA86" s="27" t="n"/>
      <c r="BB86" s="27" t="n"/>
      <c r="BC86" s="27" t="n"/>
      <c r="BD86" s="27" t="n"/>
      <c r="BE86" s="27" t="n"/>
      <c r="BF86" s="27" t="n"/>
      <c r="BG86" s="27" t="n"/>
      <c r="BH86" s="27" t="n"/>
      <c r="BI86" s="29" t="n"/>
      <c r="BJ86" s="27" t="n"/>
      <c r="BK86" s="27" t="n"/>
      <c r="BL86" s="27" t="n"/>
      <c r="BM86" s="27" t="n"/>
      <c r="DN86" s="26">
        <f>IF('テスト条件'!A85="","",'テスト条件'!A85)</f>
        <v/>
      </c>
    </row>
    <row r="87">
      <c r="A87" s="27" t="n"/>
      <c r="B87" s="27" t="n"/>
      <c r="C87" s="28">
        <f>IF(A87="","",$B$2)</f>
        <v/>
      </c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  <c r="AA87" s="27" t="n"/>
      <c r="AB87" s="27" t="n"/>
      <c r="AC87" s="27" t="n"/>
      <c r="AD87" s="27" t="n"/>
      <c r="AE87" s="27" t="n"/>
      <c r="AF87" s="27" t="n"/>
      <c r="AG87" s="27" t="n"/>
      <c r="AH87" s="27" t="n"/>
      <c r="AI87" s="27" t="n"/>
      <c r="AJ87" s="27" t="n"/>
      <c r="AK87" s="27" t="n"/>
      <c r="AL87" s="27" t="n"/>
      <c r="AM87" s="27" t="n"/>
      <c r="AN87" s="27" t="n"/>
      <c r="AO87" s="27" t="n"/>
      <c r="AP87" s="27" t="n"/>
      <c r="AQ87" s="27" t="n"/>
      <c r="AR87" s="27" t="n"/>
      <c r="AS87" s="27" t="n"/>
      <c r="AT87" s="27" t="n"/>
      <c r="AU87" s="27" t="n"/>
      <c r="AV87" s="27" t="n"/>
      <c r="AW87" s="27" t="n"/>
      <c r="AX87" s="27" t="n"/>
      <c r="AY87" s="27" t="n"/>
      <c r="AZ87" s="27" t="n"/>
      <c r="BA87" s="27" t="n"/>
      <c r="BB87" s="27" t="n"/>
      <c r="BC87" s="27" t="n"/>
      <c r="BD87" s="27" t="n"/>
      <c r="BE87" s="27" t="n"/>
      <c r="BF87" s="27" t="n"/>
      <c r="BG87" s="27" t="n"/>
      <c r="BH87" s="27" t="n"/>
      <c r="BI87" s="29" t="n"/>
      <c r="BJ87" s="27" t="n"/>
      <c r="BK87" s="27" t="n"/>
      <c r="BL87" s="27" t="n"/>
      <c r="BM87" s="27" t="n"/>
      <c r="DN87" s="26">
        <f>IF('テスト条件'!A86="","",'テスト条件'!A86)</f>
        <v/>
      </c>
    </row>
    <row r="88">
      <c r="A88" s="27" t="n"/>
      <c r="B88" s="27" t="n"/>
      <c r="C88" s="28">
        <f>IF(A88="","",$B$2)</f>
        <v/>
      </c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  <c r="AA88" s="27" t="n"/>
      <c r="AB88" s="27" t="n"/>
      <c r="AC88" s="27" t="n"/>
      <c r="AD88" s="27" t="n"/>
      <c r="AE88" s="27" t="n"/>
      <c r="AF88" s="27" t="n"/>
      <c r="AG88" s="27" t="n"/>
      <c r="AH88" s="27" t="n"/>
      <c r="AI88" s="27" t="n"/>
      <c r="AJ88" s="27" t="n"/>
      <c r="AK88" s="27" t="n"/>
      <c r="AL88" s="27" t="n"/>
      <c r="AM88" s="27" t="n"/>
      <c r="AN88" s="27" t="n"/>
      <c r="AO88" s="27" t="n"/>
      <c r="AP88" s="27" t="n"/>
      <c r="AQ88" s="27" t="n"/>
      <c r="AR88" s="27" t="n"/>
      <c r="AS88" s="27" t="n"/>
      <c r="AT88" s="27" t="n"/>
      <c r="AU88" s="27" t="n"/>
      <c r="AV88" s="27" t="n"/>
      <c r="AW88" s="27" t="n"/>
      <c r="AX88" s="27" t="n"/>
      <c r="AY88" s="27" t="n"/>
      <c r="AZ88" s="27" t="n"/>
      <c r="BA88" s="27" t="n"/>
      <c r="BB88" s="27" t="n"/>
      <c r="BC88" s="27" t="n"/>
      <c r="BD88" s="27" t="n"/>
      <c r="BE88" s="27" t="n"/>
      <c r="BF88" s="27" t="n"/>
      <c r="BG88" s="27" t="n"/>
      <c r="BH88" s="27" t="n"/>
      <c r="BI88" s="29" t="n"/>
      <c r="BJ88" s="27" t="n"/>
      <c r="BK88" s="27" t="n"/>
      <c r="BL88" s="27" t="n"/>
      <c r="BM88" s="27" t="n"/>
      <c r="DN88" s="26">
        <f>IF('テスト条件'!A87="","",'テスト条件'!A87)</f>
        <v/>
      </c>
    </row>
    <row r="89">
      <c r="A89" s="27" t="n"/>
      <c r="B89" s="27" t="n"/>
      <c r="C89" s="28">
        <f>IF(A89="","",$B$2)</f>
        <v/>
      </c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27" t="n"/>
      <c r="AJ89" s="27" t="n"/>
      <c r="AK89" s="27" t="n"/>
      <c r="AL89" s="27" t="n"/>
      <c r="AM89" s="27" t="n"/>
      <c r="AN89" s="27" t="n"/>
      <c r="AO89" s="27" t="n"/>
      <c r="AP89" s="27" t="n"/>
      <c r="AQ89" s="27" t="n"/>
      <c r="AR89" s="27" t="n"/>
      <c r="AS89" s="27" t="n"/>
      <c r="AT89" s="27" t="n"/>
      <c r="AU89" s="27" t="n"/>
      <c r="AV89" s="27" t="n"/>
      <c r="AW89" s="27" t="n"/>
      <c r="AX89" s="27" t="n"/>
      <c r="AY89" s="27" t="n"/>
      <c r="AZ89" s="27" t="n"/>
      <c r="BA89" s="27" t="n"/>
      <c r="BB89" s="27" t="n"/>
      <c r="BC89" s="27" t="n"/>
      <c r="BD89" s="27" t="n"/>
      <c r="BE89" s="27" t="n"/>
      <c r="BF89" s="27" t="n"/>
      <c r="BG89" s="27" t="n"/>
      <c r="BH89" s="27" t="n"/>
      <c r="BI89" s="29" t="n"/>
      <c r="BJ89" s="27" t="n"/>
      <c r="BK89" s="27" t="n"/>
      <c r="BL89" s="27" t="n"/>
      <c r="BM89" s="27" t="n"/>
      <c r="DN89" s="26">
        <f>IF('テスト条件'!A88="","",'テスト条件'!A88)</f>
        <v/>
      </c>
    </row>
    <row r="90">
      <c r="A90" s="27" t="n"/>
      <c r="B90" s="27" t="n"/>
      <c r="C90" s="28">
        <f>IF(A90="","",$B$2)</f>
        <v/>
      </c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  <c r="AA90" s="27" t="n"/>
      <c r="AB90" s="27" t="n"/>
      <c r="AC90" s="27" t="n"/>
      <c r="AD90" s="27" t="n"/>
      <c r="AE90" s="27" t="n"/>
      <c r="AF90" s="27" t="n"/>
      <c r="AG90" s="27" t="n"/>
      <c r="AH90" s="27" t="n"/>
      <c r="AI90" s="27" t="n"/>
      <c r="AJ90" s="27" t="n"/>
      <c r="AK90" s="27" t="n"/>
      <c r="AL90" s="27" t="n"/>
      <c r="AM90" s="27" t="n"/>
      <c r="AN90" s="27" t="n"/>
      <c r="AO90" s="27" t="n"/>
      <c r="AP90" s="27" t="n"/>
      <c r="AQ90" s="27" t="n"/>
      <c r="AR90" s="27" t="n"/>
      <c r="AS90" s="27" t="n"/>
      <c r="AT90" s="27" t="n"/>
      <c r="AU90" s="27" t="n"/>
      <c r="AV90" s="27" t="n"/>
      <c r="AW90" s="27" t="n"/>
      <c r="AX90" s="27" t="n"/>
      <c r="AY90" s="27" t="n"/>
      <c r="AZ90" s="27" t="n"/>
      <c r="BA90" s="27" t="n"/>
      <c r="BB90" s="27" t="n"/>
      <c r="BC90" s="27" t="n"/>
      <c r="BD90" s="27" t="n"/>
      <c r="BE90" s="27" t="n"/>
      <c r="BF90" s="27" t="n"/>
      <c r="BG90" s="27" t="n"/>
      <c r="BH90" s="27" t="n"/>
      <c r="BI90" s="29" t="n"/>
      <c r="BJ90" s="27" t="n"/>
      <c r="BK90" s="27" t="n"/>
      <c r="BL90" s="27" t="n"/>
      <c r="BM90" s="27" t="n"/>
      <c r="DN90" s="26">
        <f>IF('テスト条件'!A89="","",'テスト条件'!A89)</f>
        <v/>
      </c>
    </row>
    <row r="91">
      <c r="A91" s="27" t="n"/>
      <c r="B91" s="27" t="n"/>
      <c r="C91" s="28">
        <f>IF(A91="","",$B$2)</f>
        <v/>
      </c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  <c r="AA91" s="27" t="n"/>
      <c r="AB91" s="27" t="n"/>
      <c r="AC91" s="27" t="n"/>
      <c r="AD91" s="27" t="n"/>
      <c r="AE91" s="27" t="n"/>
      <c r="AF91" s="27" t="n"/>
      <c r="AG91" s="27" t="n"/>
      <c r="AH91" s="27" t="n"/>
      <c r="AI91" s="27" t="n"/>
      <c r="AJ91" s="27" t="n"/>
      <c r="AK91" s="27" t="n"/>
      <c r="AL91" s="27" t="n"/>
      <c r="AM91" s="27" t="n"/>
      <c r="AN91" s="27" t="n"/>
      <c r="AO91" s="27" t="n"/>
      <c r="AP91" s="27" t="n"/>
      <c r="AQ91" s="27" t="n"/>
      <c r="AR91" s="27" t="n"/>
      <c r="AS91" s="27" t="n"/>
      <c r="AT91" s="27" t="n"/>
      <c r="AU91" s="27" t="n"/>
      <c r="AV91" s="27" t="n"/>
      <c r="AW91" s="27" t="n"/>
      <c r="AX91" s="27" t="n"/>
      <c r="AY91" s="27" t="n"/>
      <c r="AZ91" s="27" t="n"/>
      <c r="BA91" s="27" t="n"/>
      <c r="BB91" s="27" t="n"/>
      <c r="BC91" s="27" t="n"/>
      <c r="BD91" s="27" t="n"/>
      <c r="BE91" s="27" t="n"/>
      <c r="BF91" s="27" t="n"/>
      <c r="BG91" s="27" t="n"/>
      <c r="BH91" s="27" t="n"/>
      <c r="BI91" s="29" t="n"/>
      <c r="BJ91" s="27" t="n"/>
      <c r="BK91" s="27" t="n"/>
      <c r="BL91" s="27" t="n"/>
      <c r="BM91" s="27" t="n"/>
      <c r="DN91" s="26">
        <f>IF('テスト条件'!A90="","",'テスト条件'!A90)</f>
        <v/>
      </c>
    </row>
    <row r="92">
      <c r="A92" s="27" t="n"/>
      <c r="B92" s="27" t="n"/>
      <c r="C92" s="28">
        <f>IF(A92="","",$B$2)</f>
        <v/>
      </c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  <c r="AA92" s="27" t="n"/>
      <c r="AB92" s="27" t="n"/>
      <c r="AC92" s="27" t="n"/>
      <c r="AD92" s="27" t="n"/>
      <c r="AE92" s="27" t="n"/>
      <c r="AF92" s="27" t="n"/>
      <c r="AG92" s="27" t="n"/>
      <c r="AH92" s="27" t="n"/>
      <c r="AI92" s="27" t="n"/>
      <c r="AJ92" s="27" t="n"/>
      <c r="AK92" s="27" t="n"/>
      <c r="AL92" s="27" t="n"/>
      <c r="AM92" s="27" t="n"/>
      <c r="AN92" s="27" t="n"/>
      <c r="AO92" s="27" t="n"/>
      <c r="AP92" s="27" t="n"/>
      <c r="AQ92" s="27" t="n"/>
      <c r="AR92" s="27" t="n"/>
      <c r="AS92" s="27" t="n"/>
      <c r="AT92" s="27" t="n"/>
      <c r="AU92" s="27" t="n"/>
      <c r="AV92" s="27" t="n"/>
      <c r="AW92" s="27" t="n"/>
      <c r="AX92" s="27" t="n"/>
      <c r="AY92" s="27" t="n"/>
      <c r="AZ92" s="27" t="n"/>
      <c r="BA92" s="27" t="n"/>
      <c r="BB92" s="27" t="n"/>
      <c r="BC92" s="27" t="n"/>
      <c r="BD92" s="27" t="n"/>
      <c r="BE92" s="27" t="n"/>
      <c r="BF92" s="27" t="n"/>
      <c r="BG92" s="27" t="n"/>
      <c r="BH92" s="27" t="n"/>
      <c r="BI92" s="29" t="n"/>
      <c r="BJ92" s="27" t="n"/>
      <c r="BK92" s="27" t="n"/>
      <c r="BL92" s="27" t="n"/>
      <c r="BM92" s="27" t="n"/>
      <c r="DN92" s="26">
        <f>IF('テスト条件'!A91="","",'テスト条件'!A91)</f>
        <v/>
      </c>
    </row>
    <row r="93">
      <c r="A93" s="27" t="n"/>
      <c r="B93" s="27" t="n"/>
      <c r="C93" s="28">
        <f>IF(A93="","",$B$2)</f>
        <v/>
      </c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7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9" t="n"/>
      <c r="BJ93" s="27" t="n"/>
      <c r="BK93" s="27" t="n"/>
      <c r="BL93" s="27" t="n"/>
      <c r="BM93" s="27" t="n"/>
      <c r="DN93" s="26">
        <f>IF('テスト条件'!A92="","",'テスト条件'!A92)</f>
        <v/>
      </c>
    </row>
    <row r="94">
      <c r="A94" s="27" t="n"/>
      <c r="B94" s="27" t="n"/>
      <c r="C94" s="28">
        <f>IF(A94="","",$B$2)</f>
        <v/>
      </c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7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9" t="n"/>
      <c r="BJ94" s="27" t="n"/>
      <c r="BK94" s="27" t="n"/>
      <c r="BL94" s="27" t="n"/>
      <c r="BM94" s="27" t="n"/>
      <c r="DN94" s="26">
        <f>IF('テスト条件'!A93="","",'テスト条件'!A93)</f>
        <v/>
      </c>
    </row>
    <row r="95">
      <c r="A95" s="27" t="n"/>
      <c r="B95" s="27" t="n"/>
      <c r="C95" s="28">
        <f>IF(A95="","",$B$2)</f>
        <v/>
      </c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7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9" t="n"/>
      <c r="BJ95" s="27" t="n"/>
      <c r="BK95" s="27" t="n"/>
      <c r="BL95" s="27" t="n"/>
      <c r="BM95" s="27" t="n"/>
      <c r="DN95" s="26">
        <f>IF('テスト条件'!A94="","",'テスト条件'!A94)</f>
        <v/>
      </c>
    </row>
    <row r="96">
      <c r="A96" s="27" t="n"/>
      <c r="B96" s="27" t="n"/>
      <c r="C96" s="28">
        <f>IF(A96="","",$B$2)</f>
        <v/>
      </c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7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9" t="n"/>
      <c r="BJ96" s="27" t="n"/>
      <c r="BK96" s="27" t="n"/>
      <c r="BL96" s="27" t="n"/>
      <c r="BM96" s="27" t="n"/>
      <c r="DN96" s="26">
        <f>IF('テスト条件'!A95="","",'テスト条件'!A95)</f>
        <v/>
      </c>
    </row>
    <row r="97">
      <c r="A97" s="27" t="n"/>
      <c r="B97" s="27" t="n"/>
      <c r="C97" s="28">
        <f>IF(A97="","",$B$2)</f>
        <v/>
      </c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7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9" t="n"/>
      <c r="BJ97" s="27" t="n"/>
      <c r="BK97" s="27" t="n"/>
      <c r="BL97" s="27" t="n"/>
      <c r="BM97" s="27" t="n"/>
      <c r="DN97" s="26">
        <f>IF('テスト条件'!A96="","",'テスト条件'!A96)</f>
        <v/>
      </c>
    </row>
    <row r="98">
      <c r="A98" s="27" t="n"/>
      <c r="B98" s="27" t="n"/>
      <c r="C98" s="28">
        <f>IF(A98="","",$B$2)</f>
        <v/>
      </c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  <c r="AA98" s="27" t="n"/>
      <c r="AB98" s="27" t="n"/>
      <c r="AC98" s="27" t="n"/>
      <c r="AD98" s="27" t="n"/>
      <c r="AE98" s="27" t="n"/>
      <c r="AF98" s="27" t="n"/>
      <c r="AG98" s="27" t="n"/>
      <c r="AH98" s="27" t="n"/>
      <c r="AI98" s="27" t="n"/>
      <c r="AJ98" s="27" t="n"/>
      <c r="AK98" s="27" t="n"/>
      <c r="AL98" s="27" t="n"/>
      <c r="AM98" s="27" t="n"/>
      <c r="AN98" s="27" t="n"/>
      <c r="AO98" s="27" t="n"/>
      <c r="AP98" s="27" t="n"/>
      <c r="AQ98" s="27" t="n"/>
      <c r="AR98" s="27" t="n"/>
      <c r="AS98" s="27" t="n"/>
      <c r="AT98" s="27" t="n"/>
      <c r="AU98" s="27" t="n"/>
      <c r="AV98" s="27" t="n"/>
      <c r="AW98" s="27" t="n"/>
      <c r="AX98" s="27" t="n"/>
      <c r="AY98" s="27" t="n"/>
      <c r="AZ98" s="27" t="n"/>
      <c r="BA98" s="27" t="n"/>
      <c r="BB98" s="27" t="n"/>
      <c r="BC98" s="27" t="n"/>
      <c r="BD98" s="27" t="n"/>
      <c r="BE98" s="27" t="n"/>
      <c r="BF98" s="27" t="n"/>
      <c r="BG98" s="27" t="n"/>
      <c r="BH98" s="27" t="n"/>
      <c r="BI98" s="29" t="n"/>
      <c r="BJ98" s="27" t="n"/>
      <c r="BK98" s="27" t="n"/>
      <c r="BL98" s="27" t="n"/>
      <c r="BM98" s="27" t="n"/>
      <c r="DN98" s="26">
        <f>IF('テスト条件'!A97="","",'テスト条件'!A97)</f>
        <v/>
      </c>
    </row>
    <row r="99">
      <c r="A99" s="27" t="n"/>
      <c r="B99" s="27" t="n"/>
      <c r="C99" s="28">
        <f>IF(A99="","",$B$2)</f>
        <v/>
      </c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  <c r="AA99" s="27" t="n"/>
      <c r="AB99" s="27" t="n"/>
      <c r="AC99" s="27" t="n"/>
      <c r="AD99" s="27" t="n"/>
      <c r="AE99" s="27" t="n"/>
      <c r="AF99" s="27" t="n"/>
      <c r="AG99" s="27" t="n"/>
      <c r="AH99" s="27" t="n"/>
      <c r="AI99" s="27" t="n"/>
      <c r="AJ99" s="27" t="n"/>
      <c r="AK99" s="27" t="n"/>
      <c r="AL99" s="27" t="n"/>
      <c r="AM99" s="27" t="n"/>
      <c r="AN99" s="27" t="n"/>
      <c r="AO99" s="27" t="n"/>
      <c r="AP99" s="27" t="n"/>
      <c r="AQ99" s="27" t="n"/>
      <c r="AR99" s="27" t="n"/>
      <c r="AS99" s="27" t="n"/>
      <c r="AT99" s="27" t="n"/>
      <c r="AU99" s="27" t="n"/>
      <c r="AV99" s="27" t="n"/>
      <c r="AW99" s="27" t="n"/>
      <c r="AX99" s="27" t="n"/>
      <c r="AY99" s="27" t="n"/>
      <c r="AZ99" s="27" t="n"/>
      <c r="BA99" s="27" t="n"/>
      <c r="BB99" s="27" t="n"/>
      <c r="BC99" s="27" t="n"/>
      <c r="BD99" s="27" t="n"/>
      <c r="BE99" s="27" t="n"/>
      <c r="BF99" s="27" t="n"/>
      <c r="BG99" s="27" t="n"/>
      <c r="BH99" s="27" t="n"/>
      <c r="BI99" s="29" t="n"/>
      <c r="BJ99" s="27" t="n"/>
      <c r="BK99" s="27" t="n"/>
      <c r="BL99" s="27" t="n"/>
      <c r="BM99" s="27" t="n"/>
      <c r="DN99" s="26">
        <f>IF('テスト条件'!A98="","",'テスト条件'!A98)</f>
        <v/>
      </c>
    </row>
    <row r="100">
      <c r="A100" s="27" t="n"/>
      <c r="B100" s="27" t="n"/>
      <c r="C100" s="28">
        <f>IF(A100="","",$B$2)</f>
        <v/>
      </c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  <c r="AA100" s="27" t="n"/>
      <c r="AB100" s="27" t="n"/>
      <c r="AC100" s="27" t="n"/>
      <c r="AD100" s="27" t="n"/>
      <c r="AE100" s="27" t="n"/>
      <c r="AF100" s="27" t="n"/>
      <c r="AG100" s="27" t="n"/>
      <c r="AH100" s="27" t="n"/>
      <c r="AI100" s="27" t="n"/>
      <c r="AJ100" s="27" t="n"/>
      <c r="AK100" s="27" t="n"/>
      <c r="AL100" s="27" t="n"/>
      <c r="AM100" s="27" t="n"/>
      <c r="AN100" s="27" t="n"/>
      <c r="AO100" s="27" t="n"/>
      <c r="AP100" s="27" t="n"/>
      <c r="AQ100" s="27" t="n"/>
      <c r="AR100" s="27" t="n"/>
      <c r="AS100" s="27" t="n"/>
      <c r="AT100" s="27" t="n"/>
      <c r="AU100" s="27" t="n"/>
      <c r="AV100" s="27" t="n"/>
      <c r="AW100" s="27" t="n"/>
      <c r="AX100" s="27" t="n"/>
      <c r="AY100" s="27" t="n"/>
      <c r="AZ100" s="27" t="n"/>
      <c r="BA100" s="27" t="n"/>
      <c r="BB100" s="27" t="n"/>
      <c r="BC100" s="27" t="n"/>
      <c r="BD100" s="27" t="n"/>
      <c r="BE100" s="27" t="n"/>
      <c r="BF100" s="27" t="n"/>
      <c r="BG100" s="27" t="n"/>
      <c r="BH100" s="27" t="n"/>
      <c r="BI100" s="29" t="n"/>
      <c r="BJ100" s="27" t="n"/>
      <c r="BK100" s="27" t="n"/>
      <c r="BL100" s="27" t="n"/>
      <c r="BM100" s="27" t="n"/>
      <c r="DN100" s="26">
        <f>IF('テスト条件'!A99="","",'テスト条件'!A99)</f>
        <v/>
      </c>
    </row>
    <row r="101">
      <c r="A101" s="27" t="n"/>
      <c r="B101" s="27" t="n"/>
      <c r="C101" s="28">
        <f>IF(A101="","",$B$2)</f>
        <v/>
      </c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  <c r="AA101" s="27" t="n"/>
      <c r="AB101" s="27" t="n"/>
      <c r="AC101" s="27" t="n"/>
      <c r="AD101" s="27" t="n"/>
      <c r="AE101" s="27" t="n"/>
      <c r="AF101" s="27" t="n"/>
      <c r="AG101" s="27" t="n"/>
      <c r="AH101" s="27" t="n"/>
      <c r="AI101" s="27" t="n"/>
      <c r="AJ101" s="27" t="n"/>
      <c r="AK101" s="27" t="n"/>
      <c r="AL101" s="27" t="n"/>
      <c r="AM101" s="27" t="n"/>
      <c r="AN101" s="27" t="n"/>
      <c r="AO101" s="27" t="n"/>
      <c r="AP101" s="27" t="n"/>
      <c r="AQ101" s="27" t="n"/>
      <c r="AR101" s="27" t="n"/>
      <c r="AS101" s="27" t="n"/>
      <c r="AT101" s="27" t="n"/>
      <c r="AU101" s="27" t="n"/>
      <c r="AV101" s="27" t="n"/>
      <c r="AW101" s="27" t="n"/>
      <c r="AX101" s="27" t="n"/>
      <c r="AY101" s="27" t="n"/>
      <c r="AZ101" s="27" t="n"/>
      <c r="BA101" s="27" t="n"/>
      <c r="BB101" s="27" t="n"/>
      <c r="BC101" s="27" t="n"/>
      <c r="BD101" s="27" t="n"/>
      <c r="BE101" s="27" t="n"/>
      <c r="BF101" s="27" t="n"/>
      <c r="BG101" s="27" t="n"/>
      <c r="BH101" s="27" t="n"/>
      <c r="BI101" s="29" t="n"/>
      <c r="BJ101" s="27" t="n"/>
      <c r="BK101" s="27" t="n"/>
      <c r="BL101" s="27" t="n"/>
      <c r="BM101" s="27" t="n"/>
      <c r="DN101" s="26">
        <f>IF('テスト条件'!A100="","",'テスト条件'!A100)</f>
        <v/>
      </c>
    </row>
    <row r="102">
      <c r="A102" s="27" t="n"/>
      <c r="B102" s="27" t="n"/>
      <c r="C102" s="28">
        <f>IF(A102="","",$B$2)</f>
        <v/>
      </c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  <c r="AA102" s="27" t="n"/>
      <c r="AB102" s="27" t="n"/>
      <c r="AC102" s="27" t="n"/>
      <c r="AD102" s="27" t="n"/>
      <c r="AE102" s="27" t="n"/>
      <c r="AF102" s="27" t="n"/>
      <c r="AG102" s="27" t="n"/>
      <c r="AH102" s="27" t="n"/>
      <c r="AI102" s="27" t="n"/>
      <c r="AJ102" s="27" t="n"/>
      <c r="AK102" s="27" t="n"/>
      <c r="AL102" s="27" t="n"/>
      <c r="AM102" s="27" t="n"/>
      <c r="AN102" s="27" t="n"/>
      <c r="AO102" s="27" t="n"/>
      <c r="AP102" s="27" t="n"/>
      <c r="AQ102" s="27" t="n"/>
      <c r="AR102" s="27" t="n"/>
      <c r="AS102" s="27" t="n"/>
      <c r="AT102" s="27" t="n"/>
      <c r="AU102" s="27" t="n"/>
      <c r="AV102" s="27" t="n"/>
      <c r="AW102" s="27" t="n"/>
      <c r="AX102" s="27" t="n"/>
      <c r="AY102" s="27" t="n"/>
      <c r="AZ102" s="27" t="n"/>
      <c r="BA102" s="27" t="n"/>
      <c r="BB102" s="27" t="n"/>
      <c r="BC102" s="27" t="n"/>
      <c r="BD102" s="27" t="n"/>
      <c r="BE102" s="27" t="n"/>
      <c r="BF102" s="27" t="n"/>
      <c r="BG102" s="27" t="n"/>
      <c r="BH102" s="27" t="n"/>
      <c r="BI102" s="29" t="n"/>
      <c r="BJ102" s="27" t="n"/>
      <c r="BK102" s="27" t="n"/>
      <c r="BL102" s="27" t="n"/>
      <c r="BM102" s="27" t="n"/>
      <c r="DN102" s="26">
        <f>IF('テスト条件'!A101="","",'テスト条件'!A101)</f>
        <v/>
      </c>
    </row>
    <row r="103">
      <c r="A103" s="27" t="n"/>
      <c r="B103" s="27" t="n"/>
      <c r="C103" s="28">
        <f>IF(A103="","",$B$2)</f>
        <v/>
      </c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  <c r="AA103" s="27" t="n"/>
      <c r="AB103" s="27" t="n"/>
      <c r="AC103" s="27" t="n"/>
      <c r="AD103" s="27" t="n"/>
      <c r="AE103" s="27" t="n"/>
      <c r="AF103" s="27" t="n"/>
      <c r="AG103" s="27" t="n"/>
      <c r="AH103" s="27" t="n"/>
      <c r="AI103" s="27" t="n"/>
      <c r="AJ103" s="27" t="n"/>
      <c r="AK103" s="27" t="n"/>
      <c r="AL103" s="27" t="n"/>
      <c r="AM103" s="27" t="n"/>
      <c r="AN103" s="27" t="n"/>
      <c r="AO103" s="27" t="n"/>
      <c r="AP103" s="27" t="n"/>
      <c r="AQ103" s="27" t="n"/>
      <c r="AR103" s="27" t="n"/>
      <c r="AS103" s="27" t="n"/>
      <c r="AT103" s="27" t="n"/>
      <c r="AU103" s="27" t="n"/>
      <c r="AV103" s="27" t="n"/>
      <c r="AW103" s="27" t="n"/>
      <c r="AX103" s="27" t="n"/>
      <c r="AY103" s="27" t="n"/>
      <c r="AZ103" s="27" t="n"/>
      <c r="BA103" s="27" t="n"/>
      <c r="BB103" s="27" t="n"/>
      <c r="BC103" s="27" t="n"/>
      <c r="BD103" s="27" t="n"/>
      <c r="BE103" s="27" t="n"/>
      <c r="BF103" s="27" t="n"/>
      <c r="BG103" s="27" t="n"/>
      <c r="BH103" s="27" t="n"/>
      <c r="BI103" s="29" t="n"/>
      <c r="BJ103" s="27" t="n"/>
      <c r="BK103" s="27" t="n"/>
      <c r="BL103" s="27" t="n"/>
      <c r="BM103" s="27" t="n"/>
      <c r="DN103" s="26">
        <f>IF('テスト条件'!A102="","",'テスト条件'!A102)</f>
        <v/>
      </c>
    </row>
    <row r="104">
      <c r="A104" s="27" t="n"/>
      <c r="B104" s="27" t="n"/>
      <c r="C104" s="28">
        <f>IF(A104="","",$B$2)</f>
        <v/>
      </c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  <c r="AA104" s="27" t="n"/>
      <c r="AB104" s="27" t="n"/>
      <c r="AC104" s="27" t="n"/>
      <c r="AD104" s="27" t="n"/>
      <c r="AE104" s="27" t="n"/>
      <c r="AF104" s="27" t="n"/>
      <c r="AG104" s="27" t="n"/>
      <c r="AH104" s="27" t="n"/>
      <c r="AI104" s="27" t="n"/>
      <c r="AJ104" s="27" t="n"/>
      <c r="AK104" s="27" t="n"/>
      <c r="AL104" s="27" t="n"/>
      <c r="AM104" s="27" t="n"/>
      <c r="AN104" s="27" t="n"/>
      <c r="AO104" s="27" t="n"/>
      <c r="AP104" s="27" t="n"/>
      <c r="AQ104" s="27" t="n"/>
      <c r="AR104" s="27" t="n"/>
      <c r="AS104" s="27" t="n"/>
      <c r="AT104" s="27" t="n"/>
      <c r="AU104" s="27" t="n"/>
      <c r="AV104" s="27" t="n"/>
      <c r="AW104" s="27" t="n"/>
      <c r="AX104" s="27" t="n"/>
      <c r="AY104" s="27" t="n"/>
      <c r="AZ104" s="27" t="n"/>
      <c r="BA104" s="27" t="n"/>
      <c r="BB104" s="27" t="n"/>
      <c r="BC104" s="27" t="n"/>
      <c r="BD104" s="27" t="n"/>
      <c r="BE104" s="27" t="n"/>
      <c r="BF104" s="27" t="n"/>
      <c r="BG104" s="27" t="n"/>
      <c r="BH104" s="27" t="n"/>
      <c r="BI104" s="29" t="n"/>
      <c r="BJ104" s="27" t="n"/>
      <c r="BK104" s="27" t="n"/>
      <c r="BL104" s="27" t="n"/>
      <c r="BM104" s="27" t="n"/>
      <c r="DN104" s="26">
        <f>IF('テスト条件'!A103="","",'テスト条件'!A103)</f>
        <v/>
      </c>
    </row>
    <row r="105">
      <c r="A105" s="27" t="n"/>
      <c r="B105" s="27" t="n"/>
      <c r="C105" s="28">
        <f>IF(A105="","",$B$2)</f>
        <v/>
      </c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  <c r="AA105" s="27" t="n"/>
      <c r="AB105" s="27" t="n"/>
      <c r="AC105" s="27" t="n"/>
      <c r="AD105" s="27" t="n"/>
      <c r="AE105" s="27" t="n"/>
      <c r="AF105" s="27" t="n"/>
      <c r="AG105" s="27" t="n"/>
      <c r="AH105" s="27" t="n"/>
      <c r="AI105" s="27" t="n"/>
      <c r="AJ105" s="27" t="n"/>
      <c r="AK105" s="27" t="n"/>
      <c r="AL105" s="27" t="n"/>
      <c r="AM105" s="27" t="n"/>
      <c r="AN105" s="27" t="n"/>
      <c r="AO105" s="27" t="n"/>
      <c r="AP105" s="27" t="n"/>
      <c r="AQ105" s="27" t="n"/>
      <c r="AR105" s="27" t="n"/>
      <c r="AS105" s="27" t="n"/>
      <c r="AT105" s="27" t="n"/>
      <c r="AU105" s="27" t="n"/>
      <c r="AV105" s="27" t="n"/>
      <c r="AW105" s="27" t="n"/>
      <c r="AX105" s="27" t="n"/>
      <c r="AY105" s="27" t="n"/>
      <c r="AZ105" s="27" t="n"/>
      <c r="BA105" s="27" t="n"/>
      <c r="BB105" s="27" t="n"/>
      <c r="BC105" s="27" t="n"/>
      <c r="BD105" s="27" t="n"/>
      <c r="BE105" s="27" t="n"/>
      <c r="BF105" s="27" t="n"/>
      <c r="BG105" s="27" t="n"/>
      <c r="BH105" s="27" t="n"/>
      <c r="BI105" s="29" t="n"/>
      <c r="BJ105" s="27" t="n"/>
      <c r="BK105" s="27" t="n"/>
      <c r="BL105" s="27" t="n"/>
      <c r="BM105" s="27" t="n"/>
      <c r="DN105" s="26">
        <f>IF('テスト条件'!A104="","",'テスト条件'!A104)</f>
        <v/>
      </c>
    </row>
    <row r="106">
      <c r="A106" s="27" t="n"/>
      <c r="B106" s="27" t="n"/>
      <c r="C106" s="28">
        <f>IF(A106="","",$B$2)</f>
        <v/>
      </c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  <c r="AA106" s="27" t="n"/>
      <c r="AB106" s="27" t="n"/>
      <c r="AC106" s="27" t="n"/>
      <c r="AD106" s="27" t="n"/>
      <c r="AE106" s="27" t="n"/>
      <c r="AF106" s="27" t="n"/>
      <c r="AG106" s="27" t="n"/>
      <c r="AH106" s="27" t="n"/>
      <c r="AI106" s="27" t="n"/>
      <c r="AJ106" s="27" t="n"/>
      <c r="AK106" s="27" t="n"/>
      <c r="AL106" s="27" t="n"/>
      <c r="AM106" s="27" t="n"/>
      <c r="AN106" s="27" t="n"/>
      <c r="AO106" s="27" t="n"/>
      <c r="AP106" s="27" t="n"/>
      <c r="AQ106" s="27" t="n"/>
      <c r="AR106" s="27" t="n"/>
      <c r="AS106" s="27" t="n"/>
      <c r="AT106" s="27" t="n"/>
      <c r="AU106" s="27" t="n"/>
      <c r="AV106" s="27" t="n"/>
      <c r="AW106" s="27" t="n"/>
      <c r="AX106" s="27" t="n"/>
      <c r="AY106" s="27" t="n"/>
      <c r="AZ106" s="27" t="n"/>
      <c r="BA106" s="27" t="n"/>
      <c r="BB106" s="27" t="n"/>
      <c r="BC106" s="27" t="n"/>
      <c r="BD106" s="27" t="n"/>
      <c r="BE106" s="27" t="n"/>
      <c r="BF106" s="27" t="n"/>
      <c r="BG106" s="27" t="n"/>
      <c r="BH106" s="27" t="n"/>
      <c r="BI106" s="29" t="n"/>
      <c r="BJ106" s="27" t="n"/>
      <c r="BK106" s="27" t="n"/>
      <c r="BL106" s="27" t="n"/>
      <c r="BM106" s="27" t="n"/>
    </row>
    <row r="107">
      <c r="A107" s="27" t="n"/>
      <c r="B107" s="27" t="n"/>
      <c r="C107" s="28">
        <f>IF(A107="","",$B$2)</f>
        <v/>
      </c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  <c r="AA107" s="27" t="n"/>
      <c r="AB107" s="27" t="n"/>
      <c r="AC107" s="27" t="n"/>
      <c r="AD107" s="27" t="n"/>
      <c r="AE107" s="27" t="n"/>
      <c r="AF107" s="27" t="n"/>
      <c r="AG107" s="27" t="n"/>
      <c r="AH107" s="27" t="n"/>
      <c r="AI107" s="27" t="n"/>
      <c r="AJ107" s="27" t="n"/>
      <c r="AK107" s="27" t="n"/>
      <c r="AL107" s="27" t="n"/>
      <c r="AM107" s="27" t="n"/>
      <c r="AN107" s="27" t="n"/>
      <c r="AO107" s="27" t="n"/>
      <c r="AP107" s="27" t="n"/>
      <c r="AQ107" s="27" t="n"/>
      <c r="AR107" s="27" t="n"/>
      <c r="AS107" s="27" t="n"/>
      <c r="AT107" s="27" t="n"/>
      <c r="AU107" s="27" t="n"/>
      <c r="AV107" s="27" t="n"/>
      <c r="AW107" s="27" t="n"/>
      <c r="AX107" s="27" t="n"/>
      <c r="AY107" s="27" t="n"/>
      <c r="AZ107" s="27" t="n"/>
      <c r="BA107" s="27" t="n"/>
      <c r="BB107" s="27" t="n"/>
      <c r="BC107" s="27" t="n"/>
      <c r="BD107" s="27" t="n"/>
      <c r="BE107" s="27" t="n"/>
      <c r="BF107" s="27" t="n"/>
      <c r="BG107" s="27" t="n"/>
      <c r="BH107" s="27" t="n"/>
      <c r="BI107" s="29" t="n"/>
      <c r="BJ107" s="27" t="n"/>
      <c r="BK107" s="27" t="n"/>
      <c r="BL107" s="27" t="n"/>
      <c r="BM107" s="27" t="n"/>
    </row>
    <row r="108">
      <c r="A108" s="27" t="n"/>
      <c r="B108" s="27" t="n"/>
      <c r="C108" s="28">
        <f>IF(A108="","",$B$2)</f>
        <v/>
      </c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  <c r="AA108" s="27" t="n"/>
      <c r="AB108" s="27" t="n"/>
      <c r="AC108" s="27" t="n"/>
      <c r="AD108" s="27" t="n"/>
      <c r="AE108" s="27" t="n"/>
      <c r="AF108" s="27" t="n"/>
      <c r="AG108" s="27" t="n"/>
      <c r="AH108" s="27" t="n"/>
      <c r="AI108" s="27" t="n"/>
      <c r="AJ108" s="27" t="n"/>
      <c r="AK108" s="27" t="n"/>
      <c r="AL108" s="27" t="n"/>
      <c r="AM108" s="27" t="n"/>
      <c r="AN108" s="27" t="n"/>
      <c r="AO108" s="27" t="n"/>
      <c r="AP108" s="27" t="n"/>
      <c r="AQ108" s="27" t="n"/>
      <c r="AR108" s="27" t="n"/>
      <c r="AS108" s="27" t="n"/>
      <c r="AT108" s="27" t="n"/>
      <c r="AU108" s="27" t="n"/>
      <c r="AV108" s="27" t="n"/>
      <c r="AW108" s="27" t="n"/>
      <c r="AX108" s="27" t="n"/>
      <c r="AY108" s="27" t="n"/>
      <c r="AZ108" s="27" t="n"/>
      <c r="BA108" s="27" t="n"/>
      <c r="BB108" s="27" t="n"/>
      <c r="BC108" s="27" t="n"/>
      <c r="BD108" s="27" t="n"/>
      <c r="BE108" s="27" t="n"/>
      <c r="BF108" s="27" t="n"/>
      <c r="BG108" s="27" t="n"/>
      <c r="BH108" s="27" t="n"/>
      <c r="BI108" s="29" t="n"/>
      <c r="BJ108" s="27" t="n"/>
      <c r="BK108" s="27" t="n"/>
      <c r="BL108" s="27" t="n"/>
      <c r="BM108" s="27" t="n"/>
    </row>
    <row r="109">
      <c r="A109" s="27" t="n"/>
      <c r="B109" s="27" t="n"/>
      <c r="C109" s="28">
        <f>IF(A109="","",$B$2)</f>
        <v/>
      </c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  <c r="AA109" s="27" t="n"/>
      <c r="AB109" s="27" t="n"/>
      <c r="AC109" s="27" t="n"/>
      <c r="AD109" s="27" t="n"/>
      <c r="AE109" s="27" t="n"/>
      <c r="AF109" s="27" t="n"/>
      <c r="AG109" s="27" t="n"/>
      <c r="AH109" s="27" t="n"/>
      <c r="AI109" s="27" t="n"/>
      <c r="AJ109" s="27" t="n"/>
      <c r="AK109" s="27" t="n"/>
      <c r="AL109" s="27" t="n"/>
      <c r="AM109" s="27" t="n"/>
      <c r="AN109" s="27" t="n"/>
      <c r="AO109" s="27" t="n"/>
      <c r="AP109" s="27" t="n"/>
      <c r="AQ109" s="27" t="n"/>
      <c r="AR109" s="27" t="n"/>
      <c r="AS109" s="27" t="n"/>
      <c r="AT109" s="27" t="n"/>
      <c r="AU109" s="27" t="n"/>
      <c r="AV109" s="27" t="n"/>
      <c r="AW109" s="27" t="n"/>
      <c r="AX109" s="27" t="n"/>
      <c r="AY109" s="27" t="n"/>
      <c r="AZ109" s="27" t="n"/>
      <c r="BA109" s="27" t="n"/>
      <c r="BB109" s="27" t="n"/>
      <c r="BC109" s="27" t="n"/>
      <c r="BD109" s="27" t="n"/>
      <c r="BE109" s="27" t="n"/>
      <c r="BF109" s="27" t="n"/>
      <c r="BG109" s="27" t="n"/>
      <c r="BH109" s="27" t="n"/>
      <c r="BI109" s="29" t="n"/>
      <c r="BJ109" s="27" t="n"/>
      <c r="BK109" s="27" t="n"/>
      <c r="BL109" s="27" t="n"/>
      <c r="BM109" s="27" t="n"/>
    </row>
    <row r="110">
      <c r="A110" s="27" t="n"/>
      <c r="B110" s="27" t="n"/>
      <c r="C110" s="28">
        <f>IF(A110="","",$B$2)</f>
        <v/>
      </c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  <c r="AA110" s="27" t="n"/>
      <c r="AB110" s="27" t="n"/>
      <c r="AC110" s="27" t="n"/>
      <c r="AD110" s="27" t="n"/>
      <c r="AE110" s="27" t="n"/>
      <c r="AF110" s="27" t="n"/>
      <c r="AG110" s="27" t="n"/>
      <c r="AH110" s="27" t="n"/>
      <c r="AI110" s="27" t="n"/>
      <c r="AJ110" s="27" t="n"/>
      <c r="AK110" s="27" t="n"/>
      <c r="AL110" s="27" t="n"/>
      <c r="AM110" s="27" t="n"/>
      <c r="AN110" s="27" t="n"/>
      <c r="AO110" s="27" t="n"/>
      <c r="AP110" s="27" t="n"/>
      <c r="AQ110" s="27" t="n"/>
      <c r="AR110" s="27" t="n"/>
      <c r="AS110" s="27" t="n"/>
      <c r="AT110" s="27" t="n"/>
      <c r="AU110" s="27" t="n"/>
      <c r="AV110" s="27" t="n"/>
      <c r="AW110" s="27" t="n"/>
      <c r="AX110" s="27" t="n"/>
      <c r="AY110" s="27" t="n"/>
      <c r="AZ110" s="27" t="n"/>
      <c r="BA110" s="27" t="n"/>
      <c r="BB110" s="27" t="n"/>
      <c r="BC110" s="27" t="n"/>
      <c r="BD110" s="27" t="n"/>
      <c r="BE110" s="27" t="n"/>
      <c r="BF110" s="27" t="n"/>
      <c r="BG110" s="27" t="n"/>
      <c r="BH110" s="27" t="n"/>
      <c r="BI110" s="29" t="n"/>
      <c r="BJ110" s="27" t="n"/>
      <c r="BK110" s="27" t="n"/>
      <c r="BL110" s="27" t="n"/>
      <c r="BM110" s="27" t="n"/>
    </row>
    <row r="111">
      <c r="A111" s="27" t="n"/>
      <c r="B111" s="27" t="n"/>
      <c r="C111" s="28">
        <f>IF(A111="","",$B$2)</f>
        <v/>
      </c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  <c r="AA111" s="27" t="n"/>
      <c r="AB111" s="27" t="n"/>
      <c r="AC111" s="27" t="n"/>
      <c r="AD111" s="27" t="n"/>
      <c r="AE111" s="27" t="n"/>
      <c r="AF111" s="27" t="n"/>
      <c r="AG111" s="27" t="n"/>
      <c r="AH111" s="27" t="n"/>
      <c r="AI111" s="27" t="n"/>
      <c r="AJ111" s="27" t="n"/>
      <c r="AK111" s="27" t="n"/>
      <c r="AL111" s="27" t="n"/>
      <c r="AM111" s="27" t="n"/>
      <c r="AN111" s="27" t="n"/>
      <c r="AO111" s="27" t="n"/>
      <c r="AP111" s="27" t="n"/>
      <c r="AQ111" s="27" t="n"/>
      <c r="AR111" s="27" t="n"/>
      <c r="AS111" s="27" t="n"/>
      <c r="AT111" s="27" t="n"/>
      <c r="AU111" s="27" t="n"/>
      <c r="AV111" s="27" t="n"/>
      <c r="AW111" s="27" t="n"/>
      <c r="AX111" s="27" t="n"/>
      <c r="AY111" s="27" t="n"/>
      <c r="AZ111" s="27" t="n"/>
      <c r="BA111" s="27" t="n"/>
      <c r="BB111" s="27" t="n"/>
      <c r="BC111" s="27" t="n"/>
      <c r="BD111" s="27" t="n"/>
      <c r="BE111" s="27" t="n"/>
      <c r="BF111" s="27" t="n"/>
      <c r="BG111" s="27" t="n"/>
      <c r="BH111" s="27" t="n"/>
      <c r="BI111" s="29" t="n"/>
      <c r="BJ111" s="27" t="n"/>
      <c r="BK111" s="27" t="n"/>
      <c r="BL111" s="27" t="n"/>
      <c r="BM111" s="27" t="n"/>
    </row>
    <row r="112">
      <c r="A112" s="27" t="n"/>
      <c r="B112" s="27" t="n"/>
      <c r="C112" s="28">
        <f>IF(A112="","",$B$2)</f>
        <v/>
      </c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  <c r="AA112" s="27" t="n"/>
      <c r="AB112" s="27" t="n"/>
      <c r="AC112" s="27" t="n"/>
      <c r="AD112" s="27" t="n"/>
      <c r="AE112" s="27" t="n"/>
      <c r="AF112" s="27" t="n"/>
      <c r="AG112" s="27" t="n"/>
      <c r="AH112" s="27" t="n"/>
      <c r="AI112" s="27" t="n"/>
      <c r="AJ112" s="27" t="n"/>
      <c r="AK112" s="27" t="n"/>
      <c r="AL112" s="27" t="n"/>
      <c r="AM112" s="27" t="n"/>
      <c r="AN112" s="27" t="n"/>
      <c r="AO112" s="27" t="n"/>
      <c r="AP112" s="27" t="n"/>
      <c r="AQ112" s="27" t="n"/>
      <c r="AR112" s="27" t="n"/>
      <c r="AS112" s="27" t="n"/>
      <c r="AT112" s="27" t="n"/>
      <c r="AU112" s="27" t="n"/>
      <c r="AV112" s="27" t="n"/>
      <c r="AW112" s="27" t="n"/>
      <c r="AX112" s="27" t="n"/>
      <c r="AY112" s="27" t="n"/>
      <c r="AZ112" s="27" t="n"/>
      <c r="BA112" s="27" t="n"/>
      <c r="BB112" s="27" t="n"/>
      <c r="BC112" s="27" t="n"/>
      <c r="BD112" s="27" t="n"/>
      <c r="BE112" s="27" t="n"/>
      <c r="BF112" s="27" t="n"/>
      <c r="BG112" s="27" t="n"/>
      <c r="BH112" s="27" t="n"/>
      <c r="BI112" s="29" t="n"/>
      <c r="BJ112" s="27" t="n"/>
      <c r="BK112" s="27" t="n"/>
      <c r="BL112" s="27" t="n"/>
      <c r="BM112" s="27" t="n"/>
    </row>
    <row r="113">
      <c r="A113" s="27" t="n"/>
      <c r="B113" s="27" t="n"/>
      <c r="C113" s="28">
        <f>IF(A113="","",$B$2)</f>
        <v/>
      </c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  <c r="AA113" s="27" t="n"/>
      <c r="AB113" s="27" t="n"/>
      <c r="AC113" s="27" t="n"/>
      <c r="AD113" s="27" t="n"/>
      <c r="AE113" s="27" t="n"/>
      <c r="AF113" s="27" t="n"/>
      <c r="AG113" s="27" t="n"/>
      <c r="AH113" s="27" t="n"/>
      <c r="AI113" s="27" t="n"/>
      <c r="AJ113" s="27" t="n"/>
      <c r="AK113" s="27" t="n"/>
      <c r="AL113" s="27" t="n"/>
      <c r="AM113" s="27" t="n"/>
      <c r="AN113" s="27" t="n"/>
      <c r="AO113" s="27" t="n"/>
      <c r="AP113" s="27" t="n"/>
      <c r="AQ113" s="27" t="n"/>
      <c r="AR113" s="27" t="n"/>
      <c r="AS113" s="27" t="n"/>
      <c r="AT113" s="27" t="n"/>
      <c r="AU113" s="27" t="n"/>
      <c r="AV113" s="27" t="n"/>
      <c r="AW113" s="27" t="n"/>
      <c r="AX113" s="27" t="n"/>
      <c r="AY113" s="27" t="n"/>
      <c r="AZ113" s="27" t="n"/>
      <c r="BA113" s="27" t="n"/>
      <c r="BB113" s="27" t="n"/>
      <c r="BC113" s="27" t="n"/>
      <c r="BD113" s="27" t="n"/>
      <c r="BE113" s="27" t="n"/>
      <c r="BF113" s="27" t="n"/>
      <c r="BG113" s="27" t="n"/>
      <c r="BH113" s="27" t="n"/>
      <c r="BI113" s="29" t="n"/>
      <c r="BJ113" s="27" t="n"/>
      <c r="BK113" s="27" t="n"/>
      <c r="BL113" s="27" t="n"/>
      <c r="BM113" s="27" t="n"/>
    </row>
    <row r="114">
      <c r="A114" s="27" t="n"/>
      <c r="B114" s="27" t="n"/>
      <c r="C114" s="28">
        <f>IF(A114="","",$B$2)</f>
        <v/>
      </c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  <c r="AA114" s="27" t="n"/>
      <c r="AB114" s="27" t="n"/>
      <c r="AC114" s="27" t="n"/>
      <c r="AD114" s="27" t="n"/>
      <c r="AE114" s="27" t="n"/>
      <c r="AF114" s="27" t="n"/>
      <c r="AG114" s="27" t="n"/>
      <c r="AH114" s="27" t="n"/>
      <c r="AI114" s="27" t="n"/>
      <c r="AJ114" s="27" t="n"/>
      <c r="AK114" s="27" t="n"/>
      <c r="AL114" s="27" t="n"/>
      <c r="AM114" s="27" t="n"/>
      <c r="AN114" s="27" t="n"/>
      <c r="AO114" s="27" t="n"/>
      <c r="AP114" s="27" t="n"/>
      <c r="AQ114" s="27" t="n"/>
      <c r="AR114" s="27" t="n"/>
      <c r="AS114" s="27" t="n"/>
      <c r="AT114" s="27" t="n"/>
      <c r="AU114" s="27" t="n"/>
      <c r="AV114" s="27" t="n"/>
      <c r="AW114" s="27" t="n"/>
      <c r="AX114" s="27" t="n"/>
      <c r="AY114" s="27" t="n"/>
      <c r="AZ114" s="27" t="n"/>
      <c r="BA114" s="27" t="n"/>
      <c r="BB114" s="27" t="n"/>
      <c r="BC114" s="27" t="n"/>
      <c r="BD114" s="27" t="n"/>
      <c r="BE114" s="27" t="n"/>
      <c r="BF114" s="27" t="n"/>
      <c r="BG114" s="27" t="n"/>
      <c r="BH114" s="27" t="n"/>
      <c r="BI114" s="29" t="n"/>
      <c r="BJ114" s="27" t="n"/>
      <c r="BK114" s="27" t="n"/>
      <c r="BL114" s="27" t="n"/>
      <c r="BM114" s="27" t="n"/>
    </row>
    <row r="115">
      <c r="A115" s="27" t="n"/>
      <c r="B115" s="27" t="n"/>
      <c r="C115" s="28">
        <f>IF(A115="","",$B$2)</f>
        <v/>
      </c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  <c r="AA115" s="27" t="n"/>
      <c r="AB115" s="27" t="n"/>
      <c r="AC115" s="27" t="n"/>
      <c r="AD115" s="27" t="n"/>
      <c r="AE115" s="27" t="n"/>
      <c r="AF115" s="27" t="n"/>
      <c r="AG115" s="27" t="n"/>
      <c r="AH115" s="27" t="n"/>
      <c r="AI115" s="27" t="n"/>
      <c r="AJ115" s="27" t="n"/>
      <c r="AK115" s="27" t="n"/>
      <c r="AL115" s="27" t="n"/>
      <c r="AM115" s="27" t="n"/>
      <c r="AN115" s="27" t="n"/>
      <c r="AO115" s="27" t="n"/>
      <c r="AP115" s="27" t="n"/>
      <c r="AQ115" s="27" t="n"/>
      <c r="AR115" s="27" t="n"/>
      <c r="AS115" s="27" t="n"/>
      <c r="AT115" s="27" t="n"/>
      <c r="AU115" s="27" t="n"/>
      <c r="AV115" s="27" t="n"/>
      <c r="AW115" s="27" t="n"/>
      <c r="AX115" s="27" t="n"/>
      <c r="AY115" s="27" t="n"/>
      <c r="AZ115" s="27" t="n"/>
      <c r="BA115" s="27" t="n"/>
      <c r="BB115" s="27" t="n"/>
      <c r="BC115" s="27" t="n"/>
      <c r="BD115" s="27" t="n"/>
      <c r="BE115" s="27" t="n"/>
      <c r="BF115" s="27" t="n"/>
      <c r="BG115" s="27" t="n"/>
      <c r="BH115" s="27" t="n"/>
      <c r="BI115" s="29" t="n"/>
      <c r="BJ115" s="27" t="n"/>
      <c r="BK115" s="27" t="n"/>
      <c r="BL115" s="27" t="n"/>
      <c r="BM115" s="27" t="n"/>
    </row>
    <row r="116">
      <c r="A116" s="27" t="n"/>
      <c r="B116" s="27" t="n"/>
      <c r="C116" s="28">
        <f>IF(A116="","",$B$2)</f>
        <v/>
      </c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  <c r="AA116" s="27" t="n"/>
      <c r="AB116" s="27" t="n"/>
      <c r="AC116" s="27" t="n"/>
      <c r="AD116" s="27" t="n"/>
      <c r="AE116" s="27" t="n"/>
      <c r="AF116" s="27" t="n"/>
      <c r="AG116" s="27" t="n"/>
      <c r="AH116" s="27" t="n"/>
      <c r="AI116" s="27" t="n"/>
      <c r="AJ116" s="27" t="n"/>
      <c r="AK116" s="27" t="n"/>
      <c r="AL116" s="27" t="n"/>
      <c r="AM116" s="27" t="n"/>
      <c r="AN116" s="27" t="n"/>
      <c r="AO116" s="27" t="n"/>
      <c r="AP116" s="27" t="n"/>
      <c r="AQ116" s="27" t="n"/>
      <c r="AR116" s="27" t="n"/>
      <c r="AS116" s="27" t="n"/>
      <c r="AT116" s="27" t="n"/>
      <c r="AU116" s="27" t="n"/>
      <c r="AV116" s="27" t="n"/>
      <c r="AW116" s="27" t="n"/>
      <c r="AX116" s="27" t="n"/>
      <c r="AY116" s="27" t="n"/>
      <c r="AZ116" s="27" t="n"/>
      <c r="BA116" s="27" t="n"/>
      <c r="BB116" s="27" t="n"/>
      <c r="BC116" s="27" t="n"/>
      <c r="BD116" s="27" t="n"/>
      <c r="BE116" s="27" t="n"/>
      <c r="BF116" s="27" t="n"/>
      <c r="BG116" s="27" t="n"/>
      <c r="BH116" s="27" t="n"/>
      <c r="BI116" s="29" t="n"/>
      <c r="BJ116" s="27" t="n"/>
      <c r="BK116" s="27" t="n"/>
      <c r="BL116" s="27" t="n"/>
      <c r="BM116" s="27" t="n"/>
    </row>
    <row r="117">
      <c r="A117" s="27" t="n"/>
      <c r="B117" s="27" t="n"/>
      <c r="C117" s="28">
        <f>IF(A117="","",$B$2)</f>
        <v/>
      </c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  <c r="AA117" s="27" t="n"/>
      <c r="AB117" s="27" t="n"/>
      <c r="AC117" s="27" t="n"/>
      <c r="AD117" s="27" t="n"/>
      <c r="AE117" s="27" t="n"/>
      <c r="AF117" s="27" t="n"/>
      <c r="AG117" s="27" t="n"/>
      <c r="AH117" s="27" t="n"/>
      <c r="AI117" s="27" t="n"/>
      <c r="AJ117" s="27" t="n"/>
      <c r="AK117" s="27" t="n"/>
      <c r="AL117" s="27" t="n"/>
      <c r="AM117" s="27" t="n"/>
      <c r="AN117" s="27" t="n"/>
      <c r="AO117" s="27" t="n"/>
      <c r="AP117" s="27" t="n"/>
      <c r="AQ117" s="27" t="n"/>
      <c r="AR117" s="27" t="n"/>
      <c r="AS117" s="27" t="n"/>
      <c r="AT117" s="27" t="n"/>
      <c r="AU117" s="27" t="n"/>
      <c r="AV117" s="27" t="n"/>
      <c r="AW117" s="27" t="n"/>
      <c r="AX117" s="27" t="n"/>
      <c r="AY117" s="27" t="n"/>
      <c r="AZ117" s="27" t="n"/>
      <c r="BA117" s="27" t="n"/>
      <c r="BB117" s="27" t="n"/>
      <c r="BC117" s="27" t="n"/>
      <c r="BD117" s="27" t="n"/>
      <c r="BE117" s="27" t="n"/>
      <c r="BF117" s="27" t="n"/>
      <c r="BG117" s="27" t="n"/>
      <c r="BH117" s="27" t="n"/>
      <c r="BI117" s="29" t="n"/>
      <c r="BJ117" s="27" t="n"/>
      <c r="BK117" s="27" t="n"/>
      <c r="BL117" s="27" t="n"/>
      <c r="BM117" s="27" t="n"/>
    </row>
    <row r="118">
      <c r="A118" s="27" t="n"/>
      <c r="B118" s="27" t="n"/>
      <c r="C118" s="28">
        <f>IF(A118="","",$B$2)</f>
        <v/>
      </c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  <c r="AA118" s="27" t="n"/>
      <c r="AB118" s="27" t="n"/>
      <c r="AC118" s="27" t="n"/>
      <c r="AD118" s="27" t="n"/>
      <c r="AE118" s="27" t="n"/>
      <c r="AF118" s="27" t="n"/>
      <c r="AG118" s="27" t="n"/>
      <c r="AH118" s="27" t="n"/>
      <c r="AI118" s="27" t="n"/>
      <c r="AJ118" s="27" t="n"/>
      <c r="AK118" s="27" t="n"/>
      <c r="AL118" s="27" t="n"/>
      <c r="AM118" s="27" t="n"/>
      <c r="AN118" s="27" t="n"/>
      <c r="AO118" s="27" t="n"/>
      <c r="AP118" s="27" t="n"/>
      <c r="AQ118" s="27" t="n"/>
      <c r="AR118" s="27" t="n"/>
      <c r="AS118" s="27" t="n"/>
      <c r="AT118" s="27" t="n"/>
      <c r="AU118" s="27" t="n"/>
      <c r="AV118" s="27" t="n"/>
      <c r="AW118" s="27" t="n"/>
      <c r="AX118" s="27" t="n"/>
      <c r="AY118" s="27" t="n"/>
      <c r="AZ118" s="27" t="n"/>
      <c r="BA118" s="27" t="n"/>
      <c r="BB118" s="27" t="n"/>
      <c r="BC118" s="27" t="n"/>
      <c r="BD118" s="27" t="n"/>
      <c r="BE118" s="27" t="n"/>
      <c r="BF118" s="27" t="n"/>
      <c r="BG118" s="27" t="n"/>
      <c r="BH118" s="27" t="n"/>
      <c r="BI118" s="29" t="n"/>
      <c r="BJ118" s="27" t="n"/>
      <c r="BK118" s="27" t="n"/>
      <c r="BL118" s="27" t="n"/>
      <c r="BM118" s="27" t="n"/>
    </row>
    <row r="119">
      <c r="A119" s="27" t="n"/>
      <c r="B119" s="27" t="n"/>
      <c r="C119" s="28">
        <f>IF(A119="","",$B$2)</f>
        <v/>
      </c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  <c r="AA119" s="27" t="n"/>
      <c r="AB119" s="27" t="n"/>
      <c r="AC119" s="27" t="n"/>
      <c r="AD119" s="27" t="n"/>
      <c r="AE119" s="27" t="n"/>
      <c r="AF119" s="27" t="n"/>
      <c r="AG119" s="27" t="n"/>
      <c r="AH119" s="27" t="n"/>
      <c r="AI119" s="27" t="n"/>
      <c r="AJ119" s="27" t="n"/>
      <c r="AK119" s="27" t="n"/>
      <c r="AL119" s="27" t="n"/>
      <c r="AM119" s="27" t="n"/>
      <c r="AN119" s="27" t="n"/>
      <c r="AO119" s="27" t="n"/>
      <c r="AP119" s="27" t="n"/>
      <c r="AQ119" s="27" t="n"/>
      <c r="AR119" s="27" t="n"/>
      <c r="AS119" s="27" t="n"/>
      <c r="AT119" s="27" t="n"/>
      <c r="AU119" s="27" t="n"/>
      <c r="AV119" s="27" t="n"/>
      <c r="AW119" s="27" t="n"/>
      <c r="AX119" s="27" t="n"/>
      <c r="AY119" s="27" t="n"/>
      <c r="AZ119" s="27" t="n"/>
      <c r="BA119" s="27" t="n"/>
      <c r="BB119" s="27" t="n"/>
      <c r="BC119" s="27" t="n"/>
      <c r="BD119" s="27" t="n"/>
      <c r="BE119" s="27" t="n"/>
      <c r="BF119" s="27" t="n"/>
      <c r="BG119" s="27" t="n"/>
      <c r="BH119" s="27" t="n"/>
      <c r="BI119" s="29" t="n"/>
      <c r="BJ119" s="27" t="n"/>
      <c r="BK119" s="27" t="n"/>
      <c r="BL119" s="27" t="n"/>
      <c r="BM119" s="27" t="n"/>
    </row>
    <row r="120">
      <c r="A120" s="27" t="n"/>
      <c r="B120" s="27" t="n"/>
      <c r="C120" s="28">
        <f>IF(A120="","",$B$2)</f>
        <v/>
      </c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  <c r="AA120" s="27" t="n"/>
      <c r="AB120" s="27" t="n"/>
      <c r="AC120" s="27" t="n"/>
      <c r="AD120" s="27" t="n"/>
      <c r="AE120" s="27" t="n"/>
      <c r="AF120" s="27" t="n"/>
      <c r="AG120" s="27" t="n"/>
      <c r="AH120" s="27" t="n"/>
      <c r="AI120" s="27" t="n"/>
      <c r="AJ120" s="27" t="n"/>
      <c r="AK120" s="27" t="n"/>
      <c r="AL120" s="27" t="n"/>
      <c r="AM120" s="27" t="n"/>
      <c r="AN120" s="27" t="n"/>
      <c r="AO120" s="27" t="n"/>
      <c r="AP120" s="27" t="n"/>
      <c r="AQ120" s="27" t="n"/>
      <c r="AR120" s="27" t="n"/>
      <c r="AS120" s="27" t="n"/>
      <c r="AT120" s="27" t="n"/>
      <c r="AU120" s="27" t="n"/>
      <c r="AV120" s="27" t="n"/>
      <c r="AW120" s="27" t="n"/>
      <c r="AX120" s="27" t="n"/>
      <c r="AY120" s="27" t="n"/>
      <c r="AZ120" s="27" t="n"/>
      <c r="BA120" s="27" t="n"/>
      <c r="BB120" s="27" t="n"/>
      <c r="BC120" s="27" t="n"/>
      <c r="BD120" s="27" t="n"/>
      <c r="BE120" s="27" t="n"/>
      <c r="BF120" s="27" t="n"/>
      <c r="BG120" s="27" t="n"/>
      <c r="BH120" s="27" t="n"/>
      <c r="BI120" s="29" t="n"/>
      <c r="BJ120" s="27" t="n"/>
      <c r="BK120" s="27" t="n"/>
      <c r="BL120" s="27" t="n"/>
      <c r="BM120" s="27" t="n"/>
    </row>
    <row r="121">
      <c r="A121" s="27" t="n"/>
      <c r="B121" s="27" t="n"/>
      <c r="C121" s="28">
        <f>IF(A121="","",$B$2)</f>
        <v/>
      </c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  <c r="AA121" s="27" t="n"/>
      <c r="AB121" s="27" t="n"/>
      <c r="AC121" s="27" t="n"/>
      <c r="AD121" s="27" t="n"/>
      <c r="AE121" s="27" t="n"/>
      <c r="AF121" s="27" t="n"/>
      <c r="AG121" s="27" t="n"/>
      <c r="AH121" s="27" t="n"/>
      <c r="AI121" s="27" t="n"/>
      <c r="AJ121" s="27" t="n"/>
      <c r="AK121" s="27" t="n"/>
      <c r="AL121" s="27" t="n"/>
      <c r="AM121" s="27" t="n"/>
      <c r="AN121" s="27" t="n"/>
      <c r="AO121" s="27" t="n"/>
      <c r="AP121" s="27" t="n"/>
      <c r="AQ121" s="27" t="n"/>
      <c r="AR121" s="27" t="n"/>
      <c r="AS121" s="27" t="n"/>
      <c r="AT121" s="27" t="n"/>
      <c r="AU121" s="27" t="n"/>
      <c r="AV121" s="27" t="n"/>
      <c r="AW121" s="27" t="n"/>
      <c r="AX121" s="27" t="n"/>
      <c r="AY121" s="27" t="n"/>
      <c r="AZ121" s="27" t="n"/>
      <c r="BA121" s="27" t="n"/>
      <c r="BB121" s="27" t="n"/>
      <c r="BC121" s="27" t="n"/>
      <c r="BD121" s="27" t="n"/>
      <c r="BE121" s="27" t="n"/>
      <c r="BF121" s="27" t="n"/>
      <c r="BG121" s="27" t="n"/>
      <c r="BH121" s="27" t="n"/>
      <c r="BI121" s="29" t="n"/>
      <c r="BJ121" s="27" t="n"/>
      <c r="BK121" s="27" t="n"/>
      <c r="BL121" s="27" t="n"/>
      <c r="BM121" s="27" t="n"/>
    </row>
    <row r="122">
      <c r="A122" s="27" t="n"/>
      <c r="B122" s="27" t="n"/>
      <c r="C122" s="28">
        <f>IF(A122="","",$B$2)</f>
        <v/>
      </c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  <c r="AA122" s="27" t="n"/>
      <c r="AB122" s="27" t="n"/>
      <c r="AC122" s="27" t="n"/>
      <c r="AD122" s="27" t="n"/>
      <c r="AE122" s="27" t="n"/>
      <c r="AF122" s="27" t="n"/>
      <c r="AG122" s="27" t="n"/>
      <c r="AH122" s="27" t="n"/>
      <c r="AI122" s="27" t="n"/>
      <c r="AJ122" s="27" t="n"/>
      <c r="AK122" s="27" t="n"/>
      <c r="AL122" s="27" t="n"/>
      <c r="AM122" s="27" t="n"/>
      <c r="AN122" s="27" t="n"/>
      <c r="AO122" s="27" t="n"/>
      <c r="AP122" s="27" t="n"/>
      <c r="AQ122" s="27" t="n"/>
      <c r="AR122" s="27" t="n"/>
      <c r="AS122" s="27" t="n"/>
      <c r="AT122" s="27" t="n"/>
      <c r="AU122" s="27" t="n"/>
      <c r="AV122" s="27" t="n"/>
      <c r="AW122" s="27" t="n"/>
      <c r="AX122" s="27" t="n"/>
      <c r="AY122" s="27" t="n"/>
      <c r="AZ122" s="27" t="n"/>
      <c r="BA122" s="27" t="n"/>
      <c r="BB122" s="27" t="n"/>
      <c r="BC122" s="27" t="n"/>
      <c r="BD122" s="27" t="n"/>
      <c r="BE122" s="27" t="n"/>
      <c r="BF122" s="27" t="n"/>
      <c r="BG122" s="27" t="n"/>
      <c r="BH122" s="27" t="n"/>
      <c r="BI122" s="29" t="n"/>
      <c r="BJ122" s="27" t="n"/>
      <c r="BK122" s="27" t="n"/>
      <c r="BL122" s="27" t="n"/>
      <c r="BM122" s="27" t="n"/>
    </row>
    <row r="123">
      <c r="A123" s="27" t="n"/>
      <c r="B123" s="27" t="n"/>
      <c r="C123" s="28">
        <f>IF(A123="","",$B$2)</f>
        <v/>
      </c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  <c r="AA123" s="27" t="n"/>
      <c r="AB123" s="27" t="n"/>
      <c r="AC123" s="27" t="n"/>
      <c r="AD123" s="27" t="n"/>
      <c r="AE123" s="27" t="n"/>
      <c r="AF123" s="27" t="n"/>
      <c r="AG123" s="27" t="n"/>
      <c r="AH123" s="27" t="n"/>
      <c r="AI123" s="27" t="n"/>
      <c r="AJ123" s="27" t="n"/>
      <c r="AK123" s="27" t="n"/>
      <c r="AL123" s="27" t="n"/>
      <c r="AM123" s="27" t="n"/>
      <c r="AN123" s="27" t="n"/>
      <c r="AO123" s="27" t="n"/>
      <c r="AP123" s="27" t="n"/>
      <c r="AQ123" s="27" t="n"/>
      <c r="AR123" s="27" t="n"/>
      <c r="AS123" s="27" t="n"/>
      <c r="AT123" s="27" t="n"/>
      <c r="AU123" s="27" t="n"/>
      <c r="AV123" s="27" t="n"/>
      <c r="AW123" s="27" t="n"/>
      <c r="AX123" s="27" t="n"/>
      <c r="AY123" s="27" t="n"/>
      <c r="AZ123" s="27" t="n"/>
      <c r="BA123" s="27" t="n"/>
      <c r="BB123" s="27" t="n"/>
      <c r="BC123" s="27" t="n"/>
      <c r="BD123" s="27" t="n"/>
      <c r="BE123" s="27" t="n"/>
      <c r="BF123" s="27" t="n"/>
      <c r="BG123" s="27" t="n"/>
      <c r="BH123" s="27" t="n"/>
      <c r="BI123" s="29" t="n"/>
      <c r="BJ123" s="27" t="n"/>
      <c r="BK123" s="27" t="n"/>
      <c r="BL123" s="27" t="n"/>
      <c r="BM123" s="27" t="n"/>
    </row>
    <row r="124">
      <c r="A124" s="27" t="n"/>
      <c r="B124" s="27" t="n"/>
      <c r="C124" s="28">
        <f>IF(A124="","",$B$2)</f>
        <v/>
      </c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  <c r="AA124" s="27" t="n"/>
      <c r="AB124" s="27" t="n"/>
      <c r="AC124" s="27" t="n"/>
      <c r="AD124" s="27" t="n"/>
      <c r="AE124" s="27" t="n"/>
      <c r="AF124" s="27" t="n"/>
      <c r="AG124" s="27" t="n"/>
      <c r="AH124" s="27" t="n"/>
      <c r="AI124" s="27" t="n"/>
      <c r="AJ124" s="27" t="n"/>
      <c r="AK124" s="27" t="n"/>
      <c r="AL124" s="27" t="n"/>
      <c r="AM124" s="27" t="n"/>
      <c r="AN124" s="27" t="n"/>
      <c r="AO124" s="27" t="n"/>
      <c r="AP124" s="27" t="n"/>
      <c r="AQ124" s="27" t="n"/>
      <c r="AR124" s="27" t="n"/>
      <c r="AS124" s="27" t="n"/>
      <c r="AT124" s="27" t="n"/>
      <c r="AU124" s="27" t="n"/>
      <c r="AV124" s="27" t="n"/>
      <c r="AW124" s="27" t="n"/>
      <c r="AX124" s="27" t="n"/>
      <c r="AY124" s="27" t="n"/>
      <c r="AZ124" s="27" t="n"/>
      <c r="BA124" s="27" t="n"/>
      <c r="BB124" s="27" t="n"/>
      <c r="BC124" s="27" t="n"/>
      <c r="BD124" s="27" t="n"/>
      <c r="BE124" s="27" t="n"/>
      <c r="BF124" s="27" t="n"/>
      <c r="BG124" s="27" t="n"/>
      <c r="BH124" s="27" t="n"/>
      <c r="BI124" s="29" t="n"/>
      <c r="BJ124" s="27" t="n"/>
      <c r="BK124" s="27" t="n"/>
      <c r="BL124" s="27" t="n"/>
      <c r="BM124" s="27" t="n"/>
    </row>
    <row r="125">
      <c r="A125" s="27" t="n"/>
      <c r="B125" s="27" t="n"/>
      <c r="C125" s="28">
        <f>IF(A125="","",$B$2)</f>
        <v/>
      </c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  <c r="AA125" s="27" t="n"/>
      <c r="AB125" s="27" t="n"/>
      <c r="AC125" s="27" t="n"/>
      <c r="AD125" s="27" t="n"/>
      <c r="AE125" s="27" t="n"/>
      <c r="AF125" s="27" t="n"/>
      <c r="AG125" s="27" t="n"/>
      <c r="AH125" s="27" t="n"/>
      <c r="AI125" s="27" t="n"/>
      <c r="AJ125" s="27" t="n"/>
      <c r="AK125" s="27" t="n"/>
      <c r="AL125" s="27" t="n"/>
      <c r="AM125" s="27" t="n"/>
      <c r="AN125" s="27" t="n"/>
      <c r="AO125" s="27" t="n"/>
      <c r="AP125" s="27" t="n"/>
      <c r="AQ125" s="27" t="n"/>
      <c r="AR125" s="27" t="n"/>
      <c r="AS125" s="27" t="n"/>
      <c r="AT125" s="27" t="n"/>
      <c r="AU125" s="27" t="n"/>
      <c r="AV125" s="27" t="n"/>
      <c r="AW125" s="27" t="n"/>
      <c r="AX125" s="27" t="n"/>
      <c r="AY125" s="27" t="n"/>
      <c r="AZ125" s="27" t="n"/>
      <c r="BA125" s="27" t="n"/>
      <c r="BB125" s="27" t="n"/>
      <c r="BC125" s="27" t="n"/>
      <c r="BD125" s="27" t="n"/>
      <c r="BE125" s="27" t="n"/>
      <c r="BF125" s="27" t="n"/>
      <c r="BG125" s="27" t="n"/>
      <c r="BH125" s="27" t="n"/>
      <c r="BI125" s="29" t="n"/>
      <c r="BJ125" s="27" t="n"/>
      <c r="BK125" s="27" t="n"/>
      <c r="BL125" s="27" t="n"/>
      <c r="BM125" s="27" t="n"/>
    </row>
    <row r="126">
      <c r="A126" s="27" t="n"/>
      <c r="B126" s="27" t="n"/>
      <c r="C126" s="28">
        <f>IF(A126="","",$B$2)</f>
        <v/>
      </c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  <c r="AA126" s="27" t="n"/>
      <c r="AB126" s="27" t="n"/>
      <c r="AC126" s="27" t="n"/>
      <c r="AD126" s="27" t="n"/>
      <c r="AE126" s="27" t="n"/>
      <c r="AF126" s="27" t="n"/>
      <c r="AG126" s="27" t="n"/>
      <c r="AH126" s="27" t="n"/>
      <c r="AI126" s="27" t="n"/>
      <c r="AJ126" s="27" t="n"/>
      <c r="AK126" s="27" t="n"/>
      <c r="AL126" s="27" t="n"/>
      <c r="AM126" s="27" t="n"/>
      <c r="AN126" s="27" t="n"/>
      <c r="AO126" s="27" t="n"/>
      <c r="AP126" s="27" t="n"/>
      <c r="AQ126" s="27" t="n"/>
      <c r="AR126" s="27" t="n"/>
      <c r="AS126" s="27" t="n"/>
      <c r="AT126" s="27" t="n"/>
      <c r="AU126" s="27" t="n"/>
      <c r="AV126" s="27" t="n"/>
      <c r="AW126" s="27" t="n"/>
      <c r="AX126" s="27" t="n"/>
      <c r="AY126" s="27" t="n"/>
      <c r="AZ126" s="27" t="n"/>
      <c r="BA126" s="27" t="n"/>
      <c r="BB126" s="27" t="n"/>
      <c r="BC126" s="27" t="n"/>
      <c r="BD126" s="27" t="n"/>
      <c r="BE126" s="27" t="n"/>
      <c r="BF126" s="27" t="n"/>
      <c r="BG126" s="27" t="n"/>
      <c r="BH126" s="27" t="n"/>
      <c r="BI126" s="29" t="n"/>
      <c r="BJ126" s="27" t="n"/>
      <c r="BK126" s="27" t="n"/>
      <c r="BL126" s="27" t="n"/>
      <c r="BM126" s="27" t="n"/>
    </row>
    <row r="127">
      <c r="A127" s="27" t="n"/>
      <c r="B127" s="27" t="n"/>
      <c r="C127" s="28">
        <f>IF(A127="","",$B$2)</f>
        <v/>
      </c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  <c r="AA127" s="27" t="n"/>
      <c r="AB127" s="27" t="n"/>
      <c r="AC127" s="27" t="n"/>
      <c r="AD127" s="27" t="n"/>
      <c r="AE127" s="27" t="n"/>
      <c r="AF127" s="27" t="n"/>
      <c r="AG127" s="27" t="n"/>
      <c r="AH127" s="27" t="n"/>
      <c r="AI127" s="27" t="n"/>
      <c r="AJ127" s="27" t="n"/>
      <c r="AK127" s="27" t="n"/>
      <c r="AL127" s="27" t="n"/>
      <c r="AM127" s="27" t="n"/>
      <c r="AN127" s="27" t="n"/>
      <c r="AO127" s="27" t="n"/>
      <c r="AP127" s="27" t="n"/>
      <c r="AQ127" s="27" t="n"/>
      <c r="AR127" s="27" t="n"/>
      <c r="AS127" s="27" t="n"/>
      <c r="AT127" s="27" t="n"/>
      <c r="AU127" s="27" t="n"/>
      <c r="AV127" s="27" t="n"/>
      <c r="AW127" s="27" t="n"/>
      <c r="AX127" s="27" t="n"/>
      <c r="AY127" s="27" t="n"/>
      <c r="AZ127" s="27" t="n"/>
      <c r="BA127" s="27" t="n"/>
      <c r="BB127" s="27" t="n"/>
      <c r="BC127" s="27" t="n"/>
      <c r="BD127" s="27" t="n"/>
      <c r="BE127" s="27" t="n"/>
      <c r="BF127" s="27" t="n"/>
      <c r="BG127" s="27" t="n"/>
      <c r="BH127" s="27" t="n"/>
      <c r="BI127" s="29" t="n"/>
      <c r="BJ127" s="27" t="n"/>
      <c r="BK127" s="27" t="n"/>
      <c r="BL127" s="27" t="n"/>
      <c r="BM127" s="27" t="n"/>
    </row>
    <row r="128">
      <c r="A128" s="27" t="n"/>
      <c r="B128" s="27" t="n"/>
      <c r="C128" s="28">
        <f>IF(A128="","",$B$2)</f>
        <v/>
      </c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  <c r="AA128" s="27" t="n"/>
      <c r="AB128" s="27" t="n"/>
      <c r="AC128" s="27" t="n"/>
      <c r="AD128" s="27" t="n"/>
      <c r="AE128" s="27" t="n"/>
      <c r="AF128" s="27" t="n"/>
      <c r="AG128" s="27" t="n"/>
      <c r="AH128" s="27" t="n"/>
      <c r="AI128" s="27" t="n"/>
      <c r="AJ128" s="27" t="n"/>
      <c r="AK128" s="27" t="n"/>
      <c r="AL128" s="27" t="n"/>
      <c r="AM128" s="27" t="n"/>
      <c r="AN128" s="27" t="n"/>
      <c r="AO128" s="27" t="n"/>
      <c r="AP128" s="27" t="n"/>
      <c r="AQ128" s="27" t="n"/>
      <c r="AR128" s="27" t="n"/>
      <c r="AS128" s="27" t="n"/>
      <c r="AT128" s="27" t="n"/>
      <c r="AU128" s="27" t="n"/>
      <c r="AV128" s="27" t="n"/>
      <c r="AW128" s="27" t="n"/>
      <c r="AX128" s="27" t="n"/>
      <c r="AY128" s="27" t="n"/>
      <c r="AZ128" s="27" t="n"/>
      <c r="BA128" s="27" t="n"/>
      <c r="BB128" s="27" t="n"/>
      <c r="BC128" s="27" t="n"/>
      <c r="BD128" s="27" t="n"/>
      <c r="BE128" s="27" t="n"/>
      <c r="BF128" s="27" t="n"/>
      <c r="BG128" s="27" t="n"/>
      <c r="BH128" s="27" t="n"/>
      <c r="BI128" s="29" t="n"/>
      <c r="BJ128" s="27" t="n"/>
      <c r="BK128" s="27" t="n"/>
      <c r="BL128" s="27" t="n"/>
      <c r="BM128" s="27" t="n"/>
    </row>
    <row r="129">
      <c r="A129" s="27" t="n"/>
      <c r="B129" s="27" t="n"/>
      <c r="C129" s="28">
        <f>IF(A129="","",$B$2)</f>
        <v/>
      </c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  <c r="AA129" s="27" t="n"/>
      <c r="AB129" s="27" t="n"/>
      <c r="AC129" s="27" t="n"/>
      <c r="AD129" s="27" t="n"/>
      <c r="AE129" s="27" t="n"/>
      <c r="AF129" s="27" t="n"/>
      <c r="AG129" s="27" t="n"/>
      <c r="AH129" s="27" t="n"/>
      <c r="AI129" s="27" t="n"/>
      <c r="AJ129" s="27" t="n"/>
      <c r="AK129" s="27" t="n"/>
      <c r="AL129" s="27" t="n"/>
      <c r="AM129" s="27" t="n"/>
      <c r="AN129" s="27" t="n"/>
      <c r="AO129" s="27" t="n"/>
      <c r="AP129" s="27" t="n"/>
      <c r="AQ129" s="27" t="n"/>
      <c r="AR129" s="27" t="n"/>
      <c r="AS129" s="27" t="n"/>
      <c r="AT129" s="27" t="n"/>
      <c r="AU129" s="27" t="n"/>
      <c r="AV129" s="27" t="n"/>
      <c r="AW129" s="27" t="n"/>
      <c r="AX129" s="27" t="n"/>
      <c r="AY129" s="27" t="n"/>
      <c r="AZ129" s="27" t="n"/>
      <c r="BA129" s="27" t="n"/>
      <c r="BB129" s="27" t="n"/>
      <c r="BC129" s="27" t="n"/>
      <c r="BD129" s="27" t="n"/>
      <c r="BE129" s="27" t="n"/>
      <c r="BF129" s="27" t="n"/>
      <c r="BG129" s="27" t="n"/>
      <c r="BH129" s="27" t="n"/>
      <c r="BI129" s="29" t="n"/>
      <c r="BJ129" s="27" t="n"/>
      <c r="BK129" s="27" t="n"/>
      <c r="BL129" s="27" t="n"/>
      <c r="BM129" s="27" t="n"/>
    </row>
    <row r="130">
      <c r="A130" s="27" t="n"/>
      <c r="B130" s="27" t="n"/>
      <c r="C130" s="28">
        <f>IF(A130="","",$B$2)</f>
        <v/>
      </c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  <c r="AA130" s="27" t="n"/>
      <c r="AB130" s="27" t="n"/>
      <c r="AC130" s="27" t="n"/>
      <c r="AD130" s="27" t="n"/>
      <c r="AE130" s="27" t="n"/>
      <c r="AF130" s="27" t="n"/>
      <c r="AG130" s="27" t="n"/>
      <c r="AH130" s="27" t="n"/>
      <c r="AI130" s="27" t="n"/>
      <c r="AJ130" s="27" t="n"/>
      <c r="AK130" s="27" t="n"/>
      <c r="AL130" s="27" t="n"/>
      <c r="AM130" s="27" t="n"/>
      <c r="AN130" s="27" t="n"/>
      <c r="AO130" s="27" t="n"/>
      <c r="AP130" s="27" t="n"/>
      <c r="AQ130" s="27" t="n"/>
      <c r="AR130" s="27" t="n"/>
      <c r="AS130" s="27" t="n"/>
      <c r="AT130" s="27" t="n"/>
      <c r="AU130" s="27" t="n"/>
      <c r="AV130" s="27" t="n"/>
      <c r="AW130" s="27" t="n"/>
      <c r="AX130" s="27" t="n"/>
      <c r="AY130" s="27" t="n"/>
      <c r="AZ130" s="27" t="n"/>
      <c r="BA130" s="27" t="n"/>
      <c r="BB130" s="27" t="n"/>
      <c r="BC130" s="27" t="n"/>
      <c r="BD130" s="27" t="n"/>
      <c r="BE130" s="27" t="n"/>
      <c r="BF130" s="27" t="n"/>
      <c r="BG130" s="27" t="n"/>
      <c r="BH130" s="27" t="n"/>
      <c r="BI130" s="29" t="n"/>
      <c r="BJ130" s="27" t="n"/>
      <c r="BK130" s="27" t="n"/>
      <c r="BL130" s="27" t="n"/>
      <c r="BM130" s="27" t="n"/>
    </row>
    <row r="131">
      <c r="A131" s="27" t="n"/>
      <c r="B131" s="27" t="n"/>
      <c r="C131" s="28">
        <f>IF(A131="","",$B$2)</f>
        <v/>
      </c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  <c r="AA131" s="27" t="n"/>
      <c r="AB131" s="27" t="n"/>
      <c r="AC131" s="27" t="n"/>
      <c r="AD131" s="27" t="n"/>
      <c r="AE131" s="27" t="n"/>
      <c r="AF131" s="27" t="n"/>
      <c r="AG131" s="27" t="n"/>
      <c r="AH131" s="27" t="n"/>
      <c r="AI131" s="27" t="n"/>
      <c r="AJ131" s="27" t="n"/>
      <c r="AK131" s="27" t="n"/>
      <c r="AL131" s="27" t="n"/>
      <c r="AM131" s="27" t="n"/>
      <c r="AN131" s="27" t="n"/>
      <c r="AO131" s="27" t="n"/>
      <c r="AP131" s="27" t="n"/>
      <c r="AQ131" s="27" t="n"/>
      <c r="AR131" s="27" t="n"/>
      <c r="AS131" s="27" t="n"/>
      <c r="AT131" s="27" t="n"/>
      <c r="AU131" s="27" t="n"/>
      <c r="AV131" s="27" t="n"/>
      <c r="AW131" s="27" t="n"/>
      <c r="AX131" s="27" t="n"/>
      <c r="AY131" s="27" t="n"/>
      <c r="AZ131" s="27" t="n"/>
      <c r="BA131" s="27" t="n"/>
      <c r="BB131" s="27" t="n"/>
      <c r="BC131" s="27" t="n"/>
      <c r="BD131" s="27" t="n"/>
      <c r="BE131" s="27" t="n"/>
      <c r="BF131" s="27" t="n"/>
      <c r="BG131" s="27" t="n"/>
      <c r="BH131" s="27" t="n"/>
      <c r="BI131" s="29" t="n"/>
      <c r="BJ131" s="27" t="n"/>
      <c r="BK131" s="27" t="n"/>
      <c r="BL131" s="27" t="n"/>
      <c r="BM131" s="27" t="n"/>
    </row>
    <row r="132">
      <c r="A132" s="27" t="n"/>
      <c r="B132" s="27" t="n"/>
      <c r="C132" s="28">
        <f>IF(A132="","",$B$2)</f>
        <v/>
      </c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  <c r="AA132" s="27" t="n"/>
      <c r="AB132" s="27" t="n"/>
      <c r="AC132" s="27" t="n"/>
      <c r="AD132" s="27" t="n"/>
      <c r="AE132" s="27" t="n"/>
      <c r="AF132" s="27" t="n"/>
      <c r="AG132" s="27" t="n"/>
      <c r="AH132" s="27" t="n"/>
      <c r="AI132" s="27" t="n"/>
      <c r="AJ132" s="27" t="n"/>
      <c r="AK132" s="27" t="n"/>
      <c r="AL132" s="27" t="n"/>
      <c r="AM132" s="27" t="n"/>
      <c r="AN132" s="27" t="n"/>
      <c r="AO132" s="27" t="n"/>
      <c r="AP132" s="27" t="n"/>
      <c r="AQ132" s="27" t="n"/>
      <c r="AR132" s="27" t="n"/>
      <c r="AS132" s="27" t="n"/>
      <c r="AT132" s="27" t="n"/>
      <c r="AU132" s="27" t="n"/>
      <c r="AV132" s="27" t="n"/>
      <c r="AW132" s="27" t="n"/>
      <c r="AX132" s="27" t="n"/>
      <c r="AY132" s="27" t="n"/>
      <c r="AZ132" s="27" t="n"/>
      <c r="BA132" s="27" t="n"/>
      <c r="BB132" s="27" t="n"/>
      <c r="BC132" s="27" t="n"/>
      <c r="BD132" s="27" t="n"/>
      <c r="BE132" s="27" t="n"/>
      <c r="BF132" s="27" t="n"/>
      <c r="BG132" s="27" t="n"/>
      <c r="BH132" s="27" t="n"/>
      <c r="BI132" s="29" t="n"/>
      <c r="BJ132" s="27" t="n"/>
      <c r="BK132" s="27" t="n"/>
      <c r="BL132" s="27" t="n"/>
      <c r="BM132" s="27" t="n"/>
    </row>
    <row r="133">
      <c r="A133" s="27" t="n"/>
      <c r="B133" s="27" t="n"/>
      <c r="C133" s="28">
        <f>IF(A133="","",$B$2)</f>
        <v/>
      </c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  <c r="AA133" s="27" t="n"/>
      <c r="AB133" s="27" t="n"/>
      <c r="AC133" s="27" t="n"/>
      <c r="AD133" s="27" t="n"/>
      <c r="AE133" s="27" t="n"/>
      <c r="AF133" s="27" t="n"/>
      <c r="AG133" s="27" t="n"/>
      <c r="AH133" s="27" t="n"/>
      <c r="AI133" s="27" t="n"/>
      <c r="AJ133" s="27" t="n"/>
      <c r="AK133" s="27" t="n"/>
      <c r="AL133" s="27" t="n"/>
      <c r="AM133" s="27" t="n"/>
      <c r="AN133" s="27" t="n"/>
      <c r="AO133" s="27" t="n"/>
      <c r="AP133" s="27" t="n"/>
      <c r="AQ133" s="27" t="n"/>
      <c r="AR133" s="27" t="n"/>
      <c r="AS133" s="27" t="n"/>
      <c r="AT133" s="27" t="n"/>
      <c r="AU133" s="27" t="n"/>
      <c r="AV133" s="27" t="n"/>
      <c r="AW133" s="27" t="n"/>
      <c r="AX133" s="27" t="n"/>
      <c r="AY133" s="27" t="n"/>
      <c r="AZ133" s="27" t="n"/>
      <c r="BA133" s="27" t="n"/>
      <c r="BB133" s="27" t="n"/>
      <c r="BC133" s="27" t="n"/>
      <c r="BD133" s="27" t="n"/>
      <c r="BE133" s="27" t="n"/>
      <c r="BF133" s="27" t="n"/>
      <c r="BG133" s="27" t="n"/>
      <c r="BH133" s="27" t="n"/>
      <c r="BI133" s="29" t="n"/>
      <c r="BJ133" s="27" t="n"/>
      <c r="BK133" s="27" t="n"/>
      <c r="BL133" s="27" t="n"/>
      <c r="BM133" s="27" t="n"/>
    </row>
    <row r="134">
      <c r="A134" s="27" t="n"/>
      <c r="B134" s="27" t="n"/>
      <c r="C134" s="28">
        <f>IF(A134="","",$B$2)</f>
        <v/>
      </c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  <c r="AA134" s="27" t="n"/>
      <c r="AB134" s="27" t="n"/>
      <c r="AC134" s="27" t="n"/>
      <c r="AD134" s="27" t="n"/>
      <c r="AE134" s="27" t="n"/>
      <c r="AF134" s="27" t="n"/>
      <c r="AG134" s="27" t="n"/>
      <c r="AH134" s="27" t="n"/>
      <c r="AI134" s="27" t="n"/>
      <c r="AJ134" s="27" t="n"/>
      <c r="AK134" s="27" t="n"/>
      <c r="AL134" s="27" t="n"/>
      <c r="AM134" s="27" t="n"/>
      <c r="AN134" s="27" t="n"/>
      <c r="AO134" s="27" t="n"/>
      <c r="AP134" s="27" t="n"/>
      <c r="AQ134" s="27" t="n"/>
      <c r="AR134" s="27" t="n"/>
      <c r="AS134" s="27" t="n"/>
      <c r="AT134" s="27" t="n"/>
      <c r="AU134" s="27" t="n"/>
      <c r="AV134" s="27" t="n"/>
      <c r="AW134" s="27" t="n"/>
      <c r="AX134" s="27" t="n"/>
      <c r="AY134" s="27" t="n"/>
      <c r="AZ134" s="27" t="n"/>
      <c r="BA134" s="27" t="n"/>
      <c r="BB134" s="27" t="n"/>
      <c r="BC134" s="27" t="n"/>
      <c r="BD134" s="27" t="n"/>
      <c r="BE134" s="27" t="n"/>
      <c r="BF134" s="27" t="n"/>
      <c r="BG134" s="27" t="n"/>
      <c r="BH134" s="27" t="n"/>
      <c r="BI134" s="29" t="n"/>
      <c r="BJ134" s="27" t="n"/>
      <c r="BK134" s="27" t="n"/>
      <c r="BL134" s="27" t="n"/>
      <c r="BM134" s="27" t="n"/>
    </row>
    <row r="135">
      <c r="A135" s="27" t="n"/>
      <c r="B135" s="27" t="n"/>
      <c r="C135" s="28">
        <f>IF(A135="","",$B$2)</f>
        <v/>
      </c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  <c r="AA135" s="27" t="n"/>
      <c r="AB135" s="27" t="n"/>
      <c r="AC135" s="27" t="n"/>
      <c r="AD135" s="27" t="n"/>
      <c r="AE135" s="27" t="n"/>
      <c r="AF135" s="27" t="n"/>
      <c r="AG135" s="27" t="n"/>
      <c r="AH135" s="27" t="n"/>
      <c r="AI135" s="27" t="n"/>
      <c r="AJ135" s="27" t="n"/>
      <c r="AK135" s="27" t="n"/>
      <c r="AL135" s="27" t="n"/>
      <c r="AM135" s="27" t="n"/>
      <c r="AN135" s="27" t="n"/>
      <c r="AO135" s="27" t="n"/>
      <c r="AP135" s="27" t="n"/>
      <c r="AQ135" s="27" t="n"/>
      <c r="AR135" s="27" t="n"/>
      <c r="AS135" s="27" t="n"/>
      <c r="AT135" s="27" t="n"/>
      <c r="AU135" s="27" t="n"/>
      <c r="AV135" s="27" t="n"/>
      <c r="AW135" s="27" t="n"/>
      <c r="AX135" s="27" t="n"/>
      <c r="AY135" s="27" t="n"/>
      <c r="AZ135" s="27" t="n"/>
      <c r="BA135" s="27" t="n"/>
      <c r="BB135" s="27" t="n"/>
      <c r="BC135" s="27" t="n"/>
      <c r="BD135" s="27" t="n"/>
      <c r="BE135" s="27" t="n"/>
      <c r="BF135" s="27" t="n"/>
      <c r="BG135" s="27" t="n"/>
      <c r="BH135" s="27" t="n"/>
      <c r="BI135" s="29" t="n"/>
      <c r="BJ135" s="27" t="n"/>
      <c r="BK135" s="27" t="n"/>
      <c r="BL135" s="27" t="n"/>
      <c r="BM135" s="27" t="n"/>
    </row>
    <row r="136">
      <c r="A136" s="27" t="n"/>
      <c r="B136" s="27" t="n"/>
      <c r="C136" s="28">
        <f>IF(A136="","",$B$2)</f>
        <v/>
      </c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  <c r="AA136" s="27" t="n"/>
      <c r="AB136" s="27" t="n"/>
      <c r="AC136" s="27" t="n"/>
      <c r="AD136" s="27" t="n"/>
      <c r="AE136" s="27" t="n"/>
      <c r="AF136" s="27" t="n"/>
      <c r="AG136" s="27" t="n"/>
      <c r="AH136" s="27" t="n"/>
      <c r="AI136" s="27" t="n"/>
      <c r="AJ136" s="27" t="n"/>
      <c r="AK136" s="27" t="n"/>
      <c r="AL136" s="27" t="n"/>
      <c r="AM136" s="27" t="n"/>
      <c r="AN136" s="27" t="n"/>
      <c r="AO136" s="27" t="n"/>
      <c r="AP136" s="27" t="n"/>
      <c r="AQ136" s="27" t="n"/>
      <c r="AR136" s="27" t="n"/>
      <c r="AS136" s="27" t="n"/>
      <c r="AT136" s="27" t="n"/>
      <c r="AU136" s="27" t="n"/>
      <c r="AV136" s="27" t="n"/>
      <c r="AW136" s="27" t="n"/>
      <c r="AX136" s="27" t="n"/>
      <c r="AY136" s="27" t="n"/>
      <c r="AZ136" s="27" t="n"/>
      <c r="BA136" s="27" t="n"/>
      <c r="BB136" s="27" t="n"/>
      <c r="BC136" s="27" t="n"/>
      <c r="BD136" s="27" t="n"/>
      <c r="BE136" s="27" t="n"/>
      <c r="BF136" s="27" t="n"/>
      <c r="BG136" s="27" t="n"/>
      <c r="BH136" s="27" t="n"/>
      <c r="BI136" s="29" t="n"/>
      <c r="BJ136" s="27" t="n"/>
      <c r="BK136" s="27" t="n"/>
      <c r="BL136" s="27" t="n"/>
      <c r="BM136" s="27" t="n"/>
    </row>
    <row r="137">
      <c r="A137" s="27" t="n"/>
      <c r="B137" s="27" t="n"/>
      <c r="C137" s="28">
        <f>IF(A137="","",$B$2)</f>
        <v/>
      </c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  <c r="AA137" s="27" t="n"/>
      <c r="AB137" s="27" t="n"/>
      <c r="AC137" s="27" t="n"/>
      <c r="AD137" s="27" t="n"/>
      <c r="AE137" s="27" t="n"/>
      <c r="AF137" s="27" t="n"/>
      <c r="AG137" s="27" t="n"/>
      <c r="AH137" s="27" t="n"/>
      <c r="AI137" s="27" t="n"/>
      <c r="AJ137" s="27" t="n"/>
      <c r="AK137" s="27" t="n"/>
      <c r="AL137" s="27" t="n"/>
      <c r="AM137" s="27" t="n"/>
      <c r="AN137" s="27" t="n"/>
      <c r="AO137" s="27" t="n"/>
      <c r="AP137" s="27" t="n"/>
      <c r="AQ137" s="27" t="n"/>
      <c r="AR137" s="27" t="n"/>
      <c r="AS137" s="27" t="n"/>
      <c r="AT137" s="27" t="n"/>
      <c r="AU137" s="27" t="n"/>
      <c r="AV137" s="27" t="n"/>
      <c r="AW137" s="27" t="n"/>
      <c r="AX137" s="27" t="n"/>
      <c r="AY137" s="27" t="n"/>
      <c r="AZ137" s="27" t="n"/>
      <c r="BA137" s="27" t="n"/>
      <c r="BB137" s="27" t="n"/>
      <c r="BC137" s="27" t="n"/>
      <c r="BD137" s="27" t="n"/>
      <c r="BE137" s="27" t="n"/>
      <c r="BF137" s="27" t="n"/>
      <c r="BG137" s="27" t="n"/>
      <c r="BH137" s="27" t="n"/>
      <c r="BI137" s="29" t="n"/>
      <c r="BJ137" s="27" t="n"/>
      <c r="BK137" s="27" t="n"/>
      <c r="BL137" s="27" t="n"/>
      <c r="BM137" s="27" t="n"/>
    </row>
    <row r="138">
      <c r="A138" s="27" t="n"/>
      <c r="B138" s="27" t="n"/>
      <c r="C138" s="28">
        <f>IF(A138="","",$B$2)</f>
        <v/>
      </c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  <c r="AA138" s="27" t="n"/>
      <c r="AB138" s="27" t="n"/>
      <c r="AC138" s="27" t="n"/>
      <c r="AD138" s="27" t="n"/>
      <c r="AE138" s="27" t="n"/>
      <c r="AF138" s="27" t="n"/>
      <c r="AG138" s="27" t="n"/>
      <c r="AH138" s="27" t="n"/>
      <c r="AI138" s="27" t="n"/>
      <c r="AJ138" s="27" t="n"/>
      <c r="AK138" s="27" t="n"/>
      <c r="AL138" s="27" t="n"/>
      <c r="AM138" s="27" t="n"/>
      <c r="AN138" s="27" t="n"/>
      <c r="AO138" s="27" t="n"/>
      <c r="AP138" s="27" t="n"/>
      <c r="AQ138" s="27" t="n"/>
      <c r="AR138" s="27" t="n"/>
      <c r="AS138" s="27" t="n"/>
      <c r="AT138" s="27" t="n"/>
      <c r="AU138" s="27" t="n"/>
      <c r="AV138" s="27" t="n"/>
      <c r="AW138" s="27" t="n"/>
      <c r="AX138" s="27" t="n"/>
      <c r="AY138" s="27" t="n"/>
      <c r="AZ138" s="27" t="n"/>
      <c r="BA138" s="27" t="n"/>
      <c r="BB138" s="27" t="n"/>
      <c r="BC138" s="27" t="n"/>
      <c r="BD138" s="27" t="n"/>
      <c r="BE138" s="27" t="n"/>
      <c r="BF138" s="27" t="n"/>
      <c r="BG138" s="27" t="n"/>
      <c r="BH138" s="27" t="n"/>
      <c r="BI138" s="29" t="n"/>
      <c r="BJ138" s="27" t="n"/>
      <c r="BK138" s="27" t="n"/>
      <c r="BL138" s="27" t="n"/>
      <c r="BM138" s="27" t="n"/>
    </row>
    <row r="139">
      <c r="A139" s="27" t="n"/>
      <c r="B139" s="27" t="n"/>
      <c r="C139" s="28">
        <f>IF(A139="","",$B$2)</f>
        <v/>
      </c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  <c r="AA139" s="27" t="n"/>
      <c r="AB139" s="27" t="n"/>
      <c r="AC139" s="27" t="n"/>
      <c r="AD139" s="27" t="n"/>
      <c r="AE139" s="27" t="n"/>
      <c r="AF139" s="27" t="n"/>
      <c r="AG139" s="27" t="n"/>
      <c r="AH139" s="27" t="n"/>
      <c r="AI139" s="27" t="n"/>
      <c r="AJ139" s="27" t="n"/>
      <c r="AK139" s="27" t="n"/>
      <c r="AL139" s="27" t="n"/>
      <c r="AM139" s="27" t="n"/>
      <c r="AN139" s="27" t="n"/>
      <c r="AO139" s="27" t="n"/>
      <c r="AP139" s="27" t="n"/>
      <c r="AQ139" s="27" t="n"/>
      <c r="AR139" s="27" t="n"/>
      <c r="AS139" s="27" t="n"/>
      <c r="AT139" s="27" t="n"/>
      <c r="AU139" s="27" t="n"/>
      <c r="AV139" s="27" t="n"/>
      <c r="AW139" s="27" t="n"/>
      <c r="AX139" s="27" t="n"/>
      <c r="AY139" s="27" t="n"/>
      <c r="AZ139" s="27" t="n"/>
      <c r="BA139" s="27" t="n"/>
      <c r="BB139" s="27" t="n"/>
      <c r="BC139" s="27" t="n"/>
      <c r="BD139" s="27" t="n"/>
      <c r="BE139" s="27" t="n"/>
      <c r="BF139" s="27" t="n"/>
      <c r="BG139" s="27" t="n"/>
      <c r="BH139" s="27" t="n"/>
      <c r="BI139" s="29" t="n"/>
      <c r="BJ139" s="27" t="n"/>
      <c r="BK139" s="27" t="n"/>
      <c r="BL139" s="27" t="n"/>
      <c r="BM139" s="27" t="n"/>
    </row>
    <row r="140">
      <c r="A140" s="27" t="n"/>
      <c r="B140" s="27" t="n"/>
      <c r="C140" s="28">
        <f>IF(A140="","",$B$2)</f>
        <v/>
      </c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  <c r="AA140" s="27" t="n"/>
      <c r="AB140" s="27" t="n"/>
      <c r="AC140" s="27" t="n"/>
      <c r="AD140" s="27" t="n"/>
      <c r="AE140" s="27" t="n"/>
      <c r="AF140" s="27" t="n"/>
      <c r="AG140" s="27" t="n"/>
      <c r="AH140" s="27" t="n"/>
      <c r="AI140" s="27" t="n"/>
      <c r="AJ140" s="27" t="n"/>
      <c r="AK140" s="27" t="n"/>
      <c r="AL140" s="27" t="n"/>
      <c r="AM140" s="27" t="n"/>
      <c r="AN140" s="27" t="n"/>
      <c r="AO140" s="27" t="n"/>
      <c r="AP140" s="27" t="n"/>
      <c r="AQ140" s="27" t="n"/>
      <c r="AR140" s="27" t="n"/>
      <c r="AS140" s="27" t="n"/>
      <c r="AT140" s="27" t="n"/>
      <c r="AU140" s="27" t="n"/>
      <c r="AV140" s="27" t="n"/>
      <c r="AW140" s="27" t="n"/>
      <c r="AX140" s="27" t="n"/>
      <c r="AY140" s="27" t="n"/>
      <c r="AZ140" s="27" t="n"/>
      <c r="BA140" s="27" t="n"/>
      <c r="BB140" s="27" t="n"/>
      <c r="BC140" s="27" t="n"/>
      <c r="BD140" s="27" t="n"/>
      <c r="BE140" s="27" t="n"/>
      <c r="BF140" s="27" t="n"/>
      <c r="BG140" s="27" t="n"/>
      <c r="BH140" s="27" t="n"/>
      <c r="BI140" s="29" t="n"/>
      <c r="BJ140" s="27" t="n"/>
      <c r="BK140" s="27" t="n"/>
      <c r="BL140" s="27" t="n"/>
      <c r="BM140" s="27" t="n"/>
    </row>
    <row r="141">
      <c r="A141" s="27" t="n"/>
      <c r="B141" s="27" t="n"/>
      <c r="C141" s="28">
        <f>IF(A141="","",$B$2)</f>
        <v/>
      </c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  <c r="AA141" s="27" t="n"/>
      <c r="AB141" s="27" t="n"/>
      <c r="AC141" s="27" t="n"/>
      <c r="AD141" s="27" t="n"/>
      <c r="AE141" s="27" t="n"/>
      <c r="AF141" s="27" t="n"/>
      <c r="AG141" s="27" t="n"/>
      <c r="AH141" s="27" t="n"/>
      <c r="AI141" s="27" t="n"/>
      <c r="AJ141" s="27" t="n"/>
      <c r="AK141" s="27" t="n"/>
      <c r="AL141" s="27" t="n"/>
      <c r="AM141" s="27" t="n"/>
      <c r="AN141" s="27" t="n"/>
      <c r="AO141" s="27" t="n"/>
      <c r="AP141" s="27" t="n"/>
      <c r="AQ141" s="27" t="n"/>
      <c r="AR141" s="27" t="n"/>
      <c r="AS141" s="27" t="n"/>
      <c r="AT141" s="27" t="n"/>
      <c r="AU141" s="27" t="n"/>
      <c r="AV141" s="27" t="n"/>
      <c r="AW141" s="27" t="n"/>
      <c r="AX141" s="27" t="n"/>
      <c r="AY141" s="27" t="n"/>
      <c r="AZ141" s="27" t="n"/>
      <c r="BA141" s="27" t="n"/>
      <c r="BB141" s="27" t="n"/>
      <c r="BC141" s="27" t="n"/>
      <c r="BD141" s="27" t="n"/>
      <c r="BE141" s="27" t="n"/>
      <c r="BF141" s="27" t="n"/>
      <c r="BG141" s="27" t="n"/>
      <c r="BH141" s="27" t="n"/>
      <c r="BI141" s="29" t="n"/>
      <c r="BJ141" s="27" t="n"/>
      <c r="BK141" s="27" t="n"/>
      <c r="BL141" s="27" t="n"/>
      <c r="BM141" s="27" t="n"/>
    </row>
    <row r="142">
      <c r="A142" s="27" t="n"/>
      <c r="B142" s="27" t="n"/>
      <c r="C142" s="28">
        <f>IF(A142="","",$B$2)</f>
        <v/>
      </c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  <c r="AA142" s="27" t="n"/>
      <c r="AB142" s="27" t="n"/>
      <c r="AC142" s="27" t="n"/>
      <c r="AD142" s="27" t="n"/>
      <c r="AE142" s="27" t="n"/>
      <c r="AF142" s="27" t="n"/>
      <c r="AG142" s="27" t="n"/>
      <c r="AH142" s="27" t="n"/>
      <c r="AI142" s="27" t="n"/>
      <c r="AJ142" s="27" t="n"/>
      <c r="AK142" s="27" t="n"/>
      <c r="AL142" s="27" t="n"/>
      <c r="AM142" s="27" t="n"/>
      <c r="AN142" s="27" t="n"/>
      <c r="AO142" s="27" t="n"/>
      <c r="AP142" s="27" t="n"/>
      <c r="AQ142" s="27" t="n"/>
      <c r="AR142" s="27" t="n"/>
      <c r="AS142" s="27" t="n"/>
      <c r="AT142" s="27" t="n"/>
      <c r="AU142" s="27" t="n"/>
      <c r="AV142" s="27" t="n"/>
      <c r="AW142" s="27" t="n"/>
      <c r="AX142" s="27" t="n"/>
      <c r="AY142" s="27" t="n"/>
      <c r="AZ142" s="27" t="n"/>
      <c r="BA142" s="27" t="n"/>
      <c r="BB142" s="27" t="n"/>
      <c r="BC142" s="27" t="n"/>
      <c r="BD142" s="27" t="n"/>
      <c r="BE142" s="27" t="n"/>
      <c r="BF142" s="27" t="n"/>
      <c r="BG142" s="27" t="n"/>
      <c r="BH142" s="27" t="n"/>
      <c r="BI142" s="29" t="n"/>
      <c r="BJ142" s="27" t="n"/>
      <c r="BK142" s="27" t="n"/>
      <c r="BL142" s="27" t="n"/>
      <c r="BM142" s="27" t="n"/>
    </row>
    <row r="143">
      <c r="A143" s="27" t="n"/>
      <c r="B143" s="27" t="n"/>
      <c r="C143" s="28">
        <f>IF(A143="","",$B$2)</f>
        <v/>
      </c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  <c r="AA143" s="27" t="n"/>
      <c r="AB143" s="27" t="n"/>
      <c r="AC143" s="27" t="n"/>
      <c r="AD143" s="27" t="n"/>
      <c r="AE143" s="27" t="n"/>
      <c r="AF143" s="27" t="n"/>
      <c r="AG143" s="27" t="n"/>
      <c r="AH143" s="27" t="n"/>
      <c r="AI143" s="27" t="n"/>
      <c r="AJ143" s="27" t="n"/>
      <c r="AK143" s="27" t="n"/>
      <c r="AL143" s="27" t="n"/>
      <c r="AM143" s="27" t="n"/>
      <c r="AN143" s="27" t="n"/>
      <c r="AO143" s="27" t="n"/>
      <c r="AP143" s="27" t="n"/>
      <c r="AQ143" s="27" t="n"/>
      <c r="AR143" s="27" t="n"/>
      <c r="AS143" s="27" t="n"/>
      <c r="AT143" s="27" t="n"/>
      <c r="AU143" s="27" t="n"/>
      <c r="AV143" s="27" t="n"/>
      <c r="AW143" s="27" t="n"/>
      <c r="AX143" s="27" t="n"/>
      <c r="AY143" s="27" t="n"/>
      <c r="AZ143" s="27" t="n"/>
      <c r="BA143" s="27" t="n"/>
      <c r="BB143" s="27" t="n"/>
      <c r="BC143" s="27" t="n"/>
      <c r="BD143" s="27" t="n"/>
      <c r="BE143" s="27" t="n"/>
      <c r="BF143" s="27" t="n"/>
      <c r="BG143" s="27" t="n"/>
      <c r="BH143" s="27" t="n"/>
      <c r="BI143" s="29" t="n"/>
      <c r="BJ143" s="27" t="n"/>
      <c r="BK143" s="27" t="n"/>
      <c r="BL143" s="27" t="n"/>
      <c r="BM143" s="27" t="n"/>
    </row>
    <row r="144">
      <c r="A144" s="27" t="n"/>
      <c r="B144" s="27" t="n"/>
      <c r="C144" s="28">
        <f>IF(A144="","",$B$2)</f>
        <v/>
      </c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  <c r="AA144" s="27" t="n"/>
      <c r="AB144" s="27" t="n"/>
      <c r="AC144" s="27" t="n"/>
      <c r="AD144" s="27" t="n"/>
      <c r="AE144" s="27" t="n"/>
      <c r="AF144" s="27" t="n"/>
      <c r="AG144" s="27" t="n"/>
      <c r="AH144" s="27" t="n"/>
      <c r="AI144" s="27" t="n"/>
      <c r="AJ144" s="27" t="n"/>
      <c r="AK144" s="27" t="n"/>
      <c r="AL144" s="27" t="n"/>
      <c r="AM144" s="27" t="n"/>
      <c r="AN144" s="27" t="n"/>
      <c r="AO144" s="27" t="n"/>
      <c r="AP144" s="27" t="n"/>
      <c r="AQ144" s="27" t="n"/>
      <c r="AR144" s="27" t="n"/>
      <c r="AS144" s="27" t="n"/>
      <c r="AT144" s="27" t="n"/>
      <c r="AU144" s="27" t="n"/>
      <c r="AV144" s="27" t="n"/>
      <c r="AW144" s="27" t="n"/>
      <c r="AX144" s="27" t="n"/>
      <c r="AY144" s="27" t="n"/>
      <c r="AZ144" s="27" t="n"/>
      <c r="BA144" s="27" t="n"/>
      <c r="BB144" s="27" t="n"/>
      <c r="BC144" s="27" t="n"/>
      <c r="BD144" s="27" t="n"/>
      <c r="BE144" s="27" t="n"/>
      <c r="BF144" s="27" t="n"/>
      <c r="BG144" s="27" t="n"/>
      <c r="BH144" s="27" t="n"/>
      <c r="BI144" s="29" t="n"/>
      <c r="BJ144" s="27" t="n"/>
      <c r="BK144" s="27" t="n"/>
      <c r="BL144" s="27" t="n"/>
      <c r="BM144" s="27" t="n"/>
    </row>
    <row r="145">
      <c r="A145" s="27" t="n"/>
      <c r="B145" s="27" t="n"/>
      <c r="C145" s="28">
        <f>IF(A145="","",$B$2)</f>
        <v/>
      </c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  <c r="AA145" s="27" t="n"/>
      <c r="AB145" s="27" t="n"/>
      <c r="AC145" s="27" t="n"/>
      <c r="AD145" s="27" t="n"/>
      <c r="AE145" s="27" t="n"/>
      <c r="AF145" s="27" t="n"/>
      <c r="AG145" s="27" t="n"/>
      <c r="AH145" s="27" t="n"/>
      <c r="AI145" s="27" t="n"/>
      <c r="AJ145" s="27" t="n"/>
      <c r="AK145" s="27" t="n"/>
      <c r="AL145" s="27" t="n"/>
      <c r="AM145" s="27" t="n"/>
      <c r="AN145" s="27" t="n"/>
      <c r="AO145" s="27" t="n"/>
      <c r="AP145" s="27" t="n"/>
      <c r="AQ145" s="27" t="n"/>
      <c r="AR145" s="27" t="n"/>
      <c r="AS145" s="27" t="n"/>
      <c r="AT145" s="27" t="n"/>
      <c r="AU145" s="27" t="n"/>
      <c r="AV145" s="27" t="n"/>
      <c r="AW145" s="27" t="n"/>
      <c r="AX145" s="27" t="n"/>
      <c r="AY145" s="27" t="n"/>
      <c r="AZ145" s="27" t="n"/>
      <c r="BA145" s="27" t="n"/>
      <c r="BB145" s="27" t="n"/>
      <c r="BC145" s="27" t="n"/>
      <c r="BD145" s="27" t="n"/>
      <c r="BE145" s="27" t="n"/>
      <c r="BF145" s="27" t="n"/>
      <c r="BG145" s="27" t="n"/>
      <c r="BH145" s="27" t="n"/>
      <c r="BI145" s="29" t="n"/>
      <c r="BJ145" s="27" t="n"/>
      <c r="BK145" s="27" t="n"/>
      <c r="BL145" s="27" t="n"/>
      <c r="BM145" s="27" t="n"/>
    </row>
    <row r="146">
      <c r="A146" s="27" t="n"/>
      <c r="B146" s="27" t="n"/>
      <c r="C146" s="28">
        <f>IF(A146="","",$B$2)</f>
        <v/>
      </c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  <c r="AA146" s="27" t="n"/>
      <c r="AB146" s="27" t="n"/>
      <c r="AC146" s="27" t="n"/>
      <c r="AD146" s="27" t="n"/>
      <c r="AE146" s="27" t="n"/>
      <c r="AF146" s="27" t="n"/>
      <c r="AG146" s="27" t="n"/>
      <c r="AH146" s="27" t="n"/>
      <c r="AI146" s="27" t="n"/>
      <c r="AJ146" s="27" t="n"/>
      <c r="AK146" s="27" t="n"/>
      <c r="AL146" s="27" t="n"/>
      <c r="AM146" s="27" t="n"/>
      <c r="AN146" s="27" t="n"/>
      <c r="AO146" s="27" t="n"/>
      <c r="AP146" s="27" t="n"/>
      <c r="AQ146" s="27" t="n"/>
      <c r="AR146" s="27" t="n"/>
      <c r="AS146" s="27" t="n"/>
      <c r="AT146" s="27" t="n"/>
      <c r="AU146" s="27" t="n"/>
      <c r="AV146" s="27" t="n"/>
      <c r="AW146" s="27" t="n"/>
      <c r="AX146" s="27" t="n"/>
      <c r="AY146" s="27" t="n"/>
      <c r="AZ146" s="27" t="n"/>
      <c r="BA146" s="27" t="n"/>
      <c r="BB146" s="27" t="n"/>
      <c r="BC146" s="27" t="n"/>
      <c r="BD146" s="27" t="n"/>
      <c r="BE146" s="27" t="n"/>
      <c r="BF146" s="27" t="n"/>
      <c r="BG146" s="27" t="n"/>
      <c r="BH146" s="27" t="n"/>
      <c r="BI146" s="29" t="n"/>
      <c r="BJ146" s="27" t="n"/>
      <c r="BK146" s="27" t="n"/>
      <c r="BL146" s="27" t="n"/>
      <c r="BM146" s="27" t="n"/>
    </row>
    <row r="147">
      <c r="A147" s="27" t="n"/>
      <c r="B147" s="27" t="n"/>
      <c r="C147" s="28">
        <f>IF(A147="","",$B$2)</f>
        <v/>
      </c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  <c r="AA147" s="27" t="n"/>
      <c r="AB147" s="27" t="n"/>
      <c r="AC147" s="27" t="n"/>
      <c r="AD147" s="27" t="n"/>
      <c r="AE147" s="27" t="n"/>
      <c r="AF147" s="27" t="n"/>
      <c r="AG147" s="27" t="n"/>
      <c r="AH147" s="27" t="n"/>
      <c r="AI147" s="27" t="n"/>
      <c r="AJ147" s="27" t="n"/>
      <c r="AK147" s="27" t="n"/>
      <c r="AL147" s="27" t="n"/>
      <c r="AM147" s="27" t="n"/>
      <c r="AN147" s="27" t="n"/>
      <c r="AO147" s="27" t="n"/>
      <c r="AP147" s="27" t="n"/>
      <c r="AQ147" s="27" t="n"/>
      <c r="AR147" s="27" t="n"/>
      <c r="AS147" s="27" t="n"/>
      <c r="AT147" s="27" t="n"/>
      <c r="AU147" s="27" t="n"/>
      <c r="AV147" s="27" t="n"/>
      <c r="AW147" s="27" t="n"/>
      <c r="AX147" s="27" t="n"/>
      <c r="AY147" s="27" t="n"/>
      <c r="AZ147" s="27" t="n"/>
      <c r="BA147" s="27" t="n"/>
      <c r="BB147" s="27" t="n"/>
      <c r="BC147" s="27" t="n"/>
      <c r="BD147" s="27" t="n"/>
      <c r="BE147" s="27" t="n"/>
      <c r="BF147" s="27" t="n"/>
      <c r="BG147" s="27" t="n"/>
      <c r="BH147" s="27" t="n"/>
      <c r="BI147" s="29" t="n"/>
      <c r="BJ147" s="27" t="n"/>
      <c r="BK147" s="27" t="n"/>
      <c r="BL147" s="27" t="n"/>
      <c r="BM147" s="27" t="n"/>
    </row>
    <row r="148">
      <c r="A148" s="27" t="n"/>
      <c r="B148" s="27" t="n"/>
      <c r="C148" s="28">
        <f>IF(A148="","",$B$2)</f>
        <v/>
      </c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  <c r="AA148" s="27" t="n"/>
      <c r="AB148" s="27" t="n"/>
      <c r="AC148" s="27" t="n"/>
      <c r="AD148" s="27" t="n"/>
      <c r="AE148" s="27" t="n"/>
      <c r="AF148" s="27" t="n"/>
      <c r="AG148" s="27" t="n"/>
      <c r="AH148" s="27" t="n"/>
      <c r="AI148" s="27" t="n"/>
      <c r="AJ148" s="27" t="n"/>
      <c r="AK148" s="27" t="n"/>
      <c r="AL148" s="27" t="n"/>
      <c r="AM148" s="27" t="n"/>
      <c r="AN148" s="27" t="n"/>
      <c r="AO148" s="27" t="n"/>
      <c r="AP148" s="27" t="n"/>
      <c r="AQ148" s="27" t="n"/>
      <c r="AR148" s="27" t="n"/>
      <c r="AS148" s="27" t="n"/>
      <c r="AT148" s="27" t="n"/>
      <c r="AU148" s="27" t="n"/>
      <c r="AV148" s="27" t="n"/>
      <c r="AW148" s="27" t="n"/>
      <c r="AX148" s="27" t="n"/>
      <c r="AY148" s="27" t="n"/>
      <c r="AZ148" s="27" t="n"/>
      <c r="BA148" s="27" t="n"/>
      <c r="BB148" s="27" t="n"/>
      <c r="BC148" s="27" t="n"/>
      <c r="BD148" s="27" t="n"/>
      <c r="BE148" s="27" t="n"/>
      <c r="BF148" s="27" t="n"/>
      <c r="BG148" s="27" t="n"/>
      <c r="BH148" s="27" t="n"/>
      <c r="BI148" s="29" t="n"/>
      <c r="BJ148" s="27" t="n"/>
      <c r="BK148" s="27" t="n"/>
      <c r="BL148" s="27" t="n"/>
      <c r="BM148" s="27" t="n"/>
    </row>
    <row r="149">
      <c r="A149" s="27" t="n"/>
      <c r="B149" s="27" t="n"/>
      <c r="C149" s="28">
        <f>IF(A149="","",$B$2)</f>
        <v/>
      </c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  <c r="AA149" s="27" t="n"/>
      <c r="AB149" s="27" t="n"/>
      <c r="AC149" s="27" t="n"/>
      <c r="AD149" s="27" t="n"/>
      <c r="AE149" s="27" t="n"/>
      <c r="AF149" s="27" t="n"/>
      <c r="AG149" s="27" t="n"/>
      <c r="AH149" s="27" t="n"/>
      <c r="AI149" s="27" t="n"/>
      <c r="AJ149" s="27" t="n"/>
      <c r="AK149" s="27" t="n"/>
      <c r="AL149" s="27" t="n"/>
      <c r="AM149" s="27" t="n"/>
      <c r="AN149" s="27" t="n"/>
      <c r="AO149" s="27" t="n"/>
      <c r="AP149" s="27" t="n"/>
      <c r="AQ149" s="27" t="n"/>
      <c r="AR149" s="27" t="n"/>
      <c r="AS149" s="27" t="n"/>
      <c r="AT149" s="27" t="n"/>
      <c r="AU149" s="27" t="n"/>
      <c r="AV149" s="27" t="n"/>
      <c r="AW149" s="27" t="n"/>
      <c r="AX149" s="27" t="n"/>
      <c r="AY149" s="27" t="n"/>
      <c r="AZ149" s="27" t="n"/>
      <c r="BA149" s="27" t="n"/>
      <c r="BB149" s="27" t="n"/>
      <c r="BC149" s="27" t="n"/>
      <c r="BD149" s="27" t="n"/>
      <c r="BE149" s="27" t="n"/>
      <c r="BF149" s="27" t="n"/>
      <c r="BG149" s="27" t="n"/>
      <c r="BH149" s="27" t="n"/>
      <c r="BI149" s="29" t="n"/>
      <c r="BJ149" s="27" t="n"/>
      <c r="BK149" s="27" t="n"/>
      <c r="BL149" s="27" t="n"/>
      <c r="BM149" s="27" t="n"/>
    </row>
    <row r="150">
      <c r="A150" s="27" t="n"/>
      <c r="B150" s="27" t="n"/>
      <c r="C150" s="28">
        <f>IF(A150="","",$B$2)</f>
        <v/>
      </c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  <c r="AA150" s="27" t="n"/>
      <c r="AB150" s="27" t="n"/>
      <c r="AC150" s="27" t="n"/>
      <c r="AD150" s="27" t="n"/>
      <c r="AE150" s="27" t="n"/>
      <c r="AF150" s="27" t="n"/>
      <c r="AG150" s="27" t="n"/>
      <c r="AH150" s="27" t="n"/>
      <c r="AI150" s="27" t="n"/>
      <c r="AJ150" s="27" t="n"/>
      <c r="AK150" s="27" t="n"/>
      <c r="AL150" s="27" t="n"/>
      <c r="AM150" s="27" t="n"/>
      <c r="AN150" s="27" t="n"/>
      <c r="AO150" s="27" t="n"/>
      <c r="AP150" s="27" t="n"/>
      <c r="AQ150" s="27" t="n"/>
      <c r="AR150" s="27" t="n"/>
      <c r="AS150" s="27" t="n"/>
      <c r="AT150" s="27" t="n"/>
      <c r="AU150" s="27" t="n"/>
      <c r="AV150" s="27" t="n"/>
      <c r="AW150" s="27" t="n"/>
      <c r="AX150" s="27" t="n"/>
      <c r="AY150" s="27" t="n"/>
      <c r="AZ150" s="27" t="n"/>
      <c r="BA150" s="27" t="n"/>
      <c r="BB150" s="27" t="n"/>
      <c r="BC150" s="27" t="n"/>
      <c r="BD150" s="27" t="n"/>
      <c r="BE150" s="27" t="n"/>
      <c r="BF150" s="27" t="n"/>
      <c r="BG150" s="27" t="n"/>
      <c r="BH150" s="27" t="n"/>
      <c r="BI150" s="29" t="n"/>
      <c r="BJ150" s="27" t="n"/>
      <c r="BK150" s="27" t="n"/>
      <c r="BL150" s="27" t="n"/>
      <c r="BM150" s="27" t="n"/>
    </row>
    <row r="151">
      <c r="A151" s="27" t="n"/>
      <c r="B151" s="27" t="n"/>
      <c r="C151" s="28">
        <f>IF(A151="","",$B$2)</f>
        <v/>
      </c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  <c r="AA151" s="27" t="n"/>
      <c r="AB151" s="27" t="n"/>
      <c r="AC151" s="27" t="n"/>
      <c r="AD151" s="27" t="n"/>
      <c r="AE151" s="27" t="n"/>
      <c r="AF151" s="27" t="n"/>
      <c r="AG151" s="27" t="n"/>
      <c r="AH151" s="27" t="n"/>
      <c r="AI151" s="27" t="n"/>
      <c r="AJ151" s="27" t="n"/>
      <c r="AK151" s="27" t="n"/>
      <c r="AL151" s="27" t="n"/>
      <c r="AM151" s="27" t="n"/>
      <c r="AN151" s="27" t="n"/>
      <c r="AO151" s="27" t="n"/>
      <c r="AP151" s="27" t="n"/>
      <c r="AQ151" s="27" t="n"/>
      <c r="AR151" s="27" t="n"/>
      <c r="AS151" s="27" t="n"/>
      <c r="AT151" s="27" t="n"/>
      <c r="AU151" s="27" t="n"/>
      <c r="AV151" s="27" t="n"/>
      <c r="AW151" s="27" t="n"/>
      <c r="AX151" s="27" t="n"/>
      <c r="AY151" s="27" t="n"/>
      <c r="AZ151" s="27" t="n"/>
      <c r="BA151" s="27" t="n"/>
      <c r="BB151" s="27" t="n"/>
      <c r="BC151" s="27" t="n"/>
      <c r="BD151" s="27" t="n"/>
      <c r="BE151" s="27" t="n"/>
      <c r="BF151" s="27" t="n"/>
      <c r="BG151" s="27" t="n"/>
      <c r="BH151" s="27" t="n"/>
      <c r="BI151" s="29" t="n"/>
      <c r="BJ151" s="27" t="n"/>
      <c r="BK151" s="27" t="n"/>
      <c r="BL151" s="27" t="n"/>
      <c r="BM151" s="27" t="n"/>
    </row>
    <row r="152">
      <c r="A152" s="27" t="n"/>
      <c r="B152" s="27" t="n"/>
      <c r="C152" s="28">
        <f>IF(A152="","",$B$2)</f>
        <v/>
      </c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  <c r="AA152" s="27" t="n"/>
      <c r="AB152" s="27" t="n"/>
      <c r="AC152" s="27" t="n"/>
      <c r="AD152" s="27" t="n"/>
      <c r="AE152" s="27" t="n"/>
      <c r="AF152" s="27" t="n"/>
      <c r="AG152" s="27" t="n"/>
      <c r="AH152" s="27" t="n"/>
      <c r="AI152" s="27" t="n"/>
      <c r="AJ152" s="27" t="n"/>
      <c r="AK152" s="27" t="n"/>
      <c r="AL152" s="27" t="n"/>
      <c r="AM152" s="27" t="n"/>
      <c r="AN152" s="27" t="n"/>
      <c r="AO152" s="27" t="n"/>
      <c r="AP152" s="27" t="n"/>
      <c r="AQ152" s="27" t="n"/>
      <c r="AR152" s="27" t="n"/>
      <c r="AS152" s="27" t="n"/>
      <c r="AT152" s="27" t="n"/>
      <c r="AU152" s="27" t="n"/>
      <c r="AV152" s="27" t="n"/>
      <c r="AW152" s="27" t="n"/>
      <c r="AX152" s="27" t="n"/>
      <c r="AY152" s="27" t="n"/>
      <c r="AZ152" s="27" t="n"/>
      <c r="BA152" s="27" t="n"/>
      <c r="BB152" s="27" t="n"/>
      <c r="BC152" s="27" t="n"/>
      <c r="BD152" s="27" t="n"/>
      <c r="BE152" s="27" t="n"/>
      <c r="BF152" s="27" t="n"/>
      <c r="BG152" s="27" t="n"/>
      <c r="BH152" s="27" t="n"/>
      <c r="BI152" s="29" t="n"/>
      <c r="BJ152" s="27" t="n"/>
      <c r="BK152" s="27" t="n"/>
      <c r="BL152" s="27" t="n"/>
      <c r="BM152" s="27" t="n"/>
    </row>
    <row r="153">
      <c r="A153" s="27" t="n"/>
      <c r="B153" s="27" t="n"/>
      <c r="C153" s="28">
        <f>IF(A153="","",$B$2)</f>
        <v/>
      </c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  <c r="AA153" s="27" t="n"/>
      <c r="AB153" s="27" t="n"/>
      <c r="AC153" s="27" t="n"/>
      <c r="AD153" s="27" t="n"/>
      <c r="AE153" s="27" t="n"/>
      <c r="AF153" s="27" t="n"/>
      <c r="AG153" s="27" t="n"/>
      <c r="AH153" s="27" t="n"/>
      <c r="AI153" s="27" t="n"/>
      <c r="AJ153" s="27" t="n"/>
      <c r="AK153" s="27" t="n"/>
      <c r="AL153" s="27" t="n"/>
      <c r="AM153" s="27" t="n"/>
      <c r="AN153" s="27" t="n"/>
      <c r="AO153" s="27" t="n"/>
      <c r="AP153" s="27" t="n"/>
      <c r="AQ153" s="27" t="n"/>
      <c r="AR153" s="27" t="n"/>
      <c r="AS153" s="27" t="n"/>
      <c r="AT153" s="27" t="n"/>
      <c r="AU153" s="27" t="n"/>
      <c r="AV153" s="27" t="n"/>
      <c r="AW153" s="27" t="n"/>
      <c r="AX153" s="27" t="n"/>
      <c r="AY153" s="27" t="n"/>
      <c r="AZ153" s="27" t="n"/>
      <c r="BA153" s="27" t="n"/>
      <c r="BB153" s="27" t="n"/>
      <c r="BC153" s="27" t="n"/>
      <c r="BD153" s="27" t="n"/>
      <c r="BE153" s="27" t="n"/>
      <c r="BF153" s="27" t="n"/>
      <c r="BG153" s="27" t="n"/>
      <c r="BH153" s="27" t="n"/>
      <c r="BI153" s="29" t="n"/>
      <c r="BJ153" s="27" t="n"/>
      <c r="BK153" s="27" t="n"/>
      <c r="BL153" s="27" t="n"/>
      <c r="BM153" s="27" t="n"/>
    </row>
    <row r="154">
      <c r="A154" s="27" t="n"/>
      <c r="B154" s="27" t="n"/>
      <c r="C154" s="28">
        <f>IF(A154="","",$B$2)</f>
        <v/>
      </c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  <c r="AA154" s="27" t="n"/>
      <c r="AB154" s="27" t="n"/>
      <c r="AC154" s="27" t="n"/>
      <c r="AD154" s="27" t="n"/>
      <c r="AE154" s="27" t="n"/>
      <c r="AF154" s="27" t="n"/>
      <c r="AG154" s="27" t="n"/>
      <c r="AH154" s="27" t="n"/>
      <c r="AI154" s="27" t="n"/>
      <c r="AJ154" s="27" t="n"/>
      <c r="AK154" s="27" t="n"/>
      <c r="AL154" s="27" t="n"/>
      <c r="AM154" s="27" t="n"/>
      <c r="AN154" s="27" t="n"/>
      <c r="AO154" s="27" t="n"/>
      <c r="AP154" s="27" t="n"/>
      <c r="AQ154" s="27" t="n"/>
      <c r="AR154" s="27" t="n"/>
      <c r="AS154" s="27" t="n"/>
      <c r="AT154" s="27" t="n"/>
      <c r="AU154" s="27" t="n"/>
      <c r="AV154" s="27" t="n"/>
      <c r="AW154" s="27" t="n"/>
      <c r="AX154" s="27" t="n"/>
      <c r="AY154" s="27" t="n"/>
      <c r="AZ154" s="27" t="n"/>
      <c r="BA154" s="27" t="n"/>
      <c r="BB154" s="27" t="n"/>
      <c r="BC154" s="27" t="n"/>
      <c r="BD154" s="27" t="n"/>
      <c r="BE154" s="27" t="n"/>
      <c r="BF154" s="27" t="n"/>
      <c r="BG154" s="27" t="n"/>
      <c r="BH154" s="27" t="n"/>
      <c r="BI154" s="29" t="n"/>
      <c r="BJ154" s="27" t="n"/>
      <c r="BK154" s="27" t="n"/>
      <c r="BL154" s="27" t="n"/>
      <c r="BM154" s="27" t="n"/>
    </row>
    <row r="155">
      <c r="A155" s="27" t="n"/>
      <c r="B155" s="27" t="n"/>
      <c r="C155" s="28">
        <f>IF(A155="","",$B$2)</f>
        <v/>
      </c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  <c r="AA155" s="27" t="n"/>
      <c r="AB155" s="27" t="n"/>
      <c r="AC155" s="27" t="n"/>
      <c r="AD155" s="27" t="n"/>
      <c r="AE155" s="27" t="n"/>
      <c r="AF155" s="27" t="n"/>
      <c r="AG155" s="27" t="n"/>
      <c r="AH155" s="27" t="n"/>
      <c r="AI155" s="27" t="n"/>
      <c r="AJ155" s="27" t="n"/>
      <c r="AK155" s="27" t="n"/>
      <c r="AL155" s="27" t="n"/>
      <c r="AM155" s="27" t="n"/>
      <c r="AN155" s="27" t="n"/>
      <c r="AO155" s="27" t="n"/>
      <c r="AP155" s="27" t="n"/>
      <c r="AQ155" s="27" t="n"/>
      <c r="AR155" s="27" t="n"/>
      <c r="AS155" s="27" t="n"/>
      <c r="AT155" s="27" t="n"/>
      <c r="AU155" s="27" t="n"/>
      <c r="AV155" s="27" t="n"/>
      <c r="AW155" s="27" t="n"/>
      <c r="AX155" s="27" t="n"/>
      <c r="AY155" s="27" t="n"/>
      <c r="AZ155" s="27" t="n"/>
      <c r="BA155" s="27" t="n"/>
      <c r="BB155" s="27" t="n"/>
      <c r="BC155" s="27" t="n"/>
      <c r="BD155" s="27" t="n"/>
      <c r="BE155" s="27" t="n"/>
      <c r="BF155" s="27" t="n"/>
      <c r="BG155" s="27" t="n"/>
      <c r="BH155" s="27" t="n"/>
      <c r="BI155" s="29" t="n"/>
      <c r="BJ155" s="27" t="n"/>
      <c r="BK155" s="27" t="n"/>
      <c r="BL155" s="27" t="n"/>
      <c r="BM155" s="27" t="n"/>
    </row>
    <row r="156">
      <c r="A156" s="27" t="n"/>
      <c r="B156" s="27" t="n"/>
      <c r="C156" s="28">
        <f>IF(A156="","",$B$2)</f>
        <v/>
      </c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  <c r="AA156" s="27" t="n"/>
      <c r="AB156" s="27" t="n"/>
      <c r="AC156" s="27" t="n"/>
      <c r="AD156" s="27" t="n"/>
      <c r="AE156" s="27" t="n"/>
      <c r="AF156" s="27" t="n"/>
      <c r="AG156" s="27" t="n"/>
      <c r="AH156" s="27" t="n"/>
      <c r="AI156" s="27" t="n"/>
      <c r="AJ156" s="27" t="n"/>
      <c r="AK156" s="27" t="n"/>
      <c r="AL156" s="27" t="n"/>
      <c r="AM156" s="27" t="n"/>
      <c r="AN156" s="27" t="n"/>
      <c r="AO156" s="27" t="n"/>
      <c r="AP156" s="27" t="n"/>
      <c r="AQ156" s="27" t="n"/>
      <c r="AR156" s="27" t="n"/>
      <c r="AS156" s="27" t="n"/>
      <c r="AT156" s="27" t="n"/>
      <c r="AU156" s="27" t="n"/>
      <c r="AV156" s="27" t="n"/>
      <c r="AW156" s="27" t="n"/>
      <c r="AX156" s="27" t="n"/>
      <c r="AY156" s="27" t="n"/>
      <c r="AZ156" s="27" t="n"/>
      <c r="BA156" s="27" t="n"/>
      <c r="BB156" s="27" t="n"/>
      <c r="BC156" s="27" t="n"/>
      <c r="BD156" s="27" t="n"/>
      <c r="BE156" s="27" t="n"/>
      <c r="BF156" s="27" t="n"/>
      <c r="BG156" s="27" t="n"/>
      <c r="BH156" s="27" t="n"/>
      <c r="BI156" s="29" t="n"/>
      <c r="BJ156" s="27" t="n"/>
      <c r="BK156" s="27" t="n"/>
      <c r="BL156" s="27" t="n"/>
      <c r="BM156" s="27" t="n"/>
    </row>
    <row r="157">
      <c r="A157" s="27" t="n"/>
      <c r="B157" s="27" t="n"/>
      <c r="C157" s="28">
        <f>IF(A157="","",$B$2)</f>
        <v/>
      </c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  <c r="AA157" s="27" t="n"/>
      <c r="AB157" s="27" t="n"/>
      <c r="AC157" s="27" t="n"/>
      <c r="AD157" s="27" t="n"/>
      <c r="AE157" s="27" t="n"/>
      <c r="AF157" s="27" t="n"/>
      <c r="AG157" s="27" t="n"/>
      <c r="AH157" s="27" t="n"/>
      <c r="AI157" s="27" t="n"/>
      <c r="AJ157" s="27" t="n"/>
      <c r="AK157" s="27" t="n"/>
      <c r="AL157" s="27" t="n"/>
      <c r="AM157" s="27" t="n"/>
      <c r="AN157" s="27" t="n"/>
      <c r="AO157" s="27" t="n"/>
      <c r="AP157" s="27" t="n"/>
      <c r="AQ157" s="27" t="n"/>
      <c r="AR157" s="27" t="n"/>
      <c r="AS157" s="27" t="n"/>
      <c r="AT157" s="27" t="n"/>
      <c r="AU157" s="27" t="n"/>
      <c r="AV157" s="27" t="n"/>
      <c r="AW157" s="27" t="n"/>
      <c r="AX157" s="27" t="n"/>
      <c r="AY157" s="27" t="n"/>
      <c r="AZ157" s="27" t="n"/>
      <c r="BA157" s="27" t="n"/>
      <c r="BB157" s="27" t="n"/>
      <c r="BC157" s="27" t="n"/>
      <c r="BD157" s="27" t="n"/>
      <c r="BE157" s="27" t="n"/>
      <c r="BF157" s="27" t="n"/>
      <c r="BG157" s="27" t="n"/>
      <c r="BH157" s="27" t="n"/>
      <c r="BI157" s="29" t="n"/>
      <c r="BJ157" s="27" t="n"/>
      <c r="BK157" s="27" t="n"/>
      <c r="BL157" s="27" t="n"/>
      <c r="BM157" s="27" t="n"/>
    </row>
    <row r="158">
      <c r="A158" s="27" t="n"/>
      <c r="B158" s="27" t="n"/>
      <c r="C158" s="28">
        <f>IF(A158="","",$B$2)</f>
        <v/>
      </c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  <c r="AA158" s="27" t="n"/>
      <c r="AB158" s="27" t="n"/>
      <c r="AC158" s="27" t="n"/>
      <c r="AD158" s="27" t="n"/>
      <c r="AE158" s="27" t="n"/>
      <c r="AF158" s="27" t="n"/>
      <c r="AG158" s="27" t="n"/>
      <c r="AH158" s="27" t="n"/>
      <c r="AI158" s="27" t="n"/>
      <c r="AJ158" s="27" t="n"/>
      <c r="AK158" s="27" t="n"/>
      <c r="AL158" s="27" t="n"/>
      <c r="AM158" s="27" t="n"/>
      <c r="AN158" s="27" t="n"/>
      <c r="AO158" s="27" t="n"/>
      <c r="AP158" s="27" t="n"/>
      <c r="AQ158" s="27" t="n"/>
      <c r="AR158" s="27" t="n"/>
      <c r="AS158" s="27" t="n"/>
      <c r="AT158" s="27" t="n"/>
      <c r="AU158" s="27" t="n"/>
      <c r="AV158" s="27" t="n"/>
      <c r="AW158" s="27" t="n"/>
      <c r="AX158" s="27" t="n"/>
      <c r="AY158" s="27" t="n"/>
      <c r="AZ158" s="27" t="n"/>
      <c r="BA158" s="27" t="n"/>
      <c r="BB158" s="27" t="n"/>
      <c r="BC158" s="27" t="n"/>
      <c r="BD158" s="27" t="n"/>
      <c r="BE158" s="27" t="n"/>
      <c r="BF158" s="27" t="n"/>
      <c r="BG158" s="27" t="n"/>
      <c r="BH158" s="27" t="n"/>
      <c r="BI158" s="29" t="n"/>
      <c r="BJ158" s="27" t="n"/>
      <c r="BK158" s="27" t="n"/>
      <c r="BL158" s="27" t="n"/>
      <c r="BM158" s="27" t="n"/>
    </row>
    <row r="159">
      <c r="A159" s="27" t="n"/>
      <c r="B159" s="27" t="n"/>
      <c r="C159" s="28">
        <f>IF(A159="","",$B$2)</f>
        <v/>
      </c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  <c r="AA159" s="27" t="n"/>
      <c r="AB159" s="27" t="n"/>
      <c r="AC159" s="27" t="n"/>
      <c r="AD159" s="27" t="n"/>
      <c r="AE159" s="27" t="n"/>
      <c r="AF159" s="27" t="n"/>
      <c r="AG159" s="27" t="n"/>
      <c r="AH159" s="27" t="n"/>
      <c r="AI159" s="27" t="n"/>
      <c r="AJ159" s="27" t="n"/>
      <c r="AK159" s="27" t="n"/>
      <c r="AL159" s="27" t="n"/>
      <c r="AM159" s="27" t="n"/>
      <c r="AN159" s="27" t="n"/>
      <c r="AO159" s="27" t="n"/>
      <c r="AP159" s="27" t="n"/>
      <c r="AQ159" s="27" t="n"/>
      <c r="AR159" s="27" t="n"/>
      <c r="AS159" s="27" t="n"/>
      <c r="AT159" s="27" t="n"/>
      <c r="AU159" s="27" t="n"/>
      <c r="AV159" s="27" t="n"/>
      <c r="AW159" s="27" t="n"/>
      <c r="AX159" s="27" t="n"/>
      <c r="AY159" s="27" t="n"/>
      <c r="AZ159" s="27" t="n"/>
      <c r="BA159" s="27" t="n"/>
      <c r="BB159" s="27" t="n"/>
      <c r="BC159" s="27" t="n"/>
      <c r="BD159" s="27" t="n"/>
      <c r="BE159" s="27" t="n"/>
      <c r="BF159" s="27" t="n"/>
      <c r="BG159" s="27" t="n"/>
      <c r="BH159" s="27" t="n"/>
      <c r="BI159" s="29" t="n"/>
      <c r="BJ159" s="27" t="n"/>
      <c r="BK159" s="27" t="n"/>
      <c r="BL159" s="27" t="n"/>
      <c r="BM159" s="27" t="n"/>
    </row>
    <row r="160">
      <c r="A160" s="27" t="n"/>
      <c r="B160" s="27" t="n"/>
      <c r="C160" s="28">
        <f>IF(A160="","",$B$2)</f>
        <v/>
      </c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  <c r="AA160" s="27" t="n"/>
      <c r="AB160" s="27" t="n"/>
      <c r="AC160" s="27" t="n"/>
      <c r="AD160" s="27" t="n"/>
      <c r="AE160" s="27" t="n"/>
      <c r="AF160" s="27" t="n"/>
      <c r="AG160" s="27" t="n"/>
      <c r="AH160" s="27" t="n"/>
      <c r="AI160" s="27" t="n"/>
      <c r="AJ160" s="27" t="n"/>
      <c r="AK160" s="27" t="n"/>
      <c r="AL160" s="27" t="n"/>
      <c r="AM160" s="27" t="n"/>
      <c r="AN160" s="27" t="n"/>
      <c r="AO160" s="27" t="n"/>
      <c r="AP160" s="27" t="n"/>
      <c r="AQ160" s="27" t="n"/>
      <c r="AR160" s="27" t="n"/>
      <c r="AS160" s="27" t="n"/>
      <c r="AT160" s="27" t="n"/>
      <c r="AU160" s="27" t="n"/>
      <c r="AV160" s="27" t="n"/>
      <c r="AW160" s="27" t="n"/>
      <c r="AX160" s="27" t="n"/>
      <c r="AY160" s="27" t="n"/>
      <c r="AZ160" s="27" t="n"/>
      <c r="BA160" s="27" t="n"/>
      <c r="BB160" s="27" t="n"/>
      <c r="BC160" s="27" t="n"/>
      <c r="BD160" s="27" t="n"/>
      <c r="BE160" s="27" t="n"/>
      <c r="BF160" s="27" t="n"/>
      <c r="BG160" s="27" t="n"/>
      <c r="BH160" s="27" t="n"/>
      <c r="BI160" s="29" t="n"/>
      <c r="BJ160" s="27" t="n"/>
      <c r="BK160" s="27" t="n"/>
      <c r="BL160" s="27" t="n"/>
      <c r="BM160" s="27" t="n"/>
    </row>
    <row r="161">
      <c r="A161" s="27" t="n"/>
      <c r="B161" s="27" t="n"/>
      <c r="C161" s="28">
        <f>IF(A161="","",$B$2)</f>
        <v/>
      </c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  <c r="AA161" s="27" t="n"/>
      <c r="AB161" s="27" t="n"/>
      <c r="AC161" s="27" t="n"/>
      <c r="AD161" s="27" t="n"/>
      <c r="AE161" s="27" t="n"/>
      <c r="AF161" s="27" t="n"/>
      <c r="AG161" s="27" t="n"/>
      <c r="AH161" s="27" t="n"/>
      <c r="AI161" s="27" t="n"/>
      <c r="AJ161" s="27" t="n"/>
      <c r="AK161" s="27" t="n"/>
      <c r="AL161" s="27" t="n"/>
      <c r="AM161" s="27" t="n"/>
      <c r="AN161" s="27" t="n"/>
      <c r="AO161" s="27" t="n"/>
      <c r="AP161" s="27" t="n"/>
      <c r="AQ161" s="27" t="n"/>
      <c r="AR161" s="27" t="n"/>
      <c r="AS161" s="27" t="n"/>
      <c r="AT161" s="27" t="n"/>
      <c r="AU161" s="27" t="n"/>
      <c r="AV161" s="27" t="n"/>
      <c r="AW161" s="27" t="n"/>
      <c r="AX161" s="27" t="n"/>
      <c r="AY161" s="27" t="n"/>
      <c r="AZ161" s="27" t="n"/>
      <c r="BA161" s="27" t="n"/>
      <c r="BB161" s="27" t="n"/>
      <c r="BC161" s="27" t="n"/>
      <c r="BD161" s="27" t="n"/>
      <c r="BE161" s="27" t="n"/>
      <c r="BF161" s="27" t="n"/>
      <c r="BG161" s="27" t="n"/>
      <c r="BH161" s="27" t="n"/>
      <c r="BI161" s="29" t="n"/>
      <c r="BJ161" s="27" t="n"/>
      <c r="BK161" s="27" t="n"/>
      <c r="BL161" s="27" t="n"/>
      <c r="BM161" s="27" t="n"/>
    </row>
    <row r="162">
      <c r="A162" s="27" t="n"/>
      <c r="B162" s="27" t="n"/>
      <c r="C162" s="28">
        <f>IF(A162="","",$B$2)</f>
        <v/>
      </c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  <c r="AA162" s="27" t="n"/>
      <c r="AB162" s="27" t="n"/>
      <c r="AC162" s="27" t="n"/>
      <c r="AD162" s="27" t="n"/>
      <c r="AE162" s="27" t="n"/>
      <c r="AF162" s="27" t="n"/>
      <c r="AG162" s="27" t="n"/>
      <c r="AH162" s="27" t="n"/>
      <c r="AI162" s="27" t="n"/>
      <c r="AJ162" s="27" t="n"/>
      <c r="AK162" s="27" t="n"/>
      <c r="AL162" s="27" t="n"/>
      <c r="AM162" s="27" t="n"/>
      <c r="AN162" s="27" t="n"/>
      <c r="AO162" s="27" t="n"/>
      <c r="AP162" s="27" t="n"/>
      <c r="AQ162" s="27" t="n"/>
      <c r="AR162" s="27" t="n"/>
      <c r="AS162" s="27" t="n"/>
      <c r="AT162" s="27" t="n"/>
      <c r="AU162" s="27" t="n"/>
      <c r="AV162" s="27" t="n"/>
      <c r="AW162" s="27" t="n"/>
      <c r="AX162" s="27" t="n"/>
      <c r="AY162" s="27" t="n"/>
      <c r="AZ162" s="27" t="n"/>
      <c r="BA162" s="27" t="n"/>
      <c r="BB162" s="27" t="n"/>
      <c r="BC162" s="27" t="n"/>
      <c r="BD162" s="27" t="n"/>
      <c r="BE162" s="27" t="n"/>
      <c r="BF162" s="27" t="n"/>
      <c r="BG162" s="27" t="n"/>
      <c r="BH162" s="27" t="n"/>
      <c r="BI162" s="29" t="n"/>
      <c r="BJ162" s="27" t="n"/>
      <c r="BK162" s="27" t="n"/>
      <c r="BL162" s="27" t="n"/>
      <c r="BM162" s="27" t="n"/>
    </row>
    <row r="163">
      <c r="A163" s="27" t="n"/>
      <c r="B163" s="27" t="n"/>
      <c r="C163" s="28">
        <f>IF(A163="","",$B$2)</f>
        <v/>
      </c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  <c r="AA163" s="27" t="n"/>
      <c r="AB163" s="27" t="n"/>
      <c r="AC163" s="27" t="n"/>
      <c r="AD163" s="27" t="n"/>
      <c r="AE163" s="27" t="n"/>
      <c r="AF163" s="27" t="n"/>
      <c r="AG163" s="27" t="n"/>
      <c r="AH163" s="27" t="n"/>
      <c r="AI163" s="27" t="n"/>
      <c r="AJ163" s="27" t="n"/>
      <c r="AK163" s="27" t="n"/>
      <c r="AL163" s="27" t="n"/>
      <c r="AM163" s="27" t="n"/>
      <c r="AN163" s="27" t="n"/>
      <c r="AO163" s="27" t="n"/>
      <c r="AP163" s="27" t="n"/>
      <c r="AQ163" s="27" t="n"/>
      <c r="AR163" s="27" t="n"/>
      <c r="AS163" s="27" t="n"/>
      <c r="AT163" s="27" t="n"/>
      <c r="AU163" s="27" t="n"/>
      <c r="AV163" s="27" t="n"/>
      <c r="AW163" s="27" t="n"/>
      <c r="AX163" s="27" t="n"/>
      <c r="AY163" s="27" t="n"/>
      <c r="AZ163" s="27" t="n"/>
      <c r="BA163" s="27" t="n"/>
      <c r="BB163" s="27" t="n"/>
      <c r="BC163" s="27" t="n"/>
      <c r="BD163" s="27" t="n"/>
      <c r="BE163" s="27" t="n"/>
      <c r="BF163" s="27" t="n"/>
      <c r="BG163" s="27" t="n"/>
      <c r="BH163" s="27" t="n"/>
      <c r="BI163" s="29" t="n"/>
      <c r="BJ163" s="27" t="n"/>
      <c r="BK163" s="27" t="n"/>
      <c r="BL163" s="27" t="n"/>
      <c r="BM163" s="27" t="n"/>
    </row>
    <row r="164">
      <c r="A164" s="27" t="n"/>
      <c r="B164" s="27" t="n"/>
      <c r="C164" s="28">
        <f>IF(A164="","",$B$2)</f>
        <v/>
      </c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  <c r="AA164" s="27" t="n"/>
      <c r="AB164" s="27" t="n"/>
      <c r="AC164" s="27" t="n"/>
      <c r="AD164" s="27" t="n"/>
      <c r="AE164" s="27" t="n"/>
      <c r="AF164" s="27" t="n"/>
      <c r="AG164" s="27" t="n"/>
      <c r="AH164" s="27" t="n"/>
      <c r="AI164" s="27" t="n"/>
      <c r="AJ164" s="27" t="n"/>
      <c r="AK164" s="27" t="n"/>
      <c r="AL164" s="27" t="n"/>
      <c r="AM164" s="27" t="n"/>
      <c r="AN164" s="27" t="n"/>
      <c r="AO164" s="27" t="n"/>
      <c r="AP164" s="27" t="n"/>
      <c r="AQ164" s="27" t="n"/>
      <c r="AR164" s="27" t="n"/>
      <c r="AS164" s="27" t="n"/>
      <c r="AT164" s="27" t="n"/>
      <c r="AU164" s="27" t="n"/>
      <c r="AV164" s="27" t="n"/>
      <c r="AW164" s="27" t="n"/>
      <c r="AX164" s="27" t="n"/>
      <c r="AY164" s="27" t="n"/>
      <c r="AZ164" s="27" t="n"/>
      <c r="BA164" s="27" t="n"/>
      <c r="BB164" s="27" t="n"/>
      <c r="BC164" s="27" t="n"/>
      <c r="BD164" s="27" t="n"/>
      <c r="BE164" s="27" t="n"/>
      <c r="BF164" s="27" t="n"/>
      <c r="BG164" s="27" t="n"/>
      <c r="BH164" s="27" t="n"/>
      <c r="BI164" s="29" t="n"/>
      <c r="BJ164" s="27" t="n"/>
      <c r="BK164" s="27" t="n"/>
      <c r="BL164" s="27" t="n"/>
      <c r="BM164" s="27" t="n"/>
    </row>
    <row r="165">
      <c r="A165" s="27" t="n"/>
      <c r="B165" s="27" t="n"/>
      <c r="C165" s="28">
        <f>IF(A165="","",$B$2)</f>
        <v/>
      </c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  <c r="AA165" s="27" t="n"/>
      <c r="AB165" s="27" t="n"/>
      <c r="AC165" s="27" t="n"/>
      <c r="AD165" s="27" t="n"/>
      <c r="AE165" s="27" t="n"/>
      <c r="AF165" s="27" t="n"/>
      <c r="AG165" s="27" t="n"/>
      <c r="AH165" s="27" t="n"/>
      <c r="AI165" s="27" t="n"/>
      <c r="AJ165" s="27" t="n"/>
      <c r="AK165" s="27" t="n"/>
      <c r="AL165" s="27" t="n"/>
      <c r="AM165" s="27" t="n"/>
      <c r="AN165" s="27" t="n"/>
      <c r="AO165" s="27" t="n"/>
      <c r="AP165" s="27" t="n"/>
      <c r="AQ165" s="27" t="n"/>
      <c r="AR165" s="27" t="n"/>
      <c r="AS165" s="27" t="n"/>
      <c r="AT165" s="27" t="n"/>
      <c r="AU165" s="27" t="n"/>
      <c r="AV165" s="27" t="n"/>
      <c r="AW165" s="27" t="n"/>
      <c r="AX165" s="27" t="n"/>
      <c r="AY165" s="27" t="n"/>
      <c r="AZ165" s="27" t="n"/>
      <c r="BA165" s="27" t="n"/>
      <c r="BB165" s="27" t="n"/>
      <c r="BC165" s="27" t="n"/>
      <c r="BD165" s="27" t="n"/>
      <c r="BE165" s="27" t="n"/>
      <c r="BF165" s="27" t="n"/>
      <c r="BG165" s="27" t="n"/>
      <c r="BH165" s="27" t="n"/>
      <c r="BI165" s="29" t="n"/>
      <c r="BJ165" s="27" t="n"/>
      <c r="BK165" s="27" t="n"/>
      <c r="BL165" s="27" t="n"/>
      <c r="BM165" s="27" t="n"/>
    </row>
    <row r="166">
      <c r="A166" s="27" t="n"/>
      <c r="B166" s="27" t="n"/>
      <c r="C166" s="28">
        <f>IF(A166="","",$B$2)</f>
        <v/>
      </c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  <c r="AA166" s="27" t="n"/>
      <c r="AB166" s="27" t="n"/>
      <c r="AC166" s="27" t="n"/>
      <c r="AD166" s="27" t="n"/>
      <c r="AE166" s="27" t="n"/>
      <c r="AF166" s="27" t="n"/>
      <c r="AG166" s="27" t="n"/>
      <c r="AH166" s="27" t="n"/>
      <c r="AI166" s="27" t="n"/>
      <c r="AJ166" s="27" t="n"/>
      <c r="AK166" s="27" t="n"/>
      <c r="AL166" s="27" t="n"/>
      <c r="AM166" s="27" t="n"/>
      <c r="AN166" s="27" t="n"/>
      <c r="AO166" s="27" t="n"/>
      <c r="AP166" s="27" t="n"/>
      <c r="AQ166" s="27" t="n"/>
      <c r="AR166" s="27" t="n"/>
      <c r="AS166" s="27" t="n"/>
      <c r="AT166" s="27" t="n"/>
      <c r="AU166" s="27" t="n"/>
      <c r="AV166" s="27" t="n"/>
      <c r="AW166" s="27" t="n"/>
      <c r="AX166" s="27" t="n"/>
      <c r="AY166" s="27" t="n"/>
      <c r="AZ166" s="27" t="n"/>
      <c r="BA166" s="27" t="n"/>
      <c r="BB166" s="27" t="n"/>
      <c r="BC166" s="27" t="n"/>
      <c r="BD166" s="27" t="n"/>
      <c r="BE166" s="27" t="n"/>
      <c r="BF166" s="27" t="n"/>
      <c r="BG166" s="27" t="n"/>
      <c r="BH166" s="27" t="n"/>
      <c r="BI166" s="29" t="n"/>
      <c r="BJ166" s="27" t="n"/>
      <c r="BK166" s="27" t="n"/>
      <c r="BL166" s="27" t="n"/>
      <c r="BM166" s="27" t="n"/>
    </row>
    <row r="167">
      <c r="A167" s="27" t="n"/>
      <c r="B167" s="27" t="n"/>
      <c r="C167" s="28">
        <f>IF(A167="","",$B$2)</f>
        <v/>
      </c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  <c r="AA167" s="27" t="n"/>
      <c r="AB167" s="27" t="n"/>
      <c r="AC167" s="27" t="n"/>
      <c r="AD167" s="27" t="n"/>
      <c r="AE167" s="27" t="n"/>
      <c r="AF167" s="27" t="n"/>
      <c r="AG167" s="27" t="n"/>
      <c r="AH167" s="27" t="n"/>
      <c r="AI167" s="27" t="n"/>
      <c r="AJ167" s="27" t="n"/>
      <c r="AK167" s="27" t="n"/>
      <c r="AL167" s="27" t="n"/>
      <c r="AM167" s="27" t="n"/>
      <c r="AN167" s="27" t="n"/>
      <c r="AO167" s="27" t="n"/>
      <c r="AP167" s="27" t="n"/>
      <c r="AQ167" s="27" t="n"/>
      <c r="AR167" s="27" t="n"/>
      <c r="AS167" s="27" t="n"/>
      <c r="AT167" s="27" t="n"/>
      <c r="AU167" s="27" t="n"/>
      <c r="AV167" s="27" t="n"/>
      <c r="AW167" s="27" t="n"/>
      <c r="AX167" s="27" t="n"/>
      <c r="AY167" s="27" t="n"/>
      <c r="AZ167" s="27" t="n"/>
      <c r="BA167" s="27" t="n"/>
      <c r="BB167" s="27" t="n"/>
      <c r="BC167" s="27" t="n"/>
      <c r="BD167" s="27" t="n"/>
      <c r="BE167" s="27" t="n"/>
      <c r="BF167" s="27" t="n"/>
      <c r="BG167" s="27" t="n"/>
      <c r="BH167" s="27" t="n"/>
      <c r="BI167" s="29" t="n"/>
      <c r="BJ167" s="27" t="n"/>
      <c r="BK167" s="27" t="n"/>
      <c r="BL167" s="27" t="n"/>
      <c r="BM167" s="27" t="n"/>
    </row>
    <row r="168">
      <c r="A168" s="27" t="n"/>
      <c r="B168" s="27" t="n"/>
      <c r="C168" s="28">
        <f>IF(A168="","",$B$2)</f>
        <v/>
      </c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  <c r="AA168" s="27" t="n"/>
      <c r="AB168" s="27" t="n"/>
      <c r="AC168" s="27" t="n"/>
      <c r="AD168" s="27" t="n"/>
      <c r="AE168" s="27" t="n"/>
      <c r="AF168" s="27" t="n"/>
      <c r="AG168" s="27" t="n"/>
      <c r="AH168" s="27" t="n"/>
      <c r="AI168" s="27" t="n"/>
      <c r="AJ168" s="27" t="n"/>
      <c r="AK168" s="27" t="n"/>
      <c r="AL168" s="27" t="n"/>
      <c r="AM168" s="27" t="n"/>
      <c r="AN168" s="27" t="n"/>
      <c r="AO168" s="27" t="n"/>
      <c r="AP168" s="27" t="n"/>
      <c r="AQ168" s="27" t="n"/>
      <c r="AR168" s="27" t="n"/>
      <c r="AS168" s="27" t="n"/>
      <c r="AT168" s="27" t="n"/>
      <c r="AU168" s="27" t="n"/>
      <c r="AV168" s="27" t="n"/>
      <c r="AW168" s="27" t="n"/>
      <c r="AX168" s="27" t="n"/>
      <c r="AY168" s="27" t="n"/>
      <c r="AZ168" s="27" t="n"/>
      <c r="BA168" s="27" t="n"/>
      <c r="BB168" s="27" t="n"/>
      <c r="BC168" s="27" t="n"/>
      <c r="BD168" s="27" t="n"/>
      <c r="BE168" s="27" t="n"/>
      <c r="BF168" s="27" t="n"/>
      <c r="BG168" s="27" t="n"/>
      <c r="BH168" s="27" t="n"/>
      <c r="BI168" s="29" t="n"/>
      <c r="BJ168" s="27" t="n"/>
      <c r="BK168" s="27" t="n"/>
      <c r="BL168" s="27" t="n"/>
      <c r="BM168" s="27" t="n"/>
    </row>
    <row r="169">
      <c r="A169" s="27" t="n"/>
      <c r="B169" s="27" t="n"/>
      <c r="C169" s="28">
        <f>IF(A169="","",$B$2)</f>
        <v/>
      </c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  <c r="AA169" s="27" t="n"/>
      <c r="AB169" s="27" t="n"/>
      <c r="AC169" s="27" t="n"/>
      <c r="AD169" s="27" t="n"/>
      <c r="AE169" s="27" t="n"/>
      <c r="AF169" s="27" t="n"/>
      <c r="AG169" s="27" t="n"/>
      <c r="AH169" s="27" t="n"/>
      <c r="AI169" s="27" t="n"/>
      <c r="AJ169" s="27" t="n"/>
      <c r="AK169" s="27" t="n"/>
      <c r="AL169" s="27" t="n"/>
      <c r="AM169" s="27" t="n"/>
      <c r="AN169" s="27" t="n"/>
      <c r="AO169" s="27" t="n"/>
      <c r="AP169" s="27" t="n"/>
      <c r="AQ169" s="27" t="n"/>
      <c r="AR169" s="27" t="n"/>
      <c r="AS169" s="27" t="n"/>
      <c r="AT169" s="27" t="n"/>
      <c r="AU169" s="27" t="n"/>
      <c r="AV169" s="27" t="n"/>
      <c r="AW169" s="27" t="n"/>
      <c r="AX169" s="27" t="n"/>
      <c r="AY169" s="27" t="n"/>
      <c r="AZ169" s="27" t="n"/>
      <c r="BA169" s="27" t="n"/>
      <c r="BB169" s="27" t="n"/>
      <c r="BC169" s="27" t="n"/>
      <c r="BD169" s="27" t="n"/>
      <c r="BE169" s="27" t="n"/>
      <c r="BF169" s="27" t="n"/>
      <c r="BG169" s="27" t="n"/>
      <c r="BH169" s="27" t="n"/>
      <c r="BI169" s="29" t="n"/>
      <c r="BJ169" s="27" t="n"/>
      <c r="BK169" s="27" t="n"/>
      <c r="BL169" s="27" t="n"/>
      <c r="BM169" s="27" t="n"/>
    </row>
    <row r="170">
      <c r="A170" s="27" t="n"/>
      <c r="B170" s="27" t="n"/>
      <c r="C170" s="28">
        <f>IF(A170="","",$B$2)</f>
        <v/>
      </c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  <c r="AA170" s="27" t="n"/>
      <c r="AB170" s="27" t="n"/>
      <c r="AC170" s="27" t="n"/>
      <c r="AD170" s="27" t="n"/>
      <c r="AE170" s="27" t="n"/>
      <c r="AF170" s="27" t="n"/>
      <c r="AG170" s="27" t="n"/>
      <c r="AH170" s="27" t="n"/>
      <c r="AI170" s="27" t="n"/>
      <c r="AJ170" s="27" t="n"/>
      <c r="AK170" s="27" t="n"/>
      <c r="AL170" s="27" t="n"/>
      <c r="AM170" s="27" t="n"/>
      <c r="AN170" s="27" t="n"/>
      <c r="AO170" s="27" t="n"/>
      <c r="AP170" s="27" t="n"/>
      <c r="AQ170" s="27" t="n"/>
      <c r="AR170" s="27" t="n"/>
      <c r="AS170" s="27" t="n"/>
      <c r="AT170" s="27" t="n"/>
      <c r="AU170" s="27" t="n"/>
      <c r="AV170" s="27" t="n"/>
      <c r="AW170" s="27" t="n"/>
      <c r="AX170" s="27" t="n"/>
      <c r="AY170" s="27" t="n"/>
      <c r="AZ170" s="27" t="n"/>
      <c r="BA170" s="27" t="n"/>
      <c r="BB170" s="27" t="n"/>
      <c r="BC170" s="27" t="n"/>
      <c r="BD170" s="27" t="n"/>
      <c r="BE170" s="27" t="n"/>
      <c r="BF170" s="27" t="n"/>
      <c r="BG170" s="27" t="n"/>
      <c r="BH170" s="27" t="n"/>
      <c r="BI170" s="29" t="n"/>
      <c r="BJ170" s="27" t="n"/>
      <c r="BK170" s="27" t="n"/>
      <c r="BL170" s="27" t="n"/>
      <c r="BM170" s="27" t="n"/>
    </row>
    <row r="171">
      <c r="A171" s="27" t="n"/>
      <c r="B171" s="27" t="n"/>
      <c r="C171" s="28">
        <f>IF(A171="","",$B$2)</f>
        <v/>
      </c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  <c r="AA171" s="27" t="n"/>
      <c r="AB171" s="27" t="n"/>
      <c r="AC171" s="27" t="n"/>
      <c r="AD171" s="27" t="n"/>
      <c r="AE171" s="27" t="n"/>
      <c r="AF171" s="27" t="n"/>
      <c r="AG171" s="27" t="n"/>
      <c r="AH171" s="27" t="n"/>
      <c r="AI171" s="27" t="n"/>
      <c r="AJ171" s="27" t="n"/>
      <c r="AK171" s="27" t="n"/>
      <c r="AL171" s="27" t="n"/>
      <c r="AM171" s="27" t="n"/>
      <c r="AN171" s="27" t="n"/>
      <c r="AO171" s="27" t="n"/>
      <c r="AP171" s="27" t="n"/>
      <c r="AQ171" s="27" t="n"/>
      <c r="AR171" s="27" t="n"/>
      <c r="AS171" s="27" t="n"/>
      <c r="AT171" s="27" t="n"/>
      <c r="AU171" s="27" t="n"/>
      <c r="AV171" s="27" t="n"/>
      <c r="AW171" s="27" t="n"/>
      <c r="AX171" s="27" t="n"/>
      <c r="AY171" s="27" t="n"/>
      <c r="AZ171" s="27" t="n"/>
      <c r="BA171" s="27" t="n"/>
      <c r="BB171" s="27" t="n"/>
      <c r="BC171" s="27" t="n"/>
      <c r="BD171" s="27" t="n"/>
      <c r="BE171" s="27" t="n"/>
      <c r="BF171" s="27" t="n"/>
      <c r="BG171" s="27" t="n"/>
      <c r="BH171" s="27" t="n"/>
      <c r="BI171" s="29" t="n"/>
      <c r="BJ171" s="27" t="n"/>
      <c r="BK171" s="27" t="n"/>
      <c r="BL171" s="27" t="n"/>
      <c r="BM171" s="27" t="n"/>
    </row>
    <row r="172">
      <c r="A172" s="27" t="n"/>
      <c r="B172" s="27" t="n"/>
      <c r="C172" s="28">
        <f>IF(A172="","",$B$2)</f>
        <v/>
      </c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  <c r="AA172" s="27" t="n"/>
      <c r="AB172" s="27" t="n"/>
      <c r="AC172" s="27" t="n"/>
      <c r="AD172" s="27" t="n"/>
      <c r="AE172" s="27" t="n"/>
      <c r="AF172" s="27" t="n"/>
      <c r="AG172" s="27" t="n"/>
      <c r="AH172" s="27" t="n"/>
      <c r="AI172" s="27" t="n"/>
      <c r="AJ172" s="27" t="n"/>
      <c r="AK172" s="27" t="n"/>
      <c r="AL172" s="27" t="n"/>
      <c r="AM172" s="27" t="n"/>
      <c r="AN172" s="27" t="n"/>
      <c r="AO172" s="27" t="n"/>
      <c r="AP172" s="27" t="n"/>
      <c r="AQ172" s="27" t="n"/>
      <c r="AR172" s="27" t="n"/>
      <c r="AS172" s="27" t="n"/>
      <c r="AT172" s="27" t="n"/>
      <c r="AU172" s="27" t="n"/>
      <c r="AV172" s="27" t="n"/>
      <c r="AW172" s="27" t="n"/>
      <c r="AX172" s="27" t="n"/>
      <c r="AY172" s="27" t="n"/>
      <c r="AZ172" s="27" t="n"/>
      <c r="BA172" s="27" t="n"/>
      <c r="BB172" s="27" t="n"/>
      <c r="BC172" s="27" t="n"/>
      <c r="BD172" s="27" t="n"/>
      <c r="BE172" s="27" t="n"/>
      <c r="BF172" s="27" t="n"/>
      <c r="BG172" s="27" t="n"/>
      <c r="BH172" s="27" t="n"/>
      <c r="BI172" s="29" t="n"/>
      <c r="BJ172" s="27" t="n"/>
      <c r="BK172" s="27" t="n"/>
      <c r="BL172" s="27" t="n"/>
      <c r="BM172" s="27" t="n"/>
    </row>
    <row r="173">
      <c r="A173" s="27" t="n"/>
      <c r="B173" s="27" t="n"/>
      <c r="C173" s="28">
        <f>IF(A173="","",$B$2)</f>
        <v/>
      </c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  <c r="AA173" s="27" t="n"/>
      <c r="AB173" s="27" t="n"/>
      <c r="AC173" s="27" t="n"/>
      <c r="AD173" s="27" t="n"/>
      <c r="AE173" s="27" t="n"/>
      <c r="AF173" s="27" t="n"/>
      <c r="AG173" s="27" t="n"/>
      <c r="AH173" s="27" t="n"/>
      <c r="AI173" s="27" t="n"/>
      <c r="AJ173" s="27" t="n"/>
      <c r="AK173" s="27" t="n"/>
      <c r="AL173" s="27" t="n"/>
      <c r="AM173" s="27" t="n"/>
      <c r="AN173" s="27" t="n"/>
      <c r="AO173" s="27" t="n"/>
      <c r="AP173" s="27" t="n"/>
      <c r="AQ173" s="27" t="n"/>
      <c r="AR173" s="27" t="n"/>
      <c r="AS173" s="27" t="n"/>
      <c r="AT173" s="27" t="n"/>
      <c r="AU173" s="27" t="n"/>
      <c r="AV173" s="27" t="n"/>
      <c r="AW173" s="27" t="n"/>
      <c r="AX173" s="27" t="n"/>
      <c r="AY173" s="27" t="n"/>
      <c r="AZ173" s="27" t="n"/>
      <c r="BA173" s="27" t="n"/>
      <c r="BB173" s="27" t="n"/>
      <c r="BC173" s="27" t="n"/>
      <c r="BD173" s="27" t="n"/>
      <c r="BE173" s="27" t="n"/>
      <c r="BF173" s="27" t="n"/>
      <c r="BG173" s="27" t="n"/>
      <c r="BH173" s="27" t="n"/>
      <c r="BI173" s="29" t="n"/>
      <c r="BJ173" s="27" t="n"/>
      <c r="BK173" s="27" t="n"/>
      <c r="BL173" s="27" t="n"/>
      <c r="BM173" s="27" t="n"/>
    </row>
    <row r="174">
      <c r="A174" s="27" t="n"/>
      <c r="B174" s="27" t="n"/>
      <c r="C174" s="28">
        <f>IF(A174="","",$B$2)</f>
        <v/>
      </c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  <c r="AA174" s="27" t="n"/>
      <c r="AB174" s="27" t="n"/>
      <c r="AC174" s="27" t="n"/>
      <c r="AD174" s="27" t="n"/>
      <c r="AE174" s="27" t="n"/>
      <c r="AF174" s="27" t="n"/>
      <c r="AG174" s="27" t="n"/>
      <c r="AH174" s="27" t="n"/>
      <c r="AI174" s="27" t="n"/>
      <c r="AJ174" s="27" t="n"/>
      <c r="AK174" s="27" t="n"/>
      <c r="AL174" s="27" t="n"/>
      <c r="AM174" s="27" t="n"/>
      <c r="AN174" s="27" t="n"/>
      <c r="AO174" s="27" t="n"/>
      <c r="AP174" s="27" t="n"/>
      <c r="AQ174" s="27" t="n"/>
      <c r="AR174" s="27" t="n"/>
      <c r="AS174" s="27" t="n"/>
      <c r="AT174" s="27" t="n"/>
      <c r="AU174" s="27" t="n"/>
      <c r="AV174" s="27" t="n"/>
      <c r="AW174" s="27" t="n"/>
      <c r="AX174" s="27" t="n"/>
      <c r="AY174" s="27" t="n"/>
      <c r="AZ174" s="27" t="n"/>
      <c r="BA174" s="27" t="n"/>
      <c r="BB174" s="27" t="n"/>
      <c r="BC174" s="27" t="n"/>
      <c r="BD174" s="27" t="n"/>
      <c r="BE174" s="27" t="n"/>
      <c r="BF174" s="27" t="n"/>
      <c r="BG174" s="27" t="n"/>
      <c r="BH174" s="27" t="n"/>
      <c r="BI174" s="29" t="n"/>
      <c r="BJ174" s="27" t="n"/>
      <c r="BK174" s="27" t="n"/>
      <c r="BL174" s="27" t="n"/>
      <c r="BM174" s="27" t="n"/>
    </row>
    <row r="175">
      <c r="A175" s="27" t="n"/>
      <c r="B175" s="27" t="n"/>
      <c r="C175" s="28">
        <f>IF(A175="","",$B$2)</f>
        <v/>
      </c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  <c r="AA175" s="27" t="n"/>
      <c r="AB175" s="27" t="n"/>
      <c r="AC175" s="27" t="n"/>
      <c r="AD175" s="27" t="n"/>
      <c r="AE175" s="27" t="n"/>
      <c r="AF175" s="27" t="n"/>
      <c r="AG175" s="27" t="n"/>
      <c r="AH175" s="27" t="n"/>
      <c r="AI175" s="27" t="n"/>
      <c r="AJ175" s="27" t="n"/>
      <c r="AK175" s="27" t="n"/>
      <c r="AL175" s="27" t="n"/>
      <c r="AM175" s="27" t="n"/>
      <c r="AN175" s="27" t="n"/>
      <c r="AO175" s="27" t="n"/>
      <c r="AP175" s="27" t="n"/>
      <c r="AQ175" s="27" t="n"/>
      <c r="AR175" s="27" t="n"/>
      <c r="AS175" s="27" t="n"/>
      <c r="AT175" s="27" t="n"/>
      <c r="AU175" s="27" t="n"/>
      <c r="AV175" s="27" t="n"/>
      <c r="AW175" s="27" t="n"/>
      <c r="AX175" s="27" t="n"/>
      <c r="AY175" s="27" t="n"/>
      <c r="AZ175" s="27" t="n"/>
      <c r="BA175" s="27" t="n"/>
      <c r="BB175" s="27" t="n"/>
      <c r="BC175" s="27" t="n"/>
      <c r="BD175" s="27" t="n"/>
      <c r="BE175" s="27" t="n"/>
      <c r="BF175" s="27" t="n"/>
      <c r="BG175" s="27" t="n"/>
      <c r="BH175" s="27" t="n"/>
      <c r="BI175" s="29" t="n"/>
      <c r="BJ175" s="27" t="n"/>
      <c r="BK175" s="27" t="n"/>
      <c r="BL175" s="27" t="n"/>
      <c r="BM175" s="27" t="n"/>
    </row>
    <row r="176">
      <c r="A176" s="27" t="n"/>
      <c r="B176" s="27" t="n"/>
      <c r="C176" s="28">
        <f>IF(A176="","",$B$2)</f>
        <v/>
      </c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  <c r="AA176" s="27" t="n"/>
      <c r="AB176" s="27" t="n"/>
      <c r="AC176" s="27" t="n"/>
      <c r="AD176" s="27" t="n"/>
      <c r="AE176" s="27" t="n"/>
      <c r="AF176" s="27" t="n"/>
      <c r="AG176" s="27" t="n"/>
      <c r="AH176" s="27" t="n"/>
      <c r="AI176" s="27" t="n"/>
      <c r="AJ176" s="27" t="n"/>
      <c r="AK176" s="27" t="n"/>
      <c r="AL176" s="27" t="n"/>
      <c r="AM176" s="27" t="n"/>
      <c r="AN176" s="27" t="n"/>
      <c r="AO176" s="27" t="n"/>
      <c r="AP176" s="27" t="n"/>
      <c r="AQ176" s="27" t="n"/>
      <c r="AR176" s="27" t="n"/>
      <c r="AS176" s="27" t="n"/>
      <c r="AT176" s="27" t="n"/>
      <c r="AU176" s="27" t="n"/>
      <c r="AV176" s="27" t="n"/>
      <c r="AW176" s="27" t="n"/>
      <c r="AX176" s="27" t="n"/>
      <c r="AY176" s="27" t="n"/>
      <c r="AZ176" s="27" t="n"/>
      <c r="BA176" s="27" t="n"/>
      <c r="BB176" s="27" t="n"/>
      <c r="BC176" s="27" t="n"/>
      <c r="BD176" s="27" t="n"/>
      <c r="BE176" s="27" t="n"/>
      <c r="BF176" s="27" t="n"/>
      <c r="BG176" s="27" t="n"/>
      <c r="BH176" s="27" t="n"/>
      <c r="BI176" s="29" t="n"/>
      <c r="BJ176" s="27" t="n"/>
      <c r="BK176" s="27" t="n"/>
      <c r="BL176" s="27" t="n"/>
      <c r="BM176" s="27" t="n"/>
    </row>
    <row r="177">
      <c r="A177" s="27" t="n"/>
      <c r="B177" s="27" t="n"/>
      <c r="C177" s="28">
        <f>IF(A177="","",$B$2)</f>
        <v/>
      </c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  <c r="AA177" s="27" t="n"/>
      <c r="AB177" s="27" t="n"/>
      <c r="AC177" s="27" t="n"/>
      <c r="AD177" s="27" t="n"/>
      <c r="AE177" s="27" t="n"/>
      <c r="AF177" s="27" t="n"/>
      <c r="AG177" s="27" t="n"/>
      <c r="AH177" s="27" t="n"/>
      <c r="AI177" s="27" t="n"/>
      <c r="AJ177" s="27" t="n"/>
      <c r="AK177" s="27" t="n"/>
      <c r="AL177" s="27" t="n"/>
      <c r="AM177" s="27" t="n"/>
      <c r="AN177" s="27" t="n"/>
      <c r="AO177" s="27" t="n"/>
      <c r="AP177" s="27" t="n"/>
      <c r="AQ177" s="27" t="n"/>
      <c r="AR177" s="27" t="n"/>
      <c r="AS177" s="27" t="n"/>
      <c r="AT177" s="27" t="n"/>
      <c r="AU177" s="27" t="n"/>
      <c r="AV177" s="27" t="n"/>
      <c r="AW177" s="27" t="n"/>
      <c r="AX177" s="27" t="n"/>
      <c r="AY177" s="27" t="n"/>
      <c r="AZ177" s="27" t="n"/>
      <c r="BA177" s="27" t="n"/>
      <c r="BB177" s="27" t="n"/>
      <c r="BC177" s="27" t="n"/>
      <c r="BD177" s="27" t="n"/>
      <c r="BE177" s="27" t="n"/>
      <c r="BF177" s="27" t="n"/>
      <c r="BG177" s="27" t="n"/>
      <c r="BH177" s="27" t="n"/>
      <c r="BI177" s="29" t="n"/>
      <c r="BJ177" s="27" t="n"/>
      <c r="BK177" s="27" t="n"/>
      <c r="BL177" s="27" t="n"/>
      <c r="BM177" s="27" t="n"/>
    </row>
    <row r="178">
      <c r="A178" s="27" t="n"/>
      <c r="B178" s="27" t="n"/>
      <c r="C178" s="28">
        <f>IF(A178="","",$B$2)</f>
        <v/>
      </c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  <c r="AA178" s="27" t="n"/>
      <c r="AB178" s="27" t="n"/>
      <c r="AC178" s="27" t="n"/>
      <c r="AD178" s="27" t="n"/>
      <c r="AE178" s="27" t="n"/>
      <c r="AF178" s="27" t="n"/>
      <c r="AG178" s="27" t="n"/>
      <c r="AH178" s="27" t="n"/>
      <c r="AI178" s="27" t="n"/>
      <c r="AJ178" s="27" t="n"/>
      <c r="AK178" s="27" t="n"/>
      <c r="AL178" s="27" t="n"/>
      <c r="AM178" s="27" t="n"/>
      <c r="AN178" s="27" t="n"/>
      <c r="AO178" s="27" t="n"/>
      <c r="AP178" s="27" t="n"/>
      <c r="AQ178" s="27" t="n"/>
      <c r="AR178" s="27" t="n"/>
      <c r="AS178" s="27" t="n"/>
      <c r="AT178" s="27" t="n"/>
      <c r="AU178" s="27" t="n"/>
      <c r="AV178" s="27" t="n"/>
      <c r="AW178" s="27" t="n"/>
      <c r="AX178" s="27" t="n"/>
      <c r="AY178" s="27" t="n"/>
      <c r="AZ178" s="27" t="n"/>
      <c r="BA178" s="27" t="n"/>
      <c r="BB178" s="27" t="n"/>
      <c r="BC178" s="27" t="n"/>
      <c r="BD178" s="27" t="n"/>
      <c r="BE178" s="27" t="n"/>
      <c r="BF178" s="27" t="n"/>
      <c r="BG178" s="27" t="n"/>
      <c r="BH178" s="27" t="n"/>
      <c r="BI178" s="29" t="n"/>
      <c r="BJ178" s="27" t="n"/>
      <c r="BK178" s="27" t="n"/>
      <c r="BL178" s="27" t="n"/>
      <c r="BM178" s="27" t="n"/>
    </row>
    <row r="179">
      <c r="A179" s="27" t="n"/>
      <c r="B179" s="27" t="n"/>
      <c r="C179" s="28">
        <f>IF(A179="","",$B$2)</f>
        <v/>
      </c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  <c r="AA179" s="27" t="n"/>
      <c r="AB179" s="27" t="n"/>
      <c r="AC179" s="27" t="n"/>
      <c r="AD179" s="27" t="n"/>
      <c r="AE179" s="27" t="n"/>
      <c r="AF179" s="27" t="n"/>
      <c r="AG179" s="27" t="n"/>
      <c r="AH179" s="27" t="n"/>
      <c r="AI179" s="27" t="n"/>
      <c r="AJ179" s="27" t="n"/>
      <c r="AK179" s="27" t="n"/>
      <c r="AL179" s="27" t="n"/>
      <c r="AM179" s="27" t="n"/>
      <c r="AN179" s="27" t="n"/>
      <c r="AO179" s="27" t="n"/>
      <c r="AP179" s="27" t="n"/>
      <c r="AQ179" s="27" t="n"/>
      <c r="AR179" s="27" t="n"/>
      <c r="AS179" s="27" t="n"/>
      <c r="AT179" s="27" t="n"/>
      <c r="AU179" s="27" t="n"/>
      <c r="AV179" s="27" t="n"/>
      <c r="AW179" s="27" t="n"/>
      <c r="AX179" s="27" t="n"/>
      <c r="AY179" s="27" t="n"/>
      <c r="AZ179" s="27" t="n"/>
      <c r="BA179" s="27" t="n"/>
      <c r="BB179" s="27" t="n"/>
      <c r="BC179" s="27" t="n"/>
      <c r="BD179" s="27" t="n"/>
      <c r="BE179" s="27" t="n"/>
      <c r="BF179" s="27" t="n"/>
      <c r="BG179" s="27" t="n"/>
      <c r="BH179" s="27" t="n"/>
      <c r="BI179" s="29" t="n"/>
      <c r="BJ179" s="27" t="n"/>
      <c r="BK179" s="27" t="n"/>
      <c r="BL179" s="27" t="n"/>
      <c r="BM179" s="27" t="n"/>
    </row>
    <row r="180">
      <c r="A180" s="27" t="n"/>
      <c r="B180" s="27" t="n"/>
      <c r="C180" s="28">
        <f>IF(A180="","",$B$2)</f>
        <v/>
      </c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  <c r="AA180" s="27" t="n"/>
      <c r="AB180" s="27" t="n"/>
      <c r="AC180" s="27" t="n"/>
      <c r="AD180" s="27" t="n"/>
      <c r="AE180" s="27" t="n"/>
      <c r="AF180" s="27" t="n"/>
      <c r="AG180" s="27" t="n"/>
      <c r="AH180" s="27" t="n"/>
      <c r="AI180" s="27" t="n"/>
      <c r="AJ180" s="27" t="n"/>
      <c r="AK180" s="27" t="n"/>
      <c r="AL180" s="27" t="n"/>
      <c r="AM180" s="27" t="n"/>
      <c r="AN180" s="27" t="n"/>
      <c r="AO180" s="27" t="n"/>
      <c r="AP180" s="27" t="n"/>
      <c r="AQ180" s="27" t="n"/>
      <c r="AR180" s="27" t="n"/>
      <c r="AS180" s="27" t="n"/>
      <c r="AT180" s="27" t="n"/>
      <c r="AU180" s="27" t="n"/>
      <c r="AV180" s="27" t="n"/>
      <c r="AW180" s="27" t="n"/>
      <c r="AX180" s="27" t="n"/>
      <c r="AY180" s="27" t="n"/>
      <c r="AZ180" s="27" t="n"/>
      <c r="BA180" s="27" t="n"/>
      <c r="BB180" s="27" t="n"/>
      <c r="BC180" s="27" t="n"/>
      <c r="BD180" s="27" t="n"/>
      <c r="BE180" s="27" t="n"/>
      <c r="BF180" s="27" t="n"/>
      <c r="BG180" s="27" t="n"/>
      <c r="BH180" s="27" t="n"/>
      <c r="BI180" s="29" t="n"/>
      <c r="BJ180" s="27" t="n"/>
      <c r="BK180" s="27" t="n"/>
      <c r="BL180" s="27" t="n"/>
      <c r="BM180" s="27" t="n"/>
    </row>
    <row r="181">
      <c r="A181" s="27" t="n"/>
      <c r="B181" s="27" t="n"/>
      <c r="C181" s="28">
        <f>IF(A181="","",$B$2)</f>
        <v/>
      </c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  <c r="AA181" s="27" t="n"/>
      <c r="AB181" s="27" t="n"/>
      <c r="AC181" s="27" t="n"/>
      <c r="AD181" s="27" t="n"/>
      <c r="AE181" s="27" t="n"/>
      <c r="AF181" s="27" t="n"/>
      <c r="AG181" s="27" t="n"/>
      <c r="AH181" s="27" t="n"/>
      <c r="AI181" s="27" t="n"/>
      <c r="AJ181" s="27" t="n"/>
      <c r="AK181" s="27" t="n"/>
      <c r="AL181" s="27" t="n"/>
      <c r="AM181" s="27" t="n"/>
      <c r="AN181" s="27" t="n"/>
      <c r="AO181" s="27" t="n"/>
      <c r="AP181" s="27" t="n"/>
      <c r="AQ181" s="27" t="n"/>
      <c r="AR181" s="27" t="n"/>
      <c r="AS181" s="27" t="n"/>
      <c r="AT181" s="27" t="n"/>
      <c r="AU181" s="27" t="n"/>
      <c r="AV181" s="27" t="n"/>
      <c r="AW181" s="27" t="n"/>
      <c r="AX181" s="27" t="n"/>
      <c r="AY181" s="27" t="n"/>
      <c r="AZ181" s="27" t="n"/>
      <c r="BA181" s="27" t="n"/>
      <c r="BB181" s="27" t="n"/>
      <c r="BC181" s="27" t="n"/>
      <c r="BD181" s="27" t="n"/>
      <c r="BE181" s="27" t="n"/>
      <c r="BF181" s="27" t="n"/>
      <c r="BG181" s="27" t="n"/>
      <c r="BH181" s="27" t="n"/>
      <c r="BI181" s="29" t="n"/>
      <c r="BJ181" s="27" t="n"/>
      <c r="BK181" s="27" t="n"/>
      <c r="BL181" s="27" t="n"/>
      <c r="BM181" s="27" t="n"/>
    </row>
    <row r="182">
      <c r="A182" s="27" t="n"/>
      <c r="B182" s="27" t="n"/>
      <c r="C182" s="28">
        <f>IF(A182="","",$B$2)</f>
        <v/>
      </c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  <c r="AA182" s="27" t="n"/>
      <c r="AB182" s="27" t="n"/>
      <c r="AC182" s="27" t="n"/>
      <c r="AD182" s="27" t="n"/>
      <c r="AE182" s="27" t="n"/>
      <c r="AF182" s="27" t="n"/>
      <c r="AG182" s="27" t="n"/>
      <c r="AH182" s="27" t="n"/>
      <c r="AI182" s="27" t="n"/>
      <c r="AJ182" s="27" t="n"/>
      <c r="AK182" s="27" t="n"/>
      <c r="AL182" s="27" t="n"/>
      <c r="AM182" s="27" t="n"/>
      <c r="AN182" s="27" t="n"/>
      <c r="AO182" s="27" t="n"/>
      <c r="AP182" s="27" t="n"/>
      <c r="AQ182" s="27" t="n"/>
      <c r="AR182" s="27" t="n"/>
      <c r="AS182" s="27" t="n"/>
      <c r="AT182" s="27" t="n"/>
      <c r="AU182" s="27" t="n"/>
      <c r="AV182" s="27" t="n"/>
      <c r="AW182" s="27" t="n"/>
      <c r="AX182" s="27" t="n"/>
      <c r="AY182" s="27" t="n"/>
      <c r="AZ182" s="27" t="n"/>
      <c r="BA182" s="27" t="n"/>
      <c r="BB182" s="27" t="n"/>
      <c r="BC182" s="27" t="n"/>
      <c r="BD182" s="27" t="n"/>
      <c r="BE182" s="27" t="n"/>
      <c r="BF182" s="27" t="n"/>
      <c r="BG182" s="27" t="n"/>
      <c r="BH182" s="27" t="n"/>
      <c r="BI182" s="29" t="n"/>
      <c r="BJ182" s="27" t="n"/>
      <c r="BK182" s="27" t="n"/>
      <c r="BL182" s="27" t="n"/>
      <c r="BM182" s="27" t="n"/>
    </row>
    <row r="183">
      <c r="A183" s="27" t="n"/>
      <c r="B183" s="27" t="n"/>
      <c r="C183" s="28">
        <f>IF(A183="","",$B$2)</f>
        <v/>
      </c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  <c r="AA183" s="27" t="n"/>
      <c r="AB183" s="27" t="n"/>
      <c r="AC183" s="27" t="n"/>
      <c r="AD183" s="27" t="n"/>
      <c r="AE183" s="27" t="n"/>
      <c r="AF183" s="27" t="n"/>
      <c r="AG183" s="27" t="n"/>
      <c r="AH183" s="27" t="n"/>
      <c r="AI183" s="27" t="n"/>
      <c r="AJ183" s="27" t="n"/>
      <c r="AK183" s="27" t="n"/>
      <c r="AL183" s="27" t="n"/>
      <c r="AM183" s="27" t="n"/>
      <c r="AN183" s="27" t="n"/>
      <c r="AO183" s="27" t="n"/>
      <c r="AP183" s="27" t="n"/>
      <c r="AQ183" s="27" t="n"/>
      <c r="AR183" s="27" t="n"/>
      <c r="AS183" s="27" t="n"/>
      <c r="AT183" s="27" t="n"/>
      <c r="AU183" s="27" t="n"/>
      <c r="AV183" s="27" t="n"/>
      <c r="AW183" s="27" t="n"/>
      <c r="AX183" s="27" t="n"/>
      <c r="AY183" s="27" t="n"/>
      <c r="AZ183" s="27" t="n"/>
      <c r="BA183" s="27" t="n"/>
      <c r="BB183" s="27" t="n"/>
      <c r="BC183" s="27" t="n"/>
      <c r="BD183" s="27" t="n"/>
      <c r="BE183" s="27" t="n"/>
      <c r="BF183" s="27" t="n"/>
      <c r="BG183" s="27" t="n"/>
      <c r="BH183" s="27" t="n"/>
      <c r="BI183" s="29" t="n"/>
      <c r="BJ183" s="27" t="n"/>
      <c r="BK183" s="27" t="n"/>
      <c r="BL183" s="27" t="n"/>
      <c r="BM183" s="27" t="n"/>
    </row>
    <row r="184">
      <c r="A184" s="27" t="n"/>
      <c r="B184" s="27" t="n"/>
      <c r="C184" s="28">
        <f>IF(A184="","",$B$2)</f>
        <v/>
      </c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  <c r="AA184" s="27" t="n"/>
      <c r="AB184" s="27" t="n"/>
      <c r="AC184" s="27" t="n"/>
      <c r="AD184" s="27" t="n"/>
      <c r="AE184" s="27" t="n"/>
      <c r="AF184" s="27" t="n"/>
      <c r="AG184" s="27" t="n"/>
      <c r="AH184" s="27" t="n"/>
      <c r="AI184" s="27" t="n"/>
      <c r="AJ184" s="27" t="n"/>
      <c r="AK184" s="27" t="n"/>
      <c r="AL184" s="27" t="n"/>
      <c r="AM184" s="27" t="n"/>
      <c r="AN184" s="27" t="n"/>
      <c r="AO184" s="27" t="n"/>
      <c r="AP184" s="27" t="n"/>
      <c r="AQ184" s="27" t="n"/>
      <c r="AR184" s="27" t="n"/>
      <c r="AS184" s="27" t="n"/>
      <c r="AT184" s="27" t="n"/>
      <c r="AU184" s="27" t="n"/>
      <c r="AV184" s="27" t="n"/>
      <c r="AW184" s="27" t="n"/>
      <c r="AX184" s="27" t="n"/>
      <c r="AY184" s="27" t="n"/>
      <c r="AZ184" s="27" t="n"/>
      <c r="BA184" s="27" t="n"/>
      <c r="BB184" s="27" t="n"/>
      <c r="BC184" s="27" t="n"/>
      <c r="BD184" s="27" t="n"/>
      <c r="BE184" s="27" t="n"/>
      <c r="BF184" s="27" t="n"/>
      <c r="BG184" s="27" t="n"/>
      <c r="BH184" s="27" t="n"/>
      <c r="BI184" s="29" t="n"/>
      <c r="BJ184" s="27" t="n"/>
      <c r="BK184" s="27" t="n"/>
      <c r="BL184" s="27" t="n"/>
      <c r="BM184" s="27" t="n"/>
    </row>
    <row r="185">
      <c r="A185" s="27" t="n"/>
      <c r="B185" s="27" t="n"/>
      <c r="C185" s="28">
        <f>IF(A185="","",$B$2)</f>
        <v/>
      </c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  <c r="AA185" s="27" t="n"/>
      <c r="AB185" s="27" t="n"/>
      <c r="AC185" s="27" t="n"/>
      <c r="AD185" s="27" t="n"/>
      <c r="AE185" s="27" t="n"/>
      <c r="AF185" s="27" t="n"/>
      <c r="AG185" s="27" t="n"/>
      <c r="AH185" s="27" t="n"/>
      <c r="AI185" s="27" t="n"/>
      <c r="AJ185" s="27" t="n"/>
      <c r="AK185" s="27" t="n"/>
      <c r="AL185" s="27" t="n"/>
      <c r="AM185" s="27" t="n"/>
      <c r="AN185" s="27" t="n"/>
      <c r="AO185" s="27" t="n"/>
      <c r="AP185" s="27" t="n"/>
      <c r="AQ185" s="27" t="n"/>
      <c r="AR185" s="27" t="n"/>
      <c r="AS185" s="27" t="n"/>
      <c r="AT185" s="27" t="n"/>
      <c r="AU185" s="27" t="n"/>
      <c r="AV185" s="27" t="n"/>
      <c r="AW185" s="27" t="n"/>
      <c r="AX185" s="27" t="n"/>
      <c r="AY185" s="27" t="n"/>
      <c r="AZ185" s="27" t="n"/>
      <c r="BA185" s="27" t="n"/>
      <c r="BB185" s="27" t="n"/>
      <c r="BC185" s="27" t="n"/>
      <c r="BD185" s="27" t="n"/>
      <c r="BE185" s="27" t="n"/>
      <c r="BF185" s="27" t="n"/>
      <c r="BG185" s="27" t="n"/>
      <c r="BH185" s="27" t="n"/>
      <c r="BI185" s="29" t="n"/>
      <c r="BJ185" s="27" t="n"/>
      <c r="BK185" s="27" t="n"/>
      <c r="BL185" s="27" t="n"/>
      <c r="BM185" s="27" t="n"/>
    </row>
    <row r="186">
      <c r="A186" s="27" t="n"/>
      <c r="B186" s="27" t="n"/>
      <c r="C186" s="28">
        <f>IF(A186="","",$B$2)</f>
        <v/>
      </c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  <c r="AA186" s="27" t="n"/>
      <c r="AB186" s="27" t="n"/>
      <c r="AC186" s="27" t="n"/>
      <c r="AD186" s="27" t="n"/>
      <c r="AE186" s="27" t="n"/>
      <c r="AF186" s="27" t="n"/>
      <c r="AG186" s="27" t="n"/>
      <c r="AH186" s="27" t="n"/>
      <c r="AI186" s="27" t="n"/>
      <c r="AJ186" s="27" t="n"/>
      <c r="AK186" s="27" t="n"/>
      <c r="AL186" s="27" t="n"/>
      <c r="AM186" s="27" t="n"/>
      <c r="AN186" s="27" t="n"/>
      <c r="AO186" s="27" t="n"/>
      <c r="AP186" s="27" t="n"/>
      <c r="AQ186" s="27" t="n"/>
      <c r="AR186" s="27" t="n"/>
      <c r="AS186" s="27" t="n"/>
      <c r="AT186" s="27" t="n"/>
      <c r="AU186" s="27" t="n"/>
      <c r="AV186" s="27" t="n"/>
      <c r="AW186" s="27" t="n"/>
      <c r="AX186" s="27" t="n"/>
      <c r="AY186" s="27" t="n"/>
      <c r="AZ186" s="27" t="n"/>
      <c r="BA186" s="27" t="n"/>
      <c r="BB186" s="27" t="n"/>
      <c r="BC186" s="27" t="n"/>
      <c r="BD186" s="27" t="n"/>
      <c r="BE186" s="27" t="n"/>
      <c r="BF186" s="27" t="n"/>
      <c r="BG186" s="27" t="n"/>
      <c r="BH186" s="27" t="n"/>
      <c r="BI186" s="29" t="n"/>
      <c r="BJ186" s="27" t="n"/>
      <c r="BK186" s="27" t="n"/>
      <c r="BL186" s="27" t="n"/>
      <c r="BM186" s="27" t="n"/>
    </row>
    <row r="187">
      <c r="A187" s="27" t="n"/>
      <c r="B187" s="27" t="n"/>
      <c r="C187" s="28">
        <f>IF(A187="","",$B$2)</f>
        <v/>
      </c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  <c r="AA187" s="27" t="n"/>
      <c r="AB187" s="27" t="n"/>
      <c r="AC187" s="27" t="n"/>
      <c r="AD187" s="27" t="n"/>
      <c r="AE187" s="27" t="n"/>
      <c r="AF187" s="27" t="n"/>
      <c r="AG187" s="27" t="n"/>
      <c r="AH187" s="27" t="n"/>
      <c r="AI187" s="27" t="n"/>
      <c r="AJ187" s="27" t="n"/>
      <c r="AK187" s="27" t="n"/>
      <c r="AL187" s="27" t="n"/>
      <c r="AM187" s="27" t="n"/>
      <c r="AN187" s="27" t="n"/>
      <c r="AO187" s="27" t="n"/>
      <c r="AP187" s="27" t="n"/>
      <c r="AQ187" s="27" t="n"/>
      <c r="AR187" s="27" t="n"/>
      <c r="AS187" s="27" t="n"/>
      <c r="AT187" s="27" t="n"/>
      <c r="AU187" s="27" t="n"/>
      <c r="AV187" s="27" t="n"/>
      <c r="AW187" s="27" t="n"/>
      <c r="AX187" s="27" t="n"/>
      <c r="AY187" s="27" t="n"/>
      <c r="AZ187" s="27" t="n"/>
      <c r="BA187" s="27" t="n"/>
      <c r="BB187" s="27" t="n"/>
      <c r="BC187" s="27" t="n"/>
      <c r="BD187" s="27" t="n"/>
      <c r="BE187" s="27" t="n"/>
      <c r="BF187" s="27" t="n"/>
      <c r="BG187" s="27" t="n"/>
      <c r="BH187" s="27" t="n"/>
      <c r="BI187" s="29" t="n"/>
      <c r="BJ187" s="27" t="n"/>
      <c r="BK187" s="27" t="n"/>
      <c r="BL187" s="27" t="n"/>
      <c r="BM187" s="27" t="n"/>
    </row>
    <row r="188">
      <c r="A188" s="27" t="n"/>
      <c r="B188" s="27" t="n"/>
      <c r="C188" s="28">
        <f>IF(A188="","",$B$2)</f>
        <v/>
      </c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  <c r="AA188" s="27" t="n"/>
      <c r="AB188" s="27" t="n"/>
      <c r="AC188" s="27" t="n"/>
      <c r="AD188" s="27" t="n"/>
      <c r="AE188" s="27" t="n"/>
      <c r="AF188" s="27" t="n"/>
      <c r="AG188" s="27" t="n"/>
      <c r="AH188" s="27" t="n"/>
      <c r="AI188" s="27" t="n"/>
      <c r="AJ188" s="27" t="n"/>
      <c r="AK188" s="27" t="n"/>
      <c r="AL188" s="27" t="n"/>
      <c r="AM188" s="27" t="n"/>
      <c r="AN188" s="27" t="n"/>
      <c r="AO188" s="27" t="n"/>
      <c r="AP188" s="27" t="n"/>
      <c r="AQ188" s="27" t="n"/>
      <c r="AR188" s="27" t="n"/>
      <c r="AS188" s="27" t="n"/>
      <c r="AT188" s="27" t="n"/>
      <c r="AU188" s="27" t="n"/>
      <c r="AV188" s="27" t="n"/>
      <c r="AW188" s="27" t="n"/>
      <c r="AX188" s="27" t="n"/>
      <c r="AY188" s="27" t="n"/>
      <c r="AZ188" s="27" t="n"/>
      <c r="BA188" s="27" t="n"/>
      <c r="BB188" s="27" t="n"/>
      <c r="BC188" s="27" t="n"/>
      <c r="BD188" s="27" t="n"/>
      <c r="BE188" s="27" t="n"/>
      <c r="BF188" s="27" t="n"/>
      <c r="BG188" s="27" t="n"/>
      <c r="BH188" s="27" t="n"/>
      <c r="BI188" s="29" t="n"/>
      <c r="BJ188" s="27" t="n"/>
      <c r="BK188" s="27" t="n"/>
      <c r="BL188" s="27" t="n"/>
      <c r="BM188" s="27" t="n"/>
    </row>
    <row r="189">
      <c r="A189" s="27" t="n"/>
      <c r="B189" s="27" t="n"/>
      <c r="C189" s="28">
        <f>IF(A189="","",$B$2)</f>
        <v/>
      </c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  <c r="AA189" s="27" t="n"/>
      <c r="AB189" s="27" t="n"/>
      <c r="AC189" s="27" t="n"/>
      <c r="AD189" s="27" t="n"/>
      <c r="AE189" s="27" t="n"/>
      <c r="AF189" s="27" t="n"/>
      <c r="AG189" s="27" t="n"/>
      <c r="AH189" s="27" t="n"/>
      <c r="AI189" s="27" t="n"/>
      <c r="AJ189" s="27" t="n"/>
      <c r="AK189" s="27" t="n"/>
      <c r="AL189" s="27" t="n"/>
      <c r="AM189" s="27" t="n"/>
      <c r="AN189" s="27" t="n"/>
      <c r="AO189" s="27" t="n"/>
      <c r="AP189" s="27" t="n"/>
      <c r="AQ189" s="27" t="n"/>
      <c r="AR189" s="27" t="n"/>
      <c r="AS189" s="27" t="n"/>
      <c r="AT189" s="27" t="n"/>
      <c r="AU189" s="27" t="n"/>
      <c r="AV189" s="27" t="n"/>
      <c r="AW189" s="27" t="n"/>
      <c r="AX189" s="27" t="n"/>
      <c r="AY189" s="27" t="n"/>
      <c r="AZ189" s="27" t="n"/>
      <c r="BA189" s="27" t="n"/>
      <c r="BB189" s="27" t="n"/>
      <c r="BC189" s="27" t="n"/>
      <c r="BD189" s="27" t="n"/>
      <c r="BE189" s="27" t="n"/>
      <c r="BF189" s="27" t="n"/>
      <c r="BG189" s="27" t="n"/>
      <c r="BH189" s="27" t="n"/>
      <c r="BI189" s="29" t="n"/>
      <c r="BJ189" s="27" t="n"/>
      <c r="BK189" s="27" t="n"/>
      <c r="BL189" s="27" t="n"/>
      <c r="BM189" s="27" t="n"/>
    </row>
    <row r="190">
      <c r="A190" s="27" t="n"/>
      <c r="B190" s="27" t="n"/>
      <c r="C190" s="28">
        <f>IF(A190="","",$B$2)</f>
        <v/>
      </c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  <c r="AA190" s="27" t="n"/>
      <c r="AB190" s="27" t="n"/>
      <c r="AC190" s="27" t="n"/>
      <c r="AD190" s="27" t="n"/>
      <c r="AE190" s="27" t="n"/>
      <c r="AF190" s="27" t="n"/>
      <c r="AG190" s="27" t="n"/>
      <c r="AH190" s="27" t="n"/>
      <c r="AI190" s="27" t="n"/>
      <c r="AJ190" s="27" t="n"/>
      <c r="AK190" s="27" t="n"/>
      <c r="AL190" s="27" t="n"/>
      <c r="AM190" s="27" t="n"/>
      <c r="AN190" s="27" t="n"/>
      <c r="AO190" s="27" t="n"/>
      <c r="AP190" s="27" t="n"/>
      <c r="AQ190" s="27" t="n"/>
      <c r="AR190" s="27" t="n"/>
      <c r="AS190" s="27" t="n"/>
      <c r="AT190" s="27" t="n"/>
      <c r="AU190" s="27" t="n"/>
      <c r="AV190" s="27" t="n"/>
      <c r="AW190" s="27" t="n"/>
      <c r="AX190" s="27" t="n"/>
      <c r="AY190" s="27" t="n"/>
      <c r="AZ190" s="27" t="n"/>
      <c r="BA190" s="27" t="n"/>
      <c r="BB190" s="27" t="n"/>
      <c r="BC190" s="27" t="n"/>
      <c r="BD190" s="27" t="n"/>
      <c r="BE190" s="27" t="n"/>
      <c r="BF190" s="27" t="n"/>
      <c r="BG190" s="27" t="n"/>
      <c r="BH190" s="27" t="n"/>
      <c r="BI190" s="29" t="n"/>
      <c r="BJ190" s="27" t="n"/>
      <c r="BK190" s="27" t="n"/>
      <c r="BL190" s="27" t="n"/>
      <c r="BM190" s="27" t="n"/>
    </row>
    <row r="191">
      <c r="A191" s="27" t="n"/>
      <c r="B191" s="27" t="n"/>
      <c r="C191" s="28">
        <f>IF(A191="","",$B$2)</f>
        <v/>
      </c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  <c r="AA191" s="27" t="n"/>
      <c r="AB191" s="27" t="n"/>
      <c r="AC191" s="27" t="n"/>
      <c r="AD191" s="27" t="n"/>
      <c r="AE191" s="27" t="n"/>
      <c r="AF191" s="27" t="n"/>
      <c r="AG191" s="27" t="n"/>
      <c r="AH191" s="27" t="n"/>
      <c r="AI191" s="27" t="n"/>
      <c r="AJ191" s="27" t="n"/>
      <c r="AK191" s="27" t="n"/>
      <c r="AL191" s="27" t="n"/>
      <c r="AM191" s="27" t="n"/>
      <c r="AN191" s="27" t="n"/>
      <c r="AO191" s="27" t="n"/>
      <c r="AP191" s="27" t="n"/>
      <c r="AQ191" s="27" t="n"/>
      <c r="AR191" s="27" t="n"/>
      <c r="AS191" s="27" t="n"/>
      <c r="AT191" s="27" t="n"/>
      <c r="AU191" s="27" t="n"/>
      <c r="AV191" s="27" t="n"/>
      <c r="AW191" s="27" t="n"/>
      <c r="AX191" s="27" t="n"/>
      <c r="AY191" s="27" t="n"/>
      <c r="AZ191" s="27" t="n"/>
      <c r="BA191" s="27" t="n"/>
      <c r="BB191" s="27" t="n"/>
      <c r="BC191" s="27" t="n"/>
      <c r="BD191" s="27" t="n"/>
      <c r="BE191" s="27" t="n"/>
      <c r="BF191" s="27" t="n"/>
      <c r="BG191" s="27" t="n"/>
      <c r="BH191" s="27" t="n"/>
      <c r="BI191" s="29" t="n"/>
      <c r="BJ191" s="27" t="n"/>
      <c r="BK191" s="27" t="n"/>
      <c r="BL191" s="27" t="n"/>
      <c r="BM191" s="27" t="n"/>
    </row>
    <row r="192">
      <c r="A192" s="27" t="n"/>
      <c r="B192" s="27" t="n"/>
      <c r="C192" s="28">
        <f>IF(A192="","",$B$2)</f>
        <v/>
      </c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  <c r="AA192" s="27" t="n"/>
      <c r="AB192" s="27" t="n"/>
      <c r="AC192" s="27" t="n"/>
      <c r="AD192" s="27" t="n"/>
      <c r="AE192" s="27" t="n"/>
      <c r="AF192" s="27" t="n"/>
      <c r="AG192" s="27" t="n"/>
      <c r="AH192" s="27" t="n"/>
      <c r="AI192" s="27" t="n"/>
      <c r="AJ192" s="27" t="n"/>
      <c r="AK192" s="27" t="n"/>
      <c r="AL192" s="27" t="n"/>
      <c r="AM192" s="27" t="n"/>
      <c r="AN192" s="27" t="n"/>
      <c r="AO192" s="27" t="n"/>
      <c r="AP192" s="27" t="n"/>
      <c r="AQ192" s="27" t="n"/>
      <c r="AR192" s="27" t="n"/>
      <c r="AS192" s="27" t="n"/>
      <c r="AT192" s="27" t="n"/>
      <c r="AU192" s="27" t="n"/>
      <c r="AV192" s="27" t="n"/>
      <c r="AW192" s="27" t="n"/>
      <c r="AX192" s="27" t="n"/>
      <c r="AY192" s="27" t="n"/>
      <c r="AZ192" s="27" t="n"/>
      <c r="BA192" s="27" t="n"/>
      <c r="BB192" s="27" t="n"/>
      <c r="BC192" s="27" t="n"/>
      <c r="BD192" s="27" t="n"/>
      <c r="BE192" s="27" t="n"/>
      <c r="BF192" s="27" t="n"/>
      <c r="BG192" s="27" t="n"/>
      <c r="BH192" s="27" t="n"/>
      <c r="BI192" s="29" t="n"/>
      <c r="BJ192" s="27" t="n"/>
      <c r="BK192" s="27" t="n"/>
      <c r="BL192" s="27" t="n"/>
      <c r="BM192" s="27" t="n"/>
    </row>
    <row r="193">
      <c r="A193" s="27" t="n"/>
      <c r="B193" s="27" t="n"/>
      <c r="C193" s="28">
        <f>IF(A193="","",$B$2)</f>
        <v/>
      </c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  <c r="AA193" s="27" t="n"/>
      <c r="AB193" s="27" t="n"/>
      <c r="AC193" s="27" t="n"/>
      <c r="AD193" s="27" t="n"/>
      <c r="AE193" s="27" t="n"/>
      <c r="AF193" s="27" t="n"/>
      <c r="AG193" s="27" t="n"/>
      <c r="AH193" s="27" t="n"/>
      <c r="AI193" s="27" t="n"/>
      <c r="AJ193" s="27" t="n"/>
      <c r="AK193" s="27" t="n"/>
      <c r="AL193" s="27" t="n"/>
      <c r="AM193" s="27" t="n"/>
      <c r="AN193" s="27" t="n"/>
      <c r="AO193" s="27" t="n"/>
      <c r="AP193" s="27" t="n"/>
      <c r="AQ193" s="27" t="n"/>
      <c r="AR193" s="27" t="n"/>
      <c r="AS193" s="27" t="n"/>
      <c r="AT193" s="27" t="n"/>
      <c r="AU193" s="27" t="n"/>
      <c r="AV193" s="27" t="n"/>
      <c r="AW193" s="27" t="n"/>
      <c r="AX193" s="27" t="n"/>
      <c r="AY193" s="27" t="n"/>
      <c r="AZ193" s="27" t="n"/>
      <c r="BA193" s="27" t="n"/>
      <c r="BB193" s="27" t="n"/>
      <c r="BC193" s="27" t="n"/>
      <c r="BD193" s="27" t="n"/>
      <c r="BE193" s="27" t="n"/>
      <c r="BF193" s="27" t="n"/>
      <c r="BG193" s="27" t="n"/>
      <c r="BH193" s="27" t="n"/>
      <c r="BI193" s="29" t="n"/>
      <c r="BJ193" s="27" t="n"/>
      <c r="BK193" s="27" t="n"/>
      <c r="BL193" s="27" t="n"/>
      <c r="BM193" s="27" t="n"/>
    </row>
    <row r="194">
      <c r="A194" s="27" t="n"/>
      <c r="B194" s="27" t="n"/>
      <c r="C194" s="28">
        <f>IF(A194="","",$B$2)</f>
        <v/>
      </c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  <c r="AA194" s="27" t="n"/>
      <c r="AB194" s="27" t="n"/>
      <c r="AC194" s="27" t="n"/>
      <c r="AD194" s="27" t="n"/>
      <c r="AE194" s="27" t="n"/>
      <c r="AF194" s="27" t="n"/>
      <c r="AG194" s="27" t="n"/>
      <c r="AH194" s="27" t="n"/>
      <c r="AI194" s="27" t="n"/>
      <c r="AJ194" s="27" t="n"/>
      <c r="AK194" s="27" t="n"/>
      <c r="AL194" s="27" t="n"/>
      <c r="AM194" s="27" t="n"/>
      <c r="AN194" s="27" t="n"/>
      <c r="AO194" s="27" t="n"/>
      <c r="AP194" s="27" t="n"/>
      <c r="AQ194" s="27" t="n"/>
      <c r="AR194" s="27" t="n"/>
      <c r="AS194" s="27" t="n"/>
      <c r="AT194" s="27" t="n"/>
      <c r="AU194" s="27" t="n"/>
      <c r="AV194" s="27" t="n"/>
      <c r="AW194" s="27" t="n"/>
      <c r="AX194" s="27" t="n"/>
      <c r="AY194" s="27" t="n"/>
      <c r="AZ194" s="27" t="n"/>
      <c r="BA194" s="27" t="n"/>
      <c r="BB194" s="27" t="n"/>
      <c r="BC194" s="27" t="n"/>
      <c r="BD194" s="27" t="n"/>
      <c r="BE194" s="27" t="n"/>
      <c r="BF194" s="27" t="n"/>
      <c r="BG194" s="27" t="n"/>
      <c r="BH194" s="27" t="n"/>
      <c r="BI194" s="29" t="n"/>
      <c r="BJ194" s="27" t="n"/>
      <c r="BK194" s="27" t="n"/>
      <c r="BL194" s="27" t="n"/>
      <c r="BM194" s="27" t="n"/>
    </row>
    <row r="195">
      <c r="A195" s="27" t="n"/>
      <c r="B195" s="27" t="n"/>
      <c r="C195" s="28">
        <f>IF(A195="","",$B$2)</f>
        <v/>
      </c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  <c r="AA195" s="27" t="n"/>
      <c r="AB195" s="27" t="n"/>
      <c r="AC195" s="27" t="n"/>
      <c r="AD195" s="27" t="n"/>
      <c r="AE195" s="27" t="n"/>
      <c r="AF195" s="27" t="n"/>
      <c r="AG195" s="27" t="n"/>
      <c r="AH195" s="27" t="n"/>
      <c r="AI195" s="27" t="n"/>
      <c r="AJ195" s="27" t="n"/>
      <c r="AK195" s="27" t="n"/>
      <c r="AL195" s="27" t="n"/>
      <c r="AM195" s="27" t="n"/>
      <c r="AN195" s="27" t="n"/>
      <c r="AO195" s="27" t="n"/>
      <c r="AP195" s="27" t="n"/>
      <c r="AQ195" s="27" t="n"/>
      <c r="AR195" s="27" t="n"/>
      <c r="AS195" s="27" t="n"/>
      <c r="AT195" s="27" t="n"/>
      <c r="AU195" s="27" t="n"/>
      <c r="AV195" s="27" t="n"/>
      <c r="AW195" s="27" t="n"/>
      <c r="AX195" s="27" t="n"/>
      <c r="AY195" s="27" t="n"/>
      <c r="AZ195" s="27" t="n"/>
      <c r="BA195" s="27" t="n"/>
      <c r="BB195" s="27" t="n"/>
      <c r="BC195" s="27" t="n"/>
      <c r="BD195" s="27" t="n"/>
      <c r="BE195" s="27" t="n"/>
      <c r="BF195" s="27" t="n"/>
      <c r="BG195" s="27" t="n"/>
      <c r="BH195" s="27" t="n"/>
      <c r="BI195" s="29" t="n"/>
      <c r="BJ195" s="27" t="n"/>
      <c r="BK195" s="27" t="n"/>
      <c r="BL195" s="27" t="n"/>
      <c r="BM195" s="27" t="n"/>
    </row>
    <row r="196">
      <c r="A196" s="27" t="n"/>
      <c r="B196" s="27" t="n"/>
      <c r="C196" s="28">
        <f>IF(A196="","",$B$2)</f>
        <v/>
      </c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  <c r="AA196" s="27" t="n"/>
      <c r="AB196" s="27" t="n"/>
      <c r="AC196" s="27" t="n"/>
      <c r="AD196" s="27" t="n"/>
      <c r="AE196" s="27" t="n"/>
      <c r="AF196" s="27" t="n"/>
      <c r="AG196" s="27" t="n"/>
      <c r="AH196" s="27" t="n"/>
      <c r="AI196" s="27" t="n"/>
      <c r="AJ196" s="27" t="n"/>
      <c r="AK196" s="27" t="n"/>
      <c r="AL196" s="27" t="n"/>
      <c r="AM196" s="27" t="n"/>
      <c r="AN196" s="27" t="n"/>
      <c r="AO196" s="27" t="n"/>
      <c r="AP196" s="27" t="n"/>
      <c r="AQ196" s="27" t="n"/>
      <c r="AR196" s="27" t="n"/>
      <c r="AS196" s="27" t="n"/>
      <c r="AT196" s="27" t="n"/>
      <c r="AU196" s="27" t="n"/>
      <c r="AV196" s="27" t="n"/>
      <c r="AW196" s="27" t="n"/>
      <c r="AX196" s="27" t="n"/>
      <c r="AY196" s="27" t="n"/>
      <c r="AZ196" s="27" t="n"/>
      <c r="BA196" s="27" t="n"/>
      <c r="BB196" s="27" t="n"/>
      <c r="BC196" s="27" t="n"/>
      <c r="BD196" s="27" t="n"/>
      <c r="BE196" s="27" t="n"/>
      <c r="BF196" s="27" t="n"/>
      <c r="BG196" s="27" t="n"/>
      <c r="BH196" s="27" t="n"/>
      <c r="BI196" s="29" t="n"/>
      <c r="BJ196" s="27" t="n"/>
      <c r="BK196" s="27" t="n"/>
      <c r="BL196" s="27" t="n"/>
      <c r="BM196" s="27" t="n"/>
    </row>
    <row r="197">
      <c r="A197" s="27" t="n"/>
      <c r="B197" s="27" t="n"/>
      <c r="C197" s="28">
        <f>IF(A197="","",$B$2)</f>
        <v/>
      </c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  <c r="AA197" s="27" t="n"/>
      <c r="AB197" s="27" t="n"/>
      <c r="AC197" s="27" t="n"/>
      <c r="AD197" s="27" t="n"/>
      <c r="AE197" s="27" t="n"/>
      <c r="AF197" s="27" t="n"/>
      <c r="AG197" s="27" t="n"/>
      <c r="AH197" s="27" t="n"/>
      <c r="AI197" s="27" t="n"/>
      <c r="AJ197" s="27" t="n"/>
      <c r="AK197" s="27" t="n"/>
      <c r="AL197" s="27" t="n"/>
      <c r="AM197" s="27" t="n"/>
      <c r="AN197" s="27" t="n"/>
      <c r="AO197" s="27" t="n"/>
      <c r="AP197" s="27" t="n"/>
      <c r="AQ197" s="27" t="n"/>
      <c r="AR197" s="27" t="n"/>
      <c r="AS197" s="27" t="n"/>
      <c r="AT197" s="27" t="n"/>
      <c r="AU197" s="27" t="n"/>
      <c r="AV197" s="27" t="n"/>
      <c r="AW197" s="27" t="n"/>
      <c r="AX197" s="27" t="n"/>
      <c r="AY197" s="27" t="n"/>
      <c r="AZ197" s="27" t="n"/>
      <c r="BA197" s="27" t="n"/>
      <c r="BB197" s="27" t="n"/>
      <c r="BC197" s="27" t="n"/>
      <c r="BD197" s="27" t="n"/>
      <c r="BE197" s="27" t="n"/>
      <c r="BF197" s="27" t="n"/>
      <c r="BG197" s="27" t="n"/>
      <c r="BH197" s="27" t="n"/>
      <c r="BI197" s="29" t="n"/>
      <c r="BJ197" s="27" t="n"/>
      <c r="BK197" s="27" t="n"/>
      <c r="BL197" s="27" t="n"/>
      <c r="BM197" s="27" t="n"/>
    </row>
    <row r="198">
      <c r="A198" s="27" t="n"/>
      <c r="B198" s="27" t="n"/>
      <c r="C198" s="28">
        <f>IF(A198="","",$B$2)</f>
        <v/>
      </c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  <c r="AA198" s="27" t="n"/>
      <c r="AB198" s="27" t="n"/>
      <c r="AC198" s="27" t="n"/>
      <c r="AD198" s="27" t="n"/>
      <c r="AE198" s="27" t="n"/>
      <c r="AF198" s="27" t="n"/>
      <c r="AG198" s="27" t="n"/>
      <c r="AH198" s="27" t="n"/>
      <c r="AI198" s="27" t="n"/>
      <c r="AJ198" s="27" t="n"/>
      <c r="AK198" s="27" t="n"/>
      <c r="AL198" s="27" t="n"/>
      <c r="AM198" s="27" t="n"/>
      <c r="AN198" s="27" t="n"/>
      <c r="AO198" s="27" t="n"/>
      <c r="AP198" s="27" t="n"/>
      <c r="AQ198" s="27" t="n"/>
      <c r="AR198" s="27" t="n"/>
      <c r="AS198" s="27" t="n"/>
      <c r="AT198" s="27" t="n"/>
      <c r="AU198" s="27" t="n"/>
      <c r="AV198" s="27" t="n"/>
      <c r="AW198" s="27" t="n"/>
      <c r="AX198" s="27" t="n"/>
      <c r="AY198" s="27" t="n"/>
      <c r="AZ198" s="27" t="n"/>
      <c r="BA198" s="27" t="n"/>
      <c r="BB198" s="27" t="n"/>
      <c r="BC198" s="27" t="n"/>
      <c r="BD198" s="27" t="n"/>
      <c r="BE198" s="27" t="n"/>
      <c r="BF198" s="27" t="n"/>
      <c r="BG198" s="27" t="n"/>
      <c r="BH198" s="27" t="n"/>
      <c r="BI198" s="29" t="n"/>
      <c r="BJ198" s="27" t="n"/>
      <c r="BK198" s="27" t="n"/>
      <c r="BL198" s="27" t="n"/>
      <c r="BM198" s="27" t="n"/>
    </row>
    <row r="199">
      <c r="A199" s="27" t="n"/>
      <c r="B199" s="27" t="n"/>
      <c r="C199" s="28">
        <f>IF(A199="","",$B$2)</f>
        <v/>
      </c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  <c r="AA199" s="27" t="n"/>
      <c r="AB199" s="27" t="n"/>
      <c r="AC199" s="27" t="n"/>
      <c r="AD199" s="27" t="n"/>
      <c r="AE199" s="27" t="n"/>
      <c r="AF199" s="27" t="n"/>
      <c r="AG199" s="27" t="n"/>
      <c r="AH199" s="27" t="n"/>
      <c r="AI199" s="27" t="n"/>
      <c r="AJ199" s="27" t="n"/>
      <c r="AK199" s="27" t="n"/>
      <c r="AL199" s="27" t="n"/>
      <c r="AM199" s="27" t="n"/>
      <c r="AN199" s="27" t="n"/>
      <c r="AO199" s="27" t="n"/>
      <c r="AP199" s="27" t="n"/>
      <c r="AQ199" s="27" t="n"/>
      <c r="AR199" s="27" t="n"/>
      <c r="AS199" s="27" t="n"/>
      <c r="AT199" s="27" t="n"/>
      <c r="AU199" s="27" t="n"/>
      <c r="AV199" s="27" t="n"/>
      <c r="AW199" s="27" t="n"/>
      <c r="AX199" s="27" t="n"/>
      <c r="AY199" s="27" t="n"/>
      <c r="AZ199" s="27" t="n"/>
      <c r="BA199" s="27" t="n"/>
      <c r="BB199" s="27" t="n"/>
      <c r="BC199" s="27" t="n"/>
      <c r="BD199" s="27" t="n"/>
      <c r="BE199" s="27" t="n"/>
      <c r="BF199" s="27" t="n"/>
      <c r="BG199" s="27" t="n"/>
      <c r="BH199" s="27" t="n"/>
      <c r="BI199" s="29" t="n"/>
      <c r="BJ199" s="27" t="n"/>
      <c r="BK199" s="27" t="n"/>
      <c r="BL199" s="27" t="n"/>
      <c r="BM199" s="27" t="n"/>
    </row>
    <row r="200">
      <c r="A200" s="27" t="n"/>
      <c r="B200" s="27" t="n"/>
      <c r="C200" s="28">
        <f>IF(A200="","",$B$2)</f>
        <v/>
      </c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  <c r="AA200" s="27" t="n"/>
      <c r="AB200" s="27" t="n"/>
      <c r="AC200" s="27" t="n"/>
      <c r="AD200" s="27" t="n"/>
      <c r="AE200" s="27" t="n"/>
      <c r="AF200" s="27" t="n"/>
      <c r="AG200" s="27" t="n"/>
      <c r="AH200" s="27" t="n"/>
      <c r="AI200" s="27" t="n"/>
      <c r="AJ200" s="27" t="n"/>
      <c r="AK200" s="27" t="n"/>
      <c r="AL200" s="27" t="n"/>
      <c r="AM200" s="27" t="n"/>
      <c r="AN200" s="27" t="n"/>
      <c r="AO200" s="27" t="n"/>
      <c r="AP200" s="27" t="n"/>
      <c r="AQ200" s="27" t="n"/>
      <c r="AR200" s="27" t="n"/>
      <c r="AS200" s="27" t="n"/>
      <c r="AT200" s="27" t="n"/>
      <c r="AU200" s="27" t="n"/>
      <c r="AV200" s="27" t="n"/>
      <c r="AW200" s="27" t="n"/>
      <c r="AX200" s="27" t="n"/>
      <c r="AY200" s="27" t="n"/>
      <c r="AZ200" s="27" t="n"/>
      <c r="BA200" s="27" t="n"/>
      <c r="BB200" s="27" t="n"/>
      <c r="BC200" s="27" t="n"/>
      <c r="BD200" s="27" t="n"/>
      <c r="BE200" s="27" t="n"/>
      <c r="BF200" s="27" t="n"/>
      <c r="BG200" s="27" t="n"/>
      <c r="BH200" s="27" t="n"/>
      <c r="BI200" s="29" t="n"/>
      <c r="BJ200" s="27" t="n"/>
      <c r="BK200" s="27" t="n"/>
      <c r="BL200" s="27" t="n"/>
      <c r="BM200" s="27" t="n"/>
    </row>
    <row r="201">
      <c r="A201" s="27" t="n"/>
      <c r="B201" s="27" t="n"/>
      <c r="C201" s="28">
        <f>IF(A201="","",$B$2)</f>
        <v/>
      </c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  <c r="AA201" s="27" t="n"/>
      <c r="AB201" s="27" t="n"/>
      <c r="AC201" s="27" t="n"/>
      <c r="AD201" s="27" t="n"/>
      <c r="AE201" s="27" t="n"/>
      <c r="AF201" s="27" t="n"/>
      <c r="AG201" s="27" t="n"/>
      <c r="AH201" s="27" t="n"/>
      <c r="AI201" s="27" t="n"/>
      <c r="AJ201" s="27" t="n"/>
      <c r="AK201" s="27" t="n"/>
      <c r="AL201" s="27" t="n"/>
      <c r="AM201" s="27" t="n"/>
      <c r="AN201" s="27" t="n"/>
      <c r="AO201" s="27" t="n"/>
      <c r="AP201" s="27" t="n"/>
      <c r="AQ201" s="27" t="n"/>
      <c r="AR201" s="27" t="n"/>
      <c r="AS201" s="27" t="n"/>
      <c r="AT201" s="27" t="n"/>
      <c r="AU201" s="27" t="n"/>
      <c r="AV201" s="27" t="n"/>
      <c r="AW201" s="27" t="n"/>
      <c r="AX201" s="27" t="n"/>
      <c r="AY201" s="27" t="n"/>
      <c r="AZ201" s="27" t="n"/>
      <c r="BA201" s="27" t="n"/>
      <c r="BB201" s="27" t="n"/>
      <c r="BC201" s="27" t="n"/>
      <c r="BD201" s="27" t="n"/>
      <c r="BE201" s="27" t="n"/>
      <c r="BF201" s="27" t="n"/>
      <c r="BG201" s="27" t="n"/>
      <c r="BH201" s="27" t="n"/>
      <c r="BI201" s="29" t="n"/>
      <c r="BJ201" s="27" t="n"/>
      <c r="BK201" s="27" t="n"/>
      <c r="BL201" s="27" t="n"/>
      <c r="BM201" s="27" t="n"/>
    </row>
    <row r="202">
      <c r="A202" s="27" t="n"/>
      <c r="B202" s="27" t="n"/>
      <c r="C202" s="28">
        <f>IF(A202="","",$B$2)</f>
        <v/>
      </c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  <c r="AA202" s="27" t="n"/>
      <c r="AB202" s="27" t="n"/>
      <c r="AC202" s="27" t="n"/>
      <c r="AD202" s="27" t="n"/>
      <c r="AE202" s="27" t="n"/>
      <c r="AF202" s="27" t="n"/>
      <c r="AG202" s="27" t="n"/>
      <c r="AH202" s="27" t="n"/>
      <c r="AI202" s="27" t="n"/>
      <c r="AJ202" s="27" t="n"/>
      <c r="AK202" s="27" t="n"/>
      <c r="AL202" s="27" t="n"/>
      <c r="AM202" s="27" t="n"/>
      <c r="AN202" s="27" t="n"/>
      <c r="AO202" s="27" t="n"/>
      <c r="AP202" s="27" t="n"/>
      <c r="AQ202" s="27" t="n"/>
      <c r="AR202" s="27" t="n"/>
      <c r="AS202" s="27" t="n"/>
      <c r="AT202" s="27" t="n"/>
      <c r="AU202" s="27" t="n"/>
      <c r="AV202" s="27" t="n"/>
      <c r="AW202" s="27" t="n"/>
      <c r="AX202" s="27" t="n"/>
      <c r="AY202" s="27" t="n"/>
      <c r="AZ202" s="27" t="n"/>
      <c r="BA202" s="27" t="n"/>
      <c r="BB202" s="27" t="n"/>
      <c r="BC202" s="27" t="n"/>
      <c r="BD202" s="27" t="n"/>
      <c r="BE202" s="27" t="n"/>
      <c r="BF202" s="27" t="n"/>
      <c r="BG202" s="27" t="n"/>
      <c r="BH202" s="27" t="n"/>
      <c r="BI202" s="29" t="n"/>
      <c r="BJ202" s="27" t="n"/>
      <c r="BK202" s="27" t="n"/>
      <c r="BL202" s="27" t="n"/>
      <c r="BM202" s="27" t="n"/>
    </row>
    <row r="203">
      <c r="A203" s="27" t="n"/>
      <c r="B203" s="27" t="n"/>
      <c r="C203" s="28">
        <f>IF(A203="","",$B$2)</f>
        <v/>
      </c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  <c r="AA203" s="27" t="n"/>
      <c r="AB203" s="27" t="n"/>
      <c r="AC203" s="27" t="n"/>
      <c r="AD203" s="27" t="n"/>
      <c r="AE203" s="27" t="n"/>
      <c r="AF203" s="27" t="n"/>
      <c r="AG203" s="27" t="n"/>
      <c r="AH203" s="27" t="n"/>
      <c r="AI203" s="27" t="n"/>
      <c r="AJ203" s="27" t="n"/>
      <c r="AK203" s="27" t="n"/>
      <c r="AL203" s="27" t="n"/>
      <c r="AM203" s="27" t="n"/>
      <c r="AN203" s="27" t="n"/>
      <c r="AO203" s="27" t="n"/>
      <c r="AP203" s="27" t="n"/>
      <c r="AQ203" s="27" t="n"/>
      <c r="AR203" s="27" t="n"/>
      <c r="AS203" s="27" t="n"/>
      <c r="AT203" s="27" t="n"/>
      <c r="AU203" s="27" t="n"/>
      <c r="AV203" s="27" t="n"/>
      <c r="AW203" s="27" t="n"/>
      <c r="AX203" s="27" t="n"/>
      <c r="AY203" s="27" t="n"/>
      <c r="AZ203" s="27" t="n"/>
      <c r="BA203" s="27" t="n"/>
      <c r="BB203" s="27" t="n"/>
      <c r="BC203" s="27" t="n"/>
      <c r="BD203" s="27" t="n"/>
      <c r="BE203" s="27" t="n"/>
      <c r="BF203" s="27" t="n"/>
      <c r="BG203" s="27" t="n"/>
      <c r="BH203" s="27" t="n"/>
      <c r="BI203" s="29" t="n"/>
      <c r="BJ203" s="27" t="n"/>
      <c r="BK203" s="27" t="n"/>
      <c r="BL203" s="27" t="n"/>
      <c r="BM203" s="27" t="n"/>
    </row>
    <row r="204">
      <c r="A204" s="27" t="n"/>
      <c r="B204" s="27" t="n"/>
      <c r="C204" s="28">
        <f>IF(A204="","",$B$2)</f>
        <v/>
      </c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  <c r="AA204" s="27" t="n"/>
      <c r="AB204" s="27" t="n"/>
      <c r="AC204" s="27" t="n"/>
      <c r="AD204" s="27" t="n"/>
      <c r="AE204" s="27" t="n"/>
      <c r="AF204" s="27" t="n"/>
      <c r="AG204" s="27" t="n"/>
      <c r="AH204" s="27" t="n"/>
      <c r="AI204" s="27" t="n"/>
      <c r="AJ204" s="27" t="n"/>
      <c r="AK204" s="27" t="n"/>
      <c r="AL204" s="27" t="n"/>
      <c r="AM204" s="27" t="n"/>
      <c r="AN204" s="27" t="n"/>
      <c r="AO204" s="27" t="n"/>
      <c r="AP204" s="27" t="n"/>
      <c r="AQ204" s="27" t="n"/>
      <c r="AR204" s="27" t="n"/>
      <c r="AS204" s="27" t="n"/>
      <c r="AT204" s="27" t="n"/>
      <c r="AU204" s="27" t="n"/>
      <c r="AV204" s="27" t="n"/>
      <c r="AW204" s="27" t="n"/>
      <c r="AX204" s="27" t="n"/>
      <c r="AY204" s="27" t="n"/>
      <c r="AZ204" s="27" t="n"/>
      <c r="BA204" s="27" t="n"/>
      <c r="BB204" s="27" t="n"/>
      <c r="BC204" s="27" t="n"/>
      <c r="BD204" s="27" t="n"/>
      <c r="BE204" s="27" t="n"/>
      <c r="BF204" s="27" t="n"/>
      <c r="BG204" s="27" t="n"/>
      <c r="BH204" s="27" t="n"/>
      <c r="BI204" s="29" t="n"/>
      <c r="BJ204" s="27" t="n"/>
      <c r="BK204" s="27" t="n"/>
      <c r="BL204" s="27" t="n"/>
      <c r="BM204" s="27" t="n"/>
    </row>
    <row r="205">
      <c r="A205" s="27" t="n"/>
      <c r="B205" s="27" t="n"/>
      <c r="C205" s="28">
        <f>IF(A205="","",$B$2)</f>
        <v/>
      </c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  <c r="AA205" s="27" t="n"/>
      <c r="AB205" s="27" t="n"/>
      <c r="AC205" s="27" t="n"/>
      <c r="AD205" s="27" t="n"/>
      <c r="AE205" s="27" t="n"/>
      <c r="AF205" s="27" t="n"/>
      <c r="AG205" s="27" t="n"/>
      <c r="AH205" s="27" t="n"/>
      <c r="AI205" s="27" t="n"/>
      <c r="AJ205" s="27" t="n"/>
      <c r="AK205" s="27" t="n"/>
      <c r="AL205" s="27" t="n"/>
      <c r="AM205" s="27" t="n"/>
      <c r="AN205" s="27" t="n"/>
      <c r="AO205" s="27" t="n"/>
      <c r="AP205" s="27" t="n"/>
      <c r="AQ205" s="27" t="n"/>
      <c r="AR205" s="27" t="n"/>
      <c r="AS205" s="27" t="n"/>
      <c r="AT205" s="27" t="n"/>
      <c r="AU205" s="27" t="n"/>
      <c r="AV205" s="27" t="n"/>
      <c r="AW205" s="27" t="n"/>
      <c r="AX205" s="27" t="n"/>
      <c r="AY205" s="27" t="n"/>
      <c r="AZ205" s="27" t="n"/>
      <c r="BA205" s="27" t="n"/>
      <c r="BB205" s="27" t="n"/>
      <c r="BC205" s="27" t="n"/>
      <c r="BD205" s="27" t="n"/>
      <c r="BE205" s="27" t="n"/>
      <c r="BF205" s="27" t="n"/>
      <c r="BG205" s="27" t="n"/>
      <c r="BH205" s="27" t="n"/>
      <c r="BI205" s="29" t="n"/>
      <c r="BJ205" s="27" t="n"/>
      <c r="BK205" s="27" t="n"/>
      <c r="BL205" s="27" t="n"/>
      <c r="BM205" s="27" t="n"/>
    </row>
  </sheetData>
  <autoFilter ref="A5:BM205"/>
  <mergeCells count="21">
    <mergeCell ref="BH4:BH5"/>
    <mergeCell ref="C4:C5"/>
    <mergeCell ref="E4:E5"/>
    <mergeCell ref="BE4:BE5"/>
    <mergeCell ref="BG4:BG5"/>
    <mergeCell ref="BK4:BK5"/>
    <mergeCell ref="A3:F3"/>
    <mergeCell ref="D4:D5"/>
    <mergeCell ref="BE3:BH3"/>
    <mergeCell ref="BF4:BF5"/>
    <mergeCell ref="BL4:BL5"/>
    <mergeCell ref="BI3:BM3"/>
    <mergeCell ref="A4:A5"/>
    <mergeCell ref="BO4:DN4"/>
    <mergeCell ref="BI4:BI5"/>
    <mergeCell ref="BM4:BM5"/>
    <mergeCell ref="G3:BD3"/>
    <mergeCell ref="B4:B5"/>
    <mergeCell ref="F4:F5"/>
    <mergeCell ref="BJ4:BJ5"/>
    <mergeCell ref="B2:D2"/>
  </mergeCells>
  <dataValidations count="56">
    <dataValidation sqref="G6:G205" showDropDown="0" showInputMessage="0" showErrorMessage="0" allowBlank="1" type="list">
      <formula1>'テストケース1'!$BO$6:$BO$15</formula1>
    </dataValidation>
    <dataValidation sqref="H6:H205" showDropDown="0" showInputMessage="0" showErrorMessage="0" allowBlank="1" type="list">
      <formula1>'テストケース1'!$BP$6:$BP$15</formula1>
    </dataValidation>
    <dataValidation sqref="I6:I205" showDropDown="0" showInputMessage="0" showErrorMessage="0" allowBlank="1" type="list">
      <formula1>'テストケース1'!$BQ$6:$BQ$15</formula1>
    </dataValidation>
    <dataValidation sqref="J6:J205" showDropDown="0" showInputMessage="0" showErrorMessage="0" allowBlank="1" type="list">
      <formula1>'テストケース1'!$BR$6:$BR$15</formula1>
    </dataValidation>
    <dataValidation sqref="K6:K205" showDropDown="0" showInputMessage="0" showErrorMessage="0" allowBlank="1" type="list">
      <formula1>'テストケース1'!$BS$6:$BS$15</formula1>
    </dataValidation>
    <dataValidation sqref="L6:L205" showDropDown="0" showInputMessage="0" showErrorMessage="0" allowBlank="1" type="list">
      <formula1>'テストケース1'!$BT$6:$BT$15</formula1>
    </dataValidation>
    <dataValidation sqref="M6:M205" showDropDown="0" showInputMessage="0" showErrorMessage="0" allowBlank="1" type="list">
      <formula1>'テストケース1'!$BU$6:$BU$15</formula1>
    </dataValidation>
    <dataValidation sqref="N6:N205" showDropDown="0" showInputMessage="0" showErrorMessage="0" allowBlank="1" type="list">
      <formula1>'テストケース1'!$BV$6:$BV$15</formula1>
    </dataValidation>
    <dataValidation sqref="O6:O205" showDropDown="0" showInputMessage="0" showErrorMessage="0" allowBlank="1" type="list">
      <formula1>'テストケース1'!$BW$6:$BW$15</formula1>
    </dataValidation>
    <dataValidation sqref="P6:P205" showDropDown="0" showInputMessage="0" showErrorMessage="0" allowBlank="1" type="list">
      <formula1>'テストケース1'!$BX$6:$BX$15</formula1>
    </dataValidation>
    <dataValidation sqref="Q6:Q205" showDropDown="0" showInputMessage="0" showErrorMessage="0" allowBlank="1" type="list">
      <formula1>'テストケース1'!$BY$6:$BY$15</formula1>
    </dataValidation>
    <dataValidation sqref="R6:R205" showDropDown="0" showInputMessage="0" showErrorMessage="0" allowBlank="1" type="list">
      <formula1>'テストケース1'!$BZ$6:$BZ$15</formula1>
    </dataValidation>
    <dataValidation sqref="S6:S205" showDropDown="0" showInputMessage="0" showErrorMessage="0" allowBlank="1" type="list">
      <formula1>'テストケース1'!$CA$6:$CA$15</formula1>
    </dataValidation>
    <dataValidation sqref="T6:T205" showDropDown="0" showInputMessage="0" showErrorMessage="0" allowBlank="1" type="list">
      <formula1>'テストケース1'!$CB$6:$CB$15</formula1>
    </dataValidation>
    <dataValidation sqref="U6:U205" showDropDown="0" showInputMessage="0" showErrorMessage="0" allowBlank="1" type="list">
      <formula1>'テストケース1'!$CC$6:$CC$15</formula1>
    </dataValidation>
    <dataValidation sqref="V6:V205" showDropDown="0" showInputMessage="0" showErrorMessage="0" allowBlank="1" type="list">
      <formula1>'テストケース1'!$CD$6:$CD$15</formula1>
    </dataValidation>
    <dataValidation sqref="W6:W205" showDropDown="0" showInputMessage="0" showErrorMessage="0" allowBlank="1" type="list">
      <formula1>'テストケース1'!$CE$6:$CE$15</formula1>
    </dataValidation>
    <dataValidation sqref="X6:X205" showDropDown="0" showInputMessage="0" showErrorMessage="0" allowBlank="1" type="list">
      <formula1>'テストケース1'!$CF$6:$CF$15</formula1>
    </dataValidation>
    <dataValidation sqref="Y6:Y205" showDropDown="0" showInputMessage="0" showErrorMessage="0" allowBlank="1" type="list">
      <formula1>'テストケース1'!$CG$6:$CG$15</formula1>
    </dataValidation>
    <dataValidation sqref="Z6:Z205" showDropDown="0" showInputMessage="0" showErrorMessage="0" allowBlank="1" type="list">
      <formula1>'テストケース1'!$CH$6:$CH$15</formula1>
    </dataValidation>
    <dataValidation sqref="AA6:AA205" showDropDown="0" showInputMessage="0" showErrorMessage="0" allowBlank="1" type="list">
      <formula1>'テストケース1'!$CI$6:$CI$15</formula1>
    </dataValidation>
    <dataValidation sqref="AB6:AB205" showDropDown="0" showInputMessage="0" showErrorMessage="0" allowBlank="1" type="list">
      <formula1>'テストケース1'!$CJ$6:$CJ$15</formula1>
    </dataValidation>
    <dataValidation sqref="AC6:AC205" showDropDown="0" showInputMessage="0" showErrorMessage="0" allowBlank="1" type="list">
      <formula1>'テストケース1'!$CK$6:$CK$15</formula1>
    </dataValidation>
    <dataValidation sqref="AD6:AD205" showDropDown="0" showInputMessage="0" showErrorMessage="0" allowBlank="1" type="list">
      <formula1>'テストケース1'!$CL$6:$CL$15</formula1>
    </dataValidation>
    <dataValidation sqref="AE6:AE205" showDropDown="0" showInputMessage="0" showErrorMessage="0" allowBlank="1" type="list">
      <formula1>'テストケース1'!$CM$6:$CM$15</formula1>
    </dataValidation>
    <dataValidation sqref="AF6:AF205" showDropDown="0" showInputMessage="0" showErrorMessage="0" allowBlank="1" type="list">
      <formula1>'テストケース1'!$CN$6:$CN$15</formula1>
    </dataValidation>
    <dataValidation sqref="AG6:AG205" showDropDown="0" showInputMessage="0" showErrorMessage="0" allowBlank="1" type="list">
      <formula1>'テストケース1'!$CO$6:$CO$15</formula1>
    </dataValidation>
    <dataValidation sqref="AH6:AH205" showDropDown="0" showInputMessage="0" showErrorMessage="0" allowBlank="1" type="list">
      <formula1>'テストケース1'!$CP$6:$CP$15</formula1>
    </dataValidation>
    <dataValidation sqref="AI6:AI205" showDropDown="0" showInputMessage="0" showErrorMessage="0" allowBlank="1" type="list">
      <formula1>'テストケース1'!$CQ$6:$CQ$15</formula1>
    </dataValidation>
    <dataValidation sqref="AJ6:AJ205" showDropDown="0" showInputMessage="0" showErrorMessage="0" allowBlank="1" type="list">
      <formula1>'テストケース1'!$CR$6:$CR$15</formula1>
    </dataValidation>
    <dataValidation sqref="AK6:AK205" showDropDown="0" showInputMessage="0" showErrorMessage="0" allowBlank="1" type="list">
      <formula1>'テストケース1'!$CS$6:$CS$15</formula1>
    </dataValidation>
    <dataValidation sqref="AL6:AL205" showDropDown="0" showInputMessage="0" showErrorMessage="0" allowBlank="1" type="list">
      <formula1>'テストケース1'!$CT$6:$CT$15</formula1>
    </dataValidation>
    <dataValidation sqref="AM6:AM205" showDropDown="0" showInputMessage="0" showErrorMessage="0" allowBlank="1" type="list">
      <formula1>'テストケース1'!$CU$6:$CU$15</formula1>
    </dataValidation>
    <dataValidation sqref="AN6:AN205" showDropDown="0" showInputMessage="0" showErrorMessage="0" allowBlank="1" type="list">
      <formula1>'テストケース1'!$CV$6:$CV$15</formula1>
    </dataValidation>
    <dataValidation sqref="AO6:AO205" showDropDown="0" showInputMessage="0" showErrorMessage="0" allowBlank="1" type="list">
      <formula1>'テストケース1'!$CW$6:$CW$15</formula1>
    </dataValidation>
    <dataValidation sqref="AP6:AP205" showDropDown="0" showInputMessage="0" showErrorMessage="0" allowBlank="1" type="list">
      <formula1>'テストケース1'!$CX$6:$CX$15</formula1>
    </dataValidation>
    <dataValidation sqref="AQ6:AQ205" showDropDown="0" showInputMessage="0" showErrorMessage="0" allowBlank="1" type="list">
      <formula1>'テストケース1'!$CY$6:$CY$15</formula1>
    </dataValidation>
    <dataValidation sqref="AR6:AR205" showDropDown="0" showInputMessage="0" showErrorMessage="0" allowBlank="1" type="list">
      <formula1>'テストケース1'!$CZ$6:$CZ$15</formula1>
    </dataValidation>
    <dataValidation sqref="AS6:AS205" showDropDown="0" showInputMessage="0" showErrorMessage="0" allowBlank="1" type="list">
      <formula1>'テストケース1'!$DA$6:$DA$15</formula1>
    </dataValidation>
    <dataValidation sqref="AT6:AT205" showDropDown="0" showInputMessage="0" showErrorMessage="0" allowBlank="1" type="list">
      <formula1>'テストケース1'!$DB$6:$DB$15</formula1>
    </dataValidation>
    <dataValidation sqref="AU6:AU205" showDropDown="0" showInputMessage="0" showErrorMessage="0" allowBlank="1" type="list">
      <formula1>'テストケース1'!$DC$6:$DC$15</formula1>
    </dataValidation>
    <dataValidation sqref="AV6:AV205" showDropDown="0" showInputMessage="0" showErrorMessage="0" allowBlank="1" type="list">
      <formula1>'テストケース1'!$DD$6:$DD$15</formula1>
    </dataValidation>
    <dataValidation sqref="AW6:AW205" showDropDown="0" showInputMessage="0" showErrorMessage="0" allowBlank="1" type="list">
      <formula1>'テストケース1'!$DE$6:$DE$15</formula1>
    </dataValidation>
    <dataValidation sqref="AX6:AX205" showDropDown="0" showInputMessage="0" showErrorMessage="0" allowBlank="1" type="list">
      <formula1>'テストケース1'!$DF$6:$DF$15</formula1>
    </dataValidation>
    <dataValidation sqref="AY6:AY205" showDropDown="0" showInputMessage="0" showErrorMessage="0" allowBlank="1" type="list">
      <formula1>'テストケース1'!$DG$6:$DG$15</formula1>
    </dataValidation>
    <dataValidation sqref="AZ6:AZ205" showDropDown="0" showInputMessage="0" showErrorMessage="0" allowBlank="1" type="list">
      <formula1>'テストケース1'!$DH$6:$DH$15</formula1>
    </dataValidation>
    <dataValidation sqref="BA6:BA205" showDropDown="0" showInputMessage="0" showErrorMessage="0" allowBlank="1" type="list">
      <formula1>'テストケース1'!$DI$6:$DI$15</formula1>
    </dataValidation>
    <dataValidation sqref="BB6:BB205" showDropDown="0" showInputMessage="0" showErrorMessage="0" allowBlank="1" type="list">
      <formula1>'テストケース1'!$DJ$6:$DJ$15</formula1>
    </dataValidation>
    <dataValidation sqref="BC6:BC205" showDropDown="0" showInputMessage="0" showErrorMessage="0" allowBlank="1" type="list">
      <formula1>'テストケース1'!$DK$6:$DK$15</formula1>
    </dataValidation>
    <dataValidation sqref="BD6:BD205" showDropDown="0" showInputMessage="0" showErrorMessage="0" allowBlank="1" type="list">
      <formula1>'テストケース1'!$DL$6:$DL$15</formula1>
    </dataValidation>
    <dataValidation sqref="C6:C205" showDropDown="0" showInputMessage="0" showErrorMessage="0" allowBlank="1" type="list">
      <formula1>'テストケース1'!$DM$6:$DM$35</formula1>
    </dataValidation>
    <dataValidation sqref="B2" showDropDown="0" showInputMessage="0" showErrorMessage="0" allowBlank="1" type="list">
      <formula1>'テストケース1'!$DM$6:$DM$35</formula1>
    </dataValidation>
    <dataValidation sqref="B6:B205" showDropDown="0" showInputMessage="0" showErrorMessage="0" allowBlank="1" type="list">
      <formula1>'テストケース1'!$DN$6:$DN$105</formula1>
    </dataValidation>
    <dataValidation sqref="E6:E205" showDropDown="0" showInputMessage="0" showErrorMessage="0" allowBlank="1" type="list">
      <formula1>"高,中,低"</formula1>
    </dataValidation>
    <dataValidation sqref="BH6:BH205" showDropDown="0" showInputMessage="0" showErrorMessage="0" allowBlank="1" type="list">
      <formula1>"要,否,済"</formula1>
    </dataValidation>
    <dataValidation sqref="BK6:BK205" showDropDown="0" showInputMessage="0" showErrorMessage="0" allowBlank="1" type="list">
      <formula1>"OK,NG,保留,対象外"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N20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8" customWidth="1" min="4" max="4"/>
    <col width="7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30" customWidth="1" min="57" max="57"/>
    <col width="34" customWidth="1" min="58" max="58"/>
    <col width="14" customWidth="1" min="59" max="59"/>
    <col width="9" customWidth="1" min="60" max="60"/>
    <col width="11" customWidth="1" min="61" max="61"/>
    <col width="10" customWidth="1" min="62" max="62"/>
    <col width="9" customWidth="1" min="63" max="63"/>
    <col width="10" customWidth="1" min="64" max="64"/>
    <col width="24" customWidth="1" min="65" max="65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</cols>
  <sheetData>
    <row r="1">
      <c r="A1" s="1" t="inlineStr">
        <is>
          <t>テストケース</t>
        </is>
      </c>
      <c r="E1" s="2" t="inlineStr">
        <is>
          <t>2 行目でカテゴリを選ぶと、そのカテゴリの因子が左から自動で入ります。セルは水準のプルダウンから選べます。</t>
        </is>
      </c>
    </row>
    <row r="2">
      <c r="A2" s="11" t="inlineStr">
        <is>
          <t>カテゴリ</t>
        </is>
      </c>
      <c r="B2" s="8" t="n"/>
      <c r="C2" s="9" t="n"/>
      <c r="D2" s="10" t="n"/>
      <c r="E2" s="18">
        <f>IF($B$2="","",COUNTIF('因子水準表'!$B$5:$KO$5,$B$2)&amp;" 因子")</f>
        <v/>
      </c>
    </row>
    <row r="3">
      <c r="A3" s="21" t="inlineStr">
        <is>
          <t>テストケース</t>
        </is>
      </c>
      <c r="B3" s="9" t="n"/>
      <c r="C3" s="9" t="n"/>
      <c r="D3" s="9" t="n"/>
      <c r="E3" s="9" t="n"/>
      <c r="F3" s="10" t="n"/>
      <c r="G3" s="21" t="inlineStr">
        <is>
          <t>因子の水準（シートのカテゴリの因子が自動で入る）</t>
        </is>
      </c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  <c r="AQ3" s="9" t="n"/>
      <c r="AR3" s="9" t="n"/>
      <c r="AS3" s="9" t="n"/>
      <c r="AT3" s="9" t="n"/>
      <c r="AU3" s="9" t="n"/>
      <c r="AV3" s="9" t="n"/>
      <c r="AW3" s="9" t="n"/>
      <c r="AX3" s="9" t="n"/>
      <c r="AY3" s="9" t="n"/>
      <c r="AZ3" s="9" t="n"/>
      <c r="BA3" s="9" t="n"/>
      <c r="BB3" s="9" t="n"/>
      <c r="BC3" s="9" t="n"/>
      <c r="BD3" s="10" t="n"/>
      <c r="BE3" s="21" t="inlineStr">
        <is>
          <t>内容</t>
        </is>
      </c>
      <c r="BF3" s="9" t="n"/>
      <c r="BG3" s="9" t="n"/>
      <c r="BH3" s="10" t="n"/>
      <c r="BI3" s="21" t="inlineStr">
        <is>
          <t>実行結果</t>
        </is>
      </c>
      <c r="BJ3" s="9" t="n"/>
      <c r="BK3" s="9" t="n"/>
      <c r="BL3" s="9" t="n"/>
      <c r="BM3" s="10" t="n"/>
    </row>
    <row r="4">
      <c r="A4" s="12" t="inlineStr">
        <is>
          <t>ID</t>
        </is>
      </c>
      <c r="B4" s="12" t="inlineStr">
        <is>
          <t>条件ID</t>
        </is>
      </c>
      <c r="C4" s="12" t="inlineStr">
        <is>
          <t>カテゴリ</t>
        </is>
      </c>
      <c r="D4" s="12" t="inlineStr">
        <is>
          <t>テスト観点（目的）</t>
        </is>
      </c>
      <c r="E4" s="12" t="inlineStr">
        <is>
          <t>優先度</t>
        </is>
      </c>
      <c r="F4" s="12" t="inlineStr">
        <is>
          <t>事前条件</t>
        </is>
      </c>
      <c r="G4" s="22">
        <f>IF($B$2="","",IFERROR(INDEX('因子水準表'!$B$4:$KO$4,MATCH($B$2&amp;"|1",'因子水準表'!$B$20:$KO$20,0)),""))</f>
        <v/>
      </c>
      <c r="H4" s="22">
        <f>IF($B$2="","",IFERROR(INDEX('因子水準表'!$B$4:$KO$4,MATCH($B$2&amp;"|2",'因子水準表'!$B$20:$KO$20,0)),""))</f>
        <v/>
      </c>
      <c r="I4" s="22">
        <f>IF($B$2="","",IFERROR(INDEX('因子水準表'!$B$4:$KO$4,MATCH($B$2&amp;"|3",'因子水準表'!$B$20:$KO$20,0)),""))</f>
        <v/>
      </c>
      <c r="J4" s="22">
        <f>IF($B$2="","",IFERROR(INDEX('因子水準表'!$B$4:$KO$4,MATCH($B$2&amp;"|4",'因子水準表'!$B$20:$KO$20,0)),""))</f>
        <v/>
      </c>
      <c r="K4" s="22">
        <f>IF($B$2="","",IFERROR(INDEX('因子水準表'!$B$4:$KO$4,MATCH($B$2&amp;"|5",'因子水準表'!$B$20:$KO$20,0)),""))</f>
        <v/>
      </c>
      <c r="L4" s="22">
        <f>IF($B$2="","",IFERROR(INDEX('因子水準表'!$B$4:$KO$4,MATCH($B$2&amp;"|6",'因子水準表'!$B$20:$KO$20,0)),""))</f>
        <v/>
      </c>
      <c r="M4" s="22">
        <f>IF($B$2="","",IFERROR(INDEX('因子水準表'!$B$4:$KO$4,MATCH($B$2&amp;"|7",'因子水準表'!$B$20:$KO$20,0)),""))</f>
        <v/>
      </c>
      <c r="N4" s="22">
        <f>IF($B$2="","",IFERROR(INDEX('因子水準表'!$B$4:$KO$4,MATCH($B$2&amp;"|8",'因子水準表'!$B$20:$KO$20,0)),""))</f>
        <v/>
      </c>
      <c r="O4" s="22">
        <f>IF($B$2="","",IFERROR(INDEX('因子水準表'!$B$4:$KO$4,MATCH($B$2&amp;"|9",'因子水準表'!$B$20:$KO$20,0)),""))</f>
        <v/>
      </c>
      <c r="P4" s="22">
        <f>IF($B$2="","",IFERROR(INDEX('因子水準表'!$B$4:$KO$4,MATCH($B$2&amp;"|10",'因子水準表'!$B$20:$KO$20,0)),""))</f>
        <v/>
      </c>
      <c r="Q4" s="22">
        <f>IF($B$2="","",IFERROR(INDEX('因子水準表'!$B$4:$KO$4,MATCH($B$2&amp;"|11",'因子水準表'!$B$20:$KO$20,0)),""))</f>
        <v/>
      </c>
      <c r="R4" s="22">
        <f>IF($B$2="","",IFERROR(INDEX('因子水準表'!$B$4:$KO$4,MATCH($B$2&amp;"|12",'因子水準表'!$B$20:$KO$20,0)),""))</f>
        <v/>
      </c>
      <c r="S4" s="22">
        <f>IF($B$2="","",IFERROR(INDEX('因子水準表'!$B$4:$KO$4,MATCH($B$2&amp;"|13",'因子水準表'!$B$20:$KO$20,0)),""))</f>
        <v/>
      </c>
      <c r="T4" s="22">
        <f>IF($B$2="","",IFERROR(INDEX('因子水準表'!$B$4:$KO$4,MATCH($B$2&amp;"|14",'因子水準表'!$B$20:$KO$20,0)),""))</f>
        <v/>
      </c>
      <c r="U4" s="22">
        <f>IF($B$2="","",IFERROR(INDEX('因子水準表'!$B$4:$KO$4,MATCH($B$2&amp;"|15",'因子水準表'!$B$20:$KO$20,0)),""))</f>
        <v/>
      </c>
      <c r="V4" s="22">
        <f>IF($B$2="","",IFERROR(INDEX('因子水準表'!$B$4:$KO$4,MATCH($B$2&amp;"|16",'因子水準表'!$B$20:$KO$20,0)),""))</f>
        <v/>
      </c>
      <c r="W4" s="22">
        <f>IF($B$2="","",IFERROR(INDEX('因子水準表'!$B$4:$KO$4,MATCH($B$2&amp;"|17",'因子水準表'!$B$20:$KO$20,0)),""))</f>
        <v/>
      </c>
      <c r="X4" s="22">
        <f>IF($B$2="","",IFERROR(INDEX('因子水準表'!$B$4:$KO$4,MATCH($B$2&amp;"|18",'因子水準表'!$B$20:$KO$20,0)),""))</f>
        <v/>
      </c>
      <c r="Y4" s="22">
        <f>IF($B$2="","",IFERROR(INDEX('因子水準表'!$B$4:$KO$4,MATCH($B$2&amp;"|19",'因子水準表'!$B$20:$KO$20,0)),""))</f>
        <v/>
      </c>
      <c r="Z4" s="22">
        <f>IF($B$2="","",IFERROR(INDEX('因子水準表'!$B$4:$KO$4,MATCH($B$2&amp;"|20",'因子水準表'!$B$20:$KO$20,0)),""))</f>
        <v/>
      </c>
      <c r="AA4" s="22">
        <f>IF($B$2="","",IFERROR(INDEX('因子水準表'!$B$4:$KO$4,MATCH($B$2&amp;"|21",'因子水準表'!$B$20:$KO$20,0)),""))</f>
        <v/>
      </c>
      <c r="AB4" s="22">
        <f>IF($B$2="","",IFERROR(INDEX('因子水準表'!$B$4:$KO$4,MATCH($B$2&amp;"|22",'因子水準表'!$B$20:$KO$20,0)),""))</f>
        <v/>
      </c>
      <c r="AC4" s="22">
        <f>IF($B$2="","",IFERROR(INDEX('因子水準表'!$B$4:$KO$4,MATCH($B$2&amp;"|23",'因子水準表'!$B$20:$KO$20,0)),""))</f>
        <v/>
      </c>
      <c r="AD4" s="22">
        <f>IF($B$2="","",IFERROR(INDEX('因子水準表'!$B$4:$KO$4,MATCH($B$2&amp;"|24",'因子水準表'!$B$20:$KO$20,0)),""))</f>
        <v/>
      </c>
      <c r="AE4" s="22">
        <f>IF($B$2="","",IFERROR(INDEX('因子水準表'!$B$4:$KO$4,MATCH($B$2&amp;"|25",'因子水準表'!$B$20:$KO$20,0)),""))</f>
        <v/>
      </c>
      <c r="AF4" s="22">
        <f>IF($B$2="","",IFERROR(INDEX('因子水準表'!$B$4:$KO$4,MATCH($B$2&amp;"|26",'因子水準表'!$B$20:$KO$20,0)),""))</f>
        <v/>
      </c>
      <c r="AG4" s="22">
        <f>IF($B$2="","",IFERROR(INDEX('因子水準表'!$B$4:$KO$4,MATCH($B$2&amp;"|27",'因子水準表'!$B$20:$KO$20,0)),""))</f>
        <v/>
      </c>
      <c r="AH4" s="22">
        <f>IF($B$2="","",IFERROR(INDEX('因子水準表'!$B$4:$KO$4,MATCH($B$2&amp;"|28",'因子水準表'!$B$20:$KO$20,0)),""))</f>
        <v/>
      </c>
      <c r="AI4" s="22">
        <f>IF($B$2="","",IFERROR(INDEX('因子水準表'!$B$4:$KO$4,MATCH($B$2&amp;"|29",'因子水準表'!$B$20:$KO$20,0)),""))</f>
        <v/>
      </c>
      <c r="AJ4" s="22">
        <f>IF($B$2="","",IFERROR(INDEX('因子水準表'!$B$4:$KO$4,MATCH($B$2&amp;"|30",'因子水準表'!$B$20:$KO$20,0)),""))</f>
        <v/>
      </c>
      <c r="AK4" s="22">
        <f>IF($B$2="","",IFERROR(INDEX('因子水準表'!$B$4:$KO$4,MATCH($B$2&amp;"|31",'因子水準表'!$B$20:$KO$20,0)),""))</f>
        <v/>
      </c>
      <c r="AL4" s="22">
        <f>IF($B$2="","",IFERROR(INDEX('因子水準表'!$B$4:$KO$4,MATCH($B$2&amp;"|32",'因子水準表'!$B$20:$KO$20,0)),""))</f>
        <v/>
      </c>
      <c r="AM4" s="22">
        <f>IF($B$2="","",IFERROR(INDEX('因子水準表'!$B$4:$KO$4,MATCH($B$2&amp;"|33",'因子水準表'!$B$20:$KO$20,0)),""))</f>
        <v/>
      </c>
      <c r="AN4" s="22">
        <f>IF($B$2="","",IFERROR(INDEX('因子水準表'!$B$4:$KO$4,MATCH($B$2&amp;"|34",'因子水準表'!$B$20:$KO$20,0)),""))</f>
        <v/>
      </c>
      <c r="AO4" s="22">
        <f>IF($B$2="","",IFERROR(INDEX('因子水準表'!$B$4:$KO$4,MATCH($B$2&amp;"|35",'因子水準表'!$B$20:$KO$20,0)),""))</f>
        <v/>
      </c>
      <c r="AP4" s="22">
        <f>IF($B$2="","",IFERROR(INDEX('因子水準表'!$B$4:$KO$4,MATCH($B$2&amp;"|36",'因子水準表'!$B$20:$KO$20,0)),""))</f>
        <v/>
      </c>
      <c r="AQ4" s="22">
        <f>IF($B$2="","",IFERROR(INDEX('因子水準表'!$B$4:$KO$4,MATCH($B$2&amp;"|37",'因子水準表'!$B$20:$KO$20,0)),""))</f>
        <v/>
      </c>
      <c r="AR4" s="22">
        <f>IF($B$2="","",IFERROR(INDEX('因子水準表'!$B$4:$KO$4,MATCH($B$2&amp;"|38",'因子水準表'!$B$20:$KO$20,0)),""))</f>
        <v/>
      </c>
      <c r="AS4" s="22">
        <f>IF($B$2="","",IFERROR(INDEX('因子水準表'!$B$4:$KO$4,MATCH($B$2&amp;"|39",'因子水準表'!$B$20:$KO$20,0)),""))</f>
        <v/>
      </c>
      <c r="AT4" s="22">
        <f>IF($B$2="","",IFERROR(INDEX('因子水準表'!$B$4:$KO$4,MATCH($B$2&amp;"|40",'因子水準表'!$B$20:$KO$20,0)),""))</f>
        <v/>
      </c>
      <c r="AU4" s="22">
        <f>IF($B$2="","",IFERROR(INDEX('因子水準表'!$B$4:$KO$4,MATCH($B$2&amp;"|41",'因子水準表'!$B$20:$KO$20,0)),""))</f>
        <v/>
      </c>
      <c r="AV4" s="22">
        <f>IF($B$2="","",IFERROR(INDEX('因子水準表'!$B$4:$KO$4,MATCH($B$2&amp;"|42",'因子水準表'!$B$20:$KO$20,0)),""))</f>
        <v/>
      </c>
      <c r="AW4" s="22">
        <f>IF($B$2="","",IFERROR(INDEX('因子水準表'!$B$4:$KO$4,MATCH($B$2&amp;"|43",'因子水準表'!$B$20:$KO$20,0)),""))</f>
        <v/>
      </c>
      <c r="AX4" s="22">
        <f>IF($B$2="","",IFERROR(INDEX('因子水準表'!$B$4:$KO$4,MATCH($B$2&amp;"|44",'因子水準表'!$B$20:$KO$20,0)),""))</f>
        <v/>
      </c>
      <c r="AY4" s="22">
        <f>IF($B$2="","",IFERROR(INDEX('因子水準表'!$B$4:$KO$4,MATCH($B$2&amp;"|45",'因子水準表'!$B$20:$KO$20,0)),""))</f>
        <v/>
      </c>
      <c r="AZ4" s="22">
        <f>IF($B$2="","",IFERROR(INDEX('因子水準表'!$B$4:$KO$4,MATCH($B$2&amp;"|46",'因子水準表'!$B$20:$KO$20,0)),""))</f>
        <v/>
      </c>
      <c r="BA4" s="22">
        <f>IF($B$2="","",IFERROR(INDEX('因子水準表'!$B$4:$KO$4,MATCH($B$2&amp;"|47",'因子水準表'!$B$20:$KO$20,0)),""))</f>
        <v/>
      </c>
      <c r="BB4" s="22">
        <f>IF($B$2="","",IFERROR(INDEX('因子水準表'!$B$4:$KO$4,MATCH($B$2&amp;"|48",'因子水準表'!$B$20:$KO$20,0)),""))</f>
        <v/>
      </c>
      <c r="BC4" s="22">
        <f>IF($B$2="","",IFERROR(INDEX('因子水準表'!$B$4:$KO$4,MATCH($B$2&amp;"|49",'因子水準表'!$B$20:$KO$20,0)),""))</f>
        <v/>
      </c>
      <c r="BD4" s="22">
        <f>IF($B$2="","",IFERROR(INDEX('因子水準表'!$B$4:$KO$4,MATCH($B$2&amp;"|50",'因子水準表'!$B$20:$KO$20,0)),""))</f>
        <v/>
      </c>
      <c r="BE4" s="12" t="inlineStr">
        <is>
          <t>手順</t>
        </is>
      </c>
      <c r="BF4" s="12" t="inlineStr">
        <is>
          <t>期待結果</t>
        </is>
      </c>
      <c r="BG4" s="12" t="inlineStr">
        <is>
          <t>技法</t>
        </is>
      </c>
      <c r="BH4" s="12" t="inlineStr">
        <is>
          <t>自動化</t>
        </is>
      </c>
      <c r="BI4" s="12" t="inlineStr">
        <is>
          <t>実行日</t>
        </is>
      </c>
      <c r="BJ4" s="12" t="inlineStr">
        <is>
          <t>実行者</t>
        </is>
      </c>
      <c r="BK4" s="12" t="inlineStr">
        <is>
          <t>結果</t>
        </is>
      </c>
      <c r="BL4" s="12" t="inlineStr">
        <is>
          <t>欠陥ID</t>
        </is>
      </c>
      <c r="BM4" s="12" t="inlineStr">
        <is>
          <t>備考</t>
        </is>
      </c>
      <c r="BO4" s="21" t="inlineStr">
        <is>
          <t>プルダウン用（非表示・編集しない）</t>
        </is>
      </c>
      <c r="BP4" s="9" t="n"/>
      <c r="BQ4" s="9" t="n"/>
      <c r="BR4" s="9" t="n"/>
      <c r="BS4" s="9" t="n"/>
      <c r="BT4" s="9" t="n"/>
      <c r="BU4" s="9" t="n"/>
      <c r="BV4" s="9" t="n"/>
      <c r="BW4" s="9" t="n"/>
      <c r="BX4" s="9" t="n"/>
      <c r="BY4" s="9" t="n"/>
      <c r="BZ4" s="9" t="n"/>
      <c r="CA4" s="9" t="n"/>
      <c r="CB4" s="9" t="n"/>
      <c r="CC4" s="9" t="n"/>
      <c r="CD4" s="9" t="n"/>
      <c r="CE4" s="9" t="n"/>
      <c r="CF4" s="9" t="n"/>
      <c r="CG4" s="9" t="n"/>
      <c r="CH4" s="9" t="n"/>
      <c r="CI4" s="9" t="n"/>
      <c r="CJ4" s="9" t="n"/>
      <c r="CK4" s="9" t="n"/>
      <c r="CL4" s="9" t="n"/>
      <c r="CM4" s="9" t="n"/>
      <c r="CN4" s="9" t="n"/>
      <c r="CO4" s="9" t="n"/>
      <c r="CP4" s="9" t="n"/>
      <c r="CQ4" s="9" t="n"/>
      <c r="CR4" s="9" t="n"/>
      <c r="CS4" s="9" t="n"/>
      <c r="CT4" s="9" t="n"/>
      <c r="CU4" s="9" t="n"/>
      <c r="CV4" s="9" t="n"/>
      <c r="CW4" s="9" t="n"/>
      <c r="CX4" s="9" t="n"/>
      <c r="CY4" s="9" t="n"/>
      <c r="CZ4" s="9" t="n"/>
      <c r="DA4" s="9" t="n"/>
      <c r="DB4" s="9" t="n"/>
      <c r="DC4" s="9" t="n"/>
      <c r="DD4" s="9" t="n"/>
      <c r="DE4" s="9" t="n"/>
      <c r="DF4" s="9" t="n"/>
      <c r="DG4" s="9" t="n"/>
      <c r="DH4" s="9" t="n"/>
      <c r="DI4" s="9" t="n"/>
      <c r="DJ4" s="9" t="n"/>
      <c r="DK4" s="9" t="n"/>
      <c r="DL4" s="9" t="n"/>
      <c r="DM4" s="9" t="n"/>
      <c r="DN4" s="10" t="n"/>
    </row>
    <row r="5">
      <c r="A5" s="23" t="n"/>
      <c r="B5" s="23" t="n"/>
      <c r="C5" s="23" t="n"/>
      <c r="D5" s="23" t="n"/>
      <c r="E5" s="23" t="n"/>
      <c r="F5" s="23" t="n"/>
      <c r="G5" s="12">
        <f>IF(G4="","（未使用）",IFERROR(INDEX('因子水準表'!$B$6:$KO$6,MATCH(G4,'因子水準表'!$B$4:$KO$4,0)),"（ID不明）"))</f>
        <v/>
      </c>
      <c r="H5" s="12">
        <f>IF(H4="","（未使用）",IFERROR(INDEX('因子水準表'!$B$6:$KO$6,MATCH(H4,'因子水準表'!$B$4:$KO$4,0)),"（ID不明）"))</f>
        <v/>
      </c>
      <c r="I5" s="12">
        <f>IF(I4="","（未使用）",IFERROR(INDEX('因子水準表'!$B$6:$KO$6,MATCH(I4,'因子水準表'!$B$4:$KO$4,0)),"（ID不明）"))</f>
        <v/>
      </c>
      <c r="J5" s="12">
        <f>IF(J4="","（未使用）",IFERROR(INDEX('因子水準表'!$B$6:$KO$6,MATCH(J4,'因子水準表'!$B$4:$KO$4,0)),"（ID不明）"))</f>
        <v/>
      </c>
      <c r="K5" s="12">
        <f>IF(K4="","（未使用）",IFERROR(INDEX('因子水準表'!$B$6:$KO$6,MATCH(K4,'因子水準表'!$B$4:$KO$4,0)),"（ID不明）"))</f>
        <v/>
      </c>
      <c r="L5" s="12">
        <f>IF(L4="","（未使用）",IFERROR(INDEX('因子水準表'!$B$6:$KO$6,MATCH(L4,'因子水準表'!$B$4:$KO$4,0)),"（ID不明）"))</f>
        <v/>
      </c>
      <c r="M5" s="12">
        <f>IF(M4="","（未使用）",IFERROR(INDEX('因子水準表'!$B$6:$KO$6,MATCH(M4,'因子水準表'!$B$4:$KO$4,0)),"（ID不明）"))</f>
        <v/>
      </c>
      <c r="N5" s="12">
        <f>IF(N4="","（未使用）",IFERROR(INDEX('因子水準表'!$B$6:$KO$6,MATCH(N4,'因子水準表'!$B$4:$KO$4,0)),"（ID不明）"))</f>
        <v/>
      </c>
      <c r="O5" s="12">
        <f>IF(O4="","（未使用）",IFERROR(INDEX('因子水準表'!$B$6:$KO$6,MATCH(O4,'因子水準表'!$B$4:$KO$4,0)),"（ID不明）"))</f>
        <v/>
      </c>
      <c r="P5" s="12">
        <f>IF(P4="","（未使用）",IFERROR(INDEX('因子水準表'!$B$6:$KO$6,MATCH(P4,'因子水準表'!$B$4:$KO$4,0)),"（ID不明）"))</f>
        <v/>
      </c>
      <c r="Q5" s="12">
        <f>IF(Q4="","（未使用）",IFERROR(INDEX('因子水準表'!$B$6:$KO$6,MATCH(Q4,'因子水準表'!$B$4:$KO$4,0)),"（ID不明）"))</f>
        <v/>
      </c>
      <c r="R5" s="12">
        <f>IF(R4="","（未使用）",IFERROR(INDEX('因子水準表'!$B$6:$KO$6,MATCH(R4,'因子水準表'!$B$4:$KO$4,0)),"（ID不明）"))</f>
        <v/>
      </c>
      <c r="S5" s="12">
        <f>IF(S4="","（未使用）",IFERROR(INDEX('因子水準表'!$B$6:$KO$6,MATCH(S4,'因子水準表'!$B$4:$KO$4,0)),"（ID不明）"))</f>
        <v/>
      </c>
      <c r="T5" s="12">
        <f>IF(T4="","（未使用）",IFERROR(INDEX('因子水準表'!$B$6:$KO$6,MATCH(T4,'因子水準表'!$B$4:$KO$4,0)),"（ID不明）"))</f>
        <v/>
      </c>
      <c r="U5" s="12">
        <f>IF(U4="","（未使用）",IFERROR(INDEX('因子水準表'!$B$6:$KO$6,MATCH(U4,'因子水準表'!$B$4:$KO$4,0)),"（ID不明）"))</f>
        <v/>
      </c>
      <c r="V5" s="12">
        <f>IF(V4="","（未使用）",IFERROR(INDEX('因子水準表'!$B$6:$KO$6,MATCH(V4,'因子水準表'!$B$4:$KO$4,0)),"（ID不明）"))</f>
        <v/>
      </c>
      <c r="W5" s="12">
        <f>IF(W4="","（未使用）",IFERROR(INDEX('因子水準表'!$B$6:$KO$6,MATCH(W4,'因子水準表'!$B$4:$KO$4,0)),"（ID不明）"))</f>
        <v/>
      </c>
      <c r="X5" s="12">
        <f>IF(X4="","（未使用）",IFERROR(INDEX('因子水準表'!$B$6:$KO$6,MATCH(X4,'因子水準表'!$B$4:$KO$4,0)),"（ID不明）"))</f>
        <v/>
      </c>
      <c r="Y5" s="12">
        <f>IF(Y4="","（未使用）",IFERROR(INDEX('因子水準表'!$B$6:$KO$6,MATCH(Y4,'因子水準表'!$B$4:$KO$4,0)),"（ID不明）"))</f>
        <v/>
      </c>
      <c r="Z5" s="12">
        <f>IF(Z4="","（未使用）",IFERROR(INDEX('因子水準表'!$B$6:$KO$6,MATCH(Z4,'因子水準表'!$B$4:$KO$4,0)),"（ID不明）"))</f>
        <v/>
      </c>
      <c r="AA5" s="12">
        <f>IF(AA4="","（未使用）",IFERROR(INDEX('因子水準表'!$B$6:$KO$6,MATCH(AA4,'因子水準表'!$B$4:$KO$4,0)),"（ID不明）"))</f>
        <v/>
      </c>
      <c r="AB5" s="12">
        <f>IF(AB4="","（未使用）",IFERROR(INDEX('因子水準表'!$B$6:$KO$6,MATCH(AB4,'因子水準表'!$B$4:$KO$4,0)),"（ID不明）"))</f>
        <v/>
      </c>
      <c r="AC5" s="12">
        <f>IF(AC4="","（未使用）",IFERROR(INDEX('因子水準表'!$B$6:$KO$6,MATCH(AC4,'因子水準表'!$B$4:$KO$4,0)),"（ID不明）"))</f>
        <v/>
      </c>
      <c r="AD5" s="12">
        <f>IF(AD4="","（未使用）",IFERROR(INDEX('因子水準表'!$B$6:$KO$6,MATCH(AD4,'因子水準表'!$B$4:$KO$4,0)),"（ID不明）"))</f>
        <v/>
      </c>
      <c r="AE5" s="12">
        <f>IF(AE4="","（未使用）",IFERROR(INDEX('因子水準表'!$B$6:$KO$6,MATCH(AE4,'因子水準表'!$B$4:$KO$4,0)),"（ID不明）"))</f>
        <v/>
      </c>
      <c r="AF5" s="12">
        <f>IF(AF4="","（未使用）",IFERROR(INDEX('因子水準表'!$B$6:$KO$6,MATCH(AF4,'因子水準表'!$B$4:$KO$4,0)),"（ID不明）"))</f>
        <v/>
      </c>
      <c r="AG5" s="12">
        <f>IF(AG4="","（未使用）",IFERROR(INDEX('因子水準表'!$B$6:$KO$6,MATCH(AG4,'因子水準表'!$B$4:$KO$4,0)),"（ID不明）"))</f>
        <v/>
      </c>
      <c r="AH5" s="12">
        <f>IF(AH4="","（未使用）",IFERROR(INDEX('因子水準表'!$B$6:$KO$6,MATCH(AH4,'因子水準表'!$B$4:$KO$4,0)),"（ID不明）"))</f>
        <v/>
      </c>
      <c r="AI5" s="12">
        <f>IF(AI4="","（未使用）",IFERROR(INDEX('因子水準表'!$B$6:$KO$6,MATCH(AI4,'因子水準表'!$B$4:$KO$4,0)),"（ID不明）"))</f>
        <v/>
      </c>
      <c r="AJ5" s="12">
        <f>IF(AJ4="","（未使用）",IFERROR(INDEX('因子水準表'!$B$6:$KO$6,MATCH(AJ4,'因子水準表'!$B$4:$KO$4,0)),"（ID不明）"))</f>
        <v/>
      </c>
      <c r="AK5" s="12">
        <f>IF(AK4="","（未使用）",IFERROR(INDEX('因子水準表'!$B$6:$KO$6,MATCH(AK4,'因子水準表'!$B$4:$KO$4,0)),"（ID不明）"))</f>
        <v/>
      </c>
      <c r="AL5" s="12">
        <f>IF(AL4="","（未使用）",IFERROR(INDEX('因子水準表'!$B$6:$KO$6,MATCH(AL4,'因子水準表'!$B$4:$KO$4,0)),"（ID不明）"))</f>
        <v/>
      </c>
      <c r="AM5" s="12">
        <f>IF(AM4="","（未使用）",IFERROR(INDEX('因子水準表'!$B$6:$KO$6,MATCH(AM4,'因子水準表'!$B$4:$KO$4,0)),"（ID不明）"))</f>
        <v/>
      </c>
      <c r="AN5" s="12">
        <f>IF(AN4="","（未使用）",IFERROR(INDEX('因子水準表'!$B$6:$KO$6,MATCH(AN4,'因子水準表'!$B$4:$KO$4,0)),"（ID不明）"))</f>
        <v/>
      </c>
      <c r="AO5" s="12">
        <f>IF(AO4="","（未使用）",IFERROR(INDEX('因子水準表'!$B$6:$KO$6,MATCH(AO4,'因子水準表'!$B$4:$KO$4,0)),"（ID不明）"))</f>
        <v/>
      </c>
      <c r="AP5" s="12">
        <f>IF(AP4="","（未使用）",IFERROR(INDEX('因子水準表'!$B$6:$KO$6,MATCH(AP4,'因子水準表'!$B$4:$KO$4,0)),"（ID不明）"))</f>
        <v/>
      </c>
      <c r="AQ5" s="12">
        <f>IF(AQ4="","（未使用）",IFERROR(INDEX('因子水準表'!$B$6:$KO$6,MATCH(AQ4,'因子水準表'!$B$4:$KO$4,0)),"（ID不明）"))</f>
        <v/>
      </c>
      <c r="AR5" s="12">
        <f>IF(AR4="","（未使用）",IFERROR(INDEX('因子水準表'!$B$6:$KO$6,MATCH(AR4,'因子水準表'!$B$4:$KO$4,0)),"（ID不明）"))</f>
        <v/>
      </c>
      <c r="AS5" s="12">
        <f>IF(AS4="","（未使用）",IFERROR(INDEX('因子水準表'!$B$6:$KO$6,MATCH(AS4,'因子水準表'!$B$4:$KO$4,0)),"（ID不明）"))</f>
        <v/>
      </c>
      <c r="AT5" s="12">
        <f>IF(AT4="","（未使用）",IFERROR(INDEX('因子水準表'!$B$6:$KO$6,MATCH(AT4,'因子水準表'!$B$4:$KO$4,0)),"（ID不明）"))</f>
        <v/>
      </c>
      <c r="AU5" s="12">
        <f>IF(AU4="","（未使用）",IFERROR(INDEX('因子水準表'!$B$6:$KO$6,MATCH(AU4,'因子水準表'!$B$4:$KO$4,0)),"（ID不明）"))</f>
        <v/>
      </c>
      <c r="AV5" s="12">
        <f>IF(AV4="","（未使用）",IFERROR(INDEX('因子水準表'!$B$6:$KO$6,MATCH(AV4,'因子水準表'!$B$4:$KO$4,0)),"（ID不明）"))</f>
        <v/>
      </c>
      <c r="AW5" s="12">
        <f>IF(AW4="","（未使用）",IFERROR(INDEX('因子水準表'!$B$6:$KO$6,MATCH(AW4,'因子水準表'!$B$4:$KO$4,0)),"（ID不明）"))</f>
        <v/>
      </c>
      <c r="AX5" s="12">
        <f>IF(AX4="","（未使用）",IFERROR(INDEX('因子水準表'!$B$6:$KO$6,MATCH(AX4,'因子水準表'!$B$4:$KO$4,0)),"（ID不明）"))</f>
        <v/>
      </c>
      <c r="AY5" s="12">
        <f>IF(AY4="","（未使用）",IFERROR(INDEX('因子水準表'!$B$6:$KO$6,MATCH(AY4,'因子水準表'!$B$4:$KO$4,0)),"（ID不明）"))</f>
        <v/>
      </c>
      <c r="AZ5" s="12">
        <f>IF(AZ4="","（未使用）",IFERROR(INDEX('因子水準表'!$B$6:$KO$6,MATCH(AZ4,'因子水準表'!$B$4:$KO$4,0)),"（ID不明）"))</f>
        <v/>
      </c>
      <c r="BA5" s="12">
        <f>IF(BA4="","（未使用）",IFERROR(INDEX('因子水準表'!$B$6:$KO$6,MATCH(BA4,'因子水準表'!$B$4:$KO$4,0)),"（ID不明）"))</f>
        <v/>
      </c>
      <c r="BB5" s="12">
        <f>IF(BB4="","（未使用）",IFERROR(INDEX('因子水準表'!$B$6:$KO$6,MATCH(BB4,'因子水準表'!$B$4:$KO$4,0)),"（ID不明）"))</f>
        <v/>
      </c>
      <c r="BC5" s="12">
        <f>IF(BC4="","（未使用）",IFERROR(INDEX('因子水準表'!$B$6:$KO$6,MATCH(BC4,'因子水準表'!$B$4:$KO$4,0)),"（ID不明）"))</f>
        <v/>
      </c>
      <c r="BD5" s="12">
        <f>IF(BD4="","（未使用）",IFERROR(INDEX('因子水準表'!$B$6:$KO$6,MATCH(BD4,'因子水準表'!$B$4:$KO$4,0)),"（ID不明）"))</f>
        <v/>
      </c>
      <c r="BE5" s="23" t="n"/>
      <c r="BF5" s="23" t="n"/>
      <c r="BG5" s="23" t="n"/>
      <c r="BH5" s="23" t="n"/>
      <c r="BI5" s="23" t="n"/>
      <c r="BJ5" s="23" t="n"/>
      <c r="BK5" s="23" t="n"/>
      <c r="BL5" s="23" t="n"/>
      <c r="BM5" s="23" t="n"/>
      <c r="BO5" s="12" t="inlineStr">
        <is>
          <t>1列目の水準</t>
        </is>
      </c>
      <c r="BP5" s="12" t="inlineStr">
        <is>
          <t>2列目の水準</t>
        </is>
      </c>
      <c r="BQ5" s="12" t="inlineStr">
        <is>
          <t>3列目の水準</t>
        </is>
      </c>
      <c r="BR5" s="12" t="inlineStr">
        <is>
          <t>4列目の水準</t>
        </is>
      </c>
      <c r="BS5" s="12" t="inlineStr">
        <is>
          <t>5列目の水準</t>
        </is>
      </c>
      <c r="BT5" s="12" t="inlineStr">
        <is>
          <t>6列目の水準</t>
        </is>
      </c>
      <c r="BU5" s="12" t="inlineStr">
        <is>
          <t>7列目の水準</t>
        </is>
      </c>
      <c r="BV5" s="12" t="inlineStr">
        <is>
          <t>8列目の水準</t>
        </is>
      </c>
      <c r="BW5" s="12" t="inlineStr">
        <is>
          <t>9列目の水準</t>
        </is>
      </c>
      <c r="BX5" s="12" t="inlineStr">
        <is>
          <t>10列目の水準</t>
        </is>
      </c>
      <c r="BY5" s="12" t="inlineStr">
        <is>
          <t>11列目の水準</t>
        </is>
      </c>
      <c r="BZ5" s="12" t="inlineStr">
        <is>
          <t>12列目の水準</t>
        </is>
      </c>
      <c r="CA5" s="12" t="inlineStr">
        <is>
          <t>13列目の水準</t>
        </is>
      </c>
      <c r="CB5" s="12" t="inlineStr">
        <is>
          <t>14列目の水準</t>
        </is>
      </c>
      <c r="CC5" s="12" t="inlineStr">
        <is>
          <t>15列目の水準</t>
        </is>
      </c>
      <c r="CD5" s="12" t="inlineStr">
        <is>
          <t>16列目の水準</t>
        </is>
      </c>
      <c r="CE5" s="12" t="inlineStr">
        <is>
          <t>17列目の水準</t>
        </is>
      </c>
      <c r="CF5" s="12" t="inlineStr">
        <is>
          <t>18列目の水準</t>
        </is>
      </c>
      <c r="CG5" s="12" t="inlineStr">
        <is>
          <t>19列目の水準</t>
        </is>
      </c>
      <c r="CH5" s="12" t="inlineStr">
        <is>
          <t>20列目の水準</t>
        </is>
      </c>
      <c r="CI5" s="12" t="inlineStr">
        <is>
          <t>21列目の水準</t>
        </is>
      </c>
      <c r="CJ5" s="12" t="inlineStr">
        <is>
          <t>22列目の水準</t>
        </is>
      </c>
      <c r="CK5" s="12" t="inlineStr">
        <is>
          <t>23列目の水準</t>
        </is>
      </c>
      <c r="CL5" s="12" t="inlineStr">
        <is>
          <t>24列目の水準</t>
        </is>
      </c>
      <c r="CM5" s="12" t="inlineStr">
        <is>
          <t>25列目の水準</t>
        </is>
      </c>
      <c r="CN5" s="12" t="inlineStr">
        <is>
          <t>26列目の水準</t>
        </is>
      </c>
      <c r="CO5" s="12" t="inlineStr">
        <is>
          <t>27列目の水準</t>
        </is>
      </c>
      <c r="CP5" s="12" t="inlineStr">
        <is>
          <t>28列目の水準</t>
        </is>
      </c>
      <c r="CQ5" s="12" t="inlineStr">
        <is>
          <t>29列目の水準</t>
        </is>
      </c>
      <c r="CR5" s="12" t="inlineStr">
        <is>
          <t>30列目の水準</t>
        </is>
      </c>
      <c r="CS5" s="12" t="inlineStr">
        <is>
          <t>31列目の水準</t>
        </is>
      </c>
      <c r="CT5" s="12" t="inlineStr">
        <is>
          <t>32列目の水準</t>
        </is>
      </c>
      <c r="CU5" s="12" t="inlineStr">
        <is>
          <t>33列目の水準</t>
        </is>
      </c>
      <c r="CV5" s="12" t="inlineStr">
        <is>
          <t>34列目の水準</t>
        </is>
      </c>
      <c r="CW5" s="12" t="inlineStr">
        <is>
          <t>35列目の水準</t>
        </is>
      </c>
      <c r="CX5" s="12" t="inlineStr">
        <is>
          <t>36列目の水準</t>
        </is>
      </c>
      <c r="CY5" s="12" t="inlineStr">
        <is>
          <t>37列目の水準</t>
        </is>
      </c>
      <c r="CZ5" s="12" t="inlineStr">
        <is>
          <t>38列目の水準</t>
        </is>
      </c>
      <c r="DA5" s="12" t="inlineStr">
        <is>
          <t>39列目の水準</t>
        </is>
      </c>
      <c r="DB5" s="12" t="inlineStr">
        <is>
          <t>40列目の水準</t>
        </is>
      </c>
      <c r="DC5" s="12" t="inlineStr">
        <is>
          <t>41列目の水準</t>
        </is>
      </c>
      <c r="DD5" s="12" t="inlineStr">
        <is>
          <t>42列目の水準</t>
        </is>
      </c>
      <c r="DE5" s="12" t="inlineStr">
        <is>
          <t>43列目の水準</t>
        </is>
      </c>
      <c r="DF5" s="12" t="inlineStr">
        <is>
          <t>44列目の水準</t>
        </is>
      </c>
      <c r="DG5" s="12" t="inlineStr">
        <is>
          <t>45列目の水準</t>
        </is>
      </c>
      <c r="DH5" s="12" t="inlineStr">
        <is>
          <t>46列目の水準</t>
        </is>
      </c>
      <c r="DI5" s="12" t="inlineStr">
        <is>
          <t>47列目の水準</t>
        </is>
      </c>
      <c r="DJ5" s="12" t="inlineStr">
        <is>
          <t>48列目の水準</t>
        </is>
      </c>
      <c r="DK5" s="12" t="inlineStr">
        <is>
          <t>49列目の水準</t>
        </is>
      </c>
      <c r="DL5" s="12" t="inlineStr">
        <is>
          <t>50列目の水準</t>
        </is>
      </c>
      <c r="DM5" s="12" t="inlineStr">
        <is>
          <t>カテゴリ</t>
        </is>
      </c>
      <c r="DN5" s="12" t="inlineStr">
        <is>
          <t>条件ID</t>
        </is>
      </c>
    </row>
    <row r="6">
      <c r="A6" s="27" t="n"/>
      <c r="B6" s="27" t="n"/>
      <c r="C6" s="28">
        <f>IF(A6="","",$B$2)</f>
        <v/>
      </c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  <c r="AI6" s="27" t="n"/>
      <c r="AJ6" s="27" t="n"/>
      <c r="AK6" s="27" t="n"/>
      <c r="AL6" s="27" t="n"/>
      <c r="AM6" s="27" t="n"/>
      <c r="AN6" s="27" t="n"/>
      <c r="AO6" s="27" t="n"/>
      <c r="AP6" s="27" t="n"/>
      <c r="AQ6" s="27" t="n"/>
      <c r="AR6" s="27" t="n"/>
      <c r="AS6" s="27" t="n"/>
      <c r="AT6" s="27" t="n"/>
      <c r="AU6" s="27" t="n"/>
      <c r="AV6" s="27" t="n"/>
      <c r="AW6" s="27" t="n"/>
      <c r="AX6" s="27" t="n"/>
      <c r="AY6" s="27" t="n"/>
      <c r="AZ6" s="27" t="n"/>
      <c r="BA6" s="27" t="n"/>
      <c r="BB6" s="27" t="n"/>
      <c r="BC6" s="27" t="n"/>
      <c r="BD6" s="27" t="n"/>
      <c r="BE6" s="27" t="n"/>
      <c r="BF6" s="27" t="n"/>
      <c r="BG6" s="27" t="n"/>
      <c r="BH6" s="27" t="n"/>
      <c r="BI6" s="29" t="n"/>
      <c r="BJ6" s="27" t="n"/>
      <c r="BK6" s="27" t="n"/>
      <c r="BL6" s="27" t="n"/>
      <c r="BM6" s="27" t="n"/>
      <c r="BO6" s="26">
        <f>IF(G$4="","",IFERROR(INDEX('因子水準表'!$B$9:$KO$18,1,MATCH(G$4,'因子水準表'!$B$4:$KO$4,0))&amp;"",""))</f>
        <v/>
      </c>
      <c r="BP6" s="26">
        <f>IF(H$4="","",IFERROR(INDEX('因子水準表'!$B$9:$KO$18,1,MATCH(H$4,'因子水準表'!$B$4:$KO$4,0))&amp;"",""))</f>
        <v/>
      </c>
      <c r="BQ6" s="26">
        <f>IF(I$4="","",IFERROR(INDEX('因子水準表'!$B$9:$KO$18,1,MATCH(I$4,'因子水準表'!$B$4:$KO$4,0))&amp;"",""))</f>
        <v/>
      </c>
      <c r="BR6" s="26">
        <f>IF(J$4="","",IFERROR(INDEX('因子水準表'!$B$9:$KO$18,1,MATCH(J$4,'因子水準表'!$B$4:$KO$4,0))&amp;"",""))</f>
        <v/>
      </c>
      <c r="BS6" s="26">
        <f>IF(K$4="","",IFERROR(INDEX('因子水準表'!$B$9:$KO$18,1,MATCH(K$4,'因子水準表'!$B$4:$KO$4,0))&amp;"",""))</f>
        <v/>
      </c>
      <c r="BT6" s="26">
        <f>IF(L$4="","",IFERROR(INDEX('因子水準表'!$B$9:$KO$18,1,MATCH(L$4,'因子水準表'!$B$4:$KO$4,0))&amp;"",""))</f>
        <v/>
      </c>
      <c r="BU6" s="26">
        <f>IF(M$4="","",IFERROR(INDEX('因子水準表'!$B$9:$KO$18,1,MATCH(M$4,'因子水準表'!$B$4:$KO$4,0))&amp;"",""))</f>
        <v/>
      </c>
      <c r="BV6" s="26">
        <f>IF(N$4="","",IFERROR(INDEX('因子水準表'!$B$9:$KO$18,1,MATCH(N$4,'因子水準表'!$B$4:$KO$4,0))&amp;"",""))</f>
        <v/>
      </c>
      <c r="BW6" s="26">
        <f>IF(O$4="","",IFERROR(INDEX('因子水準表'!$B$9:$KO$18,1,MATCH(O$4,'因子水準表'!$B$4:$KO$4,0))&amp;"",""))</f>
        <v/>
      </c>
      <c r="BX6" s="26">
        <f>IF(P$4="","",IFERROR(INDEX('因子水準表'!$B$9:$KO$18,1,MATCH(P$4,'因子水準表'!$B$4:$KO$4,0))&amp;"",""))</f>
        <v/>
      </c>
      <c r="BY6" s="26">
        <f>IF(Q$4="","",IFERROR(INDEX('因子水準表'!$B$9:$KO$18,1,MATCH(Q$4,'因子水準表'!$B$4:$KO$4,0))&amp;"",""))</f>
        <v/>
      </c>
      <c r="BZ6" s="26">
        <f>IF(R$4="","",IFERROR(INDEX('因子水準表'!$B$9:$KO$18,1,MATCH(R$4,'因子水準表'!$B$4:$KO$4,0))&amp;"",""))</f>
        <v/>
      </c>
      <c r="CA6" s="26">
        <f>IF(S$4="","",IFERROR(INDEX('因子水準表'!$B$9:$KO$18,1,MATCH(S$4,'因子水準表'!$B$4:$KO$4,0))&amp;"",""))</f>
        <v/>
      </c>
      <c r="CB6" s="26">
        <f>IF(T$4="","",IFERROR(INDEX('因子水準表'!$B$9:$KO$18,1,MATCH(T$4,'因子水準表'!$B$4:$KO$4,0))&amp;"",""))</f>
        <v/>
      </c>
      <c r="CC6" s="26">
        <f>IF(U$4="","",IFERROR(INDEX('因子水準表'!$B$9:$KO$18,1,MATCH(U$4,'因子水準表'!$B$4:$KO$4,0))&amp;"",""))</f>
        <v/>
      </c>
      <c r="CD6" s="26">
        <f>IF(V$4="","",IFERROR(INDEX('因子水準表'!$B$9:$KO$18,1,MATCH(V$4,'因子水準表'!$B$4:$KO$4,0))&amp;"",""))</f>
        <v/>
      </c>
      <c r="CE6" s="26">
        <f>IF(W$4="","",IFERROR(INDEX('因子水準表'!$B$9:$KO$18,1,MATCH(W$4,'因子水準表'!$B$4:$KO$4,0))&amp;"",""))</f>
        <v/>
      </c>
      <c r="CF6" s="26">
        <f>IF(X$4="","",IFERROR(INDEX('因子水準表'!$B$9:$KO$18,1,MATCH(X$4,'因子水準表'!$B$4:$KO$4,0))&amp;"",""))</f>
        <v/>
      </c>
      <c r="CG6" s="26">
        <f>IF(Y$4="","",IFERROR(INDEX('因子水準表'!$B$9:$KO$18,1,MATCH(Y$4,'因子水準表'!$B$4:$KO$4,0))&amp;"",""))</f>
        <v/>
      </c>
      <c r="CH6" s="26">
        <f>IF(Z$4="","",IFERROR(INDEX('因子水準表'!$B$9:$KO$18,1,MATCH(Z$4,'因子水準表'!$B$4:$KO$4,0))&amp;"",""))</f>
        <v/>
      </c>
      <c r="CI6" s="26">
        <f>IF(AA$4="","",IFERROR(INDEX('因子水準表'!$B$9:$KO$18,1,MATCH(AA$4,'因子水準表'!$B$4:$KO$4,0))&amp;"",""))</f>
        <v/>
      </c>
      <c r="CJ6" s="26">
        <f>IF(AB$4="","",IFERROR(INDEX('因子水準表'!$B$9:$KO$18,1,MATCH(AB$4,'因子水準表'!$B$4:$KO$4,0))&amp;"",""))</f>
        <v/>
      </c>
      <c r="CK6" s="26">
        <f>IF(AC$4="","",IFERROR(INDEX('因子水準表'!$B$9:$KO$18,1,MATCH(AC$4,'因子水準表'!$B$4:$KO$4,0))&amp;"",""))</f>
        <v/>
      </c>
      <c r="CL6" s="26">
        <f>IF(AD$4="","",IFERROR(INDEX('因子水準表'!$B$9:$KO$18,1,MATCH(AD$4,'因子水準表'!$B$4:$KO$4,0))&amp;"",""))</f>
        <v/>
      </c>
      <c r="CM6" s="26">
        <f>IF(AE$4="","",IFERROR(INDEX('因子水準表'!$B$9:$KO$18,1,MATCH(AE$4,'因子水準表'!$B$4:$KO$4,0))&amp;"",""))</f>
        <v/>
      </c>
      <c r="CN6" s="26">
        <f>IF(AF$4="","",IFERROR(INDEX('因子水準表'!$B$9:$KO$18,1,MATCH(AF$4,'因子水準表'!$B$4:$KO$4,0))&amp;"",""))</f>
        <v/>
      </c>
      <c r="CO6" s="26">
        <f>IF(AG$4="","",IFERROR(INDEX('因子水準表'!$B$9:$KO$18,1,MATCH(AG$4,'因子水準表'!$B$4:$KO$4,0))&amp;"",""))</f>
        <v/>
      </c>
      <c r="CP6" s="26">
        <f>IF(AH$4="","",IFERROR(INDEX('因子水準表'!$B$9:$KO$18,1,MATCH(AH$4,'因子水準表'!$B$4:$KO$4,0))&amp;"",""))</f>
        <v/>
      </c>
      <c r="CQ6" s="26">
        <f>IF(AI$4="","",IFERROR(INDEX('因子水準表'!$B$9:$KO$18,1,MATCH(AI$4,'因子水準表'!$B$4:$KO$4,0))&amp;"",""))</f>
        <v/>
      </c>
      <c r="CR6" s="26">
        <f>IF(AJ$4="","",IFERROR(INDEX('因子水準表'!$B$9:$KO$18,1,MATCH(AJ$4,'因子水準表'!$B$4:$KO$4,0))&amp;"",""))</f>
        <v/>
      </c>
      <c r="CS6" s="26">
        <f>IF(AK$4="","",IFERROR(INDEX('因子水準表'!$B$9:$KO$18,1,MATCH(AK$4,'因子水準表'!$B$4:$KO$4,0))&amp;"",""))</f>
        <v/>
      </c>
      <c r="CT6" s="26">
        <f>IF(AL$4="","",IFERROR(INDEX('因子水準表'!$B$9:$KO$18,1,MATCH(AL$4,'因子水準表'!$B$4:$KO$4,0))&amp;"",""))</f>
        <v/>
      </c>
      <c r="CU6" s="26">
        <f>IF(AM$4="","",IFERROR(INDEX('因子水準表'!$B$9:$KO$18,1,MATCH(AM$4,'因子水準表'!$B$4:$KO$4,0))&amp;"",""))</f>
        <v/>
      </c>
      <c r="CV6" s="26">
        <f>IF(AN$4="","",IFERROR(INDEX('因子水準表'!$B$9:$KO$18,1,MATCH(AN$4,'因子水準表'!$B$4:$KO$4,0))&amp;"",""))</f>
        <v/>
      </c>
      <c r="CW6" s="26">
        <f>IF(AO$4="","",IFERROR(INDEX('因子水準表'!$B$9:$KO$18,1,MATCH(AO$4,'因子水準表'!$B$4:$KO$4,0))&amp;"",""))</f>
        <v/>
      </c>
      <c r="CX6" s="26">
        <f>IF(AP$4="","",IFERROR(INDEX('因子水準表'!$B$9:$KO$18,1,MATCH(AP$4,'因子水準表'!$B$4:$KO$4,0))&amp;"",""))</f>
        <v/>
      </c>
      <c r="CY6" s="26">
        <f>IF(AQ$4="","",IFERROR(INDEX('因子水準表'!$B$9:$KO$18,1,MATCH(AQ$4,'因子水準表'!$B$4:$KO$4,0))&amp;"",""))</f>
        <v/>
      </c>
      <c r="CZ6" s="26">
        <f>IF(AR$4="","",IFERROR(INDEX('因子水準表'!$B$9:$KO$18,1,MATCH(AR$4,'因子水準表'!$B$4:$KO$4,0))&amp;"",""))</f>
        <v/>
      </c>
      <c r="DA6" s="26">
        <f>IF(AS$4="","",IFERROR(INDEX('因子水準表'!$B$9:$KO$18,1,MATCH(AS$4,'因子水準表'!$B$4:$KO$4,0))&amp;"",""))</f>
        <v/>
      </c>
      <c r="DB6" s="26">
        <f>IF(AT$4="","",IFERROR(INDEX('因子水準表'!$B$9:$KO$18,1,MATCH(AT$4,'因子水準表'!$B$4:$KO$4,0))&amp;"",""))</f>
        <v/>
      </c>
      <c r="DC6" s="26">
        <f>IF(AU$4="","",IFERROR(INDEX('因子水準表'!$B$9:$KO$18,1,MATCH(AU$4,'因子水準表'!$B$4:$KO$4,0))&amp;"",""))</f>
        <v/>
      </c>
      <c r="DD6" s="26">
        <f>IF(AV$4="","",IFERROR(INDEX('因子水準表'!$B$9:$KO$18,1,MATCH(AV$4,'因子水準表'!$B$4:$KO$4,0))&amp;"",""))</f>
        <v/>
      </c>
      <c r="DE6" s="26">
        <f>IF(AW$4="","",IFERROR(INDEX('因子水準表'!$B$9:$KO$18,1,MATCH(AW$4,'因子水準表'!$B$4:$KO$4,0))&amp;"",""))</f>
        <v/>
      </c>
      <c r="DF6" s="26">
        <f>IF(AX$4="","",IFERROR(INDEX('因子水準表'!$B$9:$KO$18,1,MATCH(AX$4,'因子水準表'!$B$4:$KO$4,0))&amp;"",""))</f>
        <v/>
      </c>
      <c r="DG6" s="26">
        <f>IF(AY$4="","",IFERROR(INDEX('因子水準表'!$B$9:$KO$18,1,MATCH(AY$4,'因子水準表'!$B$4:$KO$4,0))&amp;"",""))</f>
        <v/>
      </c>
      <c r="DH6" s="26">
        <f>IF(AZ$4="","",IFERROR(INDEX('因子水準表'!$B$9:$KO$18,1,MATCH(AZ$4,'因子水準表'!$B$4:$KO$4,0))&amp;"",""))</f>
        <v/>
      </c>
      <c r="DI6" s="26">
        <f>IF(BA$4="","",IFERROR(INDEX('因子水準表'!$B$9:$KO$18,1,MATCH(BA$4,'因子水準表'!$B$4:$KO$4,0))&amp;"",""))</f>
        <v/>
      </c>
      <c r="DJ6" s="26">
        <f>IF(BB$4="","",IFERROR(INDEX('因子水準表'!$B$9:$KO$18,1,MATCH(BB$4,'因子水準表'!$B$4:$KO$4,0))&amp;"",""))</f>
        <v/>
      </c>
      <c r="DK6" s="26">
        <f>IF(BC$4="","",IFERROR(INDEX('因子水準表'!$B$9:$KO$18,1,MATCH(BC$4,'因子水準表'!$B$4:$KO$4,0))&amp;"",""))</f>
        <v/>
      </c>
      <c r="DL6" s="26">
        <f>IF(BD$4="","",IFERROR(INDEX('因子水準表'!$B$9:$KO$18,1,MATCH(BD$4,'因子水準表'!$B$4:$KO$4,0))&amp;"",""))</f>
        <v/>
      </c>
      <c r="DM6" s="26">
        <f>IF('因子水準表'!B29="","",'因子水準表'!B29)</f>
        <v/>
      </c>
      <c r="DN6" s="26">
        <f>IF('テスト条件'!A5="","",'テスト条件'!A5)</f>
        <v/>
      </c>
    </row>
    <row r="7">
      <c r="A7" s="27" t="n"/>
      <c r="B7" s="27" t="n"/>
      <c r="C7" s="28">
        <f>IF(A7="","",$B$2)</f>
        <v/>
      </c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7" t="n"/>
      <c r="BE7" s="27" t="n"/>
      <c r="BF7" s="27" t="n"/>
      <c r="BG7" s="27" t="n"/>
      <c r="BH7" s="27" t="n"/>
      <c r="BI7" s="29" t="n"/>
      <c r="BJ7" s="27" t="n"/>
      <c r="BK7" s="27" t="n"/>
      <c r="BL7" s="27" t="n"/>
      <c r="BM7" s="27" t="n"/>
      <c r="BO7" s="26">
        <f>IF(G$4="","",IFERROR(INDEX('因子水準表'!$B$9:$KO$18,2,MATCH(G$4,'因子水準表'!$B$4:$KO$4,0))&amp;"",""))</f>
        <v/>
      </c>
      <c r="BP7" s="26">
        <f>IF(H$4="","",IFERROR(INDEX('因子水準表'!$B$9:$KO$18,2,MATCH(H$4,'因子水準表'!$B$4:$KO$4,0))&amp;"",""))</f>
        <v/>
      </c>
      <c r="BQ7" s="26">
        <f>IF(I$4="","",IFERROR(INDEX('因子水準表'!$B$9:$KO$18,2,MATCH(I$4,'因子水準表'!$B$4:$KO$4,0))&amp;"",""))</f>
        <v/>
      </c>
      <c r="BR7" s="26">
        <f>IF(J$4="","",IFERROR(INDEX('因子水準表'!$B$9:$KO$18,2,MATCH(J$4,'因子水準表'!$B$4:$KO$4,0))&amp;"",""))</f>
        <v/>
      </c>
      <c r="BS7" s="26">
        <f>IF(K$4="","",IFERROR(INDEX('因子水準表'!$B$9:$KO$18,2,MATCH(K$4,'因子水準表'!$B$4:$KO$4,0))&amp;"",""))</f>
        <v/>
      </c>
      <c r="BT7" s="26">
        <f>IF(L$4="","",IFERROR(INDEX('因子水準表'!$B$9:$KO$18,2,MATCH(L$4,'因子水準表'!$B$4:$KO$4,0))&amp;"",""))</f>
        <v/>
      </c>
      <c r="BU7" s="26">
        <f>IF(M$4="","",IFERROR(INDEX('因子水準表'!$B$9:$KO$18,2,MATCH(M$4,'因子水準表'!$B$4:$KO$4,0))&amp;"",""))</f>
        <v/>
      </c>
      <c r="BV7" s="26">
        <f>IF(N$4="","",IFERROR(INDEX('因子水準表'!$B$9:$KO$18,2,MATCH(N$4,'因子水準表'!$B$4:$KO$4,0))&amp;"",""))</f>
        <v/>
      </c>
      <c r="BW7" s="26">
        <f>IF(O$4="","",IFERROR(INDEX('因子水準表'!$B$9:$KO$18,2,MATCH(O$4,'因子水準表'!$B$4:$KO$4,0))&amp;"",""))</f>
        <v/>
      </c>
      <c r="BX7" s="26">
        <f>IF(P$4="","",IFERROR(INDEX('因子水準表'!$B$9:$KO$18,2,MATCH(P$4,'因子水準表'!$B$4:$KO$4,0))&amp;"",""))</f>
        <v/>
      </c>
      <c r="BY7" s="26">
        <f>IF(Q$4="","",IFERROR(INDEX('因子水準表'!$B$9:$KO$18,2,MATCH(Q$4,'因子水準表'!$B$4:$KO$4,0))&amp;"",""))</f>
        <v/>
      </c>
      <c r="BZ7" s="26">
        <f>IF(R$4="","",IFERROR(INDEX('因子水準表'!$B$9:$KO$18,2,MATCH(R$4,'因子水準表'!$B$4:$KO$4,0))&amp;"",""))</f>
        <v/>
      </c>
      <c r="CA7" s="26">
        <f>IF(S$4="","",IFERROR(INDEX('因子水準表'!$B$9:$KO$18,2,MATCH(S$4,'因子水準表'!$B$4:$KO$4,0))&amp;"",""))</f>
        <v/>
      </c>
      <c r="CB7" s="26">
        <f>IF(T$4="","",IFERROR(INDEX('因子水準表'!$B$9:$KO$18,2,MATCH(T$4,'因子水準表'!$B$4:$KO$4,0))&amp;"",""))</f>
        <v/>
      </c>
      <c r="CC7" s="26">
        <f>IF(U$4="","",IFERROR(INDEX('因子水準表'!$B$9:$KO$18,2,MATCH(U$4,'因子水準表'!$B$4:$KO$4,0))&amp;"",""))</f>
        <v/>
      </c>
      <c r="CD7" s="26">
        <f>IF(V$4="","",IFERROR(INDEX('因子水準表'!$B$9:$KO$18,2,MATCH(V$4,'因子水準表'!$B$4:$KO$4,0))&amp;"",""))</f>
        <v/>
      </c>
      <c r="CE7" s="26">
        <f>IF(W$4="","",IFERROR(INDEX('因子水準表'!$B$9:$KO$18,2,MATCH(W$4,'因子水準表'!$B$4:$KO$4,0))&amp;"",""))</f>
        <v/>
      </c>
      <c r="CF7" s="26">
        <f>IF(X$4="","",IFERROR(INDEX('因子水準表'!$B$9:$KO$18,2,MATCH(X$4,'因子水準表'!$B$4:$KO$4,0))&amp;"",""))</f>
        <v/>
      </c>
      <c r="CG7" s="26">
        <f>IF(Y$4="","",IFERROR(INDEX('因子水準表'!$B$9:$KO$18,2,MATCH(Y$4,'因子水準表'!$B$4:$KO$4,0))&amp;"",""))</f>
        <v/>
      </c>
      <c r="CH7" s="26">
        <f>IF(Z$4="","",IFERROR(INDEX('因子水準表'!$B$9:$KO$18,2,MATCH(Z$4,'因子水準表'!$B$4:$KO$4,0))&amp;"",""))</f>
        <v/>
      </c>
      <c r="CI7" s="26">
        <f>IF(AA$4="","",IFERROR(INDEX('因子水準表'!$B$9:$KO$18,2,MATCH(AA$4,'因子水準表'!$B$4:$KO$4,0))&amp;"",""))</f>
        <v/>
      </c>
      <c r="CJ7" s="26">
        <f>IF(AB$4="","",IFERROR(INDEX('因子水準表'!$B$9:$KO$18,2,MATCH(AB$4,'因子水準表'!$B$4:$KO$4,0))&amp;"",""))</f>
        <v/>
      </c>
      <c r="CK7" s="26">
        <f>IF(AC$4="","",IFERROR(INDEX('因子水準表'!$B$9:$KO$18,2,MATCH(AC$4,'因子水準表'!$B$4:$KO$4,0))&amp;"",""))</f>
        <v/>
      </c>
      <c r="CL7" s="26">
        <f>IF(AD$4="","",IFERROR(INDEX('因子水準表'!$B$9:$KO$18,2,MATCH(AD$4,'因子水準表'!$B$4:$KO$4,0))&amp;"",""))</f>
        <v/>
      </c>
      <c r="CM7" s="26">
        <f>IF(AE$4="","",IFERROR(INDEX('因子水準表'!$B$9:$KO$18,2,MATCH(AE$4,'因子水準表'!$B$4:$KO$4,0))&amp;"",""))</f>
        <v/>
      </c>
      <c r="CN7" s="26">
        <f>IF(AF$4="","",IFERROR(INDEX('因子水準表'!$B$9:$KO$18,2,MATCH(AF$4,'因子水準表'!$B$4:$KO$4,0))&amp;"",""))</f>
        <v/>
      </c>
      <c r="CO7" s="26">
        <f>IF(AG$4="","",IFERROR(INDEX('因子水準表'!$B$9:$KO$18,2,MATCH(AG$4,'因子水準表'!$B$4:$KO$4,0))&amp;"",""))</f>
        <v/>
      </c>
      <c r="CP7" s="26">
        <f>IF(AH$4="","",IFERROR(INDEX('因子水準表'!$B$9:$KO$18,2,MATCH(AH$4,'因子水準表'!$B$4:$KO$4,0))&amp;"",""))</f>
        <v/>
      </c>
      <c r="CQ7" s="26">
        <f>IF(AI$4="","",IFERROR(INDEX('因子水準表'!$B$9:$KO$18,2,MATCH(AI$4,'因子水準表'!$B$4:$KO$4,0))&amp;"",""))</f>
        <v/>
      </c>
      <c r="CR7" s="26">
        <f>IF(AJ$4="","",IFERROR(INDEX('因子水準表'!$B$9:$KO$18,2,MATCH(AJ$4,'因子水準表'!$B$4:$KO$4,0))&amp;"",""))</f>
        <v/>
      </c>
      <c r="CS7" s="26">
        <f>IF(AK$4="","",IFERROR(INDEX('因子水準表'!$B$9:$KO$18,2,MATCH(AK$4,'因子水準表'!$B$4:$KO$4,0))&amp;"",""))</f>
        <v/>
      </c>
      <c r="CT7" s="26">
        <f>IF(AL$4="","",IFERROR(INDEX('因子水準表'!$B$9:$KO$18,2,MATCH(AL$4,'因子水準表'!$B$4:$KO$4,0))&amp;"",""))</f>
        <v/>
      </c>
      <c r="CU7" s="26">
        <f>IF(AM$4="","",IFERROR(INDEX('因子水準表'!$B$9:$KO$18,2,MATCH(AM$4,'因子水準表'!$B$4:$KO$4,0))&amp;"",""))</f>
        <v/>
      </c>
      <c r="CV7" s="26">
        <f>IF(AN$4="","",IFERROR(INDEX('因子水準表'!$B$9:$KO$18,2,MATCH(AN$4,'因子水準表'!$B$4:$KO$4,0))&amp;"",""))</f>
        <v/>
      </c>
      <c r="CW7" s="26">
        <f>IF(AO$4="","",IFERROR(INDEX('因子水準表'!$B$9:$KO$18,2,MATCH(AO$4,'因子水準表'!$B$4:$KO$4,0))&amp;"",""))</f>
        <v/>
      </c>
      <c r="CX7" s="26">
        <f>IF(AP$4="","",IFERROR(INDEX('因子水準表'!$B$9:$KO$18,2,MATCH(AP$4,'因子水準表'!$B$4:$KO$4,0))&amp;"",""))</f>
        <v/>
      </c>
      <c r="CY7" s="26">
        <f>IF(AQ$4="","",IFERROR(INDEX('因子水準表'!$B$9:$KO$18,2,MATCH(AQ$4,'因子水準表'!$B$4:$KO$4,0))&amp;"",""))</f>
        <v/>
      </c>
      <c r="CZ7" s="26">
        <f>IF(AR$4="","",IFERROR(INDEX('因子水準表'!$B$9:$KO$18,2,MATCH(AR$4,'因子水準表'!$B$4:$KO$4,0))&amp;"",""))</f>
        <v/>
      </c>
      <c r="DA7" s="26">
        <f>IF(AS$4="","",IFERROR(INDEX('因子水準表'!$B$9:$KO$18,2,MATCH(AS$4,'因子水準表'!$B$4:$KO$4,0))&amp;"",""))</f>
        <v/>
      </c>
      <c r="DB7" s="26">
        <f>IF(AT$4="","",IFERROR(INDEX('因子水準表'!$B$9:$KO$18,2,MATCH(AT$4,'因子水準表'!$B$4:$KO$4,0))&amp;"",""))</f>
        <v/>
      </c>
      <c r="DC7" s="26">
        <f>IF(AU$4="","",IFERROR(INDEX('因子水準表'!$B$9:$KO$18,2,MATCH(AU$4,'因子水準表'!$B$4:$KO$4,0))&amp;"",""))</f>
        <v/>
      </c>
      <c r="DD7" s="26">
        <f>IF(AV$4="","",IFERROR(INDEX('因子水準表'!$B$9:$KO$18,2,MATCH(AV$4,'因子水準表'!$B$4:$KO$4,0))&amp;"",""))</f>
        <v/>
      </c>
      <c r="DE7" s="26">
        <f>IF(AW$4="","",IFERROR(INDEX('因子水準表'!$B$9:$KO$18,2,MATCH(AW$4,'因子水準表'!$B$4:$KO$4,0))&amp;"",""))</f>
        <v/>
      </c>
      <c r="DF7" s="26">
        <f>IF(AX$4="","",IFERROR(INDEX('因子水準表'!$B$9:$KO$18,2,MATCH(AX$4,'因子水準表'!$B$4:$KO$4,0))&amp;"",""))</f>
        <v/>
      </c>
      <c r="DG7" s="26">
        <f>IF(AY$4="","",IFERROR(INDEX('因子水準表'!$B$9:$KO$18,2,MATCH(AY$4,'因子水準表'!$B$4:$KO$4,0))&amp;"",""))</f>
        <v/>
      </c>
      <c r="DH7" s="26">
        <f>IF(AZ$4="","",IFERROR(INDEX('因子水準表'!$B$9:$KO$18,2,MATCH(AZ$4,'因子水準表'!$B$4:$KO$4,0))&amp;"",""))</f>
        <v/>
      </c>
      <c r="DI7" s="26">
        <f>IF(BA$4="","",IFERROR(INDEX('因子水準表'!$B$9:$KO$18,2,MATCH(BA$4,'因子水準表'!$B$4:$KO$4,0))&amp;"",""))</f>
        <v/>
      </c>
      <c r="DJ7" s="26">
        <f>IF(BB$4="","",IFERROR(INDEX('因子水準表'!$B$9:$KO$18,2,MATCH(BB$4,'因子水準表'!$B$4:$KO$4,0))&amp;"",""))</f>
        <v/>
      </c>
      <c r="DK7" s="26">
        <f>IF(BC$4="","",IFERROR(INDEX('因子水準表'!$B$9:$KO$18,2,MATCH(BC$4,'因子水準表'!$B$4:$KO$4,0))&amp;"",""))</f>
        <v/>
      </c>
      <c r="DL7" s="26">
        <f>IF(BD$4="","",IFERROR(INDEX('因子水準表'!$B$9:$KO$18,2,MATCH(BD$4,'因子水準表'!$B$4:$KO$4,0))&amp;"",""))</f>
        <v/>
      </c>
      <c r="DM7" s="26">
        <f>IF('因子水準表'!B30="","",'因子水準表'!B30)</f>
        <v/>
      </c>
      <c r="DN7" s="26">
        <f>IF('テスト条件'!A6="","",'テスト条件'!A6)</f>
        <v/>
      </c>
    </row>
    <row r="8">
      <c r="A8" s="27" t="n"/>
      <c r="B8" s="27" t="n"/>
      <c r="C8" s="28">
        <f>IF(A8="","",$B$2)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  <c r="AJ8" s="27" t="n"/>
      <c r="AK8" s="27" t="n"/>
      <c r="AL8" s="27" t="n"/>
      <c r="AM8" s="27" t="n"/>
      <c r="AN8" s="27" t="n"/>
      <c r="AO8" s="27" t="n"/>
      <c r="AP8" s="27" t="n"/>
      <c r="AQ8" s="27" t="n"/>
      <c r="AR8" s="27" t="n"/>
      <c r="AS8" s="27" t="n"/>
      <c r="AT8" s="27" t="n"/>
      <c r="AU8" s="27" t="n"/>
      <c r="AV8" s="27" t="n"/>
      <c r="AW8" s="27" t="n"/>
      <c r="AX8" s="27" t="n"/>
      <c r="AY8" s="27" t="n"/>
      <c r="AZ8" s="27" t="n"/>
      <c r="BA8" s="27" t="n"/>
      <c r="BB8" s="27" t="n"/>
      <c r="BC8" s="27" t="n"/>
      <c r="BD8" s="27" t="n"/>
      <c r="BE8" s="27" t="n"/>
      <c r="BF8" s="27" t="n"/>
      <c r="BG8" s="27" t="n"/>
      <c r="BH8" s="27" t="n"/>
      <c r="BI8" s="29" t="n"/>
      <c r="BJ8" s="27" t="n"/>
      <c r="BK8" s="27" t="n"/>
      <c r="BL8" s="27" t="n"/>
      <c r="BM8" s="27" t="n"/>
      <c r="BO8" s="26">
        <f>IF(G$4="","",IFERROR(INDEX('因子水準表'!$B$9:$KO$18,3,MATCH(G$4,'因子水準表'!$B$4:$KO$4,0))&amp;"",""))</f>
        <v/>
      </c>
      <c r="BP8" s="26">
        <f>IF(H$4="","",IFERROR(INDEX('因子水準表'!$B$9:$KO$18,3,MATCH(H$4,'因子水準表'!$B$4:$KO$4,0))&amp;"",""))</f>
        <v/>
      </c>
      <c r="BQ8" s="26">
        <f>IF(I$4="","",IFERROR(INDEX('因子水準表'!$B$9:$KO$18,3,MATCH(I$4,'因子水準表'!$B$4:$KO$4,0))&amp;"",""))</f>
        <v/>
      </c>
      <c r="BR8" s="26">
        <f>IF(J$4="","",IFERROR(INDEX('因子水準表'!$B$9:$KO$18,3,MATCH(J$4,'因子水準表'!$B$4:$KO$4,0))&amp;"",""))</f>
        <v/>
      </c>
      <c r="BS8" s="26">
        <f>IF(K$4="","",IFERROR(INDEX('因子水準表'!$B$9:$KO$18,3,MATCH(K$4,'因子水準表'!$B$4:$KO$4,0))&amp;"",""))</f>
        <v/>
      </c>
      <c r="BT8" s="26">
        <f>IF(L$4="","",IFERROR(INDEX('因子水準表'!$B$9:$KO$18,3,MATCH(L$4,'因子水準表'!$B$4:$KO$4,0))&amp;"",""))</f>
        <v/>
      </c>
      <c r="BU8" s="26">
        <f>IF(M$4="","",IFERROR(INDEX('因子水準表'!$B$9:$KO$18,3,MATCH(M$4,'因子水準表'!$B$4:$KO$4,0))&amp;"",""))</f>
        <v/>
      </c>
      <c r="BV8" s="26">
        <f>IF(N$4="","",IFERROR(INDEX('因子水準表'!$B$9:$KO$18,3,MATCH(N$4,'因子水準表'!$B$4:$KO$4,0))&amp;"",""))</f>
        <v/>
      </c>
      <c r="BW8" s="26">
        <f>IF(O$4="","",IFERROR(INDEX('因子水準表'!$B$9:$KO$18,3,MATCH(O$4,'因子水準表'!$B$4:$KO$4,0))&amp;"",""))</f>
        <v/>
      </c>
      <c r="BX8" s="26">
        <f>IF(P$4="","",IFERROR(INDEX('因子水準表'!$B$9:$KO$18,3,MATCH(P$4,'因子水準表'!$B$4:$KO$4,0))&amp;"",""))</f>
        <v/>
      </c>
      <c r="BY8" s="26">
        <f>IF(Q$4="","",IFERROR(INDEX('因子水準表'!$B$9:$KO$18,3,MATCH(Q$4,'因子水準表'!$B$4:$KO$4,0))&amp;"",""))</f>
        <v/>
      </c>
      <c r="BZ8" s="26">
        <f>IF(R$4="","",IFERROR(INDEX('因子水準表'!$B$9:$KO$18,3,MATCH(R$4,'因子水準表'!$B$4:$KO$4,0))&amp;"",""))</f>
        <v/>
      </c>
      <c r="CA8" s="26">
        <f>IF(S$4="","",IFERROR(INDEX('因子水準表'!$B$9:$KO$18,3,MATCH(S$4,'因子水準表'!$B$4:$KO$4,0))&amp;"",""))</f>
        <v/>
      </c>
      <c r="CB8" s="26">
        <f>IF(T$4="","",IFERROR(INDEX('因子水準表'!$B$9:$KO$18,3,MATCH(T$4,'因子水準表'!$B$4:$KO$4,0))&amp;"",""))</f>
        <v/>
      </c>
      <c r="CC8" s="26">
        <f>IF(U$4="","",IFERROR(INDEX('因子水準表'!$B$9:$KO$18,3,MATCH(U$4,'因子水準表'!$B$4:$KO$4,0))&amp;"",""))</f>
        <v/>
      </c>
      <c r="CD8" s="26">
        <f>IF(V$4="","",IFERROR(INDEX('因子水準表'!$B$9:$KO$18,3,MATCH(V$4,'因子水準表'!$B$4:$KO$4,0))&amp;"",""))</f>
        <v/>
      </c>
      <c r="CE8" s="26">
        <f>IF(W$4="","",IFERROR(INDEX('因子水準表'!$B$9:$KO$18,3,MATCH(W$4,'因子水準表'!$B$4:$KO$4,0))&amp;"",""))</f>
        <v/>
      </c>
      <c r="CF8" s="26">
        <f>IF(X$4="","",IFERROR(INDEX('因子水準表'!$B$9:$KO$18,3,MATCH(X$4,'因子水準表'!$B$4:$KO$4,0))&amp;"",""))</f>
        <v/>
      </c>
      <c r="CG8" s="26">
        <f>IF(Y$4="","",IFERROR(INDEX('因子水準表'!$B$9:$KO$18,3,MATCH(Y$4,'因子水準表'!$B$4:$KO$4,0))&amp;"",""))</f>
        <v/>
      </c>
      <c r="CH8" s="26">
        <f>IF(Z$4="","",IFERROR(INDEX('因子水準表'!$B$9:$KO$18,3,MATCH(Z$4,'因子水準表'!$B$4:$KO$4,0))&amp;"",""))</f>
        <v/>
      </c>
      <c r="CI8" s="26">
        <f>IF(AA$4="","",IFERROR(INDEX('因子水準表'!$B$9:$KO$18,3,MATCH(AA$4,'因子水準表'!$B$4:$KO$4,0))&amp;"",""))</f>
        <v/>
      </c>
      <c r="CJ8" s="26">
        <f>IF(AB$4="","",IFERROR(INDEX('因子水準表'!$B$9:$KO$18,3,MATCH(AB$4,'因子水準表'!$B$4:$KO$4,0))&amp;"",""))</f>
        <v/>
      </c>
      <c r="CK8" s="26">
        <f>IF(AC$4="","",IFERROR(INDEX('因子水準表'!$B$9:$KO$18,3,MATCH(AC$4,'因子水準表'!$B$4:$KO$4,0))&amp;"",""))</f>
        <v/>
      </c>
      <c r="CL8" s="26">
        <f>IF(AD$4="","",IFERROR(INDEX('因子水準表'!$B$9:$KO$18,3,MATCH(AD$4,'因子水準表'!$B$4:$KO$4,0))&amp;"",""))</f>
        <v/>
      </c>
      <c r="CM8" s="26">
        <f>IF(AE$4="","",IFERROR(INDEX('因子水準表'!$B$9:$KO$18,3,MATCH(AE$4,'因子水準表'!$B$4:$KO$4,0))&amp;"",""))</f>
        <v/>
      </c>
      <c r="CN8" s="26">
        <f>IF(AF$4="","",IFERROR(INDEX('因子水準表'!$B$9:$KO$18,3,MATCH(AF$4,'因子水準表'!$B$4:$KO$4,0))&amp;"",""))</f>
        <v/>
      </c>
      <c r="CO8" s="26">
        <f>IF(AG$4="","",IFERROR(INDEX('因子水準表'!$B$9:$KO$18,3,MATCH(AG$4,'因子水準表'!$B$4:$KO$4,0))&amp;"",""))</f>
        <v/>
      </c>
      <c r="CP8" s="26">
        <f>IF(AH$4="","",IFERROR(INDEX('因子水準表'!$B$9:$KO$18,3,MATCH(AH$4,'因子水準表'!$B$4:$KO$4,0))&amp;"",""))</f>
        <v/>
      </c>
      <c r="CQ8" s="26">
        <f>IF(AI$4="","",IFERROR(INDEX('因子水準表'!$B$9:$KO$18,3,MATCH(AI$4,'因子水準表'!$B$4:$KO$4,0))&amp;"",""))</f>
        <v/>
      </c>
      <c r="CR8" s="26">
        <f>IF(AJ$4="","",IFERROR(INDEX('因子水準表'!$B$9:$KO$18,3,MATCH(AJ$4,'因子水準表'!$B$4:$KO$4,0))&amp;"",""))</f>
        <v/>
      </c>
      <c r="CS8" s="26">
        <f>IF(AK$4="","",IFERROR(INDEX('因子水準表'!$B$9:$KO$18,3,MATCH(AK$4,'因子水準表'!$B$4:$KO$4,0))&amp;"",""))</f>
        <v/>
      </c>
      <c r="CT8" s="26">
        <f>IF(AL$4="","",IFERROR(INDEX('因子水準表'!$B$9:$KO$18,3,MATCH(AL$4,'因子水準表'!$B$4:$KO$4,0))&amp;"",""))</f>
        <v/>
      </c>
      <c r="CU8" s="26">
        <f>IF(AM$4="","",IFERROR(INDEX('因子水準表'!$B$9:$KO$18,3,MATCH(AM$4,'因子水準表'!$B$4:$KO$4,0))&amp;"",""))</f>
        <v/>
      </c>
      <c r="CV8" s="26">
        <f>IF(AN$4="","",IFERROR(INDEX('因子水準表'!$B$9:$KO$18,3,MATCH(AN$4,'因子水準表'!$B$4:$KO$4,0))&amp;"",""))</f>
        <v/>
      </c>
      <c r="CW8" s="26">
        <f>IF(AO$4="","",IFERROR(INDEX('因子水準表'!$B$9:$KO$18,3,MATCH(AO$4,'因子水準表'!$B$4:$KO$4,0))&amp;"",""))</f>
        <v/>
      </c>
      <c r="CX8" s="26">
        <f>IF(AP$4="","",IFERROR(INDEX('因子水準表'!$B$9:$KO$18,3,MATCH(AP$4,'因子水準表'!$B$4:$KO$4,0))&amp;"",""))</f>
        <v/>
      </c>
      <c r="CY8" s="26">
        <f>IF(AQ$4="","",IFERROR(INDEX('因子水準表'!$B$9:$KO$18,3,MATCH(AQ$4,'因子水準表'!$B$4:$KO$4,0))&amp;"",""))</f>
        <v/>
      </c>
      <c r="CZ8" s="26">
        <f>IF(AR$4="","",IFERROR(INDEX('因子水準表'!$B$9:$KO$18,3,MATCH(AR$4,'因子水準表'!$B$4:$KO$4,0))&amp;"",""))</f>
        <v/>
      </c>
      <c r="DA8" s="26">
        <f>IF(AS$4="","",IFERROR(INDEX('因子水準表'!$B$9:$KO$18,3,MATCH(AS$4,'因子水準表'!$B$4:$KO$4,0))&amp;"",""))</f>
        <v/>
      </c>
      <c r="DB8" s="26">
        <f>IF(AT$4="","",IFERROR(INDEX('因子水準表'!$B$9:$KO$18,3,MATCH(AT$4,'因子水準表'!$B$4:$KO$4,0))&amp;"",""))</f>
        <v/>
      </c>
      <c r="DC8" s="26">
        <f>IF(AU$4="","",IFERROR(INDEX('因子水準表'!$B$9:$KO$18,3,MATCH(AU$4,'因子水準表'!$B$4:$KO$4,0))&amp;"",""))</f>
        <v/>
      </c>
      <c r="DD8" s="26">
        <f>IF(AV$4="","",IFERROR(INDEX('因子水準表'!$B$9:$KO$18,3,MATCH(AV$4,'因子水準表'!$B$4:$KO$4,0))&amp;"",""))</f>
        <v/>
      </c>
      <c r="DE8" s="26">
        <f>IF(AW$4="","",IFERROR(INDEX('因子水準表'!$B$9:$KO$18,3,MATCH(AW$4,'因子水準表'!$B$4:$KO$4,0))&amp;"",""))</f>
        <v/>
      </c>
      <c r="DF8" s="26">
        <f>IF(AX$4="","",IFERROR(INDEX('因子水準表'!$B$9:$KO$18,3,MATCH(AX$4,'因子水準表'!$B$4:$KO$4,0))&amp;"",""))</f>
        <v/>
      </c>
      <c r="DG8" s="26">
        <f>IF(AY$4="","",IFERROR(INDEX('因子水準表'!$B$9:$KO$18,3,MATCH(AY$4,'因子水準表'!$B$4:$KO$4,0))&amp;"",""))</f>
        <v/>
      </c>
      <c r="DH8" s="26">
        <f>IF(AZ$4="","",IFERROR(INDEX('因子水準表'!$B$9:$KO$18,3,MATCH(AZ$4,'因子水準表'!$B$4:$KO$4,0))&amp;"",""))</f>
        <v/>
      </c>
      <c r="DI8" s="26">
        <f>IF(BA$4="","",IFERROR(INDEX('因子水準表'!$B$9:$KO$18,3,MATCH(BA$4,'因子水準表'!$B$4:$KO$4,0))&amp;"",""))</f>
        <v/>
      </c>
      <c r="DJ8" s="26">
        <f>IF(BB$4="","",IFERROR(INDEX('因子水準表'!$B$9:$KO$18,3,MATCH(BB$4,'因子水準表'!$B$4:$KO$4,0))&amp;"",""))</f>
        <v/>
      </c>
      <c r="DK8" s="26">
        <f>IF(BC$4="","",IFERROR(INDEX('因子水準表'!$B$9:$KO$18,3,MATCH(BC$4,'因子水準表'!$B$4:$KO$4,0))&amp;"",""))</f>
        <v/>
      </c>
      <c r="DL8" s="26">
        <f>IF(BD$4="","",IFERROR(INDEX('因子水準表'!$B$9:$KO$18,3,MATCH(BD$4,'因子水準表'!$B$4:$KO$4,0))&amp;"",""))</f>
        <v/>
      </c>
      <c r="DM8" s="26">
        <f>IF('因子水準表'!B31="","",'因子水準表'!B31)</f>
        <v/>
      </c>
      <c r="DN8" s="26">
        <f>IF('テスト条件'!A7="","",'テスト条件'!A7)</f>
        <v/>
      </c>
    </row>
    <row r="9">
      <c r="A9" s="27" t="n"/>
      <c r="B9" s="27" t="n"/>
      <c r="C9" s="28">
        <f>IF(A9="","",$B$2)</f>
        <v/>
      </c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  <c r="AA9" s="27" t="n"/>
      <c r="AB9" s="27" t="n"/>
      <c r="AC9" s="27" t="n"/>
      <c r="AD9" s="27" t="n"/>
      <c r="AE9" s="27" t="n"/>
      <c r="AF9" s="27" t="n"/>
      <c r="AG9" s="27" t="n"/>
      <c r="AH9" s="27" t="n"/>
      <c r="AI9" s="27" t="n"/>
      <c r="AJ9" s="27" t="n"/>
      <c r="AK9" s="27" t="n"/>
      <c r="AL9" s="27" t="n"/>
      <c r="AM9" s="27" t="n"/>
      <c r="AN9" s="27" t="n"/>
      <c r="AO9" s="27" t="n"/>
      <c r="AP9" s="27" t="n"/>
      <c r="AQ9" s="27" t="n"/>
      <c r="AR9" s="27" t="n"/>
      <c r="AS9" s="27" t="n"/>
      <c r="AT9" s="27" t="n"/>
      <c r="AU9" s="27" t="n"/>
      <c r="AV9" s="27" t="n"/>
      <c r="AW9" s="27" t="n"/>
      <c r="AX9" s="27" t="n"/>
      <c r="AY9" s="27" t="n"/>
      <c r="AZ9" s="27" t="n"/>
      <c r="BA9" s="27" t="n"/>
      <c r="BB9" s="27" t="n"/>
      <c r="BC9" s="27" t="n"/>
      <c r="BD9" s="27" t="n"/>
      <c r="BE9" s="27" t="n"/>
      <c r="BF9" s="27" t="n"/>
      <c r="BG9" s="27" t="n"/>
      <c r="BH9" s="27" t="n"/>
      <c r="BI9" s="29" t="n"/>
      <c r="BJ9" s="27" t="n"/>
      <c r="BK9" s="27" t="n"/>
      <c r="BL9" s="27" t="n"/>
      <c r="BM9" s="27" t="n"/>
      <c r="BO9" s="26">
        <f>IF(G$4="","",IFERROR(INDEX('因子水準表'!$B$9:$KO$18,4,MATCH(G$4,'因子水準表'!$B$4:$KO$4,0))&amp;"",""))</f>
        <v/>
      </c>
      <c r="BP9" s="26">
        <f>IF(H$4="","",IFERROR(INDEX('因子水準表'!$B$9:$KO$18,4,MATCH(H$4,'因子水準表'!$B$4:$KO$4,0))&amp;"",""))</f>
        <v/>
      </c>
      <c r="BQ9" s="26">
        <f>IF(I$4="","",IFERROR(INDEX('因子水準表'!$B$9:$KO$18,4,MATCH(I$4,'因子水準表'!$B$4:$KO$4,0))&amp;"",""))</f>
        <v/>
      </c>
      <c r="BR9" s="26">
        <f>IF(J$4="","",IFERROR(INDEX('因子水準表'!$B$9:$KO$18,4,MATCH(J$4,'因子水準表'!$B$4:$KO$4,0))&amp;"",""))</f>
        <v/>
      </c>
      <c r="BS9" s="26">
        <f>IF(K$4="","",IFERROR(INDEX('因子水準表'!$B$9:$KO$18,4,MATCH(K$4,'因子水準表'!$B$4:$KO$4,0))&amp;"",""))</f>
        <v/>
      </c>
      <c r="BT9" s="26">
        <f>IF(L$4="","",IFERROR(INDEX('因子水準表'!$B$9:$KO$18,4,MATCH(L$4,'因子水準表'!$B$4:$KO$4,0))&amp;"",""))</f>
        <v/>
      </c>
      <c r="BU9" s="26">
        <f>IF(M$4="","",IFERROR(INDEX('因子水準表'!$B$9:$KO$18,4,MATCH(M$4,'因子水準表'!$B$4:$KO$4,0))&amp;"",""))</f>
        <v/>
      </c>
      <c r="BV9" s="26">
        <f>IF(N$4="","",IFERROR(INDEX('因子水準表'!$B$9:$KO$18,4,MATCH(N$4,'因子水準表'!$B$4:$KO$4,0))&amp;"",""))</f>
        <v/>
      </c>
      <c r="BW9" s="26">
        <f>IF(O$4="","",IFERROR(INDEX('因子水準表'!$B$9:$KO$18,4,MATCH(O$4,'因子水準表'!$B$4:$KO$4,0))&amp;"",""))</f>
        <v/>
      </c>
      <c r="BX9" s="26">
        <f>IF(P$4="","",IFERROR(INDEX('因子水準表'!$B$9:$KO$18,4,MATCH(P$4,'因子水準表'!$B$4:$KO$4,0))&amp;"",""))</f>
        <v/>
      </c>
      <c r="BY9" s="26">
        <f>IF(Q$4="","",IFERROR(INDEX('因子水準表'!$B$9:$KO$18,4,MATCH(Q$4,'因子水準表'!$B$4:$KO$4,0))&amp;"",""))</f>
        <v/>
      </c>
      <c r="BZ9" s="26">
        <f>IF(R$4="","",IFERROR(INDEX('因子水準表'!$B$9:$KO$18,4,MATCH(R$4,'因子水準表'!$B$4:$KO$4,0))&amp;"",""))</f>
        <v/>
      </c>
      <c r="CA9" s="26">
        <f>IF(S$4="","",IFERROR(INDEX('因子水準表'!$B$9:$KO$18,4,MATCH(S$4,'因子水準表'!$B$4:$KO$4,0))&amp;"",""))</f>
        <v/>
      </c>
      <c r="CB9" s="26">
        <f>IF(T$4="","",IFERROR(INDEX('因子水準表'!$B$9:$KO$18,4,MATCH(T$4,'因子水準表'!$B$4:$KO$4,0))&amp;"",""))</f>
        <v/>
      </c>
      <c r="CC9" s="26">
        <f>IF(U$4="","",IFERROR(INDEX('因子水準表'!$B$9:$KO$18,4,MATCH(U$4,'因子水準表'!$B$4:$KO$4,0))&amp;"",""))</f>
        <v/>
      </c>
      <c r="CD9" s="26">
        <f>IF(V$4="","",IFERROR(INDEX('因子水準表'!$B$9:$KO$18,4,MATCH(V$4,'因子水準表'!$B$4:$KO$4,0))&amp;"",""))</f>
        <v/>
      </c>
      <c r="CE9" s="26">
        <f>IF(W$4="","",IFERROR(INDEX('因子水準表'!$B$9:$KO$18,4,MATCH(W$4,'因子水準表'!$B$4:$KO$4,0))&amp;"",""))</f>
        <v/>
      </c>
      <c r="CF9" s="26">
        <f>IF(X$4="","",IFERROR(INDEX('因子水準表'!$B$9:$KO$18,4,MATCH(X$4,'因子水準表'!$B$4:$KO$4,0))&amp;"",""))</f>
        <v/>
      </c>
      <c r="CG9" s="26">
        <f>IF(Y$4="","",IFERROR(INDEX('因子水準表'!$B$9:$KO$18,4,MATCH(Y$4,'因子水準表'!$B$4:$KO$4,0))&amp;"",""))</f>
        <v/>
      </c>
      <c r="CH9" s="26">
        <f>IF(Z$4="","",IFERROR(INDEX('因子水準表'!$B$9:$KO$18,4,MATCH(Z$4,'因子水準表'!$B$4:$KO$4,0))&amp;"",""))</f>
        <v/>
      </c>
      <c r="CI9" s="26">
        <f>IF(AA$4="","",IFERROR(INDEX('因子水準表'!$B$9:$KO$18,4,MATCH(AA$4,'因子水準表'!$B$4:$KO$4,0))&amp;"",""))</f>
        <v/>
      </c>
      <c r="CJ9" s="26">
        <f>IF(AB$4="","",IFERROR(INDEX('因子水準表'!$B$9:$KO$18,4,MATCH(AB$4,'因子水準表'!$B$4:$KO$4,0))&amp;"",""))</f>
        <v/>
      </c>
      <c r="CK9" s="26">
        <f>IF(AC$4="","",IFERROR(INDEX('因子水準表'!$B$9:$KO$18,4,MATCH(AC$4,'因子水準表'!$B$4:$KO$4,0))&amp;"",""))</f>
        <v/>
      </c>
      <c r="CL9" s="26">
        <f>IF(AD$4="","",IFERROR(INDEX('因子水準表'!$B$9:$KO$18,4,MATCH(AD$4,'因子水準表'!$B$4:$KO$4,0))&amp;"",""))</f>
        <v/>
      </c>
      <c r="CM9" s="26">
        <f>IF(AE$4="","",IFERROR(INDEX('因子水準表'!$B$9:$KO$18,4,MATCH(AE$4,'因子水準表'!$B$4:$KO$4,0))&amp;"",""))</f>
        <v/>
      </c>
      <c r="CN9" s="26">
        <f>IF(AF$4="","",IFERROR(INDEX('因子水準表'!$B$9:$KO$18,4,MATCH(AF$4,'因子水準表'!$B$4:$KO$4,0))&amp;"",""))</f>
        <v/>
      </c>
      <c r="CO9" s="26">
        <f>IF(AG$4="","",IFERROR(INDEX('因子水準表'!$B$9:$KO$18,4,MATCH(AG$4,'因子水準表'!$B$4:$KO$4,0))&amp;"",""))</f>
        <v/>
      </c>
      <c r="CP9" s="26">
        <f>IF(AH$4="","",IFERROR(INDEX('因子水準表'!$B$9:$KO$18,4,MATCH(AH$4,'因子水準表'!$B$4:$KO$4,0))&amp;"",""))</f>
        <v/>
      </c>
      <c r="CQ9" s="26">
        <f>IF(AI$4="","",IFERROR(INDEX('因子水準表'!$B$9:$KO$18,4,MATCH(AI$4,'因子水準表'!$B$4:$KO$4,0))&amp;"",""))</f>
        <v/>
      </c>
      <c r="CR9" s="26">
        <f>IF(AJ$4="","",IFERROR(INDEX('因子水準表'!$B$9:$KO$18,4,MATCH(AJ$4,'因子水準表'!$B$4:$KO$4,0))&amp;"",""))</f>
        <v/>
      </c>
      <c r="CS9" s="26">
        <f>IF(AK$4="","",IFERROR(INDEX('因子水準表'!$B$9:$KO$18,4,MATCH(AK$4,'因子水準表'!$B$4:$KO$4,0))&amp;"",""))</f>
        <v/>
      </c>
      <c r="CT9" s="26">
        <f>IF(AL$4="","",IFERROR(INDEX('因子水準表'!$B$9:$KO$18,4,MATCH(AL$4,'因子水準表'!$B$4:$KO$4,0))&amp;"",""))</f>
        <v/>
      </c>
      <c r="CU9" s="26">
        <f>IF(AM$4="","",IFERROR(INDEX('因子水準表'!$B$9:$KO$18,4,MATCH(AM$4,'因子水準表'!$B$4:$KO$4,0))&amp;"",""))</f>
        <v/>
      </c>
      <c r="CV9" s="26">
        <f>IF(AN$4="","",IFERROR(INDEX('因子水準表'!$B$9:$KO$18,4,MATCH(AN$4,'因子水準表'!$B$4:$KO$4,0))&amp;"",""))</f>
        <v/>
      </c>
      <c r="CW9" s="26">
        <f>IF(AO$4="","",IFERROR(INDEX('因子水準表'!$B$9:$KO$18,4,MATCH(AO$4,'因子水準表'!$B$4:$KO$4,0))&amp;"",""))</f>
        <v/>
      </c>
      <c r="CX9" s="26">
        <f>IF(AP$4="","",IFERROR(INDEX('因子水準表'!$B$9:$KO$18,4,MATCH(AP$4,'因子水準表'!$B$4:$KO$4,0))&amp;"",""))</f>
        <v/>
      </c>
      <c r="CY9" s="26">
        <f>IF(AQ$4="","",IFERROR(INDEX('因子水準表'!$B$9:$KO$18,4,MATCH(AQ$4,'因子水準表'!$B$4:$KO$4,0))&amp;"",""))</f>
        <v/>
      </c>
      <c r="CZ9" s="26">
        <f>IF(AR$4="","",IFERROR(INDEX('因子水準表'!$B$9:$KO$18,4,MATCH(AR$4,'因子水準表'!$B$4:$KO$4,0))&amp;"",""))</f>
        <v/>
      </c>
      <c r="DA9" s="26">
        <f>IF(AS$4="","",IFERROR(INDEX('因子水準表'!$B$9:$KO$18,4,MATCH(AS$4,'因子水準表'!$B$4:$KO$4,0))&amp;"",""))</f>
        <v/>
      </c>
      <c r="DB9" s="26">
        <f>IF(AT$4="","",IFERROR(INDEX('因子水準表'!$B$9:$KO$18,4,MATCH(AT$4,'因子水準表'!$B$4:$KO$4,0))&amp;"",""))</f>
        <v/>
      </c>
      <c r="DC9" s="26">
        <f>IF(AU$4="","",IFERROR(INDEX('因子水準表'!$B$9:$KO$18,4,MATCH(AU$4,'因子水準表'!$B$4:$KO$4,0))&amp;"",""))</f>
        <v/>
      </c>
      <c r="DD9" s="26">
        <f>IF(AV$4="","",IFERROR(INDEX('因子水準表'!$B$9:$KO$18,4,MATCH(AV$4,'因子水準表'!$B$4:$KO$4,0))&amp;"",""))</f>
        <v/>
      </c>
      <c r="DE9" s="26">
        <f>IF(AW$4="","",IFERROR(INDEX('因子水準表'!$B$9:$KO$18,4,MATCH(AW$4,'因子水準表'!$B$4:$KO$4,0))&amp;"",""))</f>
        <v/>
      </c>
      <c r="DF9" s="26">
        <f>IF(AX$4="","",IFERROR(INDEX('因子水準表'!$B$9:$KO$18,4,MATCH(AX$4,'因子水準表'!$B$4:$KO$4,0))&amp;"",""))</f>
        <v/>
      </c>
      <c r="DG9" s="26">
        <f>IF(AY$4="","",IFERROR(INDEX('因子水準表'!$B$9:$KO$18,4,MATCH(AY$4,'因子水準表'!$B$4:$KO$4,0))&amp;"",""))</f>
        <v/>
      </c>
      <c r="DH9" s="26">
        <f>IF(AZ$4="","",IFERROR(INDEX('因子水準表'!$B$9:$KO$18,4,MATCH(AZ$4,'因子水準表'!$B$4:$KO$4,0))&amp;"",""))</f>
        <v/>
      </c>
      <c r="DI9" s="26">
        <f>IF(BA$4="","",IFERROR(INDEX('因子水準表'!$B$9:$KO$18,4,MATCH(BA$4,'因子水準表'!$B$4:$KO$4,0))&amp;"",""))</f>
        <v/>
      </c>
      <c r="DJ9" s="26">
        <f>IF(BB$4="","",IFERROR(INDEX('因子水準表'!$B$9:$KO$18,4,MATCH(BB$4,'因子水準表'!$B$4:$KO$4,0))&amp;"",""))</f>
        <v/>
      </c>
      <c r="DK9" s="26">
        <f>IF(BC$4="","",IFERROR(INDEX('因子水準表'!$B$9:$KO$18,4,MATCH(BC$4,'因子水準表'!$B$4:$KO$4,0))&amp;"",""))</f>
        <v/>
      </c>
      <c r="DL9" s="26">
        <f>IF(BD$4="","",IFERROR(INDEX('因子水準表'!$B$9:$KO$18,4,MATCH(BD$4,'因子水準表'!$B$4:$KO$4,0))&amp;"",""))</f>
        <v/>
      </c>
      <c r="DM9" s="26">
        <f>IF('因子水準表'!B32="","",'因子水準表'!B32)</f>
        <v/>
      </c>
      <c r="DN9" s="26">
        <f>IF('テスト条件'!A8="","",'テスト条件'!A8)</f>
        <v/>
      </c>
    </row>
    <row r="10">
      <c r="A10" s="27" t="n"/>
      <c r="B10" s="27" t="n"/>
      <c r="C10" s="28">
        <f>IF(A10="","",$B$2)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  <c r="AI10" s="27" t="n"/>
      <c r="AJ10" s="27" t="n"/>
      <c r="AK10" s="27" t="n"/>
      <c r="AL10" s="27" t="n"/>
      <c r="AM10" s="27" t="n"/>
      <c r="AN10" s="27" t="n"/>
      <c r="AO10" s="27" t="n"/>
      <c r="AP10" s="27" t="n"/>
      <c r="AQ10" s="27" t="n"/>
      <c r="AR10" s="27" t="n"/>
      <c r="AS10" s="27" t="n"/>
      <c r="AT10" s="27" t="n"/>
      <c r="AU10" s="27" t="n"/>
      <c r="AV10" s="27" t="n"/>
      <c r="AW10" s="27" t="n"/>
      <c r="AX10" s="27" t="n"/>
      <c r="AY10" s="27" t="n"/>
      <c r="AZ10" s="27" t="n"/>
      <c r="BA10" s="27" t="n"/>
      <c r="BB10" s="27" t="n"/>
      <c r="BC10" s="27" t="n"/>
      <c r="BD10" s="27" t="n"/>
      <c r="BE10" s="27" t="n"/>
      <c r="BF10" s="27" t="n"/>
      <c r="BG10" s="27" t="n"/>
      <c r="BH10" s="27" t="n"/>
      <c r="BI10" s="29" t="n"/>
      <c r="BJ10" s="27" t="n"/>
      <c r="BK10" s="27" t="n"/>
      <c r="BL10" s="27" t="n"/>
      <c r="BM10" s="27" t="n"/>
      <c r="BO10" s="26">
        <f>IF(G$4="","",IFERROR(INDEX('因子水準表'!$B$9:$KO$18,5,MATCH(G$4,'因子水準表'!$B$4:$KO$4,0))&amp;"",""))</f>
        <v/>
      </c>
      <c r="BP10" s="26">
        <f>IF(H$4="","",IFERROR(INDEX('因子水準表'!$B$9:$KO$18,5,MATCH(H$4,'因子水準表'!$B$4:$KO$4,0))&amp;"",""))</f>
        <v/>
      </c>
      <c r="BQ10" s="26">
        <f>IF(I$4="","",IFERROR(INDEX('因子水準表'!$B$9:$KO$18,5,MATCH(I$4,'因子水準表'!$B$4:$KO$4,0))&amp;"",""))</f>
        <v/>
      </c>
      <c r="BR10" s="26">
        <f>IF(J$4="","",IFERROR(INDEX('因子水準表'!$B$9:$KO$18,5,MATCH(J$4,'因子水準表'!$B$4:$KO$4,0))&amp;"",""))</f>
        <v/>
      </c>
      <c r="BS10" s="26">
        <f>IF(K$4="","",IFERROR(INDEX('因子水準表'!$B$9:$KO$18,5,MATCH(K$4,'因子水準表'!$B$4:$KO$4,0))&amp;"",""))</f>
        <v/>
      </c>
      <c r="BT10" s="26">
        <f>IF(L$4="","",IFERROR(INDEX('因子水準表'!$B$9:$KO$18,5,MATCH(L$4,'因子水準表'!$B$4:$KO$4,0))&amp;"",""))</f>
        <v/>
      </c>
      <c r="BU10" s="26">
        <f>IF(M$4="","",IFERROR(INDEX('因子水準表'!$B$9:$KO$18,5,MATCH(M$4,'因子水準表'!$B$4:$KO$4,0))&amp;"",""))</f>
        <v/>
      </c>
      <c r="BV10" s="26">
        <f>IF(N$4="","",IFERROR(INDEX('因子水準表'!$B$9:$KO$18,5,MATCH(N$4,'因子水準表'!$B$4:$KO$4,0))&amp;"",""))</f>
        <v/>
      </c>
      <c r="BW10" s="26">
        <f>IF(O$4="","",IFERROR(INDEX('因子水準表'!$B$9:$KO$18,5,MATCH(O$4,'因子水準表'!$B$4:$KO$4,0))&amp;"",""))</f>
        <v/>
      </c>
      <c r="BX10" s="26">
        <f>IF(P$4="","",IFERROR(INDEX('因子水準表'!$B$9:$KO$18,5,MATCH(P$4,'因子水準表'!$B$4:$KO$4,0))&amp;"",""))</f>
        <v/>
      </c>
      <c r="BY10" s="26">
        <f>IF(Q$4="","",IFERROR(INDEX('因子水準表'!$B$9:$KO$18,5,MATCH(Q$4,'因子水準表'!$B$4:$KO$4,0))&amp;"",""))</f>
        <v/>
      </c>
      <c r="BZ10" s="26">
        <f>IF(R$4="","",IFERROR(INDEX('因子水準表'!$B$9:$KO$18,5,MATCH(R$4,'因子水準表'!$B$4:$KO$4,0))&amp;"",""))</f>
        <v/>
      </c>
      <c r="CA10" s="26">
        <f>IF(S$4="","",IFERROR(INDEX('因子水準表'!$B$9:$KO$18,5,MATCH(S$4,'因子水準表'!$B$4:$KO$4,0))&amp;"",""))</f>
        <v/>
      </c>
      <c r="CB10" s="26">
        <f>IF(T$4="","",IFERROR(INDEX('因子水準表'!$B$9:$KO$18,5,MATCH(T$4,'因子水準表'!$B$4:$KO$4,0))&amp;"",""))</f>
        <v/>
      </c>
      <c r="CC10" s="26">
        <f>IF(U$4="","",IFERROR(INDEX('因子水準表'!$B$9:$KO$18,5,MATCH(U$4,'因子水準表'!$B$4:$KO$4,0))&amp;"",""))</f>
        <v/>
      </c>
      <c r="CD10" s="26">
        <f>IF(V$4="","",IFERROR(INDEX('因子水準表'!$B$9:$KO$18,5,MATCH(V$4,'因子水準表'!$B$4:$KO$4,0))&amp;"",""))</f>
        <v/>
      </c>
      <c r="CE10" s="26">
        <f>IF(W$4="","",IFERROR(INDEX('因子水準表'!$B$9:$KO$18,5,MATCH(W$4,'因子水準表'!$B$4:$KO$4,0))&amp;"",""))</f>
        <v/>
      </c>
      <c r="CF10" s="26">
        <f>IF(X$4="","",IFERROR(INDEX('因子水準表'!$B$9:$KO$18,5,MATCH(X$4,'因子水準表'!$B$4:$KO$4,0))&amp;"",""))</f>
        <v/>
      </c>
      <c r="CG10" s="26">
        <f>IF(Y$4="","",IFERROR(INDEX('因子水準表'!$B$9:$KO$18,5,MATCH(Y$4,'因子水準表'!$B$4:$KO$4,0))&amp;"",""))</f>
        <v/>
      </c>
      <c r="CH10" s="26">
        <f>IF(Z$4="","",IFERROR(INDEX('因子水準表'!$B$9:$KO$18,5,MATCH(Z$4,'因子水準表'!$B$4:$KO$4,0))&amp;"",""))</f>
        <v/>
      </c>
      <c r="CI10" s="26">
        <f>IF(AA$4="","",IFERROR(INDEX('因子水準表'!$B$9:$KO$18,5,MATCH(AA$4,'因子水準表'!$B$4:$KO$4,0))&amp;"",""))</f>
        <v/>
      </c>
      <c r="CJ10" s="26">
        <f>IF(AB$4="","",IFERROR(INDEX('因子水準表'!$B$9:$KO$18,5,MATCH(AB$4,'因子水準表'!$B$4:$KO$4,0))&amp;"",""))</f>
        <v/>
      </c>
      <c r="CK10" s="26">
        <f>IF(AC$4="","",IFERROR(INDEX('因子水準表'!$B$9:$KO$18,5,MATCH(AC$4,'因子水準表'!$B$4:$KO$4,0))&amp;"",""))</f>
        <v/>
      </c>
      <c r="CL10" s="26">
        <f>IF(AD$4="","",IFERROR(INDEX('因子水準表'!$B$9:$KO$18,5,MATCH(AD$4,'因子水準表'!$B$4:$KO$4,0))&amp;"",""))</f>
        <v/>
      </c>
      <c r="CM10" s="26">
        <f>IF(AE$4="","",IFERROR(INDEX('因子水準表'!$B$9:$KO$18,5,MATCH(AE$4,'因子水準表'!$B$4:$KO$4,0))&amp;"",""))</f>
        <v/>
      </c>
      <c r="CN10" s="26">
        <f>IF(AF$4="","",IFERROR(INDEX('因子水準表'!$B$9:$KO$18,5,MATCH(AF$4,'因子水準表'!$B$4:$KO$4,0))&amp;"",""))</f>
        <v/>
      </c>
      <c r="CO10" s="26">
        <f>IF(AG$4="","",IFERROR(INDEX('因子水準表'!$B$9:$KO$18,5,MATCH(AG$4,'因子水準表'!$B$4:$KO$4,0))&amp;"",""))</f>
        <v/>
      </c>
      <c r="CP10" s="26">
        <f>IF(AH$4="","",IFERROR(INDEX('因子水準表'!$B$9:$KO$18,5,MATCH(AH$4,'因子水準表'!$B$4:$KO$4,0))&amp;"",""))</f>
        <v/>
      </c>
      <c r="CQ10" s="26">
        <f>IF(AI$4="","",IFERROR(INDEX('因子水準表'!$B$9:$KO$18,5,MATCH(AI$4,'因子水準表'!$B$4:$KO$4,0))&amp;"",""))</f>
        <v/>
      </c>
      <c r="CR10" s="26">
        <f>IF(AJ$4="","",IFERROR(INDEX('因子水準表'!$B$9:$KO$18,5,MATCH(AJ$4,'因子水準表'!$B$4:$KO$4,0))&amp;"",""))</f>
        <v/>
      </c>
      <c r="CS10" s="26">
        <f>IF(AK$4="","",IFERROR(INDEX('因子水準表'!$B$9:$KO$18,5,MATCH(AK$4,'因子水準表'!$B$4:$KO$4,0))&amp;"",""))</f>
        <v/>
      </c>
      <c r="CT10" s="26">
        <f>IF(AL$4="","",IFERROR(INDEX('因子水準表'!$B$9:$KO$18,5,MATCH(AL$4,'因子水準表'!$B$4:$KO$4,0))&amp;"",""))</f>
        <v/>
      </c>
      <c r="CU10" s="26">
        <f>IF(AM$4="","",IFERROR(INDEX('因子水準表'!$B$9:$KO$18,5,MATCH(AM$4,'因子水準表'!$B$4:$KO$4,0))&amp;"",""))</f>
        <v/>
      </c>
      <c r="CV10" s="26">
        <f>IF(AN$4="","",IFERROR(INDEX('因子水準表'!$B$9:$KO$18,5,MATCH(AN$4,'因子水準表'!$B$4:$KO$4,0))&amp;"",""))</f>
        <v/>
      </c>
      <c r="CW10" s="26">
        <f>IF(AO$4="","",IFERROR(INDEX('因子水準表'!$B$9:$KO$18,5,MATCH(AO$4,'因子水準表'!$B$4:$KO$4,0))&amp;"",""))</f>
        <v/>
      </c>
      <c r="CX10" s="26">
        <f>IF(AP$4="","",IFERROR(INDEX('因子水準表'!$B$9:$KO$18,5,MATCH(AP$4,'因子水準表'!$B$4:$KO$4,0))&amp;"",""))</f>
        <v/>
      </c>
      <c r="CY10" s="26">
        <f>IF(AQ$4="","",IFERROR(INDEX('因子水準表'!$B$9:$KO$18,5,MATCH(AQ$4,'因子水準表'!$B$4:$KO$4,0))&amp;"",""))</f>
        <v/>
      </c>
      <c r="CZ10" s="26">
        <f>IF(AR$4="","",IFERROR(INDEX('因子水準表'!$B$9:$KO$18,5,MATCH(AR$4,'因子水準表'!$B$4:$KO$4,0))&amp;"",""))</f>
        <v/>
      </c>
      <c r="DA10" s="26">
        <f>IF(AS$4="","",IFERROR(INDEX('因子水準表'!$B$9:$KO$18,5,MATCH(AS$4,'因子水準表'!$B$4:$KO$4,0))&amp;"",""))</f>
        <v/>
      </c>
      <c r="DB10" s="26">
        <f>IF(AT$4="","",IFERROR(INDEX('因子水準表'!$B$9:$KO$18,5,MATCH(AT$4,'因子水準表'!$B$4:$KO$4,0))&amp;"",""))</f>
        <v/>
      </c>
      <c r="DC10" s="26">
        <f>IF(AU$4="","",IFERROR(INDEX('因子水準表'!$B$9:$KO$18,5,MATCH(AU$4,'因子水準表'!$B$4:$KO$4,0))&amp;"",""))</f>
        <v/>
      </c>
      <c r="DD10" s="26">
        <f>IF(AV$4="","",IFERROR(INDEX('因子水準表'!$B$9:$KO$18,5,MATCH(AV$4,'因子水準表'!$B$4:$KO$4,0))&amp;"",""))</f>
        <v/>
      </c>
      <c r="DE10" s="26">
        <f>IF(AW$4="","",IFERROR(INDEX('因子水準表'!$B$9:$KO$18,5,MATCH(AW$4,'因子水準表'!$B$4:$KO$4,0))&amp;"",""))</f>
        <v/>
      </c>
      <c r="DF10" s="26">
        <f>IF(AX$4="","",IFERROR(INDEX('因子水準表'!$B$9:$KO$18,5,MATCH(AX$4,'因子水準表'!$B$4:$KO$4,0))&amp;"",""))</f>
        <v/>
      </c>
      <c r="DG10" s="26">
        <f>IF(AY$4="","",IFERROR(INDEX('因子水準表'!$B$9:$KO$18,5,MATCH(AY$4,'因子水準表'!$B$4:$KO$4,0))&amp;"",""))</f>
        <v/>
      </c>
      <c r="DH10" s="26">
        <f>IF(AZ$4="","",IFERROR(INDEX('因子水準表'!$B$9:$KO$18,5,MATCH(AZ$4,'因子水準表'!$B$4:$KO$4,0))&amp;"",""))</f>
        <v/>
      </c>
      <c r="DI10" s="26">
        <f>IF(BA$4="","",IFERROR(INDEX('因子水準表'!$B$9:$KO$18,5,MATCH(BA$4,'因子水準表'!$B$4:$KO$4,0))&amp;"",""))</f>
        <v/>
      </c>
      <c r="DJ10" s="26">
        <f>IF(BB$4="","",IFERROR(INDEX('因子水準表'!$B$9:$KO$18,5,MATCH(BB$4,'因子水準表'!$B$4:$KO$4,0))&amp;"",""))</f>
        <v/>
      </c>
      <c r="DK10" s="26">
        <f>IF(BC$4="","",IFERROR(INDEX('因子水準表'!$B$9:$KO$18,5,MATCH(BC$4,'因子水準表'!$B$4:$KO$4,0))&amp;"",""))</f>
        <v/>
      </c>
      <c r="DL10" s="26">
        <f>IF(BD$4="","",IFERROR(INDEX('因子水準表'!$B$9:$KO$18,5,MATCH(BD$4,'因子水準表'!$B$4:$KO$4,0))&amp;"",""))</f>
        <v/>
      </c>
      <c r="DM10" s="26">
        <f>IF('因子水準表'!B33="","",'因子水準表'!B33)</f>
        <v/>
      </c>
      <c r="DN10" s="26">
        <f>IF('テスト条件'!A9="","",'テスト条件'!A9)</f>
        <v/>
      </c>
    </row>
    <row r="11">
      <c r="A11" s="27" t="n"/>
      <c r="B11" s="27" t="n"/>
      <c r="C11" s="28">
        <f>IF(A11="","",$B$2)</f>
        <v/>
      </c>
      <c r="D11" s="27" t="n"/>
      <c r="E11" s="27" t="n"/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  <c r="AA11" s="27" t="n"/>
      <c r="AB11" s="27" t="n"/>
      <c r="AC11" s="27" t="n"/>
      <c r="AD11" s="27" t="n"/>
      <c r="AE11" s="27" t="n"/>
      <c r="AF11" s="27" t="n"/>
      <c r="AG11" s="27" t="n"/>
      <c r="AH11" s="27" t="n"/>
      <c r="AI11" s="27" t="n"/>
      <c r="AJ11" s="27" t="n"/>
      <c r="AK11" s="27" t="n"/>
      <c r="AL11" s="27" t="n"/>
      <c r="AM11" s="27" t="n"/>
      <c r="AN11" s="27" t="n"/>
      <c r="AO11" s="27" t="n"/>
      <c r="AP11" s="27" t="n"/>
      <c r="AQ11" s="27" t="n"/>
      <c r="AR11" s="27" t="n"/>
      <c r="AS11" s="27" t="n"/>
      <c r="AT11" s="27" t="n"/>
      <c r="AU11" s="27" t="n"/>
      <c r="AV11" s="27" t="n"/>
      <c r="AW11" s="27" t="n"/>
      <c r="AX11" s="27" t="n"/>
      <c r="AY11" s="27" t="n"/>
      <c r="AZ11" s="27" t="n"/>
      <c r="BA11" s="27" t="n"/>
      <c r="BB11" s="27" t="n"/>
      <c r="BC11" s="27" t="n"/>
      <c r="BD11" s="27" t="n"/>
      <c r="BE11" s="27" t="n"/>
      <c r="BF11" s="27" t="n"/>
      <c r="BG11" s="27" t="n"/>
      <c r="BH11" s="27" t="n"/>
      <c r="BI11" s="29" t="n"/>
      <c r="BJ11" s="27" t="n"/>
      <c r="BK11" s="27" t="n"/>
      <c r="BL11" s="27" t="n"/>
      <c r="BM11" s="27" t="n"/>
      <c r="BO11" s="26">
        <f>IF(G$4="","",IFERROR(INDEX('因子水準表'!$B$9:$KO$18,6,MATCH(G$4,'因子水準表'!$B$4:$KO$4,0))&amp;"",""))</f>
        <v/>
      </c>
      <c r="BP11" s="26">
        <f>IF(H$4="","",IFERROR(INDEX('因子水準表'!$B$9:$KO$18,6,MATCH(H$4,'因子水準表'!$B$4:$KO$4,0))&amp;"",""))</f>
        <v/>
      </c>
      <c r="BQ11" s="26">
        <f>IF(I$4="","",IFERROR(INDEX('因子水準表'!$B$9:$KO$18,6,MATCH(I$4,'因子水準表'!$B$4:$KO$4,0))&amp;"",""))</f>
        <v/>
      </c>
      <c r="BR11" s="26">
        <f>IF(J$4="","",IFERROR(INDEX('因子水準表'!$B$9:$KO$18,6,MATCH(J$4,'因子水準表'!$B$4:$KO$4,0))&amp;"",""))</f>
        <v/>
      </c>
      <c r="BS11" s="26">
        <f>IF(K$4="","",IFERROR(INDEX('因子水準表'!$B$9:$KO$18,6,MATCH(K$4,'因子水準表'!$B$4:$KO$4,0))&amp;"",""))</f>
        <v/>
      </c>
      <c r="BT11" s="26">
        <f>IF(L$4="","",IFERROR(INDEX('因子水準表'!$B$9:$KO$18,6,MATCH(L$4,'因子水準表'!$B$4:$KO$4,0))&amp;"",""))</f>
        <v/>
      </c>
      <c r="BU11" s="26">
        <f>IF(M$4="","",IFERROR(INDEX('因子水準表'!$B$9:$KO$18,6,MATCH(M$4,'因子水準表'!$B$4:$KO$4,0))&amp;"",""))</f>
        <v/>
      </c>
      <c r="BV11" s="26">
        <f>IF(N$4="","",IFERROR(INDEX('因子水準表'!$B$9:$KO$18,6,MATCH(N$4,'因子水準表'!$B$4:$KO$4,0))&amp;"",""))</f>
        <v/>
      </c>
      <c r="BW11" s="26">
        <f>IF(O$4="","",IFERROR(INDEX('因子水準表'!$B$9:$KO$18,6,MATCH(O$4,'因子水準表'!$B$4:$KO$4,0))&amp;"",""))</f>
        <v/>
      </c>
      <c r="BX11" s="26">
        <f>IF(P$4="","",IFERROR(INDEX('因子水準表'!$B$9:$KO$18,6,MATCH(P$4,'因子水準表'!$B$4:$KO$4,0))&amp;"",""))</f>
        <v/>
      </c>
      <c r="BY11" s="26">
        <f>IF(Q$4="","",IFERROR(INDEX('因子水準表'!$B$9:$KO$18,6,MATCH(Q$4,'因子水準表'!$B$4:$KO$4,0))&amp;"",""))</f>
        <v/>
      </c>
      <c r="BZ11" s="26">
        <f>IF(R$4="","",IFERROR(INDEX('因子水準表'!$B$9:$KO$18,6,MATCH(R$4,'因子水準表'!$B$4:$KO$4,0))&amp;"",""))</f>
        <v/>
      </c>
      <c r="CA11" s="26">
        <f>IF(S$4="","",IFERROR(INDEX('因子水準表'!$B$9:$KO$18,6,MATCH(S$4,'因子水準表'!$B$4:$KO$4,0))&amp;"",""))</f>
        <v/>
      </c>
      <c r="CB11" s="26">
        <f>IF(T$4="","",IFERROR(INDEX('因子水準表'!$B$9:$KO$18,6,MATCH(T$4,'因子水準表'!$B$4:$KO$4,0))&amp;"",""))</f>
        <v/>
      </c>
      <c r="CC11" s="26">
        <f>IF(U$4="","",IFERROR(INDEX('因子水準表'!$B$9:$KO$18,6,MATCH(U$4,'因子水準表'!$B$4:$KO$4,0))&amp;"",""))</f>
        <v/>
      </c>
      <c r="CD11" s="26">
        <f>IF(V$4="","",IFERROR(INDEX('因子水準表'!$B$9:$KO$18,6,MATCH(V$4,'因子水準表'!$B$4:$KO$4,0))&amp;"",""))</f>
        <v/>
      </c>
      <c r="CE11" s="26">
        <f>IF(W$4="","",IFERROR(INDEX('因子水準表'!$B$9:$KO$18,6,MATCH(W$4,'因子水準表'!$B$4:$KO$4,0))&amp;"",""))</f>
        <v/>
      </c>
      <c r="CF11" s="26">
        <f>IF(X$4="","",IFERROR(INDEX('因子水準表'!$B$9:$KO$18,6,MATCH(X$4,'因子水準表'!$B$4:$KO$4,0))&amp;"",""))</f>
        <v/>
      </c>
      <c r="CG11" s="26">
        <f>IF(Y$4="","",IFERROR(INDEX('因子水準表'!$B$9:$KO$18,6,MATCH(Y$4,'因子水準表'!$B$4:$KO$4,0))&amp;"",""))</f>
        <v/>
      </c>
      <c r="CH11" s="26">
        <f>IF(Z$4="","",IFERROR(INDEX('因子水準表'!$B$9:$KO$18,6,MATCH(Z$4,'因子水準表'!$B$4:$KO$4,0))&amp;"",""))</f>
        <v/>
      </c>
      <c r="CI11" s="26">
        <f>IF(AA$4="","",IFERROR(INDEX('因子水準表'!$B$9:$KO$18,6,MATCH(AA$4,'因子水準表'!$B$4:$KO$4,0))&amp;"",""))</f>
        <v/>
      </c>
      <c r="CJ11" s="26">
        <f>IF(AB$4="","",IFERROR(INDEX('因子水準表'!$B$9:$KO$18,6,MATCH(AB$4,'因子水準表'!$B$4:$KO$4,0))&amp;"",""))</f>
        <v/>
      </c>
      <c r="CK11" s="26">
        <f>IF(AC$4="","",IFERROR(INDEX('因子水準表'!$B$9:$KO$18,6,MATCH(AC$4,'因子水準表'!$B$4:$KO$4,0))&amp;"",""))</f>
        <v/>
      </c>
      <c r="CL11" s="26">
        <f>IF(AD$4="","",IFERROR(INDEX('因子水準表'!$B$9:$KO$18,6,MATCH(AD$4,'因子水準表'!$B$4:$KO$4,0))&amp;"",""))</f>
        <v/>
      </c>
      <c r="CM11" s="26">
        <f>IF(AE$4="","",IFERROR(INDEX('因子水準表'!$B$9:$KO$18,6,MATCH(AE$4,'因子水準表'!$B$4:$KO$4,0))&amp;"",""))</f>
        <v/>
      </c>
      <c r="CN11" s="26">
        <f>IF(AF$4="","",IFERROR(INDEX('因子水準表'!$B$9:$KO$18,6,MATCH(AF$4,'因子水準表'!$B$4:$KO$4,0))&amp;"",""))</f>
        <v/>
      </c>
      <c r="CO11" s="26">
        <f>IF(AG$4="","",IFERROR(INDEX('因子水準表'!$B$9:$KO$18,6,MATCH(AG$4,'因子水準表'!$B$4:$KO$4,0))&amp;"",""))</f>
        <v/>
      </c>
      <c r="CP11" s="26">
        <f>IF(AH$4="","",IFERROR(INDEX('因子水準表'!$B$9:$KO$18,6,MATCH(AH$4,'因子水準表'!$B$4:$KO$4,0))&amp;"",""))</f>
        <v/>
      </c>
      <c r="CQ11" s="26">
        <f>IF(AI$4="","",IFERROR(INDEX('因子水準表'!$B$9:$KO$18,6,MATCH(AI$4,'因子水準表'!$B$4:$KO$4,0))&amp;"",""))</f>
        <v/>
      </c>
      <c r="CR11" s="26">
        <f>IF(AJ$4="","",IFERROR(INDEX('因子水準表'!$B$9:$KO$18,6,MATCH(AJ$4,'因子水準表'!$B$4:$KO$4,0))&amp;"",""))</f>
        <v/>
      </c>
      <c r="CS11" s="26">
        <f>IF(AK$4="","",IFERROR(INDEX('因子水準表'!$B$9:$KO$18,6,MATCH(AK$4,'因子水準表'!$B$4:$KO$4,0))&amp;"",""))</f>
        <v/>
      </c>
      <c r="CT11" s="26">
        <f>IF(AL$4="","",IFERROR(INDEX('因子水準表'!$B$9:$KO$18,6,MATCH(AL$4,'因子水準表'!$B$4:$KO$4,0))&amp;"",""))</f>
        <v/>
      </c>
      <c r="CU11" s="26">
        <f>IF(AM$4="","",IFERROR(INDEX('因子水準表'!$B$9:$KO$18,6,MATCH(AM$4,'因子水準表'!$B$4:$KO$4,0))&amp;"",""))</f>
        <v/>
      </c>
      <c r="CV11" s="26">
        <f>IF(AN$4="","",IFERROR(INDEX('因子水準表'!$B$9:$KO$18,6,MATCH(AN$4,'因子水準表'!$B$4:$KO$4,0))&amp;"",""))</f>
        <v/>
      </c>
      <c r="CW11" s="26">
        <f>IF(AO$4="","",IFERROR(INDEX('因子水準表'!$B$9:$KO$18,6,MATCH(AO$4,'因子水準表'!$B$4:$KO$4,0))&amp;"",""))</f>
        <v/>
      </c>
      <c r="CX11" s="26">
        <f>IF(AP$4="","",IFERROR(INDEX('因子水準表'!$B$9:$KO$18,6,MATCH(AP$4,'因子水準表'!$B$4:$KO$4,0))&amp;"",""))</f>
        <v/>
      </c>
      <c r="CY11" s="26">
        <f>IF(AQ$4="","",IFERROR(INDEX('因子水準表'!$B$9:$KO$18,6,MATCH(AQ$4,'因子水準表'!$B$4:$KO$4,0))&amp;"",""))</f>
        <v/>
      </c>
      <c r="CZ11" s="26">
        <f>IF(AR$4="","",IFERROR(INDEX('因子水準表'!$B$9:$KO$18,6,MATCH(AR$4,'因子水準表'!$B$4:$KO$4,0))&amp;"",""))</f>
        <v/>
      </c>
      <c r="DA11" s="26">
        <f>IF(AS$4="","",IFERROR(INDEX('因子水準表'!$B$9:$KO$18,6,MATCH(AS$4,'因子水準表'!$B$4:$KO$4,0))&amp;"",""))</f>
        <v/>
      </c>
      <c r="DB11" s="26">
        <f>IF(AT$4="","",IFERROR(INDEX('因子水準表'!$B$9:$KO$18,6,MATCH(AT$4,'因子水準表'!$B$4:$KO$4,0))&amp;"",""))</f>
        <v/>
      </c>
      <c r="DC11" s="26">
        <f>IF(AU$4="","",IFERROR(INDEX('因子水準表'!$B$9:$KO$18,6,MATCH(AU$4,'因子水準表'!$B$4:$KO$4,0))&amp;"",""))</f>
        <v/>
      </c>
      <c r="DD11" s="26">
        <f>IF(AV$4="","",IFERROR(INDEX('因子水準表'!$B$9:$KO$18,6,MATCH(AV$4,'因子水準表'!$B$4:$KO$4,0))&amp;"",""))</f>
        <v/>
      </c>
      <c r="DE11" s="26">
        <f>IF(AW$4="","",IFERROR(INDEX('因子水準表'!$B$9:$KO$18,6,MATCH(AW$4,'因子水準表'!$B$4:$KO$4,0))&amp;"",""))</f>
        <v/>
      </c>
      <c r="DF11" s="26">
        <f>IF(AX$4="","",IFERROR(INDEX('因子水準表'!$B$9:$KO$18,6,MATCH(AX$4,'因子水準表'!$B$4:$KO$4,0))&amp;"",""))</f>
        <v/>
      </c>
      <c r="DG11" s="26">
        <f>IF(AY$4="","",IFERROR(INDEX('因子水準表'!$B$9:$KO$18,6,MATCH(AY$4,'因子水準表'!$B$4:$KO$4,0))&amp;"",""))</f>
        <v/>
      </c>
      <c r="DH11" s="26">
        <f>IF(AZ$4="","",IFERROR(INDEX('因子水準表'!$B$9:$KO$18,6,MATCH(AZ$4,'因子水準表'!$B$4:$KO$4,0))&amp;"",""))</f>
        <v/>
      </c>
      <c r="DI11" s="26">
        <f>IF(BA$4="","",IFERROR(INDEX('因子水準表'!$B$9:$KO$18,6,MATCH(BA$4,'因子水準表'!$B$4:$KO$4,0))&amp;"",""))</f>
        <v/>
      </c>
      <c r="DJ11" s="26">
        <f>IF(BB$4="","",IFERROR(INDEX('因子水準表'!$B$9:$KO$18,6,MATCH(BB$4,'因子水準表'!$B$4:$KO$4,0))&amp;"",""))</f>
        <v/>
      </c>
      <c r="DK11" s="26">
        <f>IF(BC$4="","",IFERROR(INDEX('因子水準表'!$B$9:$KO$18,6,MATCH(BC$4,'因子水準表'!$B$4:$KO$4,0))&amp;"",""))</f>
        <v/>
      </c>
      <c r="DL11" s="26">
        <f>IF(BD$4="","",IFERROR(INDEX('因子水準表'!$B$9:$KO$18,6,MATCH(BD$4,'因子水準表'!$B$4:$KO$4,0))&amp;"",""))</f>
        <v/>
      </c>
      <c r="DM11" s="26">
        <f>IF('因子水準表'!B34="","",'因子水準表'!B34)</f>
        <v/>
      </c>
      <c r="DN11" s="26">
        <f>IF('テスト条件'!A10="","",'テスト条件'!A10)</f>
        <v/>
      </c>
    </row>
    <row r="12">
      <c r="A12" s="27" t="n"/>
      <c r="B12" s="27" t="n"/>
      <c r="C12" s="28">
        <f>IF(A12="","",$B$2)</f>
        <v/>
      </c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  <c r="AJ12" s="27" t="n"/>
      <c r="AK12" s="27" t="n"/>
      <c r="AL12" s="27" t="n"/>
      <c r="AM12" s="27" t="n"/>
      <c r="AN12" s="27" t="n"/>
      <c r="AO12" s="27" t="n"/>
      <c r="AP12" s="27" t="n"/>
      <c r="AQ12" s="27" t="n"/>
      <c r="AR12" s="27" t="n"/>
      <c r="AS12" s="27" t="n"/>
      <c r="AT12" s="27" t="n"/>
      <c r="AU12" s="27" t="n"/>
      <c r="AV12" s="27" t="n"/>
      <c r="AW12" s="27" t="n"/>
      <c r="AX12" s="27" t="n"/>
      <c r="AY12" s="27" t="n"/>
      <c r="AZ12" s="27" t="n"/>
      <c r="BA12" s="27" t="n"/>
      <c r="BB12" s="27" t="n"/>
      <c r="BC12" s="27" t="n"/>
      <c r="BD12" s="27" t="n"/>
      <c r="BE12" s="27" t="n"/>
      <c r="BF12" s="27" t="n"/>
      <c r="BG12" s="27" t="n"/>
      <c r="BH12" s="27" t="n"/>
      <c r="BI12" s="29" t="n"/>
      <c r="BJ12" s="27" t="n"/>
      <c r="BK12" s="27" t="n"/>
      <c r="BL12" s="27" t="n"/>
      <c r="BM12" s="27" t="n"/>
      <c r="BO12" s="26">
        <f>IF(G$4="","",IFERROR(INDEX('因子水準表'!$B$9:$KO$18,7,MATCH(G$4,'因子水準表'!$B$4:$KO$4,0))&amp;"",""))</f>
        <v/>
      </c>
      <c r="BP12" s="26">
        <f>IF(H$4="","",IFERROR(INDEX('因子水準表'!$B$9:$KO$18,7,MATCH(H$4,'因子水準表'!$B$4:$KO$4,0))&amp;"",""))</f>
        <v/>
      </c>
      <c r="BQ12" s="26">
        <f>IF(I$4="","",IFERROR(INDEX('因子水準表'!$B$9:$KO$18,7,MATCH(I$4,'因子水準表'!$B$4:$KO$4,0))&amp;"",""))</f>
        <v/>
      </c>
      <c r="BR12" s="26">
        <f>IF(J$4="","",IFERROR(INDEX('因子水準表'!$B$9:$KO$18,7,MATCH(J$4,'因子水準表'!$B$4:$KO$4,0))&amp;"",""))</f>
        <v/>
      </c>
      <c r="BS12" s="26">
        <f>IF(K$4="","",IFERROR(INDEX('因子水準表'!$B$9:$KO$18,7,MATCH(K$4,'因子水準表'!$B$4:$KO$4,0))&amp;"",""))</f>
        <v/>
      </c>
      <c r="BT12" s="26">
        <f>IF(L$4="","",IFERROR(INDEX('因子水準表'!$B$9:$KO$18,7,MATCH(L$4,'因子水準表'!$B$4:$KO$4,0))&amp;"",""))</f>
        <v/>
      </c>
      <c r="BU12" s="26">
        <f>IF(M$4="","",IFERROR(INDEX('因子水準表'!$B$9:$KO$18,7,MATCH(M$4,'因子水準表'!$B$4:$KO$4,0))&amp;"",""))</f>
        <v/>
      </c>
      <c r="BV12" s="26">
        <f>IF(N$4="","",IFERROR(INDEX('因子水準表'!$B$9:$KO$18,7,MATCH(N$4,'因子水準表'!$B$4:$KO$4,0))&amp;"",""))</f>
        <v/>
      </c>
      <c r="BW12" s="26">
        <f>IF(O$4="","",IFERROR(INDEX('因子水準表'!$B$9:$KO$18,7,MATCH(O$4,'因子水準表'!$B$4:$KO$4,0))&amp;"",""))</f>
        <v/>
      </c>
      <c r="BX12" s="26">
        <f>IF(P$4="","",IFERROR(INDEX('因子水準表'!$B$9:$KO$18,7,MATCH(P$4,'因子水準表'!$B$4:$KO$4,0))&amp;"",""))</f>
        <v/>
      </c>
      <c r="BY12" s="26">
        <f>IF(Q$4="","",IFERROR(INDEX('因子水準表'!$B$9:$KO$18,7,MATCH(Q$4,'因子水準表'!$B$4:$KO$4,0))&amp;"",""))</f>
        <v/>
      </c>
      <c r="BZ12" s="26">
        <f>IF(R$4="","",IFERROR(INDEX('因子水準表'!$B$9:$KO$18,7,MATCH(R$4,'因子水準表'!$B$4:$KO$4,0))&amp;"",""))</f>
        <v/>
      </c>
      <c r="CA12" s="26">
        <f>IF(S$4="","",IFERROR(INDEX('因子水準表'!$B$9:$KO$18,7,MATCH(S$4,'因子水準表'!$B$4:$KO$4,0))&amp;"",""))</f>
        <v/>
      </c>
      <c r="CB12" s="26">
        <f>IF(T$4="","",IFERROR(INDEX('因子水準表'!$B$9:$KO$18,7,MATCH(T$4,'因子水準表'!$B$4:$KO$4,0))&amp;"",""))</f>
        <v/>
      </c>
      <c r="CC12" s="26">
        <f>IF(U$4="","",IFERROR(INDEX('因子水準表'!$B$9:$KO$18,7,MATCH(U$4,'因子水準表'!$B$4:$KO$4,0))&amp;"",""))</f>
        <v/>
      </c>
      <c r="CD12" s="26">
        <f>IF(V$4="","",IFERROR(INDEX('因子水準表'!$B$9:$KO$18,7,MATCH(V$4,'因子水準表'!$B$4:$KO$4,0))&amp;"",""))</f>
        <v/>
      </c>
      <c r="CE12" s="26">
        <f>IF(W$4="","",IFERROR(INDEX('因子水準表'!$B$9:$KO$18,7,MATCH(W$4,'因子水準表'!$B$4:$KO$4,0))&amp;"",""))</f>
        <v/>
      </c>
      <c r="CF12" s="26">
        <f>IF(X$4="","",IFERROR(INDEX('因子水準表'!$B$9:$KO$18,7,MATCH(X$4,'因子水準表'!$B$4:$KO$4,0))&amp;"",""))</f>
        <v/>
      </c>
      <c r="CG12" s="26">
        <f>IF(Y$4="","",IFERROR(INDEX('因子水準表'!$B$9:$KO$18,7,MATCH(Y$4,'因子水準表'!$B$4:$KO$4,0))&amp;"",""))</f>
        <v/>
      </c>
      <c r="CH12" s="26">
        <f>IF(Z$4="","",IFERROR(INDEX('因子水準表'!$B$9:$KO$18,7,MATCH(Z$4,'因子水準表'!$B$4:$KO$4,0))&amp;"",""))</f>
        <v/>
      </c>
      <c r="CI12" s="26">
        <f>IF(AA$4="","",IFERROR(INDEX('因子水準表'!$B$9:$KO$18,7,MATCH(AA$4,'因子水準表'!$B$4:$KO$4,0))&amp;"",""))</f>
        <v/>
      </c>
      <c r="CJ12" s="26">
        <f>IF(AB$4="","",IFERROR(INDEX('因子水準表'!$B$9:$KO$18,7,MATCH(AB$4,'因子水準表'!$B$4:$KO$4,0))&amp;"",""))</f>
        <v/>
      </c>
      <c r="CK12" s="26">
        <f>IF(AC$4="","",IFERROR(INDEX('因子水準表'!$B$9:$KO$18,7,MATCH(AC$4,'因子水準表'!$B$4:$KO$4,0))&amp;"",""))</f>
        <v/>
      </c>
      <c r="CL12" s="26">
        <f>IF(AD$4="","",IFERROR(INDEX('因子水準表'!$B$9:$KO$18,7,MATCH(AD$4,'因子水準表'!$B$4:$KO$4,0))&amp;"",""))</f>
        <v/>
      </c>
      <c r="CM12" s="26">
        <f>IF(AE$4="","",IFERROR(INDEX('因子水準表'!$B$9:$KO$18,7,MATCH(AE$4,'因子水準表'!$B$4:$KO$4,0))&amp;"",""))</f>
        <v/>
      </c>
      <c r="CN12" s="26">
        <f>IF(AF$4="","",IFERROR(INDEX('因子水準表'!$B$9:$KO$18,7,MATCH(AF$4,'因子水準表'!$B$4:$KO$4,0))&amp;"",""))</f>
        <v/>
      </c>
      <c r="CO12" s="26">
        <f>IF(AG$4="","",IFERROR(INDEX('因子水準表'!$B$9:$KO$18,7,MATCH(AG$4,'因子水準表'!$B$4:$KO$4,0))&amp;"",""))</f>
        <v/>
      </c>
      <c r="CP12" s="26">
        <f>IF(AH$4="","",IFERROR(INDEX('因子水準表'!$B$9:$KO$18,7,MATCH(AH$4,'因子水準表'!$B$4:$KO$4,0))&amp;"",""))</f>
        <v/>
      </c>
      <c r="CQ12" s="26">
        <f>IF(AI$4="","",IFERROR(INDEX('因子水準表'!$B$9:$KO$18,7,MATCH(AI$4,'因子水準表'!$B$4:$KO$4,0))&amp;"",""))</f>
        <v/>
      </c>
      <c r="CR12" s="26">
        <f>IF(AJ$4="","",IFERROR(INDEX('因子水準表'!$B$9:$KO$18,7,MATCH(AJ$4,'因子水準表'!$B$4:$KO$4,0))&amp;"",""))</f>
        <v/>
      </c>
      <c r="CS12" s="26">
        <f>IF(AK$4="","",IFERROR(INDEX('因子水準表'!$B$9:$KO$18,7,MATCH(AK$4,'因子水準表'!$B$4:$KO$4,0))&amp;"",""))</f>
        <v/>
      </c>
      <c r="CT12" s="26">
        <f>IF(AL$4="","",IFERROR(INDEX('因子水準表'!$B$9:$KO$18,7,MATCH(AL$4,'因子水準表'!$B$4:$KO$4,0))&amp;"",""))</f>
        <v/>
      </c>
      <c r="CU12" s="26">
        <f>IF(AM$4="","",IFERROR(INDEX('因子水準表'!$B$9:$KO$18,7,MATCH(AM$4,'因子水準表'!$B$4:$KO$4,0))&amp;"",""))</f>
        <v/>
      </c>
      <c r="CV12" s="26">
        <f>IF(AN$4="","",IFERROR(INDEX('因子水準表'!$B$9:$KO$18,7,MATCH(AN$4,'因子水準表'!$B$4:$KO$4,0))&amp;"",""))</f>
        <v/>
      </c>
      <c r="CW12" s="26">
        <f>IF(AO$4="","",IFERROR(INDEX('因子水準表'!$B$9:$KO$18,7,MATCH(AO$4,'因子水準表'!$B$4:$KO$4,0))&amp;"",""))</f>
        <v/>
      </c>
      <c r="CX12" s="26">
        <f>IF(AP$4="","",IFERROR(INDEX('因子水準表'!$B$9:$KO$18,7,MATCH(AP$4,'因子水準表'!$B$4:$KO$4,0))&amp;"",""))</f>
        <v/>
      </c>
      <c r="CY12" s="26">
        <f>IF(AQ$4="","",IFERROR(INDEX('因子水準表'!$B$9:$KO$18,7,MATCH(AQ$4,'因子水準表'!$B$4:$KO$4,0))&amp;"",""))</f>
        <v/>
      </c>
      <c r="CZ12" s="26">
        <f>IF(AR$4="","",IFERROR(INDEX('因子水準表'!$B$9:$KO$18,7,MATCH(AR$4,'因子水準表'!$B$4:$KO$4,0))&amp;"",""))</f>
        <v/>
      </c>
      <c r="DA12" s="26">
        <f>IF(AS$4="","",IFERROR(INDEX('因子水準表'!$B$9:$KO$18,7,MATCH(AS$4,'因子水準表'!$B$4:$KO$4,0))&amp;"",""))</f>
        <v/>
      </c>
      <c r="DB12" s="26">
        <f>IF(AT$4="","",IFERROR(INDEX('因子水準表'!$B$9:$KO$18,7,MATCH(AT$4,'因子水準表'!$B$4:$KO$4,0))&amp;"",""))</f>
        <v/>
      </c>
      <c r="DC12" s="26">
        <f>IF(AU$4="","",IFERROR(INDEX('因子水準表'!$B$9:$KO$18,7,MATCH(AU$4,'因子水準表'!$B$4:$KO$4,0))&amp;"",""))</f>
        <v/>
      </c>
      <c r="DD12" s="26">
        <f>IF(AV$4="","",IFERROR(INDEX('因子水準表'!$B$9:$KO$18,7,MATCH(AV$4,'因子水準表'!$B$4:$KO$4,0))&amp;"",""))</f>
        <v/>
      </c>
      <c r="DE12" s="26">
        <f>IF(AW$4="","",IFERROR(INDEX('因子水準表'!$B$9:$KO$18,7,MATCH(AW$4,'因子水準表'!$B$4:$KO$4,0))&amp;"",""))</f>
        <v/>
      </c>
      <c r="DF12" s="26">
        <f>IF(AX$4="","",IFERROR(INDEX('因子水準表'!$B$9:$KO$18,7,MATCH(AX$4,'因子水準表'!$B$4:$KO$4,0))&amp;"",""))</f>
        <v/>
      </c>
      <c r="DG12" s="26">
        <f>IF(AY$4="","",IFERROR(INDEX('因子水準表'!$B$9:$KO$18,7,MATCH(AY$4,'因子水準表'!$B$4:$KO$4,0))&amp;"",""))</f>
        <v/>
      </c>
      <c r="DH12" s="26">
        <f>IF(AZ$4="","",IFERROR(INDEX('因子水準表'!$B$9:$KO$18,7,MATCH(AZ$4,'因子水準表'!$B$4:$KO$4,0))&amp;"",""))</f>
        <v/>
      </c>
      <c r="DI12" s="26">
        <f>IF(BA$4="","",IFERROR(INDEX('因子水準表'!$B$9:$KO$18,7,MATCH(BA$4,'因子水準表'!$B$4:$KO$4,0))&amp;"",""))</f>
        <v/>
      </c>
      <c r="DJ12" s="26">
        <f>IF(BB$4="","",IFERROR(INDEX('因子水準表'!$B$9:$KO$18,7,MATCH(BB$4,'因子水準表'!$B$4:$KO$4,0))&amp;"",""))</f>
        <v/>
      </c>
      <c r="DK12" s="26">
        <f>IF(BC$4="","",IFERROR(INDEX('因子水準表'!$B$9:$KO$18,7,MATCH(BC$4,'因子水準表'!$B$4:$KO$4,0))&amp;"",""))</f>
        <v/>
      </c>
      <c r="DL12" s="26">
        <f>IF(BD$4="","",IFERROR(INDEX('因子水準表'!$B$9:$KO$18,7,MATCH(BD$4,'因子水準表'!$B$4:$KO$4,0))&amp;"",""))</f>
        <v/>
      </c>
      <c r="DM12" s="26">
        <f>IF('因子水準表'!B35="","",'因子水準表'!B35)</f>
        <v/>
      </c>
      <c r="DN12" s="26">
        <f>IF('テスト条件'!A11="","",'テスト条件'!A11)</f>
        <v/>
      </c>
    </row>
    <row r="13">
      <c r="A13" s="27" t="n"/>
      <c r="B13" s="27" t="n"/>
      <c r="C13" s="28">
        <f>IF(A13="","",$B$2)</f>
        <v/>
      </c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  <c r="AA13" s="27" t="n"/>
      <c r="AB13" s="27" t="n"/>
      <c r="AC13" s="27" t="n"/>
      <c r="AD13" s="27" t="n"/>
      <c r="AE13" s="27" t="n"/>
      <c r="AF13" s="27" t="n"/>
      <c r="AG13" s="27" t="n"/>
      <c r="AH13" s="27" t="n"/>
      <c r="AI13" s="27" t="n"/>
      <c r="AJ13" s="27" t="n"/>
      <c r="AK13" s="27" t="n"/>
      <c r="AL13" s="27" t="n"/>
      <c r="AM13" s="27" t="n"/>
      <c r="AN13" s="27" t="n"/>
      <c r="AO13" s="27" t="n"/>
      <c r="AP13" s="27" t="n"/>
      <c r="AQ13" s="27" t="n"/>
      <c r="AR13" s="27" t="n"/>
      <c r="AS13" s="27" t="n"/>
      <c r="AT13" s="27" t="n"/>
      <c r="AU13" s="27" t="n"/>
      <c r="AV13" s="27" t="n"/>
      <c r="AW13" s="27" t="n"/>
      <c r="AX13" s="27" t="n"/>
      <c r="AY13" s="27" t="n"/>
      <c r="AZ13" s="27" t="n"/>
      <c r="BA13" s="27" t="n"/>
      <c r="BB13" s="27" t="n"/>
      <c r="BC13" s="27" t="n"/>
      <c r="BD13" s="27" t="n"/>
      <c r="BE13" s="27" t="n"/>
      <c r="BF13" s="27" t="n"/>
      <c r="BG13" s="27" t="n"/>
      <c r="BH13" s="27" t="n"/>
      <c r="BI13" s="29" t="n"/>
      <c r="BJ13" s="27" t="n"/>
      <c r="BK13" s="27" t="n"/>
      <c r="BL13" s="27" t="n"/>
      <c r="BM13" s="27" t="n"/>
      <c r="BO13" s="26">
        <f>IF(G$4="","",IFERROR(INDEX('因子水準表'!$B$9:$KO$18,8,MATCH(G$4,'因子水準表'!$B$4:$KO$4,0))&amp;"",""))</f>
        <v/>
      </c>
      <c r="BP13" s="26">
        <f>IF(H$4="","",IFERROR(INDEX('因子水準表'!$B$9:$KO$18,8,MATCH(H$4,'因子水準表'!$B$4:$KO$4,0))&amp;"",""))</f>
        <v/>
      </c>
      <c r="BQ13" s="26">
        <f>IF(I$4="","",IFERROR(INDEX('因子水準表'!$B$9:$KO$18,8,MATCH(I$4,'因子水準表'!$B$4:$KO$4,0))&amp;"",""))</f>
        <v/>
      </c>
      <c r="BR13" s="26">
        <f>IF(J$4="","",IFERROR(INDEX('因子水準表'!$B$9:$KO$18,8,MATCH(J$4,'因子水準表'!$B$4:$KO$4,0))&amp;"",""))</f>
        <v/>
      </c>
      <c r="BS13" s="26">
        <f>IF(K$4="","",IFERROR(INDEX('因子水準表'!$B$9:$KO$18,8,MATCH(K$4,'因子水準表'!$B$4:$KO$4,0))&amp;"",""))</f>
        <v/>
      </c>
      <c r="BT13" s="26">
        <f>IF(L$4="","",IFERROR(INDEX('因子水準表'!$B$9:$KO$18,8,MATCH(L$4,'因子水準表'!$B$4:$KO$4,0))&amp;"",""))</f>
        <v/>
      </c>
      <c r="BU13" s="26">
        <f>IF(M$4="","",IFERROR(INDEX('因子水準表'!$B$9:$KO$18,8,MATCH(M$4,'因子水準表'!$B$4:$KO$4,0))&amp;"",""))</f>
        <v/>
      </c>
      <c r="BV13" s="26">
        <f>IF(N$4="","",IFERROR(INDEX('因子水準表'!$B$9:$KO$18,8,MATCH(N$4,'因子水準表'!$B$4:$KO$4,0))&amp;"",""))</f>
        <v/>
      </c>
      <c r="BW13" s="26">
        <f>IF(O$4="","",IFERROR(INDEX('因子水準表'!$B$9:$KO$18,8,MATCH(O$4,'因子水準表'!$B$4:$KO$4,0))&amp;"",""))</f>
        <v/>
      </c>
      <c r="BX13" s="26">
        <f>IF(P$4="","",IFERROR(INDEX('因子水準表'!$B$9:$KO$18,8,MATCH(P$4,'因子水準表'!$B$4:$KO$4,0))&amp;"",""))</f>
        <v/>
      </c>
      <c r="BY13" s="26">
        <f>IF(Q$4="","",IFERROR(INDEX('因子水準表'!$B$9:$KO$18,8,MATCH(Q$4,'因子水準表'!$B$4:$KO$4,0))&amp;"",""))</f>
        <v/>
      </c>
      <c r="BZ13" s="26">
        <f>IF(R$4="","",IFERROR(INDEX('因子水準表'!$B$9:$KO$18,8,MATCH(R$4,'因子水準表'!$B$4:$KO$4,0))&amp;"",""))</f>
        <v/>
      </c>
      <c r="CA13" s="26">
        <f>IF(S$4="","",IFERROR(INDEX('因子水準表'!$B$9:$KO$18,8,MATCH(S$4,'因子水準表'!$B$4:$KO$4,0))&amp;"",""))</f>
        <v/>
      </c>
      <c r="CB13" s="26">
        <f>IF(T$4="","",IFERROR(INDEX('因子水準表'!$B$9:$KO$18,8,MATCH(T$4,'因子水準表'!$B$4:$KO$4,0))&amp;"",""))</f>
        <v/>
      </c>
      <c r="CC13" s="26">
        <f>IF(U$4="","",IFERROR(INDEX('因子水準表'!$B$9:$KO$18,8,MATCH(U$4,'因子水準表'!$B$4:$KO$4,0))&amp;"",""))</f>
        <v/>
      </c>
      <c r="CD13" s="26">
        <f>IF(V$4="","",IFERROR(INDEX('因子水準表'!$B$9:$KO$18,8,MATCH(V$4,'因子水準表'!$B$4:$KO$4,0))&amp;"",""))</f>
        <v/>
      </c>
      <c r="CE13" s="26">
        <f>IF(W$4="","",IFERROR(INDEX('因子水準表'!$B$9:$KO$18,8,MATCH(W$4,'因子水準表'!$B$4:$KO$4,0))&amp;"",""))</f>
        <v/>
      </c>
      <c r="CF13" s="26">
        <f>IF(X$4="","",IFERROR(INDEX('因子水準表'!$B$9:$KO$18,8,MATCH(X$4,'因子水準表'!$B$4:$KO$4,0))&amp;"",""))</f>
        <v/>
      </c>
      <c r="CG13" s="26">
        <f>IF(Y$4="","",IFERROR(INDEX('因子水準表'!$B$9:$KO$18,8,MATCH(Y$4,'因子水準表'!$B$4:$KO$4,0))&amp;"",""))</f>
        <v/>
      </c>
      <c r="CH13" s="26">
        <f>IF(Z$4="","",IFERROR(INDEX('因子水準表'!$B$9:$KO$18,8,MATCH(Z$4,'因子水準表'!$B$4:$KO$4,0))&amp;"",""))</f>
        <v/>
      </c>
      <c r="CI13" s="26">
        <f>IF(AA$4="","",IFERROR(INDEX('因子水準表'!$B$9:$KO$18,8,MATCH(AA$4,'因子水準表'!$B$4:$KO$4,0))&amp;"",""))</f>
        <v/>
      </c>
      <c r="CJ13" s="26">
        <f>IF(AB$4="","",IFERROR(INDEX('因子水準表'!$B$9:$KO$18,8,MATCH(AB$4,'因子水準表'!$B$4:$KO$4,0))&amp;"",""))</f>
        <v/>
      </c>
      <c r="CK13" s="26">
        <f>IF(AC$4="","",IFERROR(INDEX('因子水準表'!$B$9:$KO$18,8,MATCH(AC$4,'因子水準表'!$B$4:$KO$4,0))&amp;"",""))</f>
        <v/>
      </c>
      <c r="CL13" s="26">
        <f>IF(AD$4="","",IFERROR(INDEX('因子水準表'!$B$9:$KO$18,8,MATCH(AD$4,'因子水準表'!$B$4:$KO$4,0))&amp;"",""))</f>
        <v/>
      </c>
      <c r="CM13" s="26">
        <f>IF(AE$4="","",IFERROR(INDEX('因子水準表'!$B$9:$KO$18,8,MATCH(AE$4,'因子水準表'!$B$4:$KO$4,0))&amp;"",""))</f>
        <v/>
      </c>
      <c r="CN13" s="26">
        <f>IF(AF$4="","",IFERROR(INDEX('因子水準表'!$B$9:$KO$18,8,MATCH(AF$4,'因子水準表'!$B$4:$KO$4,0))&amp;"",""))</f>
        <v/>
      </c>
      <c r="CO13" s="26">
        <f>IF(AG$4="","",IFERROR(INDEX('因子水準表'!$B$9:$KO$18,8,MATCH(AG$4,'因子水準表'!$B$4:$KO$4,0))&amp;"",""))</f>
        <v/>
      </c>
      <c r="CP13" s="26">
        <f>IF(AH$4="","",IFERROR(INDEX('因子水準表'!$B$9:$KO$18,8,MATCH(AH$4,'因子水準表'!$B$4:$KO$4,0))&amp;"",""))</f>
        <v/>
      </c>
      <c r="CQ13" s="26">
        <f>IF(AI$4="","",IFERROR(INDEX('因子水準表'!$B$9:$KO$18,8,MATCH(AI$4,'因子水準表'!$B$4:$KO$4,0))&amp;"",""))</f>
        <v/>
      </c>
      <c r="CR13" s="26">
        <f>IF(AJ$4="","",IFERROR(INDEX('因子水準表'!$B$9:$KO$18,8,MATCH(AJ$4,'因子水準表'!$B$4:$KO$4,0))&amp;"",""))</f>
        <v/>
      </c>
      <c r="CS13" s="26">
        <f>IF(AK$4="","",IFERROR(INDEX('因子水準表'!$B$9:$KO$18,8,MATCH(AK$4,'因子水準表'!$B$4:$KO$4,0))&amp;"",""))</f>
        <v/>
      </c>
      <c r="CT13" s="26">
        <f>IF(AL$4="","",IFERROR(INDEX('因子水準表'!$B$9:$KO$18,8,MATCH(AL$4,'因子水準表'!$B$4:$KO$4,0))&amp;"",""))</f>
        <v/>
      </c>
      <c r="CU13" s="26">
        <f>IF(AM$4="","",IFERROR(INDEX('因子水準表'!$B$9:$KO$18,8,MATCH(AM$4,'因子水準表'!$B$4:$KO$4,0))&amp;"",""))</f>
        <v/>
      </c>
      <c r="CV13" s="26">
        <f>IF(AN$4="","",IFERROR(INDEX('因子水準表'!$B$9:$KO$18,8,MATCH(AN$4,'因子水準表'!$B$4:$KO$4,0))&amp;"",""))</f>
        <v/>
      </c>
      <c r="CW13" s="26">
        <f>IF(AO$4="","",IFERROR(INDEX('因子水準表'!$B$9:$KO$18,8,MATCH(AO$4,'因子水準表'!$B$4:$KO$4,0))&amp;"",""))</f>
        <v/>
      </c>
      <c r="CX13" s="26">
        <f>IF(AP$4="","",IFERROR(INDEX('因子水準表'!$B$9:$KO$18,8,MATCH(AP$4,'因子水準表'!$B$4:$KO$4,0))&amp;"",""))</f>
        <v/>
      </c>
      <c r="CY13" s="26">
        <f>IF(AQ$4="","",IFERROR(INDEX('因子水準表'!$B$9:$KO$18,8,MATCH(AQ$4,'因子水準表'!$B$4:$KO$4,0))&amp;"",""))</f>
        <v/>
      </c>
      <c r="CZ13" s="26">
        <f>IF(AR$4="","",IFERROR(INDEX('因子水準表'!$B$9:$KO$18,8,MATCH(AR$4,'因子水準表'!$B$4:$KO$4,0))&amp;"",""))</f>
        <v/>
      </c>
      <c r="DA13" s="26">
        <f>IF(AS$4="","",IFERROR(INDEX('因子水準表'!$B$9:$KO$18,8,MATCH(AS$4,'因子水準表'!$B$4:$KO$4,0))&amp;"",""))</f>
        <v/>
      </c>
      <c r="DB13" s="26">
        <f>IF(AT$4="","",IFERROR(INDEX('因子水準表'!$B$9:$KO$18,8,MATCH(AT$4,'因子水準表'!$B$4:$KO$4,0))&amp;"",""))</f>
        <v/>
      </c>
      <c r="DC13" s="26">
        <f>IF(AU$4="","",IFERROR(INDEX('因子水準表'!$B$9:$KO$18,8,MATCH(AU$4,'因子水準表'!$B$4:$KO$4,0))&amp;"",""))</f>
        <v/>
      </c>
      <c r="DD13" s="26">
        <f>IF(AV$4="","",IFERROR(INDEX('因子水準表'!$B$9:$KO$18,8,MATCH(AV$4,'因子水準表'!$B$4:$KO$4,0))&amp;"",""))</f>
        <v/>
      </c>
      <c r="DE13" s="26">
        <f>IF(AW$4="","",IFERROR(INDEX('因子水準表'!$B$9:$KO$18,8,MATCH(AW$4,'因子水準表'!$B$4:$KO$4,0))&amp;"",""))</f>
        <v/>
      </c>
      <c r="DF13" s="26">
        <f>IF(AX$4="","",IFERROR(INDEX('因子水準表'!$B$9:$KO$18,8,MATCH(AX$4,'因子水準表'!$B$4:$KO$4,0))&amp;"",""))</f>
        <v/>
      </c>
      <c r="DG13" s="26">
        <f>IF(AY$4="","",IFERROR(INDEX('因子水準表'!$B$9:$KO$18,8,MATCH(AY$4,'因子水準表'!$B$4:$KO$4,0))&amp;"",""))</f>
        <v/>
      </c>
      <c r="DH13" s="26">
        <f>IF(AZ$4="","",IFERROR(INDEX('因子水準表'!$B$9:$KO$18,8,MATCH(AZ$4,'因子水準表'!$B$4:$KO$4,0))&amp;"",""))</f>
        <v/>
      </c>
      <c r="DI13" s="26">
        <f>IF(BA$4="","",IFERROR(INDEX('因子水準表'!$B$9:$KO$18,8,MATCH(BA$4,'因子水準表'!$B$4:$KO$4,0))&amp;"",""))</f>
        <v/>
      </c>
      <c r="DJ13" s="26">
        <f>IF(BB$4="","",IFERROR(INDEX('因子水準表'!$B$9:$KO$18,8,MATCH(BB$4,'因子水準表'!$B$4:$KO$4,0))&amp;"",""))</f>
        <v/>
      </c>
      <c r="DK13" s="26">
        <f>IF(BC$4="","",IFERROR(INDEX('因子水準表'!$B$9:$KO$18,8,MATCH(BC$4,'因子水準表'!$B$4:$KO$4,0))&amp;"",""))</f>
        <v/>
      </c>
      <c r="DL13" s="26">
        <f>IF(BD$4="","",IFERROR(INDEX('因子水準表'!$B$9:$KO$18,8,MATCH(BD$4,'因子水準表'!$B$4:$KO$4,0))&amp;"",""))</f>
        <v/>
      </c>
      <c r="DM13" s="26">
        <f>IF('因子水準表'!B36="","",'因子水準表'!B36)</f>
        <v/>
      </c>
      <c r="DN13" s="26">
        <f>IF('テスト条件'!A12="","",'テスト条件'!A12)</f>
        <v/>
      </c>
    </row>
    <row r="14">
      <c r="A14" s="27" t="n"/>
      <c r="B14" s="27" t="n"/>
      <c r="C14" s="28">
        <f>IF(A14="","",$B$2)</f>
        <v/>
      </c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7" t="n"/>
      <c r="AO14" s="27" t="n"/>
      <c r="AP14" s="27" t="n"/>
      <c r="AQ14" s="27" t="n"/>
      <c r="AR14" s="27" t="n"/>
      <c r="AS14" s="27" t="n"/>
      <c r="AT14" s="27" t="n"/>
      <c r="AU14" s="27" t="n"/>
      <c r="AV14" s="27" t="n"/>
      <c r="AW14" s="27" t="n"/>
      <c r="AX14" s="27" t="n"/>
      <c r="AY14" s="27" t="n"/>
      <c r="AZ14" s="27" t="n"/>
      <c r="BA14" s="27" t="n"/>
      <c r="BB14" s="27" t="n"/>
      <c r="BC14" s="27" t="n"/>
      <c r="BD14" s="27" t="n"/>
      <c r="BE14" s="27" t="n"/>
      <c r="BF14" s="27" t="n"/>
      <c r="BG14" s="27" t="n"/>
      <c r="BH14" s="27" t="n"/>
      <c r="BI14" s="29" t="n"/>
      <c r="BJ14" s="27" t="n"/>
      <c r="BK14" s="27" t="n"/>
      <c r="BL14" s="27" t="n"/>
      <c r="BM14" s="27" t="n"/>
      <c r="BO14" s="26">
        <f>IF(G$4="","",IFERROR(INDEX('因子水準表'!$B$9:$KO$18,9,MATCH(G$4,'因子水準表'!$B$4:$KO$4,0))&amp;"",""))</f>
        <v/>
      </c>
      <c r="BP14" s="26">
        <f>IF(H$4="","",IFERROR(INDEX('因子水準表'!$B$9:$KO$18,9,MATCH(H$4,'因子水準表'!$B$4:$KO$4,0))&amp;"",""))</f>
        <v/>
      </c>
      <c r="BQ14" s="26">
        <f>IF(I$4="","",IFERROR(INDEX('因子水準表'!$B$9:$KO$18,9,MATCH(I$4,'因子水準表'!$B$4:$KO$4,0))&amp;"",""))</f>
        <v/>
      </c>
      <c r="BR14" s="26">
        <f>IF(J$4="","",IFERROR(INDEX('因子水準表'!$B$9:$KO$18,9,MATCH(J$4,'因子水準表'!$B$4:$KO$4,0))&amp;"",""))</f>
        <v/>
      </c>
      <c r="BS14" s="26">
        <f>IF(K$4="","",IFERROR(INDEX('因子水準表'!$B$9:$KO$18,9,MATCH(K$4,'因子水準表'!$B$4:$KO$4,0))&amp;"",""))</f>
        <v/>
      </c>
      <c r="BT14" s="26">
        <f>IF(L$4="","",IFERROR(INDEX('因子水準表'!$B$9:$KO$18,9,MATCH(L$4,'因子水準表'!$B$4:$KO$4,0))&amp;"",""))</f>
        <v/>
      </c>
      <c r="BU14" s="26">
        <f>IF(M$4="","",IFERROR(INDEX('因子水準表'!$B$9:$KO$18,9,MATCH(M$4,'因子水準表'!$B$4:$KO$4,0))&amp;"",""))</f>
        <v/>
      </c>
      <c r="BV14" s="26">
        <f>IF(N$4="","",IFERROR(INDEX('因子水準表'!$B$9:$KO$18,9,MATCH(N$4,'因子水準表'!$B$4:$KO$4,0))&amp;"",""))</f>
        <v/>
      </c>
      <c r="BW14" s="26">
        <f>IF(O$4="","",IFERROR(INDEX('因子水準表'!$B$9:$KO$18,9,MATCH(O$4,'因子水準表'!$B$4:$KO$4,0))&amp;"",""))</f>
        <v/>
      </c>
      <c r="BX14" s="26">
        <f>IF(P$4="","",IFERROR(INDEX('因子水準表'!$B$9:$KO$18,9,MATCH(P$4,'因子水準表'!$B$4:$KO$4,0))&amp;"",""))</f>
        <v/>
      </c>
      <c r="BY14" s="26">
        <f>IF(Q$4="","",IFERROR(INDEX('因子水準表'!$B$9:$KO$18,9,MATCH(Q$4,'因子水準表'!$B$4:$KO$4,0))&amp;"",""))</f>
        <v/>
      </c>
      <c r="BZ14" s="26">
        <f>IF(R$4="","",IFERROR(INDEX('因子水準表'!$B$9:$KO$18,9,MATCH(R$4,'因子水準表'!$B$4:$KO$4,0))&amp;"",""))</f>
        <v/>
      </c>
      <c r="CA14" s="26">
        <f>IF(S$4="","",IFERROR(INDEX('因子水準表'!$B$9:$KO$18,9,MATCH(S$4,'因子水準表'!$B$4:$KO$4,0))&amp;"",""))</f>
        <v/>
      </c>
      <c r="CB14" s="26">
        <f>IF(T$4="","",IFERROR(INDEX('因子水準表'!$B$9:$KO$18,9,MATCH(T$4,'因子水準表'!$B$4:$KO$4,0))&amp;"",""))</f>
        <v/>
      </c>
      <c r="CC14" s="26">
        <f>IF(U$4="","",IFERROR(INDEX('因子水準表'!$B$9:$KO$18,9,MATCH(U$4,'因子水準表'!$B$4:$KO$4,0))&amp;"",""))</f>
        <v/>
      </c>
      <c r="CD14" s="26">
        <f>IF(V$4="","",IFERROR(INDEX('因子水準表'!$B$9:$KO$18,9,MATCH(V$4,'因子水準表'!$B$4:$KO$4,0))&amp;"",""))</f>
        <v/>
      </c>
      <c r="CE14" s="26">
        <f>IF(W$4="","",IFERROR(INDEX('因子水準表'!$B$9:$KO$18,9,MATCH(W$4,'因子水準表'!$B$4:$KO$4,0))&amp;"",""))</f>
        <v/>
      </c>
      <c r="CF14" s="26">
        <f>IF(X$4="","",IFERROR(INDEX('因子水準表'!$B$9:$KO$18,9,MATCH(X$4,'因子水準表'!$B$4:$KO$4,0))&amp;"",""))</f>
        <v/>
      </c>
      <c r="CG14" s="26">
        <f>IF(Y$4="","",IFERROR(INDEX('因子水準表'!$B$9:$KO$18,9,MATCH(Y$4,'因子水準表'!$B$4:$KO$4,0))&amp;"",""))</f>
        <v/>
      </c>
      <c r="CH14" s="26">
        <f>IF(Z$4="","",IFERROR(INDEX('因子水準表'!$B$9:$KO$18,9,MATCH(Z$4,'因子水準表'!$B$4:$KO$4,0))&amp;"",""))</f>
        <v/>
      </c>
      <c r="CI14" s="26">
        <f>IF(AA$4="","",IFERROR(INDEX('因子水準表'!$B$9:$KO$18,9,MATCH(AA$4,'因子水準表'!$B$4:$KO$4,0))&amp;"",""))</f>
        <v/>
      </c>
      <c r="CJ14" s="26">
        <f>IF(AB$4="","",IFERROR(INDEX('因子水準表'!$B$9:$KO$18,9,MATCH(AB$4,'因子水準表'!$B$4:$KO$4,0))&amp;"",""))</f>
        <v/>
      </c>
      <c r="CK14" s="26">
        <f>IF(AC$4="","",IFERROR(INDEX('因子水準表'!$B$9:$KO$18,9,MATCH(AC$4,'因子水準表'!$B$4:$KO$4,0))&amp;"",""))</f>
        <v/>
      </c>
      <c r="CL14" s="26">
        <f>IF(AD$4="","",IFERROR(INDEX('因子水準表'!$B$9:$KO$18,9,MATCH(AD$4,'因子水準表'!$B$4:$KO$4,0))&amp;"",""))</f>
        <v/>
      </c>
      <c r="CM14" s="26">
        <f>IF(AE$4="","",IFERROR(INDEX('因子水準表'!$B$9:$KO$18,9,MATCH(AE$4,'因子水準表'!$B$4:$KO$4,0))&amp;"",""))</f>
        <v/>
      </c>
      <c r="CN14" s="26">
        <f>IF(AF$4="","",IFERROR(INDEX('因子水準表'!$B$9:$KO$18,9,MATCH(AF$4,'因子水準表'!$B$4:$KO$4,0))&amp;"",""))</f>
        <v/>
      </c>
      <c r="CO14" s="26">
        <f>IF(AG$4="","",IFERROR(INDEX('因子水準表'!$B$9:$KO$18,9,MATCH(AG$4,'因子水準表'!$B$4:$KO$4,0))&amp;"",""))</f>
        <v/>
      </c>
      <c r="CP14" s="26">
        <f>IF(AH$4="","",IFERROR(INDEX('因子水準表'!$B$9:$KO$18,9,MATCH(AH$4,'因子水準表'!$B$4:$KO$4,0))&amp;"",""))</f>
        <v/>
      </c>
      <c r="CQ14" s="26">
        <f>IF(AI$4="","",IFERROR(INDEX('因子水準表'!$B$9:$KO$18,9,MATCH(AI$4,'因子水準表'!$B$4:$KO$4,0))&amp;"",""))</f>
        <v/>
      </c>
      <c r="CR14" s="26">
        <f>IF(AJ$4="","",IFERROR(INDEX('因子水準表'!$B$9:$KO$18,9,MATCH(AJ$4,'因子水準表'!$B$4:$KO$4,0))&amp;"",""))</f>
        <v/>
      </c>
      <c r="CS14" s="26">
        <f>IF(AK$4="","",IFERROR(INDEX('因子水準表'!$B$9:$KO$18,9,MATCH(AK$4,'因子水準表'!$B$4:$KO$4,0))&amp;"",""))</f>
        <v/>
      </c>
      <c r="CT14" s="26">
        <f>IF(AL$4="","",IFERROR(INDEX('因子水準表'!$B$9:$KO$18,9,MATCH(AL$4,'因子水準表'!$B$4:$KO$4,0))&amp;"",""))</f>
        <v/>
      </c>
      <c r="CU14" s="26">
        <f>IF(AM$4="","",IFERROR(INDEX('因子水準表'!$B$9:$KO$18,9,MATCH(AM$4,'因子水準表'!$B$4:$KO$4,0))&amp;"",""))</f>
        <v/>
      </c>
      <c r="CV14" s="26">
        <f>IF(AN$4="","",IFERROR(INDEX('因子水準表'!$B$9:$KO$18,9,MATCH(AN$4,'因子水準表'!$B$4:$KO$4,0))&amp;"",""))</f>
        <v/>
      </c>
      <c r="CW14" s="26">
        <f>IF(AO$4="","",IFERROR(INDEX('因子水準表'!$B$9:$KO$18,9,MATCH(AO$4,'因子水準表'!$B$4:$KO$4,0))&amp;"",""))</f>
        <v/>
      </c>
      <c r="CX14" s="26">
        <f>IF(AP$4="","",IFERROR(INDEX('因子水準表'!$B$9:$KO$18,9,MATCH(AP$4,'因子水準表'!$B$4:$KO$4,0))&amp;"",""))</f>
        <v/>
      </c>
      <c r="CY14" s="26">
        <f>IF(AQ$4="","",IFERROR(INDEX('因子水準表'!$B$9:$KO$18,9,MATCH(AQ$4,'因子水準表'!$B$4:$KO$4,0))&amp;"",""))</f>
        <v/>
      </c>
      <c r="CZ14" s="26">
        <f>IF(AR$4="","",IFERROR(INDEX('因子水準表'!$B$9:$KO$18,9,MATCH(AR$4,'因子水準表'!$B$4:$KO$4,0))&amp;"",""))</f>
        <v/>
      </c>
      <c r="DA14" s="26">
        <f>IF(AS$4="","",IFERROR(INDEX('因子水準表'!$B$9:$KO$18,9,MATCH(AS$4,'因子水準表'!$B$4:$KO$4,0))&amp;"",""))</f>
        <v/>
      </c>
      <c r="DB14" s="26">
        <f>IF(AT$4="","",IFERROR(INDEX('因子水準表'!$B$9:$KO$18,9,MATCH(AT$4,'因子水準表'!$B$4:$KO$4,0))&amp;"",""))</f>
        <v/>
      </c>
      <c r="DC14" s="26">
        <f>IF(AU$4="","",IFERROR(INDEX('因子水準表'!$B$9:$KO$18,9,MATCH(AU$4,'因子水準表'!$B$4:$KO$4,0))&amp;"",""))</f>
        <v/>
      </c>
      <c r="DD14" s="26">
        <f>IF(AV$4="","",IFERROR(INDEX('因子水準表'!$B$9:$KO$18,9,MATCH(AV$4,'因子水準表'!$B$4:$KO$4,0))&amp;"",""))</f>
        <v/>
      </c>
      <c r="DE14" s="26">
        <f>IF(AW$4="","",IFERROR(INDEX('因子水準表'!$B$9:$KO$18,9,MATCH(AW$4,'因子水準表'!$B$4:$KO$4,0))&amp;"",""))</f>
        <v/>
      </c>
      <c r="DF14" s="26">
        <f>IF(AX$4="","",IFERROR(INDEX('因子水準表'!$B$9:$KO$18,9,MATCH(AX$4,'因子水準表'!$B$4:$KO$4,0))&amp;"",""))</f>
        <v/>
      </c>
      <c r="DG14" s="26">
        <f>IF(AY$4="","",IFERROR(INDEX('因子水準表'!$B$9:$KO$18,9,MATCH(AY$4,'因子水準表'!$B$4:$KO$4,0))&amp;"",""))</f>
        <v/>
      </c>
      <c r="DH14" s="26">
        <f>IF(AZ$4="","",IFERROR(INDEX('因子水準表'!$B$9:$KO$18,9,MATCH(AZ$4,'因子水準表'!$B$4:$KO$4,0))&amp;"",""))</f>
        <v/>
      </c>
      <c r="DI14" s="26">
        <f>IF(BA$4="","",IFERROR(INDEX('因子水準表'!$B$9:$KO$18,9,MATCH(BA$4,'因子水準表'!$B$4:$KO$4,0))&amp;"",""))</f>
        <v/>
      </c>
      <c r="DJ14" s="26">
        <f>IF(BB$4="","",IFERROR(INDEX('因子水準表'!$B$9:$KO$18,9,MATCH(BB$4,'因子水準表'!$B$4:$KO$4,0))&amp;"",""))</f>
        <v/>
      </c>
      <c r="DK14" s="26">
        <f>IF(BC$4="","",IFERROR(INDEX('因子水準表'!$B$9:$KO$18,9,MATCH(BC$4,'因子水準表'!$B$4:$KO$4,0))&amp;"",""))</f>
        <v/>
      </c>
      <c r="DL14" s="26">
        <f>IF(BD$4="","",IFERROR(INDEX('因子水準表'!$B$9:$KO$18,9,MATCH(BD$4,'因子水準表'!$B$4:$KO$4,0))&amp;"",""))</f>
        <v/>
      </c>
      <c r="DM14" s="26">
        <f>IF('因子水準表'!B37="","",'因子水準表'!B37)</f>
        <v/>
      </c>
      <c r="DN14" s="26">
        <f>IF('テスト条件'!A13="","",'テスト条件'!A13)</f>
        <v/>
      </c>
    </row>
    <row r="15">
      <c r="A15" s="27" t="n"/>
      <c r="B15" s="27" t="n"/>
      <c r="C15" s="28">
        <f>IF(A15="","",$B$2)</f>
        <v/>
      </c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  <c r="AI15" s="27" t="n"/>
      <c r="AJ15" s="27" t="n"/>
      <c r="AK15" s="27" t="n"/>
      <c r="AL15" s="27" t="n"/>
      <c r="AM15" s="27" t="n"/>
      <c r="AN15" s="27" t="n"/>
      <c r="AO15" s="27" t="n"/>
      <c r="AP15" s="27" t="n"/>
      <c r="AQ15" s="27" t="n"/>
      <c r="AR15" s="27" t="n"/>
      <c r="AS15" s="27" t="n"/>
      <c r="AT15" s="27" t="n"/>
      <c r="AU15" s="27" t="n"/>
      <c r="AV15" s="27" t="n"/>
      <c r="AW15" s="27" t="n"/>
      <c r="AX15" s="27" t="n"/>
      <c r="AY15" s="27" t="n"/>
      <c r="AZ15" s="27" t="n"/>
      <c r="BA15" s="27" t="n"/>
      <c r="BB15" s="27" t="n"/>
      <c r="BC15" s="27" t="n"/>
      <c r="BD15" s="27" t="n"/>
      <c r="BE15" s="27" t="n"/>
      <c r="BF15" s="27" t="n"/>
      <c r="BG15" s="27" t="n"/>
      <c r="BH15" s="27" t="n"/>
      <c r="BI15" s="29" t="n"/>
      <c r="BJ15" s="27" t="n"/>
      <c r="BK15" s="27" t="n"/>
      <c r="BL15" s="27" t="n"/>
      <c r="BM15" s="27" t="n"/>
      <c r="BO15" s="26">
        <f>IF(G$4="","",IFERROR(INDEX('因子水準表'!$B$9:$KO$18,10,MATCH(G$4,'因子水準表'!$B$4:$KO$4,0))&amp;"",""))</f>
        <v/>
      </c>
      <c r="BP15" s="26">
        <f>IF(H$4="","",IFERROR(INDEX('因子水準表'!$B$9:$KO$18,10,MATCH(H$4,'因子水準表'!$B$4:$KO$4,0))&amp;"",""))</f>
        <v/>
      </c>
      <c r="BQ15" s="26">
        <f>IF(I$4="","",IFERROR(INDEX('因子水準表'!$B$9:$KO$18,10,MATCH(I$4,'因子水準表'!$B$4:$KO$4,0))&amp;"",""))</f>
        <v/>
      </c>
      <c r="BR15" s="26">
        <f>IF(J$4="","",IFERROR(INDEX('因子水準表'!$B$9:$KO$18,10,MATCH(J$4,'因子水準表'!$B$4:$KO$4,0))&amp;"",""))</f>
        <v/>
      </c>
      <c r="BS15" s="26">
        <f>IF(K$4="","",IFERROR(INDEX('因子水準表'!$B$9:$KO$18,10,MATCH(K$4,'因子水準表'!$B$4:$KO$4,0))&amp;"",""))</f>
        <v/>
      </c>
      <c r="BT15" s="26">
        <f>IF(L$4="","",IFERROR(INDEX('因子水準表'!$B$9:$KO$18,10,MATCH(L$4,'因子水準表'!$B$4:$KO$4,0))&amp;"",""))</f>
        <v/>
      </c>
      <c r="BU15" s="26">
        <f>IF(M$4="","",IFERROR(INDEX('因子水準表'!$B$9:$KO$18,10,MATCH(M$4,'因子水準表'!$B$4:$KO$4,0))&amp;"",""))</f>
        <v/>
      </c>
      <c r="BV15" s="26">
        <f>IF(N$4="","",IFERROR(INDEX('因子水準表'!$B$9:$KO$18,10,MATCH(N$4,'因子水準表'!$B$4:$KO$4,0))&amp;"",""))</f>
        <v/>
      </c>
      <c r="BW15" s="26">
        <f>IF(O$4="","",IFERROR(INDEX('因子水準表'!$B$9:$KO$18,10,MATCH(O$4,'因子水準表'!$B$4:$KO$4,0))&amp;"",""))</f>
        <v/>
      </c>
      <c r="BX15" s="26">
        <f>IF(P$4="","",IFERROR(INDEX('因子水準表'!$B$9:$KO$18,10,MATCH(P$4,'因子水準表'!$B$4:$KO$4,0))&amp;"",""))</f>
        <v/>
      </c>
      <c r="BY15" s="26">
        <f>IF(Q$4="","",IFERROR(INDEX('因子水準表'!$B$9:$KO$18,10,MATCH(Q$4,'因子水準表'!$B$4:$KO$4,0))&amp;"",""))</f>
        <v/>
      </c>
      <c r="BZ15" s="26">
        <f>IF(R$4="","",IFERROR(INDEX('因子水準表'!$B$9:$KO$18,10,MATCH(R$4,'因子水準表'!$B$4:$KO$4,0))&amp;"",""))</f>
        <v/>
      </c>
      <c r="CA15" s="26">
        <f>IF(S$4="","",IFERROR(INDEX('因子水準表'!$B$9:$KO$18,10,MATCH(S$4,'因子水準表'!$B$4:$KO$4,0))&amp;"",""))</f>
        <v/>
      </c>
      <c r="CB15" s="26">
        <f>IF(T$4="","",IFERROR(INDEX('因子水準表'!$B$9:$KO$18,10,MATCH(T$4,'因子水準表'!$B$4:$KO$4,0))&amp;"",""))</f>
        <v/>
      </c>
      <c r="CC15" s="26">
        <f>IF(U$4="","",IFERROR(INDEX('因子水準表'!$B$9:$KO$18,10,MATCH(U$4,'因子水準表'!$B$4:$KO$4,0))&amp;"",""))</f>
        <v/>
      </c>
      <c r="CD15" s="26">
        <f>IF(V$4="","",IFERROR(INDEX('因子水準表'!$B$9:$KO$18,10,MATCH(V$4,'因子水準表'!$B$4:$KO$4,0))&amp;"",""))</f>
        <v/>
      </c>
      <c r="CE15" s="26">
        <f>IF(W$4="","",IFERROR(INDEX('因子水準表'!$B$9:$KO$18,10,MATCH(W$4,'因子水準表'!$B$4:$KO$4,0))&amp;"",""))</f>
        <v/>
      </c>
      <c r="CF15" s="26">
        <f>IF(X$4="","",IFERROR(INDEX('因子水準表'!$B$9:$KO$18,10,MATCH(X$4,'因子水準表'!$B$4:$KO$4,0))&amp;"",""))</f>
        <v/>
      </c>
      <c r="CG15" s="26">
        <f>IF(Y$4="","",IFERROR(INDEX('因子水準表'!$B$9:$KO$18,10,MATCH(Y$4,'因子水準表'!$B$4:$KO$4,0))&amp;"",""))</f>
        <v/>
      </c>
      <c r="CH15" s="26">
        <f>IF(Z$4="","",IFERROR(INDEX('因子水準表'!$B$9:$KO$18,10,MATCH(Z$4,'因子水準表'!$B$4:$KO$4,0))&amp;"",""))</f>
        <v/>
      </c>
      <c r="CI15" s="26">
        <f>IF(AA$4="","",IFERROR(INDEX('因子水準表'!$B$9:$KO$18,10,MATCH(AA$4,'因子水準表'!$B$4:$KO$4,0))&amp;"",""))</f>
        <v/>
      </c>
      <c r="CJ15" s="26">
        <f>IF(AB$4="","",IFERROR(INDEX('因子水準表'!$B$9:$KO$18,10,MATCH(AB$4,'因子水準表'!$B$4:$KO$4,0))&amp;"",""))</f>
        <v/>
      </c>
      <c r="CK15" s="26">
        <f>IF(AC$4="","",IFERROR(INDEX('因子水準表'!$B$9:$KO$18,10,MATCH(AC$4,'因子水準表'!$B$4:$KO$4,0))&amp;"",""))</f>
        <v/>
      </c>
      <c r="CL15" s="26">
        <f>IF(AD$4="","",IFERROR(INDEX('因子水準表'!$B$9:$KO$18,10,MATCH(AD$4,'因子水準表'!$B$4:$KO$4,0))&amp;"",""))</f>
        <v/>
      </c>
      <c r="CM15" s="26">
        <f>IF(AE$4="","",IFERROR(INDEX('因子水準表'!$B$9:$KO$18,10,MATCH(AE$4,'因子水準表'!$B$4:$KO$4,0))&amp;"",""))</f>
        <v/>
      </c>
      <c r="CN15" s="26">
        <f>IF(AF$4="","",IFERROR(INDEX('因子水準表'!$B$9:$KO$18,10,MATCH(AF$4,'因子水準表'!$B$4:$KO$4,0))&amp;"",""))</f>
        <v/>
      </c>
      <c r="CO15" s="26">
        <f>IF(AG$4="","",IFERROR(INDEX('因子水準表'!$B$9:$KO$18,10,MATCH(AG$4,'因子水準表'!$B$4:$KO$4,0))&amp;"",""))</f>
        <v/>
      </c>
      <c r="CP15" s="26">
        <f>IF(AH$4="","",IFERROR(INDEX('因子水準表'!$B$9:$KO$18,10,MATCH(AH$4,'因子水準表'!$B$4:$KO$4,0))&amp;"",""))</f>
        <v/>
      </c>
      <c r="CQ15" s="26">
        <f>IF(AI$4="","",IFERROR(INDEX('因子水準表'!$B$9:$KO$18,10,MATCH(AI$4,'因子水準表'!$B$4:$KO$4,0))&amp;"",""))</f>
        <v/>
      </c>
      <c r="CR15" s="26">
        <f>IF(AJ$4="","",IFERROR(INDEX('因子水準表'!$B$9:$KO$18,10,MATCH(AJ$4,'因子水準表'!$B$4:$KO$4,0))&amp;"",""))</f>
        <v/>
      </c>
      <c r="CS15" s="26">
        <f>IF(AK$4="","",IFERROR(INDEX('因子水準表'!$B$9:$KO$18,10,MATCH(AK$4,'因子水準表'!$B$4:$KO$4,0))&amp;"",""))</f>
        <v/>
      </c>
      <c r="CT15" s="26">
        <f>IF(AL$4="","",IFERROR(INDEX('因子水準表'!$B$9:$KO$18,10,MATCH(AL$4,'因子水準表'!$B$4:$KO$4,0))&amp;"",""))</f>
        <v/>
      </c>
      <c r="CU15" s="26">
        <f>IF(AM$4="","",IFERROR(INDEX('因子水準表'!$B$9:$KO$18,10,MATCH(AM$4,'因子水準表'!$B$4:$KO$4,0))&amp;"",""))</f>
        <v/>
      </c>
      <c r="CV15" s="26">
        <f>IF(AN$4="","",IFERROR(INDEX('因子水準表'!$B$9:$KO$18,10,MATCH(AN$4,'因子水準表'!$B$4:$KO$4,0))&amp;"",""))</f>
        <v/>
      </c>
      <c r="CW15" s="26">
        <f>IF(AO$4="","",IFERROR(INDEX('因子水準表'!$B$9:$KO$18,10,MATCH(AO$4,'因子水準表'!$B$4:$KO$4,0))&amp;"",""))</f>
        <v/>
      </c>
      <c r="CX15" s="26">
        <f>IF(AP$4="","",IFERROR(INDEX('因子水準表'!$B$9:$KO$18,10,MATCH(AP$4,'因子水準表'!$B$4:$KO$4,0))&amp;"",""))</f>
        <v/>
      </c>
      <c r="CY15" s="26">
        <f>IF(AQ$4="","",IFERROR(INDEX('因子水準表'!$B$9:$KO$18,10,MATCH(AQ$4,'因子水準表'!$B$4:$KO$4,0))&amp;"",""))</f>
        <v/>
      </c>
      <c r="CZ15" s="26">
        <f>IF(AR$4="","",IFERROR(INDEX('因子水準表'!$B$9:$KO$18,10,MATCH(AR$4,'因子水準表'!$B$4:$KO$4,0))&amp;"",""))</f>
        <v/>
      </c>
      <c r="DA15" s="26">
        <f>IF(AS$4="","",IFERROR(INDEX('因子水準表'!$B$9:$KO$18,10,MATCH(AS$4,'因子水準表'!$B$4:$KO$4,0))&amp;"",""))</f>
        <v/>
      </c>
      <c r="DB15" s="26">
        <f>IF(AT$4="","",IFERROR(INDEX('因子水準表'!$B$9:$KO$18,10,MATCH(AT$4,'因子水準表'!$B$4:$KO$4,0))&amp;"",""))</f>
        <v/>
      </c>
      <c r="DC15" s="26">
        <f>IF(AU$4="","",IFERROR(INDEX('因子水準表'!$B$9:$KO$18,10,MATCH(AU$4,'因子水準表'!$B$4:$KO$4,0))&amp;"",""))</f>
        <v/>
      </c>
      <c r="DD15" s="26">
        <f>IF(AV$4="","",IFERROR(INDEX('因子水準表'!$B$9:$KO$18,10,MATCH(AV$4,'因子水準表'!$B$4:$KO$4,0))&amp;"",""))</f>
        <v/>
      </c>
      <c r="DE15" s="26">
        <f>IF(AW$4="","",IFERROR(INDEX('因子水準表'!$B$9:$KO$18,10,MATCH(AW$4,'因子水準表'!$B$4:$KO$4,0))&amp;"",""))</f>
        <v/>
      </c>
      <c r="DF15" s="26">
        <f>IF(AX$4="","",IFERROR(INDEX('因子水準表'!$B$9:$KO$18,10,MATCH(AX$4,'因子水準表'!$B$4:$KO$4,0))&amp;"",""))</f>
        <v/>
      </c>
      <c r="DG15" s="26">
        <f>IF(AY$4="","",IFERROR(INDEX('因子水準表'!$B$9:$KO$18,10,MATCH(AY$4,'因子水準表'!$B$4:$KO$4,0))&amp;"",""))</f>
        <v/>
      </c>
      <c r="DH15" s="26">
        <f>IF(AZ$4="","",IFERROR(INDEX('因子水準表'!$B$9:$KO$18,10,MATCH(AZ$4,'因子水準表'!$B$4:$KO$4,0))&amp;"",""))</f>
        <v/>
      </c>
      <c r="DI15" s="26">
        <f>IF(BA$4="","",IFERROR(INDEX('因子水準表'!$B$9:$KO$18,10,MATCH(BA$4,'因子水準表'!$B$4:$KO$4,0))&amp;"",""))</f>
        <v/>
      </c>
      <c r="DJ15" s="26">
        <f>IF(BB$4="","",IFERROR(INDEX('因子水準表'!$B$9:$KO$18,10,MATCH(BB$4,'因子水準表'!$B$4:$KO$4,0))&amp;"",""))</f>
        <v/>
      </c>
      <c r="DK15" s="26">
        <f>IF(BC$4="","",IFERROR(INDEX('因子水準表'!$B$9:$KO$18,10,MATCH(BC$4,'因子水準表'!$B$4:$KO$4,0))&amp;"",""))</f>
        <v/>
      </c>
      <c r="DL15" s="26">
        <f>IF(BD$4="","",IFERROR(INDEX('因子水準表'!$B$9:$KO$18,10,MATCH(BD$4,'因子水準表'!$B$4:$KO$4,0))&amp;"",""))</f>
        <v/>
      </c>
      <c r="DM15" s="26">
        <f>IF('因子水準表'!B38="","",'因子水準表'!B38)</f>
        <v/>
      </c>
      <c r="DN15" s="26">
        <f>IF('テスト条件'!A14="","",'テスト条件'!A14)</f>
        <v/>
      </c>
    </row>
    <row r="16">
      <c r="A16" s="27" t="n"/>
      <c r="B16" s="27" t="n"/>
      <c r="C16" s="28">
        <f>IF(A16="","",$B$2)</f>
        <v/>
      </c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  <c r="AA16" s="27" t="n"/>
      <c r="AB16" s="27" t="n"/>
      <c r="AC16" s="27" t="n"/>
      <c r="AD16" s="27" t="n"/>
      <c r="AE16" s="27" t="n"/>
      <c r="AF16" s="27" t="n"/>
      <c r="AG16" s="27" t="n"/>
      <c r="AH16" s="27" t="n"/>
      <c r="AI16" s="27" t="n"/>
      <c r="AJ16" s="27" t="n"/>
      <c r="AK16" s="27" t="n"/>
      <c r="AL16" s="27" t="n"/>
      <c r="AM16" s="27" t="n"/>
      <c r="AN16" s="27" t="n"/>
      <c r="AO16" s="27" t="n"/>
      <c r="AP16" s="27" t="n"/>
      <c r="AQ16" s="27" t="n"/>
      <c r="AR16" s="27" t="n"/>
      <c r="AS16" s="27" t="n"/>
      <c r="AT16" s="27" t="n"/>
      <c r="AU16" s="27" t="n"/>
      <c r="AV16" s="27" t="n"/>
      <c r="AW16" s="27" t="n"/>
      <c r="AX16" s="27" t="n"/>
      <c r="AY16" s="27" t="n"/>
      <c r="AZ16" s="27" t="n"/>
      <c r="BA16" s="27" t="n"/>
      <c r="BB16" s="27" t="n"/>
      <c r="BC16" s="27" t="n"/>
      <c r="BD16" s="27" t="n"/>
      <c r="BE16" s="27" t="n"/>
      <c r="BF16" s="27" t="n"/>
      <c r="BG16" s="27" t="n"/>
      <c r="BH16" s="27" t="n"/>
      <c r="BI16" s="29" t="n"/>
      <c r="BJ16" s="27" t="n"/>
      <c r="BK16" s="27" t="n"/>
      <c r="BL16" s="27" t="n"/>
      <c r="BM16" s="27" t="n"/>
      <c r="DM16" s="26">
        <f>IF('因子水準表'!B39="","",'因子水準表'!B39)</f>
        <v/>
      </c>
      <c r="DN16" s="26">
        <f>IF('テスト条件'!A15="","",'テスト条件'!A15)</f>
        <v/>
      </c>
    </row>
    <row r="17">
      <c r="A17" s="27" t="n"/>
      <c r="B17" s="27" t="n"/>
      <c r="C17" s="28">
        <f>IF(A17="","",$B$2)</f>
        <v/>
      </c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  <c r="AI17" s="27" t="n"/>
      <c r="AJ17" s="27" t="n"/>
      <c r="AK17" s="27" t="n"/>
      <c r="AL17" s="27" t="n"/>
      <c r="AM17" s="27" t="n"/>
      <c r="AN17" s="27" t="n"/>
      <c r="AO17" s="27" t="n"/>
      <c r="AP17" s="27" t="n"/>
      <c r="AQ17" s="27" t="n"/>
      <c r="AR17" s="27" t="n"/>
      <c r="AS17" s="27" t="n"/>
      <c r="AT17" s="27" t="n"/>
      <c r="AU17" s="27" t="n"/>
      <c r="AV17" s="27" t="n"/>
      <c r="AW17" s="27" t="n"/>
      <c r="AX17" s="27" t="n"/>
      <c r="AY17" s="27" t="n"/>
      <c r="AZ17" s="27" t="n"/>
      <c r="BA17" s="27" t="n"/>
      <c r="BB17" s="27" t="n"/>
      <c r="BC17" s="27" t="n"/>
      <c r="BD17" s="27" t="n"/>
      <c r="BE17" s="27" t="n"/>
      <c r="BF17" s="27" t="n"/>
      <c r="BG17" s="27" t="n"/>
      <c r="BH17" s="27" t="n"/>
      <c r="BI17" s="29" t="n"/>
      <c r="BJ17" s="27" t="n"/>
      <c r="BK17" s="27" t="n"/>
      <c r="BL17" s="27" t="n"/>
      <c r="BM17" s="27" t="n"/>
      <c r="DM17" s="26">
        <f>IF('因子水準表'!B40="","",'因子水準表'!B40)</f>
        <v/>
      </c>
      <c r="DN17" s="26">
        <f>IF('テスト条件'!A16="","",'テスト条件'!A16)</f>
        <v/>
      </c>
    </row>
    <row r="18">
      <c r="A18" s="27" t="n"/>
      <c r="B18" s="27" t="n"/>
      <c r="C18" s="28">
        <f>IF(A18="","",$B$2)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  <c r="AJ18" s="27" t="n"/>
      <c r="AK18" s="27" t="n"/>
      <c r="AL18" s="27" t="n"/>
      <c r="AM18" s="27" t="n"/>
      <c r="AN18" s="27" t="n"/>
      <c r="AO18" s="27" t="n"/>
      <c r="AP18" s="27" t="n"/>
      <c r="AQ18" s="27" t="n"/>
      <c r="AR18" s="27" t="n"/>
      <c r="AS18" s="27" t="n"/>
      <c r="AT18" s="27" t="n"/>
      <c r="AU18" s="27" t="n"/>
      <c r="AV18" s="27" t="n"/>
      <c r="AW18" s="27" t="n"/>
      <c r="AX18" s="27" t="n"/>
      <c r="AY18" s="27" t="n"/>
      <c r="AZ18" s="27" t="n"/>
      <c r="BA18" s="27" t="n"/>
      <c r="BB18" s="27" t="n"/>
      <c r="BC18" s="27" t="n"/>
      <c r="BD18" s="27" t="n"/>
      <c r="BE18" s="27" t="n"/>
      <c r="BF18" s="27" t="n"/>
      <c r="BG18" s="27" t="n"/>
      <c r="BH18" s="27" t="n"/>
      <c r="BI18" s="29" t="n"/>
      <c r="BJ18" s="27" t="n"/>
      <c r="BK18" s="27" t="n"/>
      <c r="BL18" s="27" t="n"/>
      <c r="BM18" s="27" t="n"/>
      <c r="DM18" s="26">
        <f>IF('因子水準表'!B41="","",'因子水準表'!B41)</f>
        <v/>
      </c>
      <c r="DN18" s="26">
        <f>IF('テスト条件'!A17="","",'テスト条件'!A17)</f>
        <v/>
      </c>
    </row>
    <row r="19">
      <c r="A19" s="27" t="n"/>
      <c r="B19" s="27" t="n"/>
      <c r="C19" s="28">
        <f>IF(A19="","",$B$2)</f>
        <v/>
      </c>
      <c r="D19" s="27" t="n"/>
      <c r="E19" s="27" t="n"/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  <c r="AA19" s="27" t="n"/>
      <c r="AB19" s="27" t="n"/>
      <c r="AC19" s="27" t="n"/>
      <c r="AD19" s="27" t="n"/>
      <c r="AE19" s="27" t="n"/>
      <c r="AF19" s="27" t="n"/>
      <c r="AG19" s="27" t="n"/>
      <c r="AH19" s="27" t="n"/>
      <c r="AI19" s="27" t="n"/>
      <c r="AJ19" s="27" t="n"/>
      <c r="AK19" s="27" t="n"/>
      <c r="AL19" s="27" t="n"/>
      <c r="AM19" s="27" t="n"/>
      <c r="AN19" s="27" t="n"/>
      <c r="AO19" s="27" t="n"/>
      <c r="AP19" s="27" t="n"/>
      <c r="AQ19" s="27" t="n"/>
      <c r="AR19" s="27" t="n"/>
      <c r="AS19" s="27" t="n"/>
      <c r="AT19" s="27" t="n"/>
      <c r="AU19" s="27" t="n"/>
      <c r="AV19" s="27" t="n"/>
      <c r="AW19" s="27" t="n"/>
      <c r="AX19" s="27" t="n"/>
      <c r="AY19" s="27" t="n"/>
      <c r="AZ19" s="27" t="n"/>
      <c r="BA19" s="27" t="n"/>
      <c r="BB19" s="27" t="n"/>
      <c r="BC19" s="27" t="n"/>
      <c r="BD19" s="27" t="n"/>
      <c r="BE19" s="27" t="n"/>
      <c r="BF19" s="27" t="n"/>
      <c r="BG19" s="27" t="n"/>
      <c r="BH19" s="27" t="n"/>
      <c r="BI19" s="29" t="n"/>
      <c r="BJ19" s="27" t="n"/>
      <c r="BK19" s="27" t="n"/>
      <c r="BL19" s="27" t="n"/>
      <c r="BM19" s="27" t="n"/>
      <c r="DM19" s="26">
        <f>IF('因子水準表'!B42="","",'因子水準表'!B42)</f>
        <v/>
      </c>
      <c r="DN19" s="26">
        <f>IF('テスト条件'!A18="","",'テスト条件'!A18)</f>
        <v/>
      </c>
    </row>
    <row r="20">
      <c r="A20" s="27" t="n"/>
      <c r="B20" s="27" t="n"/>
      <c r="C20" s="28">
        <f>IF(A20="","",$B$2)</f>
        <v/>
      </c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7" t="n"/>
      <c r="AI20" s="27" t="n"/>
      <c r="AJ20" s="27" t="n"/>
      <c r="AK20" s="27" t="n"/>
      <c r="AL20" s="27" t="n"/>
      <c r="AM20" s="27" t="n"/>
      <c r="AN20" s="27" t="n"/>
      <c r="AO20" s="27" t="n"/>
      <c r="AP20" s="27" t="n"/>
      <c r="AQ20" s="27" t="n"/>
      <c r="AR20" s="27" t="n"/>
      <c r="AS20" s="27" t="n"/>
      <c r="AT20" s="27" t="n"/>
      <c r="AU20" s="27" t="n"/>
      <c r="AV20" s="27" t="n"/>
      <c r="AW20" s="27" t="n"/>
      <c r="AX20" s="27" t="n"/>
      <c r="AY20" s="27" t="n"/>
      <c r="AZ20" s="27" t="n"/>
      <c r="BA20" s="27" t="n"/>
      <c r="BB20" s="27" t="n"/>
      <c r="BC20" s="27" t="n"/>
      <c r="BD20" s="27" t="n"/>
      <c r="BE20" s="27" t="n"/>
      <c r="BF20" s="27" t="n"/>
      <c r="BG20" s="27" t="n"/>
      <c r="BH20" s="27" t="n"/>
      <c r="BI20" s="29" t="n"/>
      <c r="BJ20" s="27" t="n"/>
      <c r="BK20" s="27" t="n"/>
      <c r="BL20" s="27" t="n"/>
      <c r="BM20" s="27" t="n"/>
      <c r="DM20" s="26">
        <f>IF('因子水準表'!B43="","",'因子水準表'!B43)</f>
        <v/>
      </c>
      <c r="DN20" s="26">
        <f>IF('テスト条件'!A19="","",'テスト条件'!A19)</f>
        <v/>
      </c>
    </row>
    <row r="21">
      <c r="A21" s="27" t="n"/>
      <c r="B21" s="27" t="n"/>
      <c r="C21" s="28">
        <f>IF(A21="","",$B$2)</f>
        <v/>
      </c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  <c r="AI21" s="27" t="n"/>
      <c r="AJ21" s="27" t="n"/>
      <c r="AK21" s="27" t="n"/>
      <c r="AL21" s="27" t="n"/>
      <c r="AM21" s="27" t="n"/>
      <c r="AN21" s="27" t="n"/>
      <c r="AO21" s="27" t="n"/>
      <c r="AP21" s="27" t="n"/>
      <c r="AQ21" s="27" t="n"/>
      <c r="AR21" s="27" t="n"/>
      <c r="AS21" s="27" t="n"/>
      <c r="AT21" s="27" t="n"/>
      <c r="AU21" s="27" t="n"/>
      <c r="AV21" s="27" t="n"/>
      <c r="AW21" s="27" t="n"/>
      <c r="AX21" s="27" t="n"/>
      <c r="AY21" s="27" t="n"/>
      <c r="AZ21" s="27" t="n"/>
      <c r="BA21" s="27" t="n"/>
      <c r="BB21" s="27" t="n"/>
      <c r="BC21" s="27" t="n"/>
      <c r="BD21" s="27" t="n"/>
      <c r="BE21" s="27" t="n"/>
      <c r="BF21" s="27" t="n"/>
      <c r="BG21" s="27" t="n"/>
      <c r="BH21" s="27" t="n"/>
      <c r="BI21" s="29" t="n"/>
      <c r="BJ21" s="27" t="n"/>
      <c r="BK21" s="27" t="n"/>
      <c r="BL21" s="27" t="n"/>
      <c r="BM21" s="27" t="n"/>
      <c r="DM21" s="26">
        <f>IF('因子水準表'!B44="","",'因子水準表'!B44)</f>
        <v/>
      </c>
      <c r="DN21" s="26">
        <f>IF('テスト条件'!A20="","",'テスト条件'!A20)</f>
        <v/>
      </c>
    </row>
    <row r="22">
      <c r="A22" s="27" t="n"/>
      <c r="B22" s="27" t="n"/>
      <c r="C22" s="28">
        <f>IF(A22="","",$B$2)</f>
        <v/>
      </c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  <c r="AA22" s="27" t="n"/>
      <c r="AB22" s="27" t="n"/>
      <c r="AC22" s="27" t="n"/>
      <c r="AD22" s="27" t="n"/>
      <c r="AE22" s="27" t="n"/>
      <c r="AF22" s="27" t="n"/>
      <c r="AG22" s="27" t="n"/>
      <c r="AH22" s="27" t="n"/>
      <c r="AI22" s="27" t="n"/>
      <c r="AJ22" s="27" t="n"/>
      <c r="AK22" s="27" t="n"/>
      <c r="AL22" s="27" t="n"/>
      <c r="AM22" s="27" t="n"/>
      <c r="AN22" s="27" t="n"/>
      <c r="AO22" s="27" t="n"/>
      <c r="AP22" s="27" t="n"/>
      <c r="AQ22" s="27" t="n"/>
      <c r="AR22" s="27" t="n"/>
      <c r="AS22" s="27" t="n"/>
      <c r="AT22" s="27" t="n"/>
      <c r="AU22" s="27" t="n"/>
      <c r="AV22" s="27" t="n"/>
      <c r="AW22" s="27" t="n"/>
      <c r="AX22" s="27" t="n"/>
      <c r="AY22" s="27" t="n"/>
      <c r="AZ22" s="27" t="n"/>
      <c r="BA22" s="27" t="n"/>
      <c r="BB22" s="27" t="n"/>
      <c r="BC22" s="27" t="n"/>
      <c r="BD22" s="27" t="n"/>
      <c r="BE22" s="27" t="n"/>
      <c r="BF22" s="27" t="n"/>
      <c r="BG22" s="27" t="n"/>
      <c r="BH22" s="27" t="n"/>
      <c r="BI22" s="29" t="n"/>
      <c r="BJ22" s="27" t="n"/>
      <c r="BK22" s="27" t="n"/>
      <c r="BL22" s="27" t="n"/>
      <c r="BM22" s="27" t="n"/>
      <c r="DM22" s="26">
        <f>IF('因子水準表'!B45="","",'因子水準表'!B45)</f>
        <v/>
      </c>
      <c r="DN22" s="26">
        <f>IF('テスト条件'!A21="","",'テスト条件'!A21)</f>
        <v/>
      </c>
    </row>
    <row r="23">
      <c r="A23" s="27" t="n"/>
      <c r="B23" s="27" t="n"/>
      <c r="C23" s="28">
        <f>IF(A23="","",$B$2)</f>
        <v/>
      </c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  <c r="AI23" s="27" t="n"/>
      <c r="AJ23" s="27" t="n"/>
      <c r="AK23" s="27" t="n"/>
      <c r="AL23" s="27" t="n"/>
      <c r="AM23" s="27" t="n"/>
      <c r="AN23" s="27" t="n"/>
      <c r="AO23" s="27" t="n"/>
      <c r="AP23" s="27" t="n"/>
      <c r="AQ23" s="27" t="n"/>
      <c r="AR23" s="27" t="n"/>
      <c r="AS23" s="27" t="n"/>
      <c r="AT23" s="27" t="n"/>
      <c r="AU23" s="27" t="n"/>
      <c r="AV23" s="27" t="n"/>
      <c r="AW23" s="27" t="n"/>
      <c r="AX23" s="27" t="n"/>
      <c r="AY23" s="27" t="n"/>
      <c r="AZ23" s="27" t="n"/>
      <c r="BA23" s="27" t="n"/>
      <c r="BB23" s="27" t="n"/>
      <c r="BC23" s="27" t="n"/>
      <c r="BD23" s="27" t="n"/>
      <c r="BE23" s="27" t="n"/>
      <c r="BF23" s="27" t="n"/>
      <c r="BG23" s="27" t="n"/>
      <c r="BH23" s="27" t="n"/>
      <c r="BI23" s="29" t="n"/>
      <c r="BJ23" s="27" t="n"/>
      <c r="BK23" s="27" t="n"/>
      <c r="BL23" s="27" t="n"/>
      <c r="BM23" s="27" t="n"/>
      <c r="DM23" s="26">
        <f>IF('因子水準表'!B46="","",'因子水準表'!B46)</f>
        <v/>
      </c>
      <c r="DN23" s="26">
        <f>IF('テスト条件'!A22="","",'テスト条件'!A22)</f>
        <v/>
      </c>
    </row>
    <row r="24">
      <c r="A24" s="27" t="n"/>
      <c r="B24" s="27" t="n"/>
      <c r="C24" s="28">
        <f>IF(A24="","",$B$2)</f>
        <v/>
      </c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7" t="n"/>
      <c r="AB24" s="27" t="n"/>
      <c r="AC24" s="27" t="n"/>
      <c r="AD24" s="27" t="n"/>
      <c r="AE24" s="27" t="n"/>
      <c r="AF24" s="27" t="n"/>
      <c r="AG24" s="27" t="n"/>
      <c r="AH24" s="27" t="n"/>
      <c r="AI24" s="27" t="n"/>
      <c r="AJ24" s="27" t="n"/>
      <c r="AK24" s="27" t="n"/>
      <c r="AL24" s="27" t="n"/>
      <c r="AM24" s="27" t="n"/>
      <c r="AN24" s="27" t="n"/>
      <c r="AO24" s="27" t="n"/>
      <c r="AP24" s="27" t="n"/>
      <c r="AQ24" s="27" t="n"/>
      <c r="AR24" s="27" t="n"/>
      <c r="AS24" s="27" t="n"/>
      <c r="AT24" s="27" t="n"/>
      <c r="AU24" s="27" t="n"/>
      <c r="AV24" s="27" t="n"/>
      <c r="AW24" s="27" t="n"/>
      <c r="AX24" s="27" t="n"/>
      <c r="AY24" s="27" t="n"/>
      <c r="AZ24" s="27" t="n"/>
      <c r="BA24" s="27" t="n"/>
      <c r="BB24" s="27" t="n"/>
      <c r="BC24" s="27" t="n"/>
      <c r="BD24" s="27" t="n"/>
      <c r="BE24" s="27" t="n"/>
      <c r="BF24" s="27" t="n"/>
      <c r="BG24" s="27" t="n"/>
      <c r="BH24" s="27" t="n"/>
      <c r="BI24" s="29" t="n"/>
      <c r="BJ24" s="27" t="n"/>
      <c r="BK24" s="27" t="n"/>
      <c r="BL24" s="27" t="n"/>
      <c r="BM24" s="27" t="n"/>
      <c r="DM24" s="26">
        <f>IF('因子水準表'!B47="","",'因子水準表'!B47)</f>
        <v/>
      </c>
      <c r="DN24" s="26">
        <f>IF('テスト条件'!A23="","",'テスト条件'!A23)</f>
        <v/>
      </c>
    </row>
    <row r="25">
      <c r="A25" s="27" t="n"/>
      <c r="B25" s="27" t="n"/>
      <c r="C25" s="28">
        <f>IF(A25="","",$B$2)</f>
        <v/>
      </c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  <c r="AI25" s="27" t="n"/>
      <c r="AJ25" s="27" t="n"/>
      <c r="AK25" s="27" t="n"/>
      <c r="AL25" s="27" t="n"/>
      <c r="AM25" s="27" t="n"/>
      <c r="AN25" s="27" t="n"/>
      <c r="AO25" s="27" t="n"/>
      <c r="AP25" s="27" t="n"/>
      <c r="AQ25" s="27" t="n"/>
      <c r="AR25" s="27" t="n"/>
      <c r="AS25" s="27" t="n"/>
      <c r="AT25" s="27" t="n"/>
      <c r="AU25" s="27" t="n"/>
      <c r="AV25" s="27" t="n"/>
      <c r="AW25" s="27" t="n"/>
      <c r="AX25" s="27" t="n"/>
      <c r="AY25" s="27" t="n"/>
      <c r="AZ25" s="27" t="n"/>
      <c r="BA25" s="27" t="n"/>
      <c r="BB25" s="27" t="n"/>
      <c r="BC25" s="27" t="n"/>
      <c r="BD25" s="27" t="n"/>
      <c r="BE25" s="27" t="n"/>
      <c r="BF25" s="27" t="n"/>
      <c r="BG25" s="27" t="n"/>
      <c r="BH25" s="27" t="n"/>
      <c r="BI25" s="29" t="n"/>
      <c r="BJ25" s="27" t="n"/>
      <c r="BK25" s="27" t="n"/>
      <c r="BL25" s="27" t="n"/>
      <c r="BM25" s="27" t="n"/>
      <c r="DM25" s="26">
        <f>IF('因子水準表'!B48="","",'因子水準表'!B48)</f>
        <v/>
      </c>
      <c r="DN25" s="26">
        <f>IF('テスト条件'!A24="","",'テスト条件'!A24)</f>
        <v/>
      </c>
    </row>
    <row r="26">
      <c r="A26" s="27" t="n"/>
      <c r="B26" s="27" t="n"/>
      <c r="C26" s="28">
        <f>IF(A26="","",$B$2)</f>
        <v/>
      </c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  <c r="AA26" s="27" t="n"/>
      <c r="AB26" s="27" t="n"/>
      <c r="AC26" s="27" t="n"/>
      <c r="AD26" s="27" t="n"/>
      <c r="AE26" s="27" t="n"/>
      <c r="AF26" s="27" t="n"/>
      <c r="AG26" s="27" t="n"/>
      <c r="AH26" s="27" t="n"/>
      <c r="AI26" s="27" t="n"/>
      <c r="AJ26" s="27" t="n"/>
      <c r="AK26" s="27" t="n"/>
      <c r="AL26" s="27" t="n"/>
      <c r="AM26" s="27" t="n"/>
      <c r="AN26" s="27" t="n"/>
      <c r="AO26" s="27" t="n"/>
      <c r="AP26" s="27" t="n"/>
      <c r="AQ26" s="27" t="n"/>
      <c r="AR26" s="27" t="n"/>
      <c r="AS26" s="27" t="n"/>
      <c r="AT26" s="27" t="n"/>
      <c r="AU26" s="27" t="n"/>
      <c r="AV26" s="27" t="n"/>
      <c r="AW26" s="27" t="n"/>
      <c r="AX26" s="27" t="n"/>
      <c r="AY26" s="27" t="n"/>
      <c r="AZ26" s="27" t="n"/>
      <c r="BA26" s="27" t="n"/>
      <c r="BB26" s="27" t="n"/>
      <c r="BC26" s="27" t="n"/>
      <c r="BD26" s="27" t="n"/>
      <c r="BE26" s="27" t="n"/>
      <c r="BF26" s="27" t="n"/>
      <c r="BG26" s="27" t="n"/>
      <c r="BH26" s="27" t="n"/>
      <c r="BI26" s="29" t="n"/>
      <c r="BJ26" s="27" t="n"/>
      <c r="BK26" s="27" t="n"/>
      <c r="BL26" s="27" t="n"/>
      <c r="BM26" s="27" t="n"/>
      <c r="DM26" s="26">
        <f>IF('因子水準表'!B49="","",'因子水準表'!B49)</f>
        <v/>
      </c>
      <c r="DN26" s="26">
        <f>IF('テスト条件'!A25="","",'テスト条件'!A25)</f>
        <v/>
      </c>
    </row>
    <row r="27">
      <c r="A27" s="27" t="n"/>
      <c r="B27" s="27" t="n"/>
      <c r="C27" s="28">
        <f>IF(A27="","",$B$2)</f>
        <v/>
      </c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  <c r="AI27" s="27" t="n"/>
      <c r="AJ27" s="27" t="n"/>
      <c r="AK27" s="27" t="n"/>
      <c r="AL27" s="27" t="n"/>
      <c r="AM27" s="27" t="n"/>
      <c r="AN27" s="27" t="n"/>
      <c r="AO27" s="27" t="n"/>
      <c r="AP27" s="27" t="n"/>
      <c r="AQ27" s="27" t="n"/>
      <c r="AR27" s="27" t="n"/>
      <c r="AS27" s="27" t="n"/>
      <c r="AT27" s="27" t="n"/>
      <c r="AU27" s="27" t="n"/>
      <c r="AV27" s="27" t="n"/>
      <c r="AW27" s="27" t="n"/>
      <c r="AX27" s="27" t="n"/>
      <c r="AY27" s="27" t="n"/>
      <c r="AZ27" s="27" t="n"/>
      <c r="BA27" s="27" t="n"/>
      <c r="BB27" s="27" t="n"/>
      <c r="BC27" s="27" t="n"/>
      <c r="BD27" s="27" t="n"/>
      <c r="BE27" s="27" t="n"/>
      <c r="BF27" s="27" t="n"/>
      <c r="BG27" s="27" t="n"/>
      <c r="BH27" s="27" t="n"/>
      <c r="BI27" s="29" t="n"/>
      <c r="BJ27" s="27" t="n"/>
      <c r="BK27" s="27" t="n"/>
      <c r="BL27" s="27" t="n"/>
      <c r="BM27" s="27" t="n"/>
      <c r="DM27" s="26">
        <f>IF('因子水準表'!B50="","",'因子水準表'!B50)</f>
        <v/>
      </c>
      <c r="DN27" s="26">
        <f>IF('テスト条件'!A26="","",'テスト条件'!A26)</f>
        <v/>
      </c>
    </row>
    <row r="28">
      <c r="A28" s="27" t="n"/>
      <c r="B28" s="27" t="n"/>
      <c r="C28" s="28">
        <f>IF(A28="","",$B$2)</f>
        <v/>
      </c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  <c r="AA28" s="27" t="n"/>
      <c r="AB28" s="27" t="n"/>
      <c r="AC28" s="27" t="n"/>
      <c r="AD28" s="27" t="n"/>
      <c r="AE28" s="27" t="n"/>
      <c r="AF28" s="27" t="n"/>
      <c r="AG28" s="27" t="n"/>
      <c r="AH28" s="27" t="n"/>
      <c r="AI28" s="27" t="n"/>
      <c r="AJ28" s="27" t="n"/>
      <c r="AK28" s="27" t="n"/>
      <c r="AL28" s="27" t="n"/>
      <c r="AM28" s="27" t="n"/>
      <c r="AN28" s="27" t="n"/>
      <c r="AO28" s="27" t="n"/>
      <c r="AP28" s="27" t="n"/>
      <c r="AQ28" s="27" t="n"/>
      <c r="AR28" s="27" t="n"/>
      <c r="AS28" s="27" t="n"/>
      <c r="AT28" s="27" t="n"/>
      <c r="AU28" s="27" t="n"/>
      <c r="AV28" s="27" t="n"/>
      <c r="AW28" s="27" t="n"/>
      <c r="AX28" s="27" t="n"/>
      <c r="AY28" s="27" t="n"/>
      <c r="AZ28" s="27" t="n"/>
      <c r="BA28" s="27" t="n"/>
      <c r="BB28" s="27" t="n"/>
      <c r="BC28" s="27" t="n"/>
      <c r="BD28" s="27" t="n"/>
      <c r="BE28" s="27" t="n"/>
      <c r="BF28" s="27" t="n"/>
      <c r="BG28" s="27" t="n"/>
      <c r="BH28" s="27" t="n"/>
      <c r="BI28" s="29" t="n"/>
      <c r="BJ28" s="27" t="n"/>
      <c r="BK28" s="27" t="n"/>
      <c r="BL28" s="27" t="n"/>
      <c r="BM28" s="27" t="n"/>
      <c r="DM28" s="26">
        <f>IF('因子水準表'!B51="","",'因子水準表'!B51)</f>
        <v/>
      </c>
      <c r="DN28" s="26">
        <f>IF('テスト条件'!A27="","",'テスト条件'!A27)</f>
        <v/>
      </c>
    </row>
    <row r="29">
      <c r="A29" s="27" t="n"/>
      <c r="B29" s="27" t="n"/>
      <c r="C29" s="28">
        <f>IF(A29="","",$B$2)</f>
        <v/>
      </c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  <c r="AI29" s="27" t="n"/>
      <c r="AJ29" s="27" t="n"/>
      <c r="AK29" s="27" t="n"/>
      <c r="AL29" s="27" t="n"/>
      <c r="AM29" s="27" t="n"/>
      <c r="AN29" s="27" t="n"/>
      <c r="AO29" s="27" t="n"/>
      <c r="AP29" s="27" t="n"/>
      <c r="AQ29" s="27" t="n"/>
      <c r="AR29" s="27" t="n"/>
      <c r="AS29" s="27" t="n"/>
      <c r="AT29" s="27" t="n"/>
      <c r="AU29" s="27" t="n"/>
      <c r="AV29" s="27" t="n"/>
      <c r="AW29" s="27" t="n"/>
      <c r="AX29" s="27" t="n"/>
      <c r="AY29" s="27" t="n"/>
      <c r="AZ29" s="27" t="n"/>
      <c r="BA29" s="27" t="n"/>
      <c r="BB29" s="27" t="n"/>
      <c r="BC29" s="27" t="n"/>
      <c r="BD29" s="27" t="n"/>
      <c r="BE29" s="27" t="n"/>
      <c r="BF29" s="27" t="n"/>
      <c r="BG29" s="27" t="n"/>
      <c r="BH29" s="27" t="n"/>
      <c r="BI29" s="29" t="n"/>
      <c r="BJ29" s="27" t="n"/>
      <c r="BK29" s="27" t="n"/>
      <c r="BL29" s="27" t="n"/>
      <c r="BM29" s="27" t="n"/>
      <c r="DM29" s="26">
        <f>IF('因子水準表'!B52="","",'因子水準表'!B52)</f>
        <v/>
      </c>
      <c r="DN29" s="26">
        <f>IF('テスト条件'!A28="","",'テスト条件'!A28)</f>
        <v/>
      </c>
    </row>
    <row r="30">
      <c r="A30" s="27" t="n"/>
      <c r="B30" s="27" t="n"/>
      <c r="C30" s="28">
        <f>IF(A30="","",$B$2)</f>
        <v/>
      </c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7" t="n"/>
      <c r="AF30" s="27" t="n"/>
      <c r="AG30" s="27" t="n"/>
      <c r="AH30" s="27" t="n"/>
      <c r="AI30" s="27" t="n"/>
      <c r="AJ30" s="27" t="n"/>
      <c r="AK30" s="27" t="n"/>
      <c r="AL30" s="27" t="n"/>
      <c r="AM30" s="27" t="n"/>
      <c r="AN30" s="27" t="n"/>
      <c r="AO30" s="27" t="n"/>
      <c r="AP30" s="27" t="n"/>
      <c r="AQ30" s="27" t="n"/>
      <c r="AR30" s="27" t="n"/>
      <c r="AS30" s="27" t="n"/>
      <c r="AT30" s="27" t="n"/>
      <c r="AU30" s="27" t="n"/>
      <c r="AV30" s="27" t="n"/>
      <c r="AW30" s="27" t="n"/>
      <c r="AX30" s="27" t="n"/>
      <c r="AY30" s="27" t="n"/>
      <c r="AZ30" s="27" t="n"/>
      <c r="BA30" s="27" t="n"/>
      <c r="BB30" s="27" t="n"/>
      <c r="BC30" s="27" t="n"/>
      <c r="BD30" s="27" t="n"/>
      <c r="BE30" s="27" t="n"/>
      <c r="BF30" s="27" t="n"/>
      <c r="BG30" s="27" t="n"/>
      <c r="BH30" s="27" t="n"/>
      <c r="BI30" s="29" t="n"/>
      <c r="BJ30" s="27" t="n"/>
      <c r="BK30" s="27" t="n"/>
      <c r="BL30" s="27" t="n"/>
      <c r="BM30" s="27" t="n"/>
      <c r="DM30" s="26">
        <f>IF('因子水準表'!B53="","",'因子水準表'!B53)</f>
        <v/>
      </c>
      <c r="DN30" s="26">
        <f>IF('テスト条件'!A29="","",'テスト条件'!A29)</f>
        <v/>
      </c>
    </row>
    <row r="31">
      <c r="A31" s="27" t="n"/>
      <c r="B31" s="27" t="n"/>
      <c r="C31" s="28">
        <f>IF(A31="","",$B$2)</f>
        <v/>
      </c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27" t="n"/>
      <c r="AJ31" s="27" t="n"/>
      <c r="AK31" s="27" t="n"/>
      <c r="AL31" s="27" t="n"/>
      <c r="AM31" s="27" t="n"/>
      <c r="AN31" s="27" t="n"/>
      <c r="AO31" s="27" t="n"/>
      <c r="AP31" s="27" t="n"/>
      <c r="AQ31" s="27" t="n"/>
      <c r="AR31" s="27" t="n"/>
      <c r="AS31" s="27" t="n"/>
      <c r="AT31" s="27" t="n"/>
      <c r="AU31" s="27" t="n"/>
      <c r="AV31" s="27" t="n"/>
      <c r="AW31" s="27" t="n"/>
      <c r="AX31" s="27" t="n"/>
      <c r="AY31" s="27" t="n"/>
      <c r="AZ31" s="27" t="n"/>
      <c r="BA31" s="27" t="n"/>
      <c r="BB31" s="27" t="n"/>
      <c r="BC31" s="27" t="n"/>
      <c r="BD31" s="27" t="n"/>
      <c r="BE31" s="27" t="n"/>
      <c r="BF31" s="27" t="n"/>
      <c r="BG31" s="27" t="n"/>
      <c r="BH31" s="27" t="n"/>
      <c r="BI31" s="29" t="n"/>
      <c r="BJ31" s="27" t="n"/>
      <c r="BK31" s="27" t="n"/>
      <c r="BL31" s="27" t="n"/>
      <c r="BM31" s="27" t="n"/>
      <c r="DM31" s="26">
        <f>IF('因子水準表'!B54="","",'因子水準表'!B54)</f>
        <v/>
      </c>
      <c r="DN31" s="26">
        <f>IF('テスト条件'!A30="","",'テスト条件'!A30)</f>
        <v/>
      </c>
    </row>
    <row r="32">
      <c r="A32" s="27" t="n"/>
      <c r="B32" s="27" t="n"/>
      <c r="C32" s="28">
        <f>IF(A32="","",$B$2)</f>
        <v/>
      </c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27" t="n"/>
      <c r="AJ32" s="27" t="n"/>
      <c r="AK32" s="27" t="n"/>
      <c r="AL32" s="27" t="n"/>
      <c r="AM32" s="27" t="n"/>
      <c r="AN32" s="27" t="n"/>
      <c r="AO32" s="27" t="n"/>
      <c r="AP32" s="27" t="n"/>
      <c r="AQ32" s="27" t="n"/>
      <c r="AR32" s="27" t="n"/>
      <c r="AS32" s="27" t="n"/>
      <c r="AT32" s="27" t="n"/>
      <c r="AU32" s="27" t="n"/>
      <c r="AV32" s="27" t="n"/>
      <c r="AW32" s="27" t="n"/>
      <c r="AX32" s="27" t="n"/>
      <c r="AY32" s="27" t="n"/>
      <c r="AZ32" s="27" t="n"/>
      <c r="BA32" s="27" t="n"/>
      <c r="BB32" s="27" t="n"/>
      <c r="BC32" s="27" t="n"/>
      <c r="BD32" s="27" t="n"/>
      <c r="BE32" s="27" t="n"/>
      <c r="BF32" s="27" t="n"/>
      <c r="BG32" s="27" t="n"/>
      <c r="BH32" s="27" t="n"/>
      <c r="BI32" s="29" t="n"/>
      <c r="BJ32" s="27" t="n"/>
      <c r="BK32" s="27" t="n"/>
      <c r="BL32" s="27" t="n"/>
      <c r="BM32" s="27" t="n"/>
      <c r="DM32" s="26">
        <f>IF('因子水準表'!B55="","",'因子水準表'!B55)</f>
        <v/>
      </c>
      <c r="DN32" s="26">
        <f>IF('テスト条件'!A31="","",'テスト条件'!A31)</f>
        <v/>
      </c>
    </row>
    <row r="33">
      <c r="A33" s="27" t="n"/>
      <c r="B33" s="27" t="n"/>
      <c r="C33" s="28">
        <f>IF(A33="","",$B$2)</f>
        <v/>
      </c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  <c r="AJ33" s="27" t="n"/>
      <c r="AK33" s="27" t="n"/>
      <c r="AL33" s="27" t="n"/>
      <c r="AM33" s="27" t="n"/>
      <c r="AN33" s="27" t="n"/>
      <c r="AO33" s="27" t="n"/>
      <c r="AP33" s="27" t="n"/>
      <c r="AQ33" s="27" t="n"/>
      <c r="AR33" s="27" t="n"/>
      <c r="AS33" s="27" t="n"/>
      <c r="AT33" s="27" t="n"/>
      <c r="AU33" s="27" t="n"/>
      <c r="AV33" s="27" t="n"/>
      <c r="AW33" s="27" t="n"/>
      <c r="AX33" s="27" t="n"/>
      <c r="AY33" s="27" t="n"/>
      <c r="AZ33" s="27" t="n"/>
      <c r="BA33" s="27" t="n"/>
      <c r="BB33" s="27" t="n"/>
      <c r="BC33" s="27" t="n"/>
      <c r="BD33" s="27" t="n"/>
      <c r="BE33" s="27" t="n"/>
      <c r="BF33" s="27" t="n"/>
      <c r="BG33" s="27" t="n"/>
      <c r="BH33" s="27" t="n"/>
      <c r="BI33" s="29" t="n"/>
      <c r="BJ33" s="27" t="n"/>
      <c r="BK33" s="27" t="n"/>
      <c r="BL33" s="27" t="n"/>
      <c r="BM33" s="27" t="n"/>
      <c r="DM33" s="26">
        <f>IF('因子水準表'!B56="","",'因子水準表'!B56)</f>
        <v/>
      </c>
      <c r="DN33" s="26">
        <f>IF('テスト条件'!A32="","",'テスト条件'!A32)</f>
        <v/>
      </c>
    </row>
    <row r="34">
      <c r="A34" s="27" t="n"/>
      <c r="B34" s="27" t="n"/>
      <c r="C34" s="28">
        <f>IF(A34="","",$B$2)</f>
        <v/>
      </c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  <c r="AJ34" s="27" t="n"/>
      <c r="AK34" s="27" t="n"/>
      <c r="AL34" s="27" t="n"/>
      <c r="AM34" s="27" t="n"/>
      <c r="AN34" s="27" t="n"/>
      <c r="AO34" s="27" t="n"/>
      <c r="AP34" s="27" t="n"/>
      <c r="AQ34" s="27" t="n"/>
      <c r="AR34" s="27" t="n"/>
      <c r="AS34" s="27" t="n"/>
      <c r="AT34" s="27" t="n"/>
      <c r="AU34" s="27" t="n"/>
      <c r="AV34" s="27" t="n"/>
      <c r="AW34" s="27" t="n"/>
      <c r="AX34" s="27" t="n"/>
      <c r="AY34" s="27" t="n"/>
      <c r="AZ34" s="27" t="n"/>
      <c r="BA34" s="27" t="n"/>
      <c r="BB34" s="27" t="n"/>
      <c r="BC34" s="27" t="n"/>
      <c r="BD34" s="27" t="n"/>
      <c r="BE34" s="27" t="n"/>
      <c r="BF34" s="27" t="n"/>
      <c r="BG34" s="27" t="n"/>
      <c r="BH34" s="27" t="n"/>
      <c r="BI34" s="29" t="n"/>
      <c r="BJ34" s="27" t="n"/>
      <c r="BK34" s="27" t="n"/>
      <c r="BL34" s="27" t="n"/>
      <c r="BM34" s="27" t="n"/>
      <c r="DM34" s="26">
        <f>IF('因子水準表'!B57="","",'因子水準表'!B57)</f>
        <v/>
      </c>
      <c r="DN34" s="26">
        <f>IF('テスト条件'!A33="","",'テスト条件'!A33)</f>
        <v/>
      </c>
    </row>
    <row r="35">
      <c r="A35" s="27" t="n"/>
      <c r="B35" s="27" t="n"/>
      <c r="C35" s="28">
        <f>IF(A35="","",$B$2)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27" t="n"/>
      <c r="AJ35" s="27" t="n"/>
      <c r="AK35" s="27" t="n"/>
      <c r="AL35" s="27" t="n"/>
      <c r="AM35" s="27" t="n"/>
      <c r="AN35" s="27" t="n"/>
      <c r="AO35" s="27" t="n"/>
      <c r="AP35" s="27" t="n"/>
      <c r="AQ35" s="27" t="n"/>
      <c r="AR35" s="27" t="n"/>
      <c r="AS35" s="27" t="n"/>
      <c r="AT35" s="27" t="n"/>
      <c r="AU35" s="27" t="n"/>
      <c r="AV35" s="27" t="n"/>
      <c r="AW35" s="27" t="n"/>
      <c r="AX35" s="27" t="n"/>
      <c r="AY35" s="27" t="n"/>
      <c r="AZ35" s="27" t="n"/>
      <c r="BA35" s="27" t="n"/>
      <c r="BB35" s="27" t="n"/>
      <c r="BC35" s="27" t="n"/>
      <c r="BD35" s="27" t="n"/>
      <c r="BE35" s="27" t="n"/>
      <c r="BF35" s="27" t="n"/>
      <c r="BG35" s="27" t="n"/>
      <c r="BH35" s="27" t="n"/>
      <c r="BI35" s="29" t="n"/>
      <c r="BJ35" s="27" t="n"/>
      <c r="BK35" s="27" t="n"/>
      <c r="BL35" s="27" t="n"/>
      <c r="BM35" s="27" t="n"/>
      <c r="DM35" s="26">
        <f>IF('因子水準表'!B58="","",'因子水準表'!B58)</f>
        <v/>
      </c>
      <c r="DN35" s="26">
        <f>IF('テスト条件'!A34="","",'テスト条件'!A34)</f>
        <v/>
      </c>
    </row>
    <row r="36">
      <c r="A36" s="27" t="n"/>
      <c r="B36" s="27" t="n"/>
      <c r="C36" s="28">
        <f>IF(A36="","",$B$2)</f>
        <v/>
      </c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27" t="n"/>
      <c r="AJ36" s="27" t="n"/>
      <c r="AK36" s="27" t="n"/>
      <c r="AL36" s="27" t="n"/>
      <c r="AM36" s="27" t="n"/>
      <c r="AN36" s="27" t="n"/>
      <c r="AO36" s="27" t="n"/>
      <c r="AP36" s="27" t="n"/>
      <c r="AQ36" s="27" t="n"/>
      <c r="AR36" s="27" t="n"/>
      <c r="AS36" s="27" t="n"/>
      <c r="AT36" s="27" t="n"/>
      <c r="AU36" s="27" t="n"/>
      <c r="AV36" s="27" t="n"/>
      <c r="AW36" s="27" t="n"/>
      <c r="AX36" s="27" t="n"/>
      <c r="AY36" s="27" t="n"/>
      <c r="AZ36" s="27" t="n"/>
      <c r="BA36" s="27" t="n"/>
      <c r="BB36" s="27" t="n"/>
      <c r="BC36" s="27" t="n"/>
      <c r="BD36" s="27" t="n"/>
      <c r="BE36" s="27" t="n"/>
      <c r="BF36" s="27" t="n"/>
      <c r="BG36" s="27" t="n"/>
      <c r="BH36" s="27" t="n"/>
      <c r="BI36" s="29" t="n"/>
      <c r="BJ36" s="27" t="n"/>
      <c r="BK36" s="27" t="n"/>
      <c r="BL36" s="27" t="n"/>
      <c r="BM36" s="27" t="n"/>
      <c r="DN36" s="26">
        <f>IF('テスト条件'!A35="","",'テスト条件'!A35)</f>
        <v/>
      </c>
    </row>
    <row r="37">
      <c r="A37" s="27" t="n"/>
      <c r="B37" s="27" t="n"/>
      <c r="C37" s="28">
        <f>IF(A37="","",$B$2)</f>
        <v/>
      </c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27" t="n"/>
      <c r="AJ37" s="27" t="n"/>
      <c r="AK37" s="27" t="n"/>
      <c r="AL37" s="27" t="n"/>
      <c r="AM37" s="27" t="n"/>
      <c r="AN37" s="27" t="n"/>
      <c r="AO37" s="27" t="n"/>
      <c r="AP37" s="27" t="n"/>
      <c r="AQ37" s="27" t="n"/>
      <c r="AR37" s="27" t="n"/>
      <c r="AS37" s="27" t="n"/>
      <c r="AT37" s="27" t="n"/>
      <c r="AU37" s="27" t="n"/>
      <c r="AV37" s="27" t="n"/>
      <c r="AW37" s="27" t="n"/>
      <c r="AX37" s="27" t="n"/>
      <c r="AY37" s="27" t="n"/>
      <c r="AZ37" s="27" t="n"/>
      <c r="BA37" s="27" t="n"/>
      <c r="BB37" s="27" t="n"/>
      <c r="BC37" s="27" t="n"/>
      <c r="BD37" s="27" t="n"/>
      <c r="BE37" s="27" t="n"/>
      <c r="BF37" s="27" t="n"/>
      <c r="BG37" s="27" t="n"/>
      <c r="BH37" s="27" t="n"/>
      <c r="BI37" s="29" t="n"/>
      <c r="BJ37" s="27" t="n"/>
      <c r="BK37" s="27" t="n"/>
      <c r="BL37" s="27" t="n"/>
      <c r="BM37" s="27" t="n"/>
      <c r="DN37" s="26">
        <f>IF('テスト条件'!A36="","",'テスト条件'!A36)</f>
        <v/>
      </c>
    </row>
    <row r="38">
      <c r="A38" s="27" t="n"/>
      <c r="B38" s="27" t="n"/>
      <c r="C38" s="28">
        <f>IF(A38="","",$B$2)</f>
        <v/>
      </c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27" t="n"/>
      <c r="AJ38" s="27" t="n"/>
      <c r="AK38" s="27" t="n"/>
      <c r="AL38" s="27" t="n"/>
      <c r="AM38" s="27" t="n"/>
      <c r="AN38" s="27" t="n"/>
      <c r="AO38" s="27" t="n"/>
      <c r="AP38" s="27" t="n"/>
      <c r="AQ38" s="27" t="n"/>
      <c r="AR38" s="27" t="n"/>
      <c r="AS38" s="27" t="n"/>
      <c r="AT38" s="27" t="n"/>
      <c r="AU38" s="27" t="n"/>
      <c r="AV38" s="27" t="n"/>
      <c r="AW38" s="27" t="n"/>
      <c r="AX38" s="27" t="n"/>
      <c r="AY38" s="27" t="n"/>
      <c r="AZ38" s="27" t="n"/>
      <c r="BA38" s="27" t="n"/>
      <c r="BB38" s="27" t="n"/>
      <c r="BC38" s="27" t="n"/>
      <c r="BD38" s="27" t="n"/>
      <c r="BE38" s="27" t="n"/>
      <c r="BF38" s="27" t="n"/>
      <c r="BG38" s="27" t="n"/>
      <c r="BH38" s="27" t="n"/>
      <c r="BI38" s="29" t="n"/>
      <c r="BJ38" s="27" t="n"/>
      <c r="BK38" s="27" t="n"/>
      <c r="BL38" s="27" t="n"/>
      <c r="BM38" s="27" t="n"/>
      <c r="DN38" s="26">
        <f>IF('テスト条件'!A37="","",'テスト条件'!A37)</f>
        <v/>
      </c>
    </row>
    <row r="39">
      <c r="A39" s="27" t="n"/>
      <c r="B39" s="27" t="n"/>
      <c r="C39" s="28">
        <f>IF(A39="","",$B$2)</f>
        <v/>
      </c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27" t="n"/>
      <c r="AJ39" s="27" t="n"/>
      <c r="AK39" s="27" t="n"/>
      <c r="AL39" s="27" t="n"/>
      <c r="AM39" s="27" t="n"/>
      <c r="AN39" s="27" t="n"/>
      <c r="AO39" s="27" t="n"/>
      <c r="AP39" s="27" t="n"/>
      <c r="AQ39" s="27" t="n"/>
      <c r="AR39" s="27" t="n"/>
      <c r="AS39" s="27" t="n"/>
      <c r="AT39" s="27" t="n"/>
      <c r="AU39" s="27" t="n"/>
      <c r="AV39" s="27" t="n"/>
      <c r="AW39" s="27" t="n"/>
      <c r="AX39" s="27" t="n"/>
      <c r="AY39" s="27" t="n"/>
      <c r="AZ39" s="27" t="n"/>
      <c r="BA39" s="27" t="n"/>
      <c r="BB39" s="27" t="n"/>
      <c r="BC39" s="27" t="n"/>
      <c r="BD39" s="27" t="n"/>
      <c r="BE39" s="27" t="n"/>
      <c r="BF39" s="27" t="n"/>
      <c r="BG39" s="27" t="n"/>
      <c r="BH39" s="27" t="n"/>
      <c r="BI39" s="29" t="n"/>
      <c r="BJ39" s="27" t="n"/>
      <c r="BK39" s="27" t="n"/>
      <c r="BL39" s="27" t="n"/>
      <c r="BM39" s="27" t="n"/>
      <c r="DN39" s="26">
        <f>IF('テスト条件'!A38="","",'テスト条件'!A38)</f>
        <v/>
      </c>
    </row>
    <row r="40">
      <c r="A40" s="27" t="n"/>
      <c r="B40" s="27" t="n"/>
      <c r="C40" s="28">
        <f>IF(A40="","",$B$2)</f>
        <v/>
      </c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7" t="n"/>
      <c r="AJ40" s="27" t="n"/>
      <c r="AK40" s="27" t="n"/>
      <c r="AL40" s="27" t="n"/>
      <c r="AM40" s="27" t="n"/>
      <c r="AN40" s="27" t="n"/>
      <c r="AO40" s="27" t="n"/>
      <c r="AP40" s="27" t="n"/>
      <c r="AQ40" s="27" t="n"/>
      <c r="AR40" s="27" t="n"/>
      <c r="AS40" s="27" t="n"/>
      <c r="AT40" s="27" t="n"/>
      <c r="AU40" s="27" t="n"/>
      <c r="AV40" s="27" t="n"/>
      <c r="AW40" s="27" t="n"/>
      <c r="AX40" s="27" t="n"/>
      <c r="AY40" s="27" t="n"/>
      <c r="AZ40" s="27" t="n"/>
      <c r="BA40" s="27" t="n"/>
      <c r="BB40" s="27" t="n"/>
      <c r="BC40" s="27" t="n"/>
      <c r="BD40" s="27" t="n"/>
      <c r="BE40" s="27" t="n"/>
      <c r="BF40" s="27" t="n"/>
      <c r="BG40" s="27" t="n"/>
      <c r="BH40" s="27" t="n"/>
      <c r="BI40" s="29" t="n"/>
      <c r="BJ40" s="27" t="n"/>
      <c r="BK40" s="27" t="n"/>
      <c r="BL40" s="27" t="n"/>
      <c r="BM40" s="27" t="n"/>
      <c r="DN40" s="26">
        <f>IF('テスト条件'!A39="","",'テスト条件'!A39)</f>
        <v/>
      </c>
    </row>
    <row r="41">
      <c r="A41" s="27" t="n"/>
      <c r="B41" s="27" t="n"/>
      <c r="C41" s="28">
        <f>IF(A41="","",$B$2)</f>
        <v/>
      </c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27" t="n"/>
      <c r="AJ41" s="27" t="n"/>
      <c r="AK41" s="27" t="n"/>
      <c r="AL41" s="27" t="n"/>
      <c r="AM41" s="27" t="n"/>
      <c r="AN41" s="27" t="n"/>
      <c r="AO41" s="27" t="n"/>
      <c r="AP41" s="27" t="n"/>
      <c r="AQ41" s="27" t="n"/>
      <c r="AR41" s="27" t="n"/>
      <c r="AS41" s="27" t="n"/>
      <c r="AT41" s="27" t="n"/>
      <c r="AU41" s="27" t="n"/>
      <c r="AV41" s="27" t="n"/>
      <c r="AW41" s="27" t="n"/>
      <c r="AX41" s="27" t="n"/>
      <c r="AY41" s="27" t="n"/>
      <c r="AZ41" s="27" t="n"/>
      <c r="BA41" s="27" t="n"/>
      <c r="BB41" s="27" t="n"/>
      <c r="BC41" s="27" t="n"/>
      <c r="BD41" s="27" t="n"/>
      <c r="BE41" s="27" t="n"/>
      <c r="BF41" s="27" t="n"/>
      <c r="BG41" s="27" t="n"/>
      <c r="BH41" s="27" t="n"/>
      <c r="BI41" s="29" t="n"/>
      <c r="BJ41" s="27" t="n"/>
      <c r="BK41" s="27" t="n"/>
      <c r="BL41" s="27" t="n"/>
      <c r="BM41" s="27" t="n"/>
      <c r="DN41" s="26">
        <f>IF('テスト条件'!A40="","",'テスト条件'!A40)</f>
        <v/>
      </c>
    </row>
    <row r="42">
      <c r="A42" s="27" t="n"/>
      <c r="B42" s="27" t="n"/>
      <c r="C42" s="28">
        <f>IF(A42="","",$B$2)</f>
        <v/>
      </c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27" t="n"/>
      <c r="AJ42" s="27" t="n"/>
      <c r="AK42" s="27" t="n"/>
      <c r="AL42" s="27" t="n"/>
      <c r="AM42" s="27" t="n"/>
      <c r="AN42" s="27" t="n"/>
      <c r="AO42" s="27" t="n"/>
      <c r="AP42" s="27" t="n"/>
      <c r="AQ42" s="27" t="n"/>
      <c r="AR42" s="27" t="n"/>
      <c r="AS42" s="27" t="n"/>
      <c r="AT42" s="27" t="n"/>
      <c r="AU42" s="27" t="n"/>
      <c r="AV42" s="27" t="n"/>
      <c r="AW42" s="27" t="n"/>
      <c r="AX42" s="27" t="n"/>
      <c r="AY42" s="27" t="n"/>
      <c r="AZ42" s="27" t="n"/>
      <c r="BA42" s="27" t="n"/>
      <c r="BB42" s="27" t="n"/>
      <c r="BC42" s="27" t="n"/>
      <c r="BD42" s="27" t="n"/>
      <c r="BE42" s="27" t="n"/>
      <c r="BF42" s="27" t="n"/>
      <c r="BG42" s="27" t="n"/>
      <c r="BH42" s="27" t="n"/>
      <c r="BI42" s="29" t="n"/>
      <c r="BJ42" s="27" t="n"/>
      <c r="BK42" s="27" t="n"/>
      <c r="BL42" s="27" t="n"/>
      <c r="BM42" s="27" t="n"/>
      <c r="DN42" s="26">
        <f>IF('テスト条件'!A41="","",'テスト条件'!A41)</f>
        <v/>
      </c>
    </row>
    <row r="43">
      <c r="A43" s="27" t="n"/>
      <c r="B43" s="27" t="n"/>
      <c r="C43" s="28">
        <f>IF(A43="","",$B$2)</f>
        <v/>
      </c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27" t="n"/>
      <c r="AJ43" s="27" t="n"/>
      <c r="AK43" s="27" t="n"/>
      <c r="AL43" s="27" t="n"/>
      <c r="AM43" s="27" t="n"/>
      <c r="AN43" s="27" t="n"/>
      <c r="AO43" s="27" t="n"/>
      <c r="AP43" s="27" t="n"/>
      <c r="AQ43" s="27" t="n"/>
      <c r="AR43" s="27" t="n"/>
      <c r="AS43" s="27" t="n"/>
      <c r="AT43" s="27" t="n"/>
      <c r="AU43" s="27" t="n"/>
      <c r="AV43" s="27" t="n"/>
      <c r="AW43" s="27" t="n"/>
      <c r="AX43" s="27" t="n"/>
      <c r="AY43" s="27" t="n"/>
      <c r="AZ43" s="27" t="n"/>
      <c r="BA43" s="27" t="n"/>
      <c r="BB43" s="27" t="n"/>
      <c r="BC43" s="27" t="n"/>
      <c r="BD43" s="27" t="n"/>
      <c r="BE43" s="27" t="n"/>
      <c r="BF43" s="27" t="n"/>
      <c r="BG43" s="27" t="n"/>
      <c r="BH43" s="27" t="n"/>
      <c r="BI43" s="29" t="n"/>
      <c r="BJ43" s="27" t="n"/>
      <c r="BK43" s="27" t="n"/>
      <c r="BL43" s="27" t="n"/>
      <c r="BM43" s="27" t="n"/>
      <c r="DN43" s="26">
        <f>IF('テスト条件'!A42="","",'テスト条件'!A42)</f>
        <v/>
      </c>
    </row>
    <row r="44">
      <c r="A44" s="27" t="n"/>
      <c r="B44" s="27" t="n"/>
      <c r="C44" s="28">
        <f>IF(A44="","",$B$2)</f>
        <v/>
      </c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  <c r="AJ44" s="27" t="n"/>
      <c r="AK44" s="27" t="n"/>
      <c r="AL44" s="27" t="n"/>
      <c r="AM44" s="27" t="n"/>
      <c r="AN44" s="27" t="n"/>
      <c r="AO44" s="27" t="n"/>
      <c r="AP44" s="27" t="n"/>
      <c r="AQ44" s="27" t="n"/>
      <c r="AR44" s="27" t="n"/>
      <c r="AS44" s="27" t="n"/>
      <c r="AT44" s="27" t="n"/>
      <c r="AU44" s="27" t="n"/>
      <c r="AV44" s="27" t="n"/>
      <c r="AW44" s="27" t="n"/>
      <c r="AX44" s="27" t="n"/>
      <c r="AY44" s="27" t="n"/>
      <c r="AZ44" s="27" t="n"/>
      <c r="BA44" s="27" t="n"/>
      <c r="BB44" s="27" t="n"/>
      <c r="BC44" s="27" t="n"/>
      <c r="BD44" s="27" t="n"/>
      <c r="BE44" s="27" t="n"/>
      <c r="BF44" s="27" t="n"/>
      <c r="BG44" s="27" t="n"/>
      <c r="BH44" s="27" t="n"/>
      <c r="BI44" s="29" t="n"/>
      <c r="BJ44" s="27" t="n"/>
      <c r="BK44" s="27" t="n"/>
      <c r="BL44" s="27" t="n"/>
      <c r="BM44" s="27" t="n"/>
      <c r="DN44" s="26">
        <f>IF('テスト条件'!A43="","",'テスト条件'!A43)</f>
        <v/>
      </c>
    </row>
    <row r="45">
      <c r="A45" s="27" t="n"/>
      <c r="B45" s="27" t="n"/>
      <c r="C45" s="28">
        <f>IF(A45="","",$B$2)</f>
        <v/>
      </c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27" t="n"/>
      <c r="AJ45" s="27" t="n"/>
      <c r="AK45" s="27" t="n"/>
      <c r="AL45" s="27" t="n"/>
      <c r="AM45" s="27" t="n"/>
      <c r="AN45" s="27" t="n"/>
      <c r="AO45" s="27" t="n"/>
      <c r="AP45" s="27" t="n"/>
      <c r="AQ45" s="27" t="n"/>
      <c r="AR45" s="27" t="n"/>
      <c r="AS45" s="27" t="n"/>
      <c r="AT45" s="27" t="n"/>
      <c r="AU45" s="27" t="n"/>
      <c r="AV45" s="27" t="n"/>
      <c r="AW45" s="27" t="n"/>
      <c r="AX45" s="27" t="n"/>
      <c r="AY45" s="27" t="n"/>
      <c r="AZ45" s="27" t="n"/>
      <c r="BA45" s="27" t="n"/>
      <c r="BB45" s="27" t="n"/>
      <c r="BC45" s="27" t="n"/>
      <c r="BD45" s="27" t="n"/>
      <c r="BE45" s="27" t="n"/>
      <c r="BF45" s="27" t="n"/>
      <c r="BG45" s="27" t="n"/>
      <c r="BH45" s="27" t="n"/>
      <c r="BI45" s="29" t="n"/>
      <c r="BJ45" s="27" t="n"/>
      <c r="BK45" s="27" t="n"/>
      <c r="BL45" s="27" t="n"/>
      <c r="BM45" s="27" t="n"/>
      <c r="DN45" s="26">
        <f>IF('テスト条件'!A44="","",'テスト条件'!A44)</f>
        <v/>
      </c>
    </row>
    <row r="46">
      <c r="A46" s="27" t="n"/>
      <c r="B46" s="27" t="n"/>
      <c r="C46" s="28">
        <f>IF(A46="","",$B$2)</f>
        <v/>
      </c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  <c r="AJ46" s="27" t="n"/>
      <c r="AK46" s="27" t="n"/>
      <c r="AL46" s="27" t="n"/>
      <c r="AM46" s="27" t="n"/>
      <c r="AN46" s="27" t="n"/>
      <c r="AO46" s="27" t="n"/>
      <c r="AP46" s="27" t="n"/>
      <c r="AQ46" s="27" t="n"/>
      <c r="AR46" s="27" t="n"/>
      <c r="AS46" s="27" t="n"/>
      <c r="AT46" s="27" t="n"/>
      <c r="AU46" s="27" t="n"/>
      <c r="AV46" s="27" t="n"/>
      <c r="AW46" s="27" t="n"/>
      <c r="AX46" s="27" t="n"/>
      <c r="AY46" s="27" t="n"/>
      <c r="AZ46" s="27" t="n"/>
      <c r="BA46" s="27" t="n"/>
      <c r="BB46" s="27" t="n"/>
      <c r="BC46" s="27" t="n"/>
      <c r="BD46" s="27" t="n"/>
      <c r="BE46" s="27" t="n"/>
      <c r="BF46" s="27" t="n"/>
      <c r="BG46" s="27" t="n"/>
      <c r="BH46" s="27" t="n"/>
      <c r="BI46" s="29" t="n"/>
      <c r="BJ46" s="27" t="n"/>
      <c r="BK46" s="27" t="n"/>
      <c r="BL46" s="27" t="n"/>
      <c r="BM46" s="27" t="n"/>
      <c r="DN46" s="26">
        <f>IF('テスト条件'!A45="","",'テスト条件'!A45)</f>
        <v/>
      </c>
    </row>
    <row r="47">
      <c r="A47" s="27" t="n"/>
      <c r="B47" s="27" t="n"/>
      <c r="C47" s="28">
        <f>IF(A47="","",$B$2)</f>
        <v/>
      </c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  <c r="AJ47" s="27" t="n"/>
      <c r="AK47" s="27" t="n"/>
      <c r="AL47" s="27" t="n"/>
      <c r="AM47" s="27" t="n"/>
      <c r="AN47" s="27" t="n"/>
      <c r="AO47" s="27" t="n"/>
      <c r="AP47" s="27" t="n"/>
      <c r="AQ47" s="27" t="n"/>
      <c r="AR47" s="27" t="n"/>
      <c r="AS47" s="27" t="n"/>
      <c r="AT47" s="27" t="n"/>
      <c r="AU47" s="27" t="n"/>
      <c r="AV47" s="27" t="n"/>
      <c r="AW47" s="27" t="n"/>
      <c r="AX47" s="27" t="n"/>
      <c r="AY47" s="27" t="n"/>
      <c r="AZ47" s="27" t="n"/>
      <c r="BA47" s="27" t="n"/>
      <c r="BB47" s="27" t="n"/>
      <c r="BC47" s="27" t="n"/>
      <c r="BD47" s="27" t="n"/>
      <c r="BE47" s="27" t="n"/>
      <c r="BF47" s="27" t="n"/>
      <c r="BG47" s="27" t="n"/>
      <c r="BH47" s="27" t="n"/>
      <c r="BI47" s="29" t="n"/>
      <c r="BJ47" s="27" t="n"/>
      <c r="BK47" s="27" t="n"/>
      <c r="BL47" s="27" t="n"/>
      <c r="BM47" s="27" t="n"/>
      <c r="DN47" s="26">
        <f>IF('テスト条件'!A46="","",'テスト条件'!A46)</f>
        <v/>
      </c>
    </row>
    <row r="48">
      <c r="A48" s="27" t="n"/>
      <c r="B48" s="27" t="n"/>
      <c r="C48" s="28">
        <f>IF(A48="","",$B$2)</f>
        <v/>
      </c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27" t="n"/>
      <c r="AJ48" s="27" t="n"/>
      <c r="AK48" s="27" t="n"/>
      <c r="AL48" s="27" t="n"/>
      <c r="AM48" s="27" t="n"/>
      <c r="AN48" s="27" t="n"/>
      <c r="AO48" s="27" t="n"/>
      <c r="AP48" s="27" t="n"/>
      <c r="AQ48" s="27" t="n"/>
      <c r="AR48" s="27" t="n"/>
      <c r="AS48" s="27" t="n"/>
      <c r="AT48" s="27" t="n"/>
      <c r="AU48" s="27" t="n"/>
      <c r="AV48" s="27" t="n"/>
      <c r="AW48" s="27" t="n"/>
      <c r="AX48" s="27" t="n"/>
      <c r="AY48" s="27" t="n"/>
      <c r="AZ48" s="27" t="n"/>
      <c r="BA48" s="27" t="n"/>
      <c r="BB48" s="27" t="n"/>
      <c r="BC48" s="27" t="n"/>
      <c r="BD48" s="27" t="n"/>
      <c r="BE48" s="27" t="n"/>
      <c r="BF48" s="27" t="n"/>
      <c r="BG48" s="27" t="n"/>
      <c r="BH48" s="27" t="n"/>
      <c r="BI48" s="29" t="n"/>
      <c r="BJ48" s="27" t="n"/>
      <c r="BK48" s="27" t="n"/>
      <c r="BL48" s="27" t="n"/>
      <c r="BM48" s="27" t="n"/>
      <c r="DN48" s="26">
        <f>IF('テスト条件'!A47="","",'テスト条件'!A47)</f>
        <v/>
      </c>
    </row>
    <row r="49">
      <c r="A49" s="27" t="n"/>
      <c r="B49" s="27" t="n"/>
      <c r="C49" s="28">
        <f>IF(A49="","",$B$2)</f>
        <v/>
      </c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27" t="n"/>
      <c r="AJ49" s="27" t="n"/>
      <c r="AK49" s="27" t="n"/>
      <c r="AL49" s="27" t="n"/>
      <c r="AM49" s="27" t="n"/>
      <c r="AN49" s="27" t="n"/>
      <c r="AO49" s="27" t="n"/>
      <c r="AP49" s="27" t="n"/>
      <c r="AQ49" s="27" t="n"/>
      <c r="AR49" s="27" t="n"/>
      <c r="AS49" s="27" t="n"/>
      <c r="AT49" s="27" t="n"/>
      <c r="AU49" s="27" t="n"/>
      <c r="AV49" s="27" t="n"/>
      <c r="AW49" s="27" t="n"/>
      <c r="AX49" s="27" t="n"/>
      <c r="AY49" s="27" t="n"/>
      <c r="AZ49" s="27" t="n"/>
      <c r="BA49" s="27" t="n"/>
      <c r="BB49" s="27" t="n"/>
      <c r="BC49" s="27" t="n"/>
      <c r="BD49" s="27" t="n"/>
      <c r="BE49" s="27" t="n"/>
      <c r="BF49" s="27" t="n"/>
      <c r="BG49" s="27" t="n"/>
      <c r="BH49" s="27" t="n"/>
      <c r="BI49" s="29" t="n"/>
      <c r="BJ49" s="27" t="n"/>
      <c r="BK49" s="27" t="n"/>
      <c r="BL49" s="27" t="n"/>
      <c r="BM49" s="27" t="n"/>
      <c r="DN49" s="26">
        <f>IF('テスト条件'!A48="","",'テスト条件'!A48)</f>
        <v/>
      </c>
    </row>
    <row r="50">
      <c r="A50" s="27" t="n"/>
      <c r="B50" s="27" t="n"/>
      <c r="C50" s="28">
        <f>IF(A50="","",$B$2)</f>
        <v/>
      </c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27" t="n"/>
      <c r="AJ50" s="27" t="n"/>
      <c r="AK50" s="27" t="n"/>
      <c r="AL50" s="27" t="n"/>
      <c r="AM50" s="27" t="n"/>
      <c r="AN50" s="27" t="n"/>
      <c r="AO50" s="27" t="n"/>
      <c r="AP50" s="27" t="n"/>
      <c r="AQ50" s="27" t="n"/>
      <c r="AR50" s="27" t="n"/>
      <c r="AS50" s="27" t="n"/>
      <c r="AT50" s="27" t="n"/>
      <c r="AU50" s="27" t="n"/>
      <c r="AV50" s="27" t="n"/>
      <c r="AW50" s="27" t="n"/>
      <c r="AX50" s="27" t="n"/>
      <c r="AY50" s="27" t="n"/>
      <c r="AZ50" s="27" t="n"/>
      <c r="BA50" s="27" t="n"/>
      <c r="BB50" s="27" t="n"/>
      <c r="BC50" s="27" t="n"/>
      <c r="BD50" s="27" t="n"/>
      <c r="BE50" s="27" t="n"/>
      <c r="BF50" s="27" t="n"/>
      <c r="BG50" s="27" t="n"/>
      <c r="BH50" s="27" t="n"/>
      <c r="BI50" s="29" t="n"/>
      <c r="BJ50" s="27" t="n"/>
      <c r="BK50" s="27" t="n"/>
      <c r="BL50" s="27" t="n"/>
      <c r="BM50" s="27" t="n"/>
      <c r="DN50" s="26">
        <f>IF('テスト条件'!A49="","",'テスト条件'!A49)</f>
        <v/>
      </c>
    </row>
    <row r="51">
      <c r="A51" s="27" t="n"/>
      <c r="B51" s="27" t="n"/>
      <c r="C51" s="28">
        <f>IF(A51="","",$B$2)</f>
        <v/>
      </c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27" t="n"/>
      <c r="AJ51" s="27" t="n"/>
      <c r="AK51" s="27" t="n"/>
      <c r="AL51" s="27" t="n"/>
      <c r="AM51" s="27" t="n"/>
      <c r="AN51" s="27" t="n"/>
      <c r="AO51" s="27" t="n"/>
      <c r="AP51" s="27" t="n"/>
      <c r="AQ51" s="27" t="n"/>
      <c r="AR51" s="27" t="n"/>
      <c r="AS51" s="27" t="n"/>
      <c r="AT51" s="27" t="n"/>
      <c r="AU51" s="27" t="n"/>
      <c r="AV51" s="27" t="n"/>
      <c r="AW51" s="27" t="n"/>
      <c r="AX51" s="27" t="n"/>
      <c r="AY51" s="27" t="n"/>
      <c r="AZ51" s="27" t="n"/>
      <c r="BA51" s="27" t="n"/>
      <c r="BB51" s="27" t="n"/>
      <c r="BC51" s="27" t="n"/>
      <c r="BD51" s="27" t="n"/>
      <c r="BE51" s="27" t="n"/>
      <c r="BF51" s="27" t="n"/>
      <c r="BG51" s="27" t="n"/>
      <c r="BH51" s="27" t="n"/>
      <c r="BI51" s="29" t="n"/>
      <c r="BJ51" s="27" t="n"/>
      <c r="BK51" s="27" t="n"/>
      <c r="BL51" s="27" t="n"/>
      <c r="BM51" s="27" t="n"/>
      <c r="DN51" s="26">
        <f>IF('テスト条件'!A50="","",'テスト条件'!A50)</f>
        <v/>
      </c>
    </row>
    <row r="52">
      <c r="A52" s="27" t="n"/>
      <c r="B52" s="27" t="n"/>
      <c r="C52" s="28">
        <f>IF(A52="","",$B$2)</f>
        <v/>
      </c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27" t="n"/>
      <c r="AJ52" s="27" t="n"/>
      <c r="AK52" s="27" t="n"/>
      <c r="AL52" s="27" t="n"/>
      <c r="AM52" s="27" t="n"/>
      <c r="AN52" s="27" t="n"/>
      <c r="AO52" s="27" t="n"/>
      <c r="AP52" s="27" t="n"/>
      <c r="AQ52" s="27" t="n"/>
      <c r="AR52" s="27" t="n"/>
      <c r="AS52" s="27" t="n"/>
      <c r="AT52" s="27" t="n"/>
      <c r="AU52" s="27" t="n"/>
      <c r="AV52" s="27" t="n"/>
      <c r="AW52" s="27" t="n"/>
      <c r="AX52" s="27" t="n"/>
      <c r="AY52" s="27" t="n"/>
      <c r="AZ52" s="27" t="n"/>
      <c r="BA52" s="27" t="n"/>
      <c r="BB52" s="27" t="n"/>
      <c r="BC52" s="27" t="n"/>
      <c r="BD52" s="27" t="n"/>
      <c r="BE52" s="27" t="n"/>
      <c r="BF52" s="27" t="n"/>
      <c r="BG52" s="27" t="n"/>
      <c r="BH52" s="27" t="n"/>
      <c r="BI52" s="29" t="n"/>
      <c r="BJ52" s="27" t="n"/>
      <c r="BK52" s="27" t="n"/>
      <c r="BL52" s="27" t="n"/>
      <c r="BM52" s="27" t="n"/>
      <c r="DN52" s="26">
        <f>IF('テスト条件'!A51="","",'テスト条件'!A51)</f>
        <v/>
      </c>
    </row>
    <row r="53">
      <c r="A53" s="27" t="n"/>
      <c r="B53" s="27" t="n"/>
      <c r="C53" s="28">
        <f>IF(A53="","",$B$2)</f>
        <v/>
      </c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27" t="n"/>
      <c r="AJ53" s="27" t="n"/>
      <c r="AK53" s="27" t="n"/>
      <c r="AL53" s="27" t="n"/>
      <c r="AM53" s="27" t="n"/>
      <c r="AN53" s="27" t="n"/>
      <c r="AO53" s="27" t="n"/>
      <c r="AP53" s="27" t="n"/>
      <c r="AQ53" s="27" t="n"/>
      <c r="AR53" s="27" t="n"/>
      <c r="AS53" s="27" t="n"/>
      <c r="AT53" s="27" t="n"/>
      <c r="AU53" s="27" t="n"/>
      <c r="AV53" s="27" t="n"/>
      <c r="AW53" s="27" t="n"/>
      <c r="AX53" s="27" t="n"/>
      <c r="AY53" s="27" t="n"/>
      <c r="AZ53" s="27" t="n"/>
      <c r="BA53" s="27" t="n"/>
      <c r="BB53" s="27" t="n"/>
      <c r="BC53" s="27" t="n"/>
      <c r="BD53" s="27" t="n"/>
      <c r="BE53" s="27" t="n"/>
      <c r="BF53" s="27" t="n"/>
      <c r="BG53" s="27" t="n"/>
      <c r="BH53" s="27" t="n"/>
      <c r="BI53" s="29" t="n"/>
      <c r="BJ53" s="27" t="n"/>
      <c r="BK53" s="27" t="n"/>
      <c r="BL53" s="27" t="n"/>
      <c r="BM53" s="27" t="n"/>
      <c r="DN53" s="26">
        <f>IF('テスト条件'!A52="","",'テスト条件'!A52)</f>
        <v/>
      </c>
    </row>
    <row r="54">
      <c r="A54" s="27" t="n"/>
      <c r="B54" s="27" t="n"/>
      <c r="C54" s="28">
        <f>IF(A54="","",$B$2)</f>
        <v/>
      </c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27" t="n"/>
      <c r="AJ54" s="27" t="n"/>
      <c r="AK54" s="27" t="n"/>
      <c r="AL54" s="27" t="n"/>
      <c r="AM54" s="27" t="n"/>
      <c r="AN54" s="27" t="n"/>
      <c r="AO54" s="27" t="n"/>
      <c r="AP54" s="27" t="n"/>
      <c r="AQ54" s="27" t="n"/>
      <c r="AR54" s="27" t="n"/>
      <c r="AS54" s="27" t="n"/>
      <c r="AT54" s="27" t="n"/>
      <c r="AU54" s="27" t="n"/>
      <c r="AV54" s="27" t="n"/>
      <c r="AW54" s="27" t="n"/>
      <c r="AX54" s="27" t="n"/>
      <c r="AY54" s="27" t="n"/>
      <c r="AZ54" s="27" t="n"/>
      <c r="BA54" s="27" t="n"/>
      <c r="BB54" s="27" t="n"/>
      <c r="BC54" s="27" t="n"/>
      <c r="BD54" s="27" t="n"/>
      <c r="BE54" s="27" t="n"/>
      <c r="BF54" s="27" t="n"/>
      <c r="BG54" s="27" t="n"/>
      <c r="BH54" s="27" t="n"/>
      <c r="BI54" s="29" t="n"/>
      <c r="BJ54" s="27" t="n"/>
      <c r="BK54" s="27" t="n"/>
      <c r="BL54" s="27" t="n"/>
      <c r="BM54" s="27" t="n"/>
      <c r="DN54" s="26">
        <f>IF('テスト条件'!A53="","",'テスト条件'!A53)</f>
        <v/>
      </c>
    </row>
    <row r="55">
      <c r="A55" s="27" t="n"/>
      <c r="B55" s="27" t="n"/>
      <c r="C55" s="28">
        <f>IF(A55="","",$B$2)</f>
        <v/>
      </c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27" t="n"/>
      <c r="AJ55" s="27" t="n"/>
      <c r="AK55" s="27" t="n"/>
      <c r="AL55" s="27" t="n"/>
      <c r="AM55" s="27" t="n"/>
      <c r="AN55" s="27" t="n"/>
      <c r="AO55" s="27" t="n"/>
      <c r="AP55" s="27" t="n"/>
      <c r="AQ55" s="27" t="n"/>
      <c r="AR55" s="27" t="n"/>
      <c r="AS55" s="27" t="n"/>
      <c r="AT55" s="27" t="n"/>
      <c r="AU55" s="27" t="n"/>
      <c r="AV55" s="27" t="n"/>
      <c r="AW55" s="27" t="n"/>
      <c r="AX55" s="27" t="n"/>
      <c r="AY55" s="27" t="n"/>
      <c r="AZ55" s="27" t="n"/>
      <c r="BA55" s="27" t="n"/>
      <c r="BB55" s="27" t="n"/>
      <c r="BC55" s="27" t="n"/>
      <c r="BD55" s="27" t="n"/>
      <c r="BE55" s="27" t="n"/>
      <c r="BF55" s="27" t="n"/>
      <c r="BG55" s="27" t="n"/>
      <c r="BH55" s="27" t="n"/>
      <c r="BI55" s="29" t="n"/>
      <c r="BJ55" s="27" t="n"/>
      <c r="BK55" s="27" t="n"/>
      <c r="BL55" s="27" t="n"/>
      <c r="BM55" s="27" t="n"/>
      <c r="DN55" s="26">
        <f>IF('テスト条件'!A54="","",'テスト条件'!A54)</f>
        <v/>
      </c>
    </row>
    <row r="56">
      <c r="A56" s="27" t="n"/>
      <c r="B56" s="27" t="n"/>
      <c r="C56" s="28">
        <f>IF(A56="","",$B$2)</f>
        <v/>
      </c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  <c r="AJ56" s="27" t="n"/>
      <c r="AK56" s="27" t="n"/>
      <c r="AL56" s="27" t="n"/>
      <c r="AM56" s="27" t="n"/>
      <c r="AN56" s="27" t="n"/>
      <c r="AO56" s="27" t="n"/>
      <c r="AP56" s="27" t="n"/>
      <c r="AQ56" s="27" t="n"/>
      <c r="AR56" s="27" t="n"/>
      <c r="AS56" s="27" t="n"/>
      <c r="AT56" s="27" t="n"/>
      <c r="AU56" s="27" t="n"/>
      <c r="AV56" s="27" t="n"/>
      <c r="AW56" s="27" t="n"/>
      <c r="AX56" s="27" t="n"/>
      <c r="AY56" s="27" t="n"/>
      <c r="AZ56" s="27" t="n"/>
      <c r="BA56" s="27" t="n"/>
      <c r="BB56" s="27" t="n"/>
      <c r="BC56" s="27" t="n"/>
      <c r="BD56" s="27" t="n"/>
      <c r="BE56" s="27" t="n"/>
      <c r="BF56" s="27" t="n"/>
      <c r="BG56" s="27" t="n"/>
      <c r="BH56" s="27" t="n"/>
      <c r="BI56" s="29" t="n"/>
      <c r="BJ56" s="27" t="n"/>
      <c r="BK56" s="27" t="n"/>
      <c r="BL56" s="27" t="n"/>
      <c r="BM56" s="27" t="n"/>
      <c r="DN56" s="26">
        <f>IF('テスト条件'!A55="","",'テスト条件'!A55)</f>
        <v/>
      </c>
    </row>
    <row r="57">
      <c r="A57" s="27" t="n"/>
      <c r="B57" s="27" t="n"/>
      <c r="C57" s="28">
        <f>IF(A57="","",$B$2)</f>
        <v/>
      </c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  <c r="AA57" s="27" t="n"/>
      <c r="AB57" s="27" t="n"/>
      <c r="AC57" s="27" t="n"/>
      <c r="AD57" s="27" t="n"/>
      <c r="AE57" s="27" t="n"/>
      <c r="AF57" s="27" t="n"/>
      <c r="AG57" s="27" t="n"/>
      <c r="AH57" s="27" t="n"/>
      <c r="AI57" s="27" t="n"/>
      <c r="AJ57" s="27" t="n"/>
      <c r="AK57" s="27" t="n"/>
      <c r="AL57" s="27" t="n"/>
      <c r="AM57" s="27" t="n"/>
      <c r="AN57" s="27" t="n"/>
      <c r="AO57" s="27" t="n"/>
      <c r="AP57" s="27" t="n"/>
      <c r="AQ57" s="27" t="n"/>
      <c r="AR57" s="27" t="n"/>
      <c r="AS57" s="27" t="n"/>
      <c r="AT57" s="27" t="n"/>
      <c r="AU57" s="27" t="n"/>
      <c r="AV57" s="27" t="n"/>
      <c r="AW57" s="27" t="n"/>
      <c r="AX57" s="27" t="n"/>
      <c r="AY57" s="27" t="n"/>
      <c r="AZ57" s="27" t="n"/>
      <c r="BA57" s="27" t="n"/>
      <c r="BB57" s="27" t="n"/>
      <c r="BC57" s="27" t="n"/>
      <c r="BD57" s="27" t="n"/>
      <c r="BE57" s="27" t="n"/>
      <c r="BF57" s="27" t="n"/>
      <c r="BG57" s="27" t="n"/>
      <c r="BH57" s="27" t="n"/>
      <c r="BI57" s="29" t="n"/>
      <c r="BJ57" s="27" t="n"/>
      <c r="BK57" s="27" t="n"/>
      <c r="BL57" s="27" t="n"/>
      <c r="BM57" s="27" t="n"/>
      <c r="DN57" s="26">
        <f>IF('テスト条件'!A56="","",'テスト条件'!A56)</f>
        <v/>
      </c>
    </row>
    <row r="58">
      <c r="A58" s="27" t="n"/>
      <c r="B58" s="27" t="n"/>
      <c r="C58" s="28">
        <f>IF(A58="","",$B$2)</f>
        <v/>
      </c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27" t="n"/>
      <c r="AJ58" s="27" t="n"/>
      <c r="AK58" s="27" t="n"/>
      <c r="AL58" s="27" t="n"/>
      <c r="AM58" s="27" t="n"/>
      <c r="AN58" s="27" t="n"/>
      <c r="AO58" s="27" t="n"/>
      <c r="AP58" s="27" t="n"/>
      <c r="AQ58" s="27" t="n"/>
      <c r="AR58" s="27" t="n"/>
      <c r="AS58" s="27" t="n"/>
      <c r="AT58" s="27" t="n"/>
      <c r="AU58" s="27" t="n"/>
      <c r="AV58" s="27" t="n"/>
      <c r="AW58" s="27" t="n"/>
      <c r="AX58" s="27" t="n"/>
      <c r="AY58" s="27" t="n"/>
      <c r="AZ58" s="27" t="n"/>
      <c r="BA58" s="27" t="n"/>
      <c r="BB58" s="27" t="n"/>
      <c r="BC58" s="27" t="n"/>
      <c r="BD58" s="27" t="n"/>
      <c r="BE58" s="27" t="n"/>
      <c r="BF58" s="27" t="n"/>
      <c r="BG58" s="27" t="n"/>
      <c r="BH58" s="27" t="n"/>
      <c r="BI58" s="29" t="n"/>
      <c r="BJ58" s="27" t="n"/>
      <c r="BK58" s="27" t="n"/>
      <c r="BL58" s="27" t="n"/>
      <c r="BM58" s="27" t="n"/>
      <c r="DN58" s="26">
        <f>IF('テスト条件'!A57="","",'テスト条件'!A57)</f>
        <v/>
      </c>
    </row>
    <row r="59">
      <c r="A59" s="27" t="n"/>
      <c r="B59" s="27" t="n"/>
      <c r="C59" s="28">
        <f>IF(A59="","",$B$2)</f>
        <v/>
      </c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27" t="n"/>
      <c r="AJ59" s="27" t="n"/>
      <c r="AK59" s="27" t="n"/>
      <c r="AL59" s="27" t="n"/>
      <c r="AM59" s="27" t="n"/>
      <c r="AN59" s="27" t="n"/>
      <c r="AO59" s="27" t="n"/>
      <c r="AP59" s="27" t="n"/>
      <c r="AQ59" s="27" t="n"/>
      <c r="AR59" s="27" t="n"/>
      <c r="AS59" s="27" t="n"/>
      <c r="AT59" s="27" t="n"/>
      <c r="AU59" s="27" t="n"/>
      <c r="AV59" s="27" t="n"/>
      <c r="AW59" s="27" t="n"/>
      <c r="AX59" s="27" t="n"/>
      <c r="AY59" s="27" t="n"/>
      <c r="AZ59" s="27" t="n"/>
      <c r="BA59" s="27" t="n"/>
      <c r="BB59" s="27" t="n"/>
      <c r="BC59" s="27" t="n"/>
      <c r="BD59" s="27" t="n"/>
      <c r="BE59" s="27" t="n"/>
      <c r="BF59" s="27" t="n"/>
      <c r="BG59" s="27" t="n"/>
      <c r="BH59" s="27" t="n"/>
      <c r="BI59" s="29" t="n"/>
      <c r="BJ59" s="27" t="n"/>
      <c r="BK59" s="27" t="n"/>
      <c r="BL59" s="27" t="n"/>
      <c r="BM59" s="27" t="n"/>
      <c r="DN59" s="26">
        <f>IF('テスト条件'!A58="","",'テスト条件'!A58)</f>
        <v/>
      </c>
    </row>
    <row r="60">
      <c r="A60" s="27" t="n"/>
      <c r="B60" s="27" t="n"/>
      <c r="C60" s="28">
        <f>IF(A60="","",$B$2)</f>
        <v/>
      </c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27" t="n"/>
      <c r="AJ60" s="27" t="n"/>
      <c r="AK60" s="27" t="n"/>
      <c r="AL60" s="27" t="n"/>
      <c r="AM60" s="27" t="n"/>
      <c r="AN60" s="27" t="n"/>
      <c r="AO60" s="27" t="n"/>
      <c r="AP60" s="27" t="n"/>
      <c r="AQ60" s="27" t="n"/>
      <c r="AR60" s="27" t="n"/>
      <c r="AS60" s="27" t="n"/>
      <c r="AT60" s="27" t="n"/>
      <c r="AU60" s="27" t="n"/>
      <c r="AV60" s="27" t="n"/>
      <c r="AW60" s="27" t="n"/>
      <c r="AX60" s="27" t="n"/>
      <c r="AY60" s="27" t="n"/>
      <c r="AZ60" s="27" t="n"/>
      <c r="BA60" s="27" t="n"/>
      <c r="BB60" s="27" t="n"/>
      <c r="BC60" s="27" t="n"/>
      <c r="BD60" s="27" t="n"/>
      <c r="BE60" s="27" t="n"/>
      <c r="BF60" s="27" t="n"/>
      <c r="BG60" s="27" t="n"/>
      <c r="BH60" s="27" t="n"/>
      <c r="BI60" s="29" t="n"/>
      <c r="BJ60" s="27" t="n"/>
      <c r="BK60" s="27" t="n"/>
      <c r="BL60" s="27" t="n"/>
      <c r="BM60" s="27" t="n"/>
      <c r="DN60" s="26">
        <f>IF('テスト条件'!A59="","",'テスト条件'!A59)</f>
        <v/>
      </c>
    </row>
    <row r="61">
      <c r="A61" s="27" t="n"/>
      <c r="B61" s="27" t="n"/>
      <c r="C61" s="28">
        <f>IF(A61="","",$B$2)</f>
        <v/>
      </c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27" t="n"/>
      <c r="AJ61" s="27" t="n"/>
      <c r="AK61" s="27" t="n"/>
      <c r="AL61" s="27" t="n"/>
      <c r="AM61" s="27" t="n"/>
      <c r="AN61" s="27" t="n"/>
      <c r="AO61" s="27" t="n"/>
      <c r="AP61" s="27" t="n"/>
      <c r="AQ61" s="27" t="n"/>
      <c r="AR61" s="27" t="n"/>
      <c r="AS61" s="27" t="n"/>
      <c r="AT61" s="27" t="n"/>
      <c r="AU61" s="27" t="n"/>
      <c r="AV61" s="27" t="n"/>
      <c r="AW61" s="27" t="n"/>
      <c r="AX61" s="27" t="n"/>
      <c r="AY61" s="27" t="n"/>
      <c r="AZ61" s="27" t="n"/>
      <c r="BA61" s="27" t="n"/>
      <c r="BB61" s="27" t="n"/>
      <c r="BC61" s="27" t="n"/>
      <c r="BD61" s="27" t="n"/>
      <c r="BE61" s="27" t="n"/>
      <c r="BF61" s="27" t="n"/>
      <c r="BG61" s="27" t="n"/>
      <c r="BH61" s="27" t="n"/>
      <c r="BI61" s="29" t="n"/>
      <c r="BJ61" s="27" t="n"/>
      <c r="BK61" s="27" t="n"/>
      <c r="BL61" s="27" t="n"/>
      <c r="BM61" s="27" t="n"/>
      <c r="DN61" s="26">
        <f>IF('テスト条件'!A60="","",'テスト条件'!A60)</f>
        <v/>
      </c>
    </row>
    <row r="62">
      <c r="A62" s="27" t="n"/>
      <c r="B62" s="27" t="n"/>
      <c r="C62" s="28">
        <f>IF(A62="","",$B$2)</f>
        <v/>
      </c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27" t="n"/>
      <c r="AJ62" s="27" t="n"/>
      <c r="AK62" s="27" t="n"/>
      <c r="AL62" s="27" t="n"/>
      <c r="AM62" s="27" t="n"/>
      <c r="AN62" s="27" t="n"/>
      <c r="AO62" s="27" t="n"/>
      <c r="AP62" s="27" t="n"/>
      <c r="AQ62" s="27" t="n"/>
      <c r="AR62" s="27" t="n"/>
      <c r="AS62" s="27" t="n"/>
      <c r="AT62" s="27" t="n"/>
      <c r="AU62" s="27" t="n"/>
      <c r="AV62" s="27" t="n"/>
      <c r="AW62" s="27" t="n"/>
      <c r="AX62" s="27" t="n"/>
      <c r="AY62" s="27" t="n"/>
      <c r="AZ62" s="27" t="n"/>
      <c r="BA62" s="27" t="n"/>
      <c r="BB62" s="27" t="n"/>
      <c r="BC62" s="27" t="n"/>
      <c r="BD62" s="27" t="n"/>
      <c r="BE62" s="27" t="n"/>
      <c r="BF62" s="27" t="n"/>
      <c r="BG62" s="27" t="n"/>
      <c r="BH62" s="27" t="n"/>
      <c r="BI62" s="29" t="n"/>
      <c r="BJ62" s="27" t="n"/>
      <c r="BK62" s="27" t="n"/>
      <c r="BL62" s="27" t="n"/>
      <c r="BM62" s="27" t="n"/>
      <c r="DN62" s="26">
        <f>IF('テスト条件'!A61="","",'テスト条件'!A61)</f>
        <v/>
      </c>
    </row>
    <row r="63">
      <c r="A63" s="27" t="n"/>
      <c r="B63" s="27" t="n"/>
      <c r="C63" s="28">
        <f>IF(A63="","",$B$2)</f>
        <v/>
      </c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  <c r="AA63" s="27" t="n"/>
      <c r="AB63" s="27" t="n"/>
      <c r="AC63" s="27" t="n"/>
      <c r="AD63" s="27" t="n"/>
      <c r="AE63" s="27" t="n"/>
      <c r="AF63" s="27" t="n"/>
      <c r="AG63" s="27" t="n"/>
      <c r="AH63" s="27" t="n"/>
      <c r="AI63" s="27" t="n"/>
      <c r="AJ63" s="27" t="n"/>
      <c r="AK63" s="27" t="n"/>
      <c r="AL63" s="27" t="n"/>
      <c r="AM63" s="27" t="n"/>
      <c r="AN63" s="27" t="n"/>
      <c r="AO63" s="27" t="n"/>
      <c r="AP63" s="27" t="n"/>
      <c r="AQ63" s="27" t="n"/>
      <c r="AR63" s="27" t="n"/>
      <c r="AS63" s="27" t="n"/>
      <c r="AT63" s="27" t="n"/>
      <c r="AU63" s="27" t="n"/>
      <c r="AV63" s="27" t="n"/>
      <c r="AW63" s="27" t="n"/>
      <c r="AX63" s="27" t="n"/>
      <c r="AY63" s="27" t="n"/>
      <c r="AZ63" s="27" t="n"/>
      <c r="BA63" s="27" t="n"/>
      <c r="BB63" s="27" t="n"/>
      <c r="BC63" s="27" t="n"/>
      <c r="BD63" s="27" t="n"/>
      <c r="BE63" s="27" t="n"/>
      <c r="BF63" s="27" t="n"/>
      <c r="BG63" s="27" t="n"/>
      <c r="BH63" s="27" t="n"/>
      <c r="BI63" s="29" t="n"/>
      <c r="BJ63" s="27" t="n"/>
      <c r="BK63" s="27" t="n"/>
      <c r="BL63" s="27" t="n"/>
      <c r="BM63" s="27" t="n"/>
      <c r="DN63" s="26">
        <f>IF('テスト条件'!A62="","",'テスト条件'!A62)</f>
        <v/>
      </c>
    </row>
    <row r="64">
      <c r="A64" s="27" t="n"/>
      <c r="B64" s="27" t="n"/>
      <c r="C64" s="28">
        <f>IF(A64="","",$B$2)</f>
        <v/>
      </c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27" t="n"/>
      <c r="AJ64" s="27" t="n"/>
      <c r="AK64" s="27" t="n"/>
      <c r="AL64" s="27" t="n"/>
      <c r="AM64" s="27" t="n"/>
      <c r="AN64" s="27" t="n"/>
      <c r="AO64" s="27" t="n"/>
      <c r="AP64" s="27" t="n"/>
      <c r="AQ64" s="27" t="n"/>
      <c r="AR64" s="27" t="n"/>
      <c r="AS64" s="27" t="n"/>
      <c r="AT64" s="27" t="n"/>
      <c r="AU64" s="27" t="n"/>
      <c r="AV64" s="27" t="n"/>
      <c r="AW64" s="27" t="n"/>
      <c r="AX64" s="27" t="n"/>
      <c r="AY64" s="27" t="n"/>
      <c r="AZ64" s="27" t="n"/>
      <c r="BA64" s="27" t="n"/>
      <c r="BB64" s="27" t="n"/>
      <c r="BC64" s="27" t="n"/>
      <c r="BD64" s="27" t="n"/>
      <c r="BE64" s="27" t="n"/>
      <c r="BF64" s="27" t="n"/>
      <c r="BG64" s="27" t="n"/>
      <c r="BH64" s="27" t="n"/>
      <c r="BI64" s="29" t="n"/>
      <c r="BJ64" s="27" t="n"/>
      <c r="BK64" s="27" t="n"/>
      <c r="BL64" s="27" t="n"/>
      <c r="BM64" s="27" t="n"/>
      <c r="DN64" s="26">
        <f>IF('テスト条件'!A63="","",'テスト条件'!A63)</f>
        <v/>
      </c>
    </row>
    <row r="65">
      <c r="A65" s="27" t="n"/>
      <c r="B65" s="27" t="n"/>
      <c r="C65" s="28">
        <f>IF(A65="","",$B$2)</f>
        <v/>
      </c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27" t="n"/>
      <c r="AJ65" s="27" t="n"/>
      <c r="AK65" s="27" t="n"/>
      <c r="AL65" s="27" t="n"/>
      <c r="AM65" s="27" t="n"/>
      <c r="AN65" s="27" t="n"/>
      <c r="AO65" s="27" t="n"/>
      <c r="AP65" s="27" t="n"/>
      <c r="AQ65" s="27" t="n"/>
      <c r="AR65" s="27" t="n"/>
      <c r="AS65" s="27" t="n"/>
      <c r="AT65" s="27" t="n"/>
      <c r="AU65" s="27" t="n"/>
      <c r="AV65" s="27" t="n"/>
      <c r="AW65" s="27" t="n"/>
      <c r="AX65" s="27" t="n"/>
      <c r="AY65" s="27" t="n"/>
      <c r="AZ65" s="27" t="n"/>
      <c r="BA65" s="27" t="n"/>
      <c r="BB65" s="27" t="n"/>
      <c r="BC65" s="27" t="n"/>
      <c r="BD65" s="27" t="n"/>
      <c r="BE65" s="27" t="n"/>
      <c r="BF65" s="27" t="n"/>
      <c r="BG65" s="27" t="n"/>
      <c r="BH65" s="27" t="n"/>
      <c r="BI65" s="29" t="n"/>
      <c r="BJ65" s="27" t="n"/>
      <c r="BK65" s="27" t="n"/>
      <c r="BL65" s="27" t="n"/>
      <c r="BM65" s="27" t="n"/>
      <c r="DN65" s="26">
        <f>IF('テスト条件'!A64="","",'テスト条件'!A64)</f>
        <v/>
      </c>
    </row>
    <row r="66">
      <c r="A66" s="27" t="n"/>
      <c r="B66" s="27" t="n"/>
      <c r="C66" s="28">
        <f>IF(A66="","",$B$2)</f>
        <v/>
      </c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27" t="n"/>
      <c r="AJ66" s="27" t="n"/>
      <c r="AK66" s="27" t="n"/>
      <c r="AL66" s="27" t="n"/>
      <c r="AM66" s="27" t="n"/>
      <c r="AN66" s="27" t="n"/>
      <c r="AO66" s="27" t="n"/>
      <c r="AP66" s="27" t="n"/>
      <c r="AQ66" s="27" t="n"/>
      <c r="AR66" s="27" t="n"/>
      <c r="AS66" s="27" t="n"/>
      <c r="AT66" s="27" t="n"/>
      <c r="AU66" s="27" t="n"/>
      <c r="AV66" s="27" t="n"/>
      <c r="AW66" s="27" t="n"/>
      <c r="AX66" s="27" t="n"/>
      <c r="AY66" s="27" t="n"/>
      <c r="AZ66" s="27" t="n"/>
      <c r="BA66" s="27" t="n"/>
      <c r="BB66" s="27" t="n"/>
      <c r="BC66" s="27" t="n"/>
      <c r="BD66" s="27" t="n"/>
      <c r="BE66" s="27" t="n"/>
      <c r="BF66" s="27" t="n"/>
      <c r="BG66" s="27" t="n"/>
      <c r="BH66" s="27" t="n"/>
      <c r="BI66" s="29" t="n"/>
      <c r="BJ66" s="27" t="n"/>
      <c r="BK66" s="27" t="n"/>
      <c r="BL66" s="27" t="n"/>
      <c r="BM66" s="27" t="n"/>
      <c r="DN66" s="26">
        <f>IF('テスト条件'!A65="","",'テスト条件'!A65)</f>
        <v/>
      </c>
    </row>
    <row r="67">
      <c r="A67" s="27" t="n"/>
      <c r="B67" s="27" t="n"/>
      <c r="C67" s="28">
        <f>IF(A67="","",$B$2)</f>
        <v/>
      </c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  <c r="AA67" s="27" t="n"/>
      <c r="AB67" s="27" t="n"/>
      <c r="AC67" s="27" t="n"/>
      <c r="AD67" s="27" t="n"/>
      <c r="AE67" s="27" t="n"/>
      <c r="AF67" s="27" t="n"/>
      <c r="AG67" s="27" t="n"/>
      <c r="AH67" s="27" t="n"/>
      <c r="AI67" s="27" t="n"/>
      <c r="AJ67" s="27" t="n"/>
      <c r="AK67" s="27" t="n"/>
      <c r="AL67" s="27" t="n"/>
      <c r="AM67" s="27" t="n"/>
      <c r="AN67" s="27" t="n"/>
      <c r="AO67" s="27" t="n"/>
      <c r="AP67" s="27" t="n"/>
      <c r="AQ67" s="27" t="n"/>
      <c r="AR67" s="27" t="n"/>
      <c r="AS67" s="27" t="n"/>
      <c r="AT67" s="27" t="n"/>
      <c r="AU67" s="27" t="n"/>
      <c r="AV67" s="27" t="n"/>
      <c r="AW67" s="27" t="n"/>
      <c r="AX67" s="27" t="n"/>
      <c r="AY67" s="27" t="n"/>
      <c r="AZ67" s="27" t="n"/>
      <c r="BA67" s="27" t="n"/>
      <c r="BB67" s="27" t="n"/>
      <c r="BC67" s="27" t="n"/>
      <c r="BD67" s="27" t="n"/>
      <c r="BE67" s="27" t="n"/>
      <c r="BF67" s="27" t="n"/>
      <c r="BG67" s="27" t="n"/>
      <c r="BH67" s="27" t="n"/>
      <c r="BI67" s="29" t="n"/>
      <c r="BJ67" s="27" t="n"/>
      <c r="BK67" s="27" t="n"/>
      <c r="BL67" s="27" t="n"/>
      <c r="BM67" s="27" t="n"/>
      <c r="DN67" s="26">
        <f>IF('テスト条件'!A66="","",'テスト条件'!A66)</f>
        <v/>
      </c>
    </row>
    <row r="68">
      <c r="A68" s="27" t="n"/>
      <c r="B68" s="27" t="n"/>
      <c r="C68" s="28">
        <f>IF(A68="","",$B$2)</f>
        <v/>
      </c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  <c r="AA68" s="27" t="n"/>
      <c r="AB68" s="27" t="n"/>
      <c r="AC68" s="27" t="n"/>
      <c r="AD68" s="27" t="n"/>
      <c r="AE68" s="27" t="n"/>
      <c r="AF68" s="27" t="n"/>
      <c r="AG68" s="27" t="n"/>
      <c r="AH68" s="27" t="n"/>
      <c r="AI68" s="27" t="n"/>
      <c r="AJ68" s="27" t="n"/>
      <c r="AK68" s="27" t="n"/>
      <c r="AL68" s="27" t="n"/>
      <c r="AM68" s="27" t="n"/>
      <c r="AN68" s="27" t="n"/>
      <c r="AO68" s="27" t="n"/>
      <c r="AP68" s="27" t="n"/>
      <c r="AQ68" s="27" t="n"/>
      <c r="AR68" s="27" t="n"/>
      <c r="AS68" s="27" t="n"/>
      <c r="AT68" s="27" t="n"/>
      <c r="AU68" s="27" t="n"/>
      <c r="AV68" s="27" t="n"/>
      <c r="AW68" s="27" t="n"/>
      <c r="AX68" s="27" t="n"/>
      <c r="AY68" s="27" t="n"/>
      <c r="AZ68" s="27" t="n"/>
      <c r="BA68" s="27" t="n"/>
      <c r="BB68" s="27" t="n"/>
      <c r="BC68" s="27" t="n"/>
      <c r="BD68" s="27" t="n"/>
      <c r="BE68" s="27" t="n"/>
      <c r="BF68" s="27" t="n"/>
      <c r="BG68" s="27" t="n"/>
      <c r="BH68" s="27" t="n"/>
      <c r="BI68" s="29" t="n"/>
      <c r="BJ68" s="27" t="n"/>
      <c r="BK68" s="27" t="n"/>
      <c r="BL68" s="27" t="n"/>
      <c r="BM68" s="27" t="n"/>
      <c r="DN68" s="26">
        <f>IF('テスト条件'!A67="","",'テスト条件'!A67)</f>
        <v/>
      </c>
    </row>
    <row r="69">
      <c r="A69" s="27" t="n"/>
      <c r="B69" s="27" t="n"/>
      <c r="C69" s="28">
        <f>IF(A69="","",$B$2)</f>
        <v/>
      </c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  <c r="AA69" s="27" t="n"/>
      <c r="AB69" s="27" t="n"/>
      <c r="AC69" s="27" t="n"/>
      <c r="AD69" s="27" t="n"/>
      <c r="AE69" s="27" t="n"/>
      <c r="AF69" s="27" t="n"/>
      <c r="AG69" s="27" t="n"/>
      <c r="AH69" s="27" t="n"/>
      <c r="AI69" s="27" t="n"/>
      <c r="AJ69" s="27" t="n"/>
      <c r="AK69" s="27" t="n"/>
      <c r="AL69" s="27" t="n"/>
      <c r="AM69" s="27" t="n"/>
      <c r="AN69" s="27" t="n"/>
      <c r="AO69" s="27" t="n"/>
      <c r="AP69" s="27" t="n"/>
      <c r="AQ69" s="27" t="n"/>
      <c r="AR69" s="27" t="n"/>
      <c r="AS69" s="27" t="n"/>
      <c r="AT69" s="27" t="n"/>
      <c r="AU69" s="27" t="n"/>
      <c r="AV69" s="27" t="n"/>
      <c r="AW69" s="27" t="n"/>
      <c r="AX69" s="27" t="n"/>
      <c r="AY69" s="27" t="n"/>
      <c r="AZ69" s="27" t="n"/>
      <c r="BA69" s="27" t="n"/>
      <c r="BB69" s="27" t="n"/>
      <c r="BC69" s="27" t="n"/>
      <c r="BD69" s="27" t="n"/>
      <c r="BE69" s="27" t="n"/>
      <c r="BF69" s="27" t="n"/>
      <c r="BG69" s="27" t="n"/>
      <c r="BH69" s="27" t="n"/>
      <c r="BI69" s="29" t="n"/>
      <c r="BJ69" s="27" t="n"/>
      <c r="BK69" s="27" t="n"/>
      <c r="BL69" s="27" t="n"/>
      <c r="BM69" s="27" t="n"/>
      <c r="DN69" s="26">
        <f>IF('テスト条件'!A68="","",'テスト条件'!A68)</f>
        <v/>
      </c>
    </row>
    <row r="70">
      <c r="A70" s="27" t="n"/>
      <c r="B70" s="27" t="n"/>
      <c r="C70" s="28">
        <f>IF(A70="","",$B$2)</f>
        <v/>
      </c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  <c r="AA70" s="27" t="n"/>
      <c r="AB70" s="27" t="n"/>
      <c r="AC70" s="27" t="n"/>
      <c r="AD70" s="27" t="n"/>
      <c r="AE70" s="27" t="n"/>
      <c r="AF70" s="27" t="n"/>
      <c r="AG70" s="27" t="n"/>
      <c r="AH70" s="27" t="n"/>
      <c r="AI70" s="27" t="n"/>
      <c r="AJ70" s="27" t="n"/>
      <c r="AK70" s="27" t="n"/>
      <c r="AL70" s="27" t="n"/>
      <c r="AM70" s="27" t="n"/>
      <c r="AN70" s="27" t="n"/>
      <c r="AO70" s="27" t="n"/>
      <c r="AP70" s="27" t="n"/>
      <c r="AQ70" s="27" t="n"/>
      <c r="AR70" s="27" t="n"/>
      <c r="AS70" s="27" t="n"/>
      <c r="AT70" s="27" t="n"/>
      <c r="AU70" s="27" t="n"/>
      <c r="AV70" s="27" t="n"/>
      <c r="AW70" s="27" t="n"/>
      <c r="AX70" s="27" t="n"/>
      <c r="AY70" s="27" t="n"/>
      <c r="AZ70" s="27" t="n"/>
      <c r="BA70" s="27" t="n"/>
      <c r="BB70" s="27" t="n"/>
      <c r="BC70" s="27" t="n"/>
      <c r="BD70" s="27" t="n"/>
      <c r="BE70" s="27" t="n"/>
      <c r="BF70" s="27" t="n"/>
      <c r="BG70" s="27" t="n"/>
      <c r="BH70" s="27" t="n"/>
      <c r="BI70" s="29" t="n"/>
      <c r="BJ70" s="27" t="n"/>
      <c r="BK70" s="27" t="n"/>
      <c r="BL70" s="27" t="n"/>
      <c r="BM70" s="27" t="n"/>
      <c r="DN70" s="26">
        <f>IF('テスト条件'!A69="","",'テスト条件'!A69)</f>
        <v/>
      </c>
    </row>
    <row r="71">
      <c r="A71" s="27" t="n"/>
      <c r="B71" s="27" t="n"/>
      <c r="C71" s="28">
        <f>IF(A71="","",$B$2)</f>
        <v/>
      </c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  <c r="AA71" s="27" t="n"/>
      <c r="AB71" s="27" t="n"/>
      <c r="AC71" s="27" t="n"/>
      <c r="AD71" s="27" t="n"/>
      <c r="AE71" s="27" t="n"/>
      <c r="AF71" s="27" t="n"/>
      <c r="AG71" s="27" t="n"/>
      <c r="AH71" s="27" t="n"/>
      <c r="AI71" s="27" t="n"/>
      <c r="AJ71" s="27" t="n"/>
      <c r="AK71" s="27" t="n"/>
      <c r="AL71" s="27" t="n"/>
      <c r="AM71" s="27" t="n"/>
      <c r="AN71" s="27" t="n"/>
      <c r="AO71" s="27" t="n"/>
      <c r="AP71" s="27" t="n"/>
      <c r="AQ71" s="27" t="n"/>
      <c r="AR71" s="27" t="n"/>
      <c r="AS71" s="27" t="n"/>
      <c r="AT71" s="27" t="n"/>
      <c r="AU71" s="27" t="n"/>
      <c r="AV71" s="27" t="n"/>
      <c r="AW71" s="27" t="n"/>
      <c r="AX71" s="27" t="n"/>
      <c r="AY71" s="27" t="n"/>
      <c r="AZ71" s="27" t="n"/>
      <c r="BA71" s="27" t="n"/>
      <c r="BB71" s="27" t="n"/>
      <c r="BC71" s="27" t="n"/>
      <c r="BD71" s="27" t="n"/>
      <c r="BE71" s="27" t="n"/>
      <c r="BF71" s="27" t="n"/>
      <c r="BG71" s="27" t="n"/>
      <c r="BH71" s="27" t="n"/>
      <c r="BI71" s="29" t="n"/>
      <c r="BJ71" s="27" t="n"/>
      <c r="BK71" s="27" t="n"/>
      <c r="BL71" s="27" t="n"/>
      <c r="BM71" s="27" t="n"/>
      <c r="DN71" s="26">
        <f>IF('テスト条件'!A70="","",'テスト条件'!A70)</f>
        <v/>
      </c>
    </row>
    <row r="72">
      <c r="A72" s="27" t="n"/>
      <c r="B72" s="27" t="n"/>
      <c r="C72" s="28">
        <f>IF(A72="","",$B$2)</f>
        <v/>
      </c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  <c r="AA72" s="27" t="n"/>
      <c r="AB72" s="27" t="n"/>
      <c r="AC72" s="27" t="n"/>
      <c r="AD72" s="27" t="n"/>
      <c r="AE72" s="27" t="n"/>
      <c r="AF72" s="27" t="n"/>
      <c r="AG72" s="27" t="n"/>
      <c r="AH72" s="27" t="n"/>
      <c r="AI72" s="27" t="n"/>
      <c r="AJ72" s="27" t="n"/>
      <c r="AK72" s="27" t="n"/>
      <c r="AL72" s="27" t="n"/>
      <c r="AM72" s="27" t="n"/>
      <c r="AN72" s="27" t="n"/>
      <c r="AO72" s="27" t="n"/>
      <c r="AP72" s="27" t="n"/>
      <c r="AQ72" s="27" t="n"/>
      <c r="AR72" s="27" t="n"/>
      <c r="AS72" s="27" t="n"/>
      <c r="AT72" s="27" t="n"/>
      <c r="AU72" s="27" t="n"/>
      <c r="AV72" s="27" t="n"/>
      <c r="AW72" s="27" t="n"/>
      <c r="AX72" s="27" t="n"/>
      <c r="AY72" s="27" t="n"/>
      <c r="AZ72" s="27" t="n"/>
      <c r="BA72" s="27" t="n"/>
      <c r="BB72" s="27" t="n"/>
      <c r="BC72" s="27" t="n"/>
      <c r="BD72" s="27" t="n"/>
      <c r="BE72" s="27" t="n"/>
      <c r="BF72" s="27" t="n"/>
      <c r="BG72" s="27" t="n"/>
      <c r="BH72" s="27" t="n"/>
      <c r="BI72" s="29" t="n"/>
      <c r="BJ72" s="27" t="n"/>
      <c r="BK72" s="27" t="n"/>
      <c r="BL72" s="27" t="n"/>
      <c r="BM72" s="27" t="n"/>
      <c r="DN72" s="26">
        <f>IF('テスト条件'!A71="","",'テスト条件'!A71)</f>
        <v/>
      </c>
    </row>
    <row r="73">
      <c r="A73" s="27" t="n"/>
      <c r="B73" s="27" t="n"/>
      <c r="C73" s="28">
        <f>IF(A73="","",$B$2)</f>
        <v/>
      </c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  <c r="AA73" s="27" t="n"/>
      <c r="AB73" s="27" t="n"/>
      <c r="AC73" s="27" t="n"/>
      <c r="AD73" s="27" t="n"/>
      <c r="AE73" s="27" t="n"/>
      <c r="AF73" s="27" t="n"/>
      <c r="AG73" s="27" t="n"/>
      <c r="AH73" s="27" t="n"/>
      <c r="AI73" s="27" t="n"/>
      <c r="AJ73" s="27" t="n"/>
      <c r="AK73" s="27" t="n"/>
      <c r="AL73" s="27" t="n"/>
      <c r="AM73" s="27" t="n"/>
      <c r="AN73" s="27" t="n"/>
      <c r="AO73" s="27" t="n"/>
      <c r="AP73" s="27" t="n"/>
      <c r="AQ73" s="27" t="n"/>
      <c r="AR73" s="27" t="n"/>
      <c r="AS73" s="27" t="n"/>
      <c r="AT73" s="27" t="n"/>
      <c r="AU73" s="27" t="n"/>
      <c r="AV73" s="27" t="n"/>
      <c r="AW73" s="27" t="n"/>
      <c r="AX73" s="27" t="n"/>
      <c r="AY73" s="27" t="n"/>
      <c r="AZ73" s="27" t="n"/>
      <c r="BA73" s="27" t="n"/>
      <c r="BB73" s="27" t="n"/>
      <c r="BC73" s="27" t="n"/>
      <c r="BD73" s="27" t="n"/>
      <c r="BE73" s="27" t="n"/>
      <c r="BF73" s="27" t="n"/>
      <c r="BG73" s="27" t="n"/>
      <c r="BH73" s="27" t="n"/>
      <c r="BI73" s="29" t="n"/>
      <c r="BJ73" s="27" t="n"/>
      <c r="BK73" s="27" t="n"/>
      <c r="BL73" s="27" t="n"/>
      <c r="BM73" s="27" t="n"/>
      <c r="DN73" s="26">
        <f>IF('テスト条件'!A72="","",'テスト条件'!A72)</f>
        <v/>
      </c>
    </row>
    <row r="74">
      <c r="A74" s="27" t="n"/>
      <c r="B74" s="27" t="n"/>
      <c r="C74" s="28">
        <f>IF(A74="","",$B$2)</f>
        <v/>
      </c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  <c r="AA74" s="27" t="n"/>
      <c r="AB74" s="27" t="n"/>
      <c r="AC74" s="27" t="n"/>
      <c r="AD74" s="27" t="n"/>
      <c r="AE74" s="27" t="n"/>
      <c r="AF74" s="27" t="n"/>
      <c r="AG74" s="27" t="n"/>
      <c r="AH74" s="27" t="n"/>
      <c r="AI74" s="27" t="n"/>
      <c r="AJ74" s="27" t="n"/>
      <c r="AK74" s="27" t="n"/>
      <c r="AL74" s="27" t="n"/>
      <c r="AM74" s="27" t="n"/>
      <c r="AN74" s="27" t="n"/>
      <c r="AO74" s="27" t="n"/>
      <c r="AP74" s="27" t="n"/>
      <c r="AQ74" s="27" t="n"/>
      <c r="AR74" s="27" t="n"/>
      <c r="AS74" s="27" t="n"/>
      <c r="AT74" s="27" t="n"/>
      <c r="AU74" s="27" t="n"/>
      <c r="AV74" s="27" t="n"/>
      <c r="AW74" s="27" t="n"/>
      <c r="AX74" s="27" t="n"/>
      <c r="AY74" s="27" t="n"/>
      <c r="AZ74" s="27" t="n"/>
      <c r="BA74" s="27" t="n"/>
      <c r="BB74" s="27" t="n"/>
      <c r="BC74" s="27" t="n"/>
      <c r="BD74" s="27" t="n"/>
      <c r="BE74" s="27" t="n"/>
      <c r="BF74" s="27" t="n"/>
      <c r="BG74" s="27" t="n"/>
      <c r="BH74" s="27" t="n"/>
      <c r="BI74" s="29" t="n"/>
      <c r="BJ74" s="27" t="n"/>
      <c r="BK74" s="27" t="n"/>
      <c r="BL74" s="27" t="n"/>
      <c r="BM74" s="27" t="n"/>
      <c r="DN74" s="26">
        <f>IF('テスト条件'!A73="","",'テスト条件'!A73)</f>
        <v/>
      </c>
    </row>
    <row r="75">
      <c r="A75" s="27" t="n"/>
      <c r="B75" s="27" t="n"/>
      <c r="C75" s="28">
        <f>IF(A75="","",$B$2)</f>
        <v/>
      </c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  <c r="AA75" s="27" t="n"/>
      <c r="AB75" s="27" t="n"/>
      <c r="AC75" s="27" t="n"/>
      <c r="AD75" s="27" t="n"/>
      <c r="AE75" s="27" t="n"/>
      <c r="AF75" s="27" t="n"/>
      <c r="AG75" s="27" t="n"/>
      <c r="AH75" s="27" t="n"/>
      <c r="AI75" s="27" t="n"/>
      <c r="AJ75" s="27" t="n"/>
      <c r="AK75" s="27" t="n"/>
      <c r="AL75" s="27" t="n"/>
      <c r="AM75" s="27" t="n"/>
      <c r="AN75" s="27" t="n"/>
      <c r="AO75" s="27" t="n"/>
      <c r="AP75" s="27" t="n"/>
      <c r="AQ75" s="27" t="n"/>
      <c r="AR75" s="27" t="n"/>
      <c r="AS75" s="27" t="n"/>
      <c r="AT75" s="27" t="n"/>
      <c r="AU75" s="27" t="n"/>
      <c r="AV75" s="27" t="n"/>
      <c r="AW75" s="27" t="n"/>
      <c r="AX75" s="27" t="n"/>
      <c r="AY75" s="27" t="n"/>
      <c r="AZ75" s="27" t="n"/>
      <c r="BA75" s="27" t="n"/>
      <c r="BB75" s="27" t="n"/>
      <c r="BC75" s="27" t="n"/>
      <c r="BD75" s="27" t="n"/>
      <c r="BE75" s="27" t="n"/>
      <c r="BF75" s="27" t="n"/>
      <c r="BG75" s="27" t="n"/>
      <c r="BH75" s="27" t="n"/>
      <c r="BI75" s="29" t="n"/>
      <c r="BJ75" s="27" t="n"/>
      <c r="BK75" s="27" t="n"/>
      <c r="BL75" s="27" t="n"/>
      <c r="BM75" s="27" t="n"/>
      <c r="DN75" s="26">
        <f>IF('テスト条件'!A74="","",'テスト条件'!A74)</f>
        <v/>
      </c>
    </row>
    <row r="76">
      <c r="A76" s="27" t="n"/>
      <c r="B76" s="27" t="n"/>
      <c r="C76" s="28">
        <f>IF(A76="","",$B$2)</f>
        <v/>
      </c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  <c r="AA76" s="27" t="n"/>
      <c r="AB76" s="27" t="n"/>
      <c r="AC76" s="27" t="n"/>
      <c r="AD76" s="27" t="n"/>
      <c r="AE76" s="27" t="n"/>
      <c r="AF76" s="27" t="n"/>
      <c r="AG76" s="27" t="n"/>
      <c r="AH76" s="27" t="n"/>
      <c r="AI76" s="27" t="n"/>
      <c r="AJ76" s="27" t="n"/>
      <c r="AK76" s="27" t="n"/>
      <c r="AL76" s="27" t="n"/>
      <c r="AM76" s="27" t="n"/>
      <c r="AN76" s="27" t="n"/>
      <c r="AO76" s="27" t="n"/>
      <c r="AP76" s="27" t="n"/>
      <c r="AQ76" s="27" t="n"/>
      <c r="AR76" s="27" t="n"/>
      <c r="AS76" s="27" t="n"/>
      <c r="AT76" s="27" t="n"/>
      <c r="AU76" s="27" t="n"/>
      <c r="AV76" s="27" t="n"/>
      <c r="AW76" s="27" t="n"/>
      <c r="AX76" s="27" t="n"/>
      <c r="AY76" s="27" t="n"/>
      <c r="AZ76" s="27" t="n"/>
      <c r="BA76" s="27" t="n"/>
      <c r="BB76" s="27" t="n"/>
      <c r="BC76" s="27" t="n"/>
      <c r="BD76" s="27" t="n"/>
      <c r="BE76" s="27" t="n"/>
      <c r="BF76" s="27" t="n"/>
      <c r="BG76" s="27" t="n"/>
      <c r="BH76" s="27" t="n"/>
      <c r="BI76" s="29" t="n"/>
      <c r="BJ76" s="27" t="n"/>
      <c r="BK76" s="27" t="n"/>
      <c r="BL76" s="27" t="n"/>
      <c r="BM76" s="27" t="n"/>
      <c r="DN76" s="26">
        <f>IF('テスト条件'!A75="","",'テスト条件'!A75)</f>
        <v/>
      </c>
    </row>
    <row r="77">
      <c r="A77" s="27" t="n"/>
      <c r="B77" s="27" t="n"/>
      <c r="C77" s="28">
        <f>IF(A77="","",$B$2)</f>
        <v/>
      </c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  <c r="AA77" s="27" t="n"/>
      <c r="AB77" s="27" t="n"/>
      <c r="AC77" s="27" t="n"/>
      <c r="AD77" s="27" t="n"/>
      <c r="AE77" s="27" t="n"/>
      <c r="AF77" s="27" t="n"/>
      <c r="AG77" s="27" t="n"/>
      <c r="AH77" s="27" t="n"/>
      <c r="AI77" s="27" t="n"/>
      <c r="AJ77" s="27" t="n"/>
      <c r="AK77" s="27" t="n"/>
      <c r="AL77" s="27" t="n"/>
      <c r="AM77" s="27" t="n"/>
      <c r="AN77" s="27" t="n"/>
      <c r="AO77" s="27" t="n"/>
      <c r="AP77" s="27" t="n"/>
      <c r="AQ77" s="27" t="n"/>
      <c r="AR77" s="27" t="n"/>
      <c r="AS77" s="27" t="n"/>
      <c r="AT77" s="27" t="n"/>
      <c r="AU77" s="27" t="n"/>
      <c r="AV77" s="27" t="n"/>
      <c r="AW77" s="27" t="n"/>
      <c r="AX77" s="27" t="n"/>
      <c r="AY77" s="27" t="n"/>
      <c r="AZ77" s="27" t="n"/>
      <c r="BA77" s="27" t="n"/>
      <c r="BB77" s="27" t="n"/>
      <c r="BC77" s="27" t="n"/>
      <c r="BD77" s="27" t="n"/>
      <c r="BE77" s="27" t="n"/>
      <c r="BF77" s="27" t="n"/>
      <c r="BG77" s="27" t="n"/>
      <c r="BH77" s="27" t="n"/>
      <c r="BI77" s="29" t="n"/>
      <c r="BJ77" s="27" t="n"/>
      <c r="BK77" s="27" t="n"/>
      <c r="BL77" s="27" t="n"/>
      <c r="BM77" s="27" t="n"/>
      <c r="DN77" s="26">
        <f>IF('テスト条件'!A76="","",'テスト条件'!A76)</f>
        <v/>
      </c>
    </row>
    <row r="78">
      <c r="A78" s="27" t="n"/>
      <c r="B78" s="27" t="n"/>
      <c r="C78" s="28">
        <f>IF(A78="","",$B$2)</f>
        <v/>
      </c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  <c r="AA78" s="27" t="n"/>
      <c r="AB78" s="27" t="n"/>
      <c r="AC78" s="27" t="n"/>
      <c r="AD78" s="27" t="n"/>
      <c r="AE78" s="27" t="n"/>
      <c r="AF78" s="27" t="n"/>
      <c r="AG78" s="27" t="n"/>
      <c r="AH78" s="27" t="n"/>
      <c r="AI78" s="27" t="n"/>
      <c r="AJ78" s="27" t="n"/>
      <c r="AK78" s="27" t="n"/>
      <c r="AL78" s="27" t="n"/>
      <c r="AM78" s="27" t="n"/>
      <c r="AN78" s="27" t="n"/>
      <c r="AO78" s="27" t="n"/>
      <c r="AP78" s="27" t="n"/>
      <c r="AQ78" s="27" t="n"/>
      <c r="AR78" s="27" t="n"/>
      <c r="AS78" s="27" t="n"/>
      <c r="AT78" s="27" t="n"/>
      <c r="AU78" s="27" t="n"/>
      <c r="AV78" s="27" t="n"/>
      <c r="AW78" s="27" t="n"/>
      <c r="AX78" s="27" t="n"/>
      <c r="AY78" s="27" t="n"/>
      <c r="AZ78" s="27" t="n"/>
      <c r="BA78" s="27" t="n"/>
      <c r="BB78" s="27" t="n"/>
      <c r="BC78" s="27" t="n"/>
      <c r="BD78" s="27" t="n"/>
      <c r="BE78" s="27" t="n"/>
      <c r="BF78" s="27" t="n"/>
      <c r="BG78" s="27" t="n"/>
      <c r="BH78" s="27" t="n"/>
      <c r="BI78" s="29" t="n"/>
      <c r="BJ78" s="27" t="n"/>
      <c r="BK78" s="27" t="n"/>
      <c r="BL78" s="27" t="n"/>
      <c r="BM78" s="27" t="n"/>
      <c r="DN78" s="26">
        <f>IF('テスト条件'!A77="","",'テスト条件'!A77)</f>
        <v/>
      </c>
    </row>
    <row r="79">
      <c r="A79" s="27" t="n"/>
      <c r="B79" s="27" t="n"/>
      <c r="C79" s="28">
        <f>IF(A79="","",$B$2)</f>
        <v/>
      </c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  <c r="AA79" s="27" t="n"/>
      <c r="AB79" s="27" t="n"/>
      <c r="AC79" s="27" t="n"/>
      <c r="AD79" s="27" t="n"/>
      <c r="AE79" s="27" t="n"/>
      <c r="AF79" s="27" t="n"/>
      <c r="AG79" s="27" t="n"/>
      <c r="AH79" s="27" t="n"/>
      <c r="AI79" s="27" t="n"/>
      <c r="AJ79" s="27" t="n"/>
      <c r="AK79" s="27" t="n"/>
      <c r="AL79" s="27" t="n"/>
      <c r="AM79" s="27" t="n"/>
      <c r="AN79" s="27" t="n"/>
      <c r="AO79" s="27" t="n"/>
      <c r="AP79" s="27" t="n"/>
      <c r="AQ79" s="27" t="n"/>
      <c r="AR79" s="27" t="n"/>
      <c r="AS79" s="27" t="n"/>
      <c r="AT79" s="27" t="n"/>
      <c r="AU79" s="27" t="n"/>
      <c r="AV79" s="27" t="n"/>
      <c r="AW79" s="27" t="n"/>
      <c r="AX79" s="27" t="n"/>
      <c r="AY79" s="27" t="n"/>
      <c r="AZ79" s="27" t="n"/>
      <c r="BA79" s="27" t="n"/>
      <c r="BB79" s="27" t="n"/>
      <c r="BC79" s="27" t="n"/>
      <c r="BD79" s="27" t="n"/>
      <c r="BE79" s="27" t="n"/>
      <c r="BF79" s="27" t="n"/>
      <c r="BG79" s="27" t="n"/>
      <c r="BH79" s="27" t="n"/>
      <c r="BI79" s="29" t="n"/>
      <c r="BJ79" s="27" t="n"/>
      <c r="BK79" s="27" t="n"/>
      <c r="BL79" s="27" t="n"/>
      <c r="BM79" s="27" t="n"/>
      <c r="DN79" s="26">
        <f>IF('テスト条件'!A78="","",'テスト条件'!A78)</f>
        <v/>
      </c>
    </row>
    <row r="80">
      <c r="A80" s="27" t="n"/>
      <c r="B80" s="27" t="n"/>
      <c r="C80" s="28">
        <f>IF(A80="","",$B$2)</f>
        <v/>
      </c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27" t="n"/>
      <c r="AJ80" s="27" t="n"/>
      <c r="AK80" s="27" t="n"/>
      <c r="AL80" s="27" t="n"/>
      <c r="AM80" s="27" t="n"/>
      <c r="AN80" s="27" t="n"/>
      <c r="AO80" s="27" t="n"/>
      <c r="AP80" s="27" t="n"/>
      <c r="AQ80" s="27" t="n"/>
      <c r="AR80" s="27" t="n"/>
      <c r="AS80" s="27" t="n"/>
      <c r="AT80" s="27" t="n"/>
      <c r="AU80" s="27" t="n"/>
      <c r="AV80" s="27" t="n"/>
      <c r="AW80" s="27" t="n"/>
      <c r="AX80" s="27" t="n"/>
      <c r="AY80" s="27" t="n"/>
      <c r="AZ80" s="27" t="n"/>
      <c r="BA80" s="27" t="n"/>
      <c r="BB80" s="27" t="n"/>
      <c r="BC80" s="27" t="n"/>
      <c r="BD80" s="27" t="n"/>
      <c r="BE80" s="27" t="n"/>
      <c r="BF80" s="27" t="n"/>
      <c r="BG80" s="27" t="n"/>
      <c r="BH80" s="27" t="n"/>
      <c r="BI80" s="29" t="n"/>
      <c r="BJ80" s="27" t="n"/>
      <c r="BK80" s="27" t="n"/>
      <c r="BL80" s="27" t="n"/>
      <c r="BM80" s="27" t="n"/>
      <c r="DN80" s="26">
        <f>IF('テスト条件'!A79="","",'テスト条件'!A79)</f>
        <v/>
      </c>
    </row>
    <row r="81">
      <c r="A81" s="27" t="n"/>
      <c r="B81" s="27" t="n"/>
      <c r="C81" s="28">
        <f>IF(A81="","",$B$2)</f>
        <v/>
      </c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  <c r="AA81" s="27" t="n"/>
      <c r="AB81" s="27" t="n"/>
      <c r="AC81" s="27" t="n"/>
      <c r="AD81" s="27" t="n"/>
      <c r="AE81" s="27" t="n"/>
      <c r="AF81" s="27" t="n"/>
      <c r="AG81" s="27" t="n"/>
      <c r="AH81" s="27" t="n"/>
      <c r="AI81" s="27" t="n"/>
      <c r="AJ81" s="27" t="n"/>
      <c r="AK81" s="27" t="n"/>
      <c r="AL81" s="27" t="n"/>
      <c r="AM81" s="27" t="n"/>
      <c r="AN81" s="27" t="n"/>
      <c r="AO81" s="27" t="n"/>
      <c r="AP81" s="27" t="n"/>
      <c r="AQ81" s="27" t="n"/>
      <c r="AR81" s="27" t="n"/>
      <c r="AS81" s="27" t="n"/>
      <c r="AT81" s="27" t="n"/>
      <c r="AU81" s="27" t="n"/>
      <c r="AV81" s="27" t="n"/>
      <c r="AW81" s="27" t="n"/>
      <c r="AX81" s="27" t="n"/>
      <c r="AY81" s="27" t="n"/>
      <c r="AZ81" s="27" t="n"/>
      <c r="BA81" s="27" t="n"/>
      <c r="BB81" s="27" t="n"/>
      <c r="BC81" s="27" t="n"/>
      <c r="BD81" s="27" t="n"/>
      <c r="BE81" s="27" t="n"/>
      <c r="BF81" s="27" t="n"/>
      <c r="BG81" s="27" t="n"/>
      <c r="BH81" s="27" t="n"/>
      <c r="BI81" s="29" t="n"/>
      <c r="BJ81" s="27" t="n"/>
      <c r="BK81" s="27" t="n"/>
      <c r="BL81" s="27" t="n"/>
      <c r="BM81" s="27" t="n"/>
      <c r="DN81" s="26">
        <f>IF('テスト条件'!A80="","",'テスト条件'!A80)</f>
        <v/>
      </c>
    </row>
    <row r="82">
      <c r="A82" s="27" t="n"/>
      <c r="B82" s="27" t="n"/>
      <c r="C82" s="28">
        <f>IF(A82="","",$B$2)</f>
        <v/>
      </c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  <c r="AA82" s="27" t="n"/>
      <c r="AB82" s="27" t="n"/>
      <c r="AC82" s="27" t="n"/>
      <c r="AD82" s="27" t="n"/>
      <c r="AE82" s="27" t="n"/>
      <c r="AF82" s="27" t="n"/>
      <c r="AG82" s="27" t="n"/>
      <c r="AH82" s="27" t="n"/>
      <c r="AI82" s="27" t="n"/>
      <c r="AJ82" s="27" t="n"/>
      <c r="AK82" s="27" t="n"/>
      <c r="AL82" s="27" t="n"/>
      <c r="AM82" s="27" t="n"/>
      <c r="AN82" s="27" t="n"/>
      <c r="AO82" s="27" t="n"/>
      <c r="AP82" s="27" t="n"/>
      <c r="AQ82" s="27" t="n"/>
      <c r="AR82" s="27" t="n"/>
      <c r="AS82" s="27" t="n"/>
      <c r="AT82" s="27" t="n"/>
      <c r="AU82" s="27" t="n"/>
      <c r="AV82" s="27" t="n"/>
      <c r="AW82" s="27" t="n"/>
      <c r="AX82" s="27" t="n"/>
      <c r="AY82" s="27" t="n"/>
      <c r="AZ82" s="27" t="n"/>
      <c r="BA82" s="27" t="n"/>
      <c r="BB82" s="27" t="n"/>
      <c r="BC82" s="27" t="n"/>
      <c r="BD82" s="27" t="n"/>
      <c r="BE82" s="27" t="n"/>
      <c r="BF82" s="27" t="n"/>
      <c r="BG82" s="27" t="n"/>
      <c r="BH82" s="27" t="n"/>
      <c r="BI82" s="29" t="n"/>
      <c r="BJ82" s="27" t="n"/>
      <c r="BK82" s="27" t="n"/>
      <c r="BL82" s="27" t="n"/>
      <c r="BM82" s="27" t="n"/>
      <c r="DN82" s="26">
        <f>IF('テスト条件'!A81="","",'テスト条件'!A81)</f>
        <v/>
      </c>
    </row>
    <row r="83">
      <c r="A83" s="27" t="n"/>
      <c r="B83" s="27" t="n"/>
      <c r="C83" s="28">
        <f>IF(A83="","",$B$2)</f>
        <v/>
      </c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  <c r="AA83" s="27" t="n"/>
      <c r="AB83" s="27" t="n"/>
      <c r="AC83" s="27" t="n"/>
      <c r="AD83" s="27" t="n"/>
      <c r="AE83" s="27" t="n"/>
      <c r="AF83" s="27" t="n"/>
      <c r="AG83" s="27" t="n"/>
      <c r="AH83" s="27" t="n"/>
      <c r="AI83" s="27" t="n"/>
      <c r="AJ83" s="27" t="n"/>
      <c r="AK83" s="27" t="n"/>
      <c r="AL83" s="27" t="n"/>
      <c r="AM83" s="27" t="n"/>
      <c r="AN83" s="27" t="n"/>
      <c r="AO83" s="27" t="n"/>
      <c r="AP83" s="27" t="n"/>
      <c r="AQ83" s="27" t="n"/>
      <c r="AR83" s="27" t="n"/>
      <c r="AS83" s="27" t="n"/>
      <c r="AT83" s="27" t="n"/>
      <c r="AU83" s="27" t="n"/>
      <c r="AV83" s="27" t="n"/>
      <c r="AW83" s="27" t="n"/>
      <c r="AX83" s="27" t="n"/>
      <c r="AY83" s="27" t="n"/>
      <c r="AZ83" s="27" t="n"/>
      <c r="BA83" s="27" t="n"/>
      <c r="BB83" s="27" t="n"/>
      <c r="BC83" s="27" t="n"/>
      <c r="BD83" s="27" t="n"/>
      <c r="BE83" s="27" t="n"/>
      <c r="BF83" s="27" t="n"/>
      <c r="BG83" s="27" t="n"/>
      <c r="BH83" s="27" t="n"/>
      <c r="BI83" s="29" t="n"/>
      <c r="BJ83" s="27" t="n"/>
      <c r="BK83" s="27" t="n"/>
      <c r="BL83" s="27" t="n"/>
      <c r="BM83" s="27" t="n"/>
      <c r="DN83" s="26">
        <f>IF('テスト条件'!A82="","",'テスト条件'!A82)</f>
        <v/>
      </c>
    </row>
    <row r="84">
      <c r="A84" s="27" t="n"/>
      <c r="B84" s="27" t="n"/>
      <c r="C84" s="28">
        <f>IF(A84="","",$B$2)</f>
        <v/>
      </c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  <c r="AA84" s="27" t="n"/>
      <c r="AB84" s="27" t="n"/>
      <c r="AC84" s="27" t="n"/>
      <c r="AD84" s="27" t="n"/>
      <c r="AE84" s="27" t="n"/>
      <c r="AF84" s="27" t="n"/>
      <c r="AG84" s="27" t="n"/>
      <c r="AH84" s="27" t="n"/>
      <c r="AI84" s="27" t="n"/>
      <c r="AJ84" s="27" t="n"/>
      <c r="AK84" s="27" t="n"/>
      <c r="AL84" s="27" t="n"/>
      <c r="AM84" s="27" t="n"/>
      <c r="AN84" s="27" t="n"/>
      <c r="AO84" s="27" t="n"/>
      <c r="AP84" s="27" t="n"/>
      <c r="AQ84" s="27" t="n"/>
      <c r="AR84" s="27" t="n"/>
      <c r="AS84" s="27" t="n"/>
      <c r="AT84" s="27" t="n"/>
      <c r="AU84" s="27" t="n"/>
      <c r="AV84" s="27" t="n"/>
      <c r="AW84" s="27" t="n"/>
      <c r="AX84" s="27" t="n"/>
      <c r="AY84" s="27" t="n"/>
      <c r="AZ84" s="27" t="n"/>
      <c r="BA84" s="27" t="n"/>
      <c r="BB84" s="27" t="n"/>
      <c r="BC84" s="27" t="n"/>
      <c r="BD84" s="27" t="n"/>
      <c r="BE84" s="27" t="n"/>
      <c r="BF84" s="27" t="n"/>
      <c r="BG84" s="27" t="n"/>
      <c r="BH84" s="27" t="n"/>
      <c r="BI84" s="29" t="n"/>
      <c r="BJ84" s="27" t="n"/>
      <c r="BK84" s="27" t="n"/>
      <c r="BL84" s="27" t="n"/>
      <c r="BM84" s="27" t="n"/>
      <c r="DN84" s="26">
        <f>IF('テスト条件'!A83="","",'テスト条件'!A83)</f>
        <v/>
      </c>
    </row>
    <row r="85">
      <c r="A85" s="27" t="n"/>
      <c r="B85" s="27" t="n"/>
      <c r="C85" s="28">
        <f>IF(A85="","",$B$2)</f>
        <v/>
      </c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  <c r="AA85" s="27" t="n"/>
      <c r="AB85" s="27" t="n"/>
      <c r="AC85" s="27" t="n"/>
      <c r="AD85" s="27" t="n"/>
      <c r="AE85" s="27" t="n"/>
      <c r="AF85" s="27" t="n"/>
      <c r="AG85" s="27" t="n"/>
      <c r="AH85" s="27" t="n"/>
      <c r="AI85" s="27" t="n"/>
      <c r="AJ85" s="27" t="n"/>
      <c r="AK85" s="27" t="n"/>
      <c r="AL85" s="27" t="n"/>
      <c r="AM85" s="27" t="n"/>
      <c r="AN85" s="27" t="n"/>
      <c r="AO85" s="27" t="n"/>
      <c r="AP85" s="27" t="n"/>
      <c r="AQ85" s="27" t="n"/>
      <c r="AR85" s="27" t="n"/>
      <c r="AS85" s="27" t="n"/>
      <c r="AT85" s="27" t="n"/>
      <c r="AU85" s="27" t="n"/>
      <c r="AV85" s="27" t="n"/>
      <c r="AW85" s="27" t="n"/>
      <c r="AX85" s="27" t="n"/>
      <c r="AY85" s="27" t="n"/>
      <c r="AZ85" s="27" t="n"/>
      <c r="BA85" s="27" t="n"/>
      <c r="BB85" s="27" t="n"/>
      <c r="BC85" s="27" t="n"/>
      <c r="BD85" s="27" t="n"/>
      <c r="BE85" s="27" t="n"/>
      <c r="BF85" s="27" t="n"/>
      <c r="BG85" s="27" t="n"/>
      <c r="BH85" s="27" t="n"/>
      <c r="BI85" s="29" t="n"/>
      <c r="BJ85" s="27" t="n"/>
      <c r="BK85" s="27" t="n"/>
      <c r="BL85" s="27" t="n"/>
      <c r="BM85" s="27" t="n"/>
      <c r="DN85" s="26">
        <f>IF('テスト条件'!A84="","",'テスト条件'!A84)</f>
        <v/>
      </c>
    </row>
    <row r="86">
      <c r="A86" s="27" t="n"/>
      <c r="B86" s="27" t="n"/>
      <c r="C86" s="28">
        <f>IF(A86="","",$B$2)</f>
        <v/>
      </c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27" t="n"/>
      <c r="AJ86" s="27" t="n"/>
      <c r="AK86" s="27" t="n"/>
      <c r="AL86" s="27" t="n"/>
      <c r="AM86" s="27" t="n"/>
      <c r="AN86" s="27" t="n"/>
      <c r="AO86" s="27" t="n"/>
      <c r="AP86" s="27" t="n"/>
      <c r="AQ86" s="27" t="n"/>
      <c r="AR86" s="27" t="n"/>
      <c r="AS86" s="27" t="n"/>
      <c r="AT86" s="27" t="n"/>
      <c r="AU86" s="27" t="n"/>
      <c r="AV86" s="27" t="n"/>
      <c r="AW86" s="27" t="n"/>
      <c r="AX86" s="27" t="n"/>
      <c r="AY86" s="27" t="n"/>
      <c r="AZ86" s="27" t="n"/>
      <c r="BA86" s="27" t="n"/>
      <c r="BB86" s="27" t="n"/>
      <c r="BC86" s="27" t="n"/>
      <c r="BD86" s="27" t="n"/>
      <c r="BE86" s="27" t="n"/>
      <c r="BF86" s="27" t="n"/>
      <c r="BG86" s="27" t="n"/>
      <c r="BH86" s="27" t="n"/>
      <c r="BI86" s="29" t="n"/>
      <c r="BJ86" s="27" t="n"/>
      <c r="BK86" s="27" t="n"/>
      <c r="BL86" s="27" t="n"/>
      <c r="BM86" s="27" t="n"/>
      <c r="DN86" s="26">
        <f>IF('テスト条件'!A85="","",'テスト条件'!A85)</f>
        <v/>
      </c>
    </row>
    <row r="87">
      <c r="A87" s="27" t="n"/>
      <c r="B87" s="27" t="n"/>
      <c r="C87" s="28">
        <f>IF(A87="","",$B$2)</f>
        <v/>
      </c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  <c r="AA87" s="27" t="n"/>
      <c r="AB87" s="27" t="n"/>
      <c r="AC87" s="27" t="n"/>
      <c r="AD87" s="27" t="n"/>
      <c r="AE87" s="27" t="n"/>
      <c r="AF87" s="27" t="n"/>
      <c r="AG87" s="27" t="n"/>
      <c r="AH87" s="27" t="n"/>
      <c r="AI87" s="27" t="n"/>
      <c r="AJ87" s="27" t="n"/>
      <c r="AK87" s="27" t="n"/>
      <c r="AL87" s="27" t="n"/>
      <c r="AM87" s="27" t="n"/>
      <c r="AN87" s="27" t="n"/>
      <c r="AO87" s="27" t="n"/>
      <c r="AP87" s="27" t="n"/>
      <c r="AQ87" s="27" t="n"/>
      <c r="AR87" s="27" t="n"/>
      <c r="AS87" s="27" t="n"/>
      <c r="AT87" s="27" t="n"/>
      <c r="AU87" s="27" t="n"/>
      <c r="AV87" s="27" t="n"/>
      <c r="AW87" s="27" t="n"/>
      <c r="AX87" s="27" t="n"/>
      <c r="AY87" s="27" t="n"/>
      <c r="AZ87" s="27" t="n"/>
      <c r="BA87" s="27" t="n"/>
      <c r="BB87" s="27" t="n"/>
      <c r="BC87" s="27" t="n"/>
      <c r="BD87" s="27" t="n"/>
      <c r="BE87" s="27" t="n"/>
      <c r="BF87" s="27" t="n"/>
      <c r="BG87" s="27" t="n"/>
      <c r="BH87" s="27" t="n"/>
      <c r="BI87" s="29" t="n"/>
      <c r="BJ87" s="27" t="n"/>
      <c r="BK87" s="27" t="n"/>
      <c r="BL87" s="27" t="n"/>
      <c r="BM87" s="27" t="n"/>
      <c r="DN87" s="26">
        <f>IF('テスト条件'!A86="","",'テスト条件'!A86)</f>
        <v/>
      </c>
    </row>
    <row r="88">
      <c r="A88" s="27" t="n"/>
      <c r="B88" s="27" t="n"/>
      <c r="C88" s="28">
        <f>IF(A88="","",$B$2)</f>
        <v/>
      </c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  <c r="AA88" s="27" t="n"/>
      <c r="AB88" s="27" t="n"/>
      <c r="AC88" s="27" t="n"/>
      <c r="AD88" s="27" t="n"/>
      <c r="AE88" s="27" t="n"/>
      <c r="AF88" s="27" t="n"/>
      <c r="AG88" s="27" t="n"/>
      <c r="AH88" s="27" t="n"/>
      <c r="AI88" s="27" t="n"/>
      <c r="AJ88" s="27" t="n"/>
      <c r="AK88" s="27" t="n"/>
      <c r="AL88" s="27" t="n"/>
      <c r="AM88" s="27" t="n"/>
      <c r="AN88" s="27" t="n"/>
      <c r="AO88" s="27" t="n"/>
      <c r="AP88" s="27" t="n"/>
      <c r="AQ88" s="27" t="n"/>
      <c r="AR88" s="27" t="n"/>
      <c r="AS88" s="27" t="n"/>
      <c r="AT88" s="27" t="n"/>
      <c r="AU88" s="27" t="n"/>
      <c r="AV88" s="27" t="n"/>
      <c r="AW88" s="27" t="n"/>
      <c r="AX88" s="27" t="n"/>
      <c r="AY88" s="27" t="n"/>
      <c r="AZ88" s="27" t="n"/>
      <c r="BA88" s="27" t="n"/>
      <c r="BB88" s="27" t="n"/>
      <c r="BC88" s="27" t="n"/>
      <c r="BD88" s="27" t="n"/>
      <c r="BE88" s="27" t="n"/>
      <c r="BF88" s="27" t="n"/>
      <c r="BG88" s="27" t="n"/>
      <c r="BH88" s="27" t="n"/>
      <c r="BI88" s="29" t="n"/>
      <c r="BJ88" s="27" t="n"/>
      <c r="BK88" s="27" t="n"/>
      <c r="BL88" s="27" t="n"/>
      <c r="BM88" s="27" t="n"/>
      <c r="DN88" s="26">
        <f>IF('テスト条件'!A87="","",'テスト条件'!A87)</f>
        <v/>
      </c>
    </row>
    <row r="89">
      <c r="A89" s="27" t="n"/>
      <c r="B89" s="27" t="n"/>
      <c r="C89" s="28">
        <f>IF(A89="","",$B$2)</f>
        <v/>
      </c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27" t="n"/>
      <c r="AJ89" s="27" t="n"/>
      <c r="AK89" s="27" t="n"/>
      <c r="AL89" s="27" t="n"/>
      <c r="AM89" s="27" t="n"/>
      <c r="AN89" s="27" t="n"/>
      <c r="AO89" s="27" t="n"/>
      <c r="AP89" s="27" t="n"/>
      <c r="AQ89" s="27" t="n"/>
      <c r="AR89" s="27" t="n"/>
      <c r="AS89" s="27" t="n"/>
      <c r="AT89" s="27" t="n"/>
      <c r="AU89" s="27" t="n"/>
      <c r="AV89" s="27" t="n"/>
      <c r="AW89" s="27" t="n"/>
      <c r="AX89" s="27" t="n"/>
      <c r="AY89" s="27" t="n"/>
      <c r="AZ89" s="27" t="n"/>
      <c r="BA89" s="27" t="n"/>
      <c r="BB89" s="27" t="n"/>
      <c r="BC89" s="27" t="n"/>
      <c r="BD89" s="27" t="n"/>
      <c r="BE89" s="27" t="n"/>
      <c r="BF89" s="27" t="n"/>
      <c r="BG89" s="27" t="n"/>
      <c r="BH89" s="27" t="n"/>
      <c r="BI89" s="29" t="n"/>
      <c r="BJ89" s="27" t="n"/>
      <c r="BK89" s="27" t="n"/>
      <c r="BL89" s="27" t="n"/>
      <c r="BM89" s="27" t="n"/>
      <c r="DN89" s="26">
        <f>IF('テスト条件'!A88="","",'テスト条件'!A88)</f>
        <v/>
      </c>
    </row>
    <row r="90">
      <c r="A90" s="27" t="n"/>
      <c r="B90" s="27" t="n"/>
      <c r="C90" s="28">
        <f>IF(A90="","",$B$2)</f>
        <v/>
      </c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  <c r="AA90" s="27" t="n"/>
      <c r="AB90" s="27" t="n"/>
      <c r="AC90" s="27" t="n"/>
      <c r="AD90" s="27" t="n"/>
      <c r="AE90" s="27" t="n"/>
      <c r="AF90" s="27" t="n"/>
      <c r="AG90" s="27" t="n"/>
      <c r="AH90" s="27" t="n"/>
      <c r="AI90" s="27" t="n"/>
      <c r="AJ90" s="27" t="n"/>
      <c r="AK90" s="27" t="n"/>
      <c r="AL90" s="27" t="n"/>
      <c r="AM90" s="27" t="n"/>
      <c r="AN90" s="27" t="n"/>
      <c r="AO90" s="27" t="n"/>
      <c r="AP90" s="27" t="n"/>
      <c r="AQ90" s="27" t="n"/>
      <c r="AR90" s="27" t="n"/>
      <c r="AS90" s="27" t="n"/>
      <c r="AT90" s="27" t="n"/>
      <c r="AU90" s="27" t="n"/>
      <c r="AV90" s="27" t="n"/>
      <c r="AW90" s="27" t="n"/>
      <c r="AX90" s="27" t="n"/>
      <c r="AY90" s="27" t="n"/>
      <c r="AZ90" s="27" t="n"/>
      <c r="BA90" s="27" t="n"/>
      <c r="BB90" s="27" t="n"/>
      <c r="BC90" s="27" t="n"/>
      <c r="BD90" s="27" t="n"/>
      <c r="BE90" s="27" t="n"/>
      <c r="BF90" s="27" t="n"/>
      <c r="BG90" s="27" t="n"/>
      <c r="BH90" s="27" t="n"/>
      <c r="BI90" s="29" t="n"/>
      <c r="BJ90" s="27" t="n"/>
      <c r="BK90" s="27" t="n"/>
      <c r="BL90" s="27" t="n"/>
      <c r="BM90" s="27" t="n"/>
      <c r="DN90" s="26">
        <f>IF('テスト条件'!A89="","",'テスト条件'!A89)</f>
        <v/>
      </c>
    </row>
    <row r="91">
      <c r="A91" s="27" t="n"/>
      <c r="B91" s="27" t="n"/>
      <c r="C91" s="28">
        <f>IF(A91="","",$B$2)</f>
        <v/>
      </c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  <c r="AA91" s="27" t="n"/>
      <c r="AB91" s="27" t="n"/>
      <c r="AC91" s="27" t="n"/>
      <c r="AD91" s="27" t="n"/>
      <c r="AE91" s="27" t="n"/>
      <c r="AF91" s="27" t="n"/>
      <c r="AG91" s="27" t="n"/>
      <c r="AH91" s="27" t="n"/>
      <c r="AI91" s="27" t="n"/>
      <c r="AJ91" s="27" t="n"/>
      <c r="AK91" s="27" t="n"/>
      <c r="AL91" s="27" t="n"/>
      <c r="AM91" s="27" t="n"/>
      <c r="AN91" s="27" t="n"/>
      <c r="AO91" s="27" t="n"/>
      <c r="AP91" s="27" t="n"/>
      <c r="AQ91" s="27" t="n"/>
      <c r="AR91" s="27" t="n"/>
      <c r="AS91" s="27" t="n"/>
      <c r="AT91" s="27" t="n"/>
      <c r="AU91" s="27" t="n"/>
      <c r="AV91" s="27" t="n"/>
      <c r="AW91" s="27" t="n"/>
      <c r="AX91" s="27" t="n"/>
      <c r="AY91" s="27" t="n"/>
      <c r="AZ91" s="27" t="n"/>
      <c r="BA91" s="27" t="n"/>
      <c r="BB91" s="27" t="n"/>
      <c r="BC91" s="27" t="n"/>
      <c r="BD91" s="27" t="n"/>
      <c r="BE91" s="27" t="n"/>
      <c r="BF91" s="27" t="n"/>
      <c r="BG91" s="27" t="n"/>
      <c r="BH91" s="27" t="n"/>
      <c r="BI91" s="29" t="n"/>
      <c r="BJ91" s="27" t="n"/>
      <c r="BK91" s="27" t="n"/>
      <c r="BL91" s="27" t="n"/>
      <c r="BM91" s="27" t="n"/>
      <c r="DN91" s="26">
        <f>IF('テスト条件'!A90="","",'テスト条件'!A90)</f>
        <v/>
      </c>
    </row>
    <row r="92">
      <c r="A92" s="27" t="n"/>
      <c r="B92" s="27" t="n"/>
      <c r="C92" s="28">
        <f>IF(A92="","",$B$2)</f>
        <v/>
      </c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  <c r="AA92" s="27" t="n"/>
      <c r="AB92" s="27" t="n"/>
      <c r="AC92" s="27" t="n"/>
      <c r="AD92" s="27" t="n"/>
      <c r="AE92" s="27" t="n"/>
      <c r="AF92" s="27" t="n"/>
      <c r="AG92" s="27" t="n"/>
      <c r="AH92" s="27" t="n"/>
      <c r="AI92" s="27" t="n"/>
      <c r="AJ92" s="27" t="n"/>
      <c r="AK92" s="27" t="n"/>
      <c r="AL92" s="27" t="n"/>
      <c r="AM92" s="27" t="n"/>
      <c r="AN92" s="27" t="n"/>
      <c r="AO92" s="27" t="n"/>
      <c r="AP92" s="27" t="n"/>
      <c r="AQ92" s="27" t="n"/>
      <c r="AR92" s="27" t="n"/>
      <c r="AS92" s="27" t="n"/>
      <c r="AT92" s="27" t="n"/>
      <c r="AU92" s="27" t="n"/>
      <c r="AV92" s="27" t="n"/>
      <c r="AW92" s="27" t="n"/>
      <c r="AX92" s="27" t="n"/>
      <c r="AY92" s="27" t="n"/>
      <c r="AZ92" s="27" t="n"/>
      <c r="BA92" s="27" t="n"/>
      <c r="BB92" s="27" t="n"/>
      <c r="BC92" s="27" t="n"/>
      <c r="BD92" s="27" t="n"/>
      <c r="BE92" s="27" t="n"/>
      <c r="BF92" s="27" t="n"/>
      <c r="BG92" s="27" t="n"/>
      <c r="BH92" s="27" t="n"/>
      <c r="BI92" s="29" t="n"/>
      <c r="BJ92" s="27" t="n"/>
      <c r="BK92" s="27" t="n"/>
      <c r="BL92" s="27" t="n"/>
      <c r="BM92" s="27" t="n"/>
      <c r="DN92" s="26">
        <f>IF('テスト条件'!A91="","",'テスト条件'!A91)</f>
        <v/>
      </c>
    </row>
    <row r="93">
      <c r="A93" s="27" t="n"/>
      <c r="B93" s="27" t="n"/>
      <c r="C93" s="28">
        <f>IF(A93="","",$B$2)</f>
        <v/>
      </c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7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9" t="n"/>
      <c r="BJ93" s="27" t="n"/>
      <c r="BK93" s="27" t="n"/>
      <c r="BL93" s="27" t="n"/>
      <c r="BM93" s="27" t="n"/>
      <c r="DN93" s="26">
        <f>IF('テスト条件'!A92="","",'テスト条件'!A92)</f>
        <v/>
      </c>
    </row>
    <row r="94">
      <c r="A94" s="27" t="n"/>
      <c r="B94" s="27" t="n"/>
      <c r="C94" s="28">
        <f>IF(A94="","",$B$2)</f>
        <v/>
      </c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7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9" t="n"/>
      <c r="BJ94" s="27" t="n"/>
      <c r="BK94" s="27" t="n"/>
      <c r="BL94" s="27" t="n"/>
      <c r="BM94" s="27" t="n"/>
      <c r="DN94" s="26">
        <f>IF('テスト条件'!A93="","",'テスト条件'!A93)</f>
        <v/>
      </c>
    </row>
    <row r="95">
      <c r="A95" s="27" t="n"/>
      <c r="B95" s="27" t="n"/>
      <c r="C95" s="28">
        <f>IF(A95="","",$B$2)</f>
        <v/>
      </c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7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9" t="n"/>
      <c r="BJ95" s="27" t="n"/>
      <c r="BK95" s="27" t="n"/>
      <c r="BL95" s="27" t="n"/>
      <c r="BM95" s="27" t="n"/>
      <c r="DN95" s="26">
        <f>IF('テスト条件'!A94="","",'テスト条件'!A94)</f>
        <v/>
      </c>
    </row>
    <row r="96">
      <c r="A96" s="27" t="n"/>
      <c r="B96" s="27" t="n"/>
      <c r="C96" s="28">
        <f>IF(A96="","",$B$2)</f>
        <v/>
      </c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7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9" t="n"/>
      <c r="BJ96" s="27" t="n"/>
      <c r="BK96" s="27" t="n"/>
      <c r="BL96" s="27" t="n"/>
      <c r="BM96" s="27" t="n"/>
      <c r="DN96" s="26">
        <f>IF('テスト条件'!A95="","",'テスト条件'!A95)</f>
        <v/>
      </c>
    </row>
    <row r="97">
      <c r="A97" s="27" t="n"/>
      <c r="B97" s="27" t="n"/>
      <c r="C97" s="28">
        <f>IF(A97="","",$B$2)</f>
        <v/>
      </c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7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9" t="n"/>
      <c r="BJ97" s="27" t="n"/>
      <c r="BK97" s="27" t="n"/>
      <c r="BL97" s="27" t="n"/>
      <c r="BM97" s="27" t="n"/>
      <c r="DN97" s="26">
        <f>IF('テスト条件'!A96="","",'テスト条件'!A96)</f>
        <v/>
      </c>
    </row>
    <row r="98">
      <c r="A98" s="27" t="n"/>
      <c r="B98" s="27" t="n"/>
      <c r="C98" s="28">
        <f>IF(A98="","",$B$2)</f>
        <v/>
      </c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  <c r="AA98" s="27" t="n"/>
      <c r="AB98" s="27" t="n"/>
      <c r="AC98" s="27" t="n"/>
      <c r="AD98" s="27" t="n"/>
      <c r="AE98" s="27" t="n"/>
      <c r="AF98" s="27" t="n"/>
      <c r="AG98" s="27" t="n"/>
      <c r="AH98" s="27" t="n"/>
      <c r="AI98" s="27" t="n"/>
      <c r="AJ98" s="27" t="n"/>
      <c r="AK98" s="27" t="n"/>
      <c r="AL98" s="27" t="n"/>
      <c r="AM98" s="27" t="n"/>
      <c r="AN98" s="27" t="n"/>
      <c r="AO98" s="27" t="n"/>
      <c r="AP98" s="27" t="n"/>
      <c r="AQ98" s="27" t="n"/>
      <c r="AR98" s="27" t="n"/>
      <c r="AS98" s="27" t="n"/>
      <c r="AT98" s="27" t="n"/>
      <c r="AU98" s="27" t="n"/>
      <c r="AV98" s="27" t="n"/>
      <c r="AW98" s="27" t="n"/>
      <c r="AX98" s="27" t="n"/>
      <c r="AY98" s="27" t="n"/>
      <c r="AZ98" s="27" t="n"/>
      <c r="BA98" s="27" t="n"/>
      <c r="BB98" s="27" t="n"/>
      <c r="BC98" s="27" t="n"/>
      <c r="BD98" s="27" t="n"/>
      <c r="BE98" s="27" t="n"/>
      <c r="BF98" s="27" t="n"/>
      <c r="BG98" s="27" t="n"/>
      <c r="BH98" s="27" t="n"/>
      <c r="BI98" s="29" t="n"/>
      <c r="BJ98" s="27" t="n"/>
      <c r="BK98" s="27" t="n"/>
      <c r="BL98" s="27" t="n"/>
      <c r="BM98" s="27" t="n"/>
      <c r="DN98" s="26">
        <f>IF('テスト条件'!A97="","",'テスト条件'!A97)</f>
        <v/>
      </c>
    </row>
    <row r="99">
      <c r="A99" s="27" t="n"/>
      <c r="B99" s="27" t="n"/>
      <c r="C99" s="28">
        <f>IF(A99="","",$B$2)</f>
        <v/>
      </c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  <c r="AA99" s="27" t="n"/>
      <c r="AB99" s="27" t="n"/>
      <c r="AC99" s="27" t="n"/>
      <c r="AD99" s="27" t="n"/>
      <c r="AE99" s="27" t="n"/>
      <c r="AF99" s="27" t="n"/>
      <c r="AG99" s="27" t="n"/>
      <c r="AH99" s="27" t="n"/>
      <c r="AI99" s="27" t="n"/>
      <c r="AJ99" s="27" t="n"/>
      <c r="AK99" s="27" t="n"/>
      <c r="AL99" s="27" t="n"/>
      <c r="AM99" s="27" t="n"/>
      <c r="AN99" s="27" t="n"/>
      <c r="AO99" s="27" t="n"/>
      <c r="AP99" s="27" t="n"/>
      <c r="AQ99" s="27" t="n"/>
      <c r="AR99" s="27" t="n"/>
      <c r="AS99" s="27" t="n"/>
      <c r="AT99" s="27" t="n"/>
      <c r="AU99" s="27" t="n"/>
      <c r="AV99" s="27" t="n"/>
      <c r="AW99" s="27" t="n"/>
      <c r="AX99" s="27" t="n"/>
      <c r="AY99" s="27" t="n"/>
      <c r="AZ99" s="27" t="n"/>
      <c r="BA99" s="27" t="n"/>
      <c r="BB99" s="27" t="n"/>
      <c r="BC99" s="27" t="n"/>
      <c r="BD99" s="27" t="n"/>
      <c r="BE99" s="27" t="n"/>
      <c r="BF99" s="27" t="n"/>
      <c r="BG99" s="27" t="n"/>
      <c r="BH99" s="27" t="n"/>
      <c r="BI99" s="29" t="n"/>
      <c r="BJ99" s="27" t="n"/>
      <c r="BK99" s="27" t="n"/>
      <c r="BL99" s="27" t="n"/>
      <c r="BM99" s="27" t="n"/>
      <c r="DN99" s="26">
        <f>IF('テスト条件'!A98="","",'テスト条件'!A98)</f>
        <v/>
      </c>
    </row>
    <row r="100">
      <c r="A100" s="27" t="n"/>
      <c r="B100" s="27" t="n"/>
      <c r="C100" s="28">
        <f>IF(A100="","",$B$2)</f>
        <v/>
      </c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  <c r="AA100" s="27" t="n"/>
      <c r="AB100" s="27" t="n"/>
      <c r="AC100" s="27" t="n"/>
      <c r="AD100" s="27" t="n"/>
      <c r="AE100" s="27" t="n"/>
      <c r="AF100" s="27" t="n"/>
      <c r="AG100" s="27" t="n"/>
      <c r="AH100" s="27" t="n"/>
      <c r="AI100" s="27" t="n"/>
      <c r="AJ100" s="27" t="n"/>
      <c r="AK100" s="27" t="n"/>
      <c r="AL100" s="27" t="n"/>
      <c r="AM100" s="27" t="n"/>
      <c r="AN100" s="27" t="n"/>
      <c r="AO100" s="27" t="n"/>
      <c r="AP100" s="27" t="n"/>
      <c r="AQ100" s="27" t="n"/>
      <c r="AR100" s="27" t="n"/>
      <c r="AS100" s="27" t="n"/>
      <c r="AT100" s="27" t="n"/>
      <c r="AU100" s="27" t="n"/>
      <c r="AV100" s="27" t="n"/>
      <c r="AW100" s="27" t="n"/>
      <c r="AX100" s="27" t="n"/>
      <c r="AY100" s="27" t="n"/>
      <c r="AZ100" s="27" t="n"/>
      <c r="BA100" s="27" t="n"/>
      <c r="BB100" s="27" t="n"/>
      <c r="BC100" s="27" t="n"/>
      <c r="BD100" s="27" t="n"/>
      <c r="BE100" s="27" t="n"/>
      <c r="BF100" s="27" t="n"/>
      <c r="BG100" s="27" t="n"/>
      <c r="BH100" s="27" t="n"/>
      <c r="BI100" s="29" t="n"/>
      <c r="BJ100" s="27" t="n"/>
      <c r="BK100" s="27" t="n"/>
      <c r="BL100" s="27" t="n"/>
      <c r="BM100" s="27" t="n"/>
      <c r="DN100" s="26">
        <f>IF('テスト条件'!A99="","",'テスト条件'!A99)</f>
        <v/>
      </c>
    </row>
    <row r="101">
      <c r="A101" s="27" t="n"/>
      <c r="B101" s="27" t="n"/>
      <c r="C101" s="28">
        <f>IF(A101="","",$B$2)</f>
        <v/>
      </c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  <c r="AA101" s="27" t="n"/>
      <c r="AB101" s="27" t="n"/>
      <c r="AC101" s="27" t="n"/>
      <c r="AD101" s="27" t="n"/>
      <c r="AE101" s="27" t="n"/>
      <c r="AF101" s="27" t="n"/>
      <c r="AG101" s="27" t="n"/>
      <c r="AH101" s="27" t="n"/>
      <c r="AI101" s="27" t="n"/>
      <c r="AJ101" s="27" t="n"/>
      <c r="AK101" s="27" t="n"/>
      <c r="AL101" s="27" t="n"/>
      <c r="AM101" s="27" t="n"/>
      <c r="AN101" s="27" t="n"/>
      <c r="AO101" s="27" t="n"/>
      <c r="AP101" s="27" t="n"/>
      <c r="AQ101" s="27" t="n"/>
      <c r="AR101" s="27" t="n"/>
      <c r="AS101" s="27" t="n"/>
      <c r="AT101" s="27" t="n"/>
      <c r="AU101" s="27" t="n"/>
      <c r="AV101" s="27" t="n"/>
      <c r="AW101" s="27" t="n"/>
      <c r="AX101" s="27" t="n"/>
      <c r="AY101" s="27" t="n"/>
      <c r="AZ101" s="27" t="n"/>
      <c r="BA101" s="27" t="n"/>
      <c r="BB101" s="27" t="n"/>
      <c r="BC101" s="27" t="n"/>
      <c r="BD101" s="27" t="n"/>
      <c r="BE101" s="27" t="n"/>
      <c r="BF101" s="27" t="n"/>
      <c r="BG101" s="27" t="n"/>
      <c r="BH101" s="27" t="n"/>
      <c r="BI101" s="29" t="n"/>
      <c r="BJ101" s="27" t="n"/>
      <c r="BK101" s="27" t="n"/>
      <c r="BL101" s="27" t="n"/>
      <c r="BM101" s="27" t="n"/>
      <c r="DN101" s="26">
        <f>IF('テスト条件'!A100="","",'テスト条件'!A100)</f>
        <v/>
      </c>
    </row>
    <row r="102">
      <c r="A102" s="27" t="n"/>
      <c r="B102" s="27" t="n"/>
      <c r="C102" s="28">
        <f>IF(A102="","",$B$2)</f>
        <v/>
      </c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  <c r="AA102" s="27" t="n"/>
      <c r="AB102" s="27" t="n"/>
      <c r="AC102" s="27" t="n"/>
      <c r="AD102" s="27" t="n"/>
      <c r="AE102" s="27" t="n"/>
      <c r="AF102" s="27" t="n"/>
      <c r="AG102" s="27" t="n"/>
      <c r="AH102" s="27" t="n"/>
      <c r="AI102" s="27" t="n"/>
      <c r="AJ102" s="27" t="n"/>
      <c r="AK102" s="27" t="n"/>
      <c r="AL102" s="27" t="n"/>
      <c r="AM102" s="27" t="n"/>
      <c r="AN102" s="27" t="n"/>
      <c r="AO102" s="27" t="n"/>
      <c r="AP102" s="27" t="n"/>
      <c r="AQ102" s="27" t="n"/>
      <c r="AR102" s="27" t="n"/>
      <c r="AS102" s="27" t="n"/>
      <c r="AT102" s="27" t="n"/>
      <c r="AU102" s="27" t="n"/>
      <c r="AV102" s="27" t="n"/>
      <c r="AW102" s="27" t="n"/>
      <c r="AX102" s="27" t="n"/>
      <c r="AY102" s="27" t="n"/>
      <c r="AZ102" s="27" t="n"/>
      <c r="BA102" s="27" t="n"/>
      <c r="BB102" s="27" t="n"/>
      <c r="BC102" s="27" t="n"/>
      <c r="BD102" s="27" t="n"/>
      <c r="BE102" s="27" t="n"/>
      <c r="BF102" s="27" t="n"/>
      <c r="BG102" s="27" t="n"/>
      <c r="BH102" s="27" t="n"/>
      <c r="BI102" s="29" t="n"/>
      <c r="BJ102" s="27" t="n"/>
      <c r="BK102" s="27" t="n"/>
      <c r="BL102" s="27" t="n"/>
      <c r="BM102" s="27" t="n"/>
      <c r="DN102" s="26">
        <f>IF('テスト条件'!A101="","",'テスト条件'!A101)</f>
        <v/>
      </c>
    </row>
    <row r="103">
      <c r="A103" s="27" t="n"/>
      <c r="B103" s="27" t="n"/>
      <c r="C103" s="28">
        <f>IF(A103="","",$B$2)</f>
        <v/>
      </c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  <c r="AA103" s="27" t="n"/>
      <c r="AB103" s="27" t="n"/>
      <c r="AC103" s="27" t="n"/>
      <c r="AD103" s="27" t="n"/>
      <c r="AE103" s="27" t="n"/>
      <c r="AF103" s="27" t="n"/>
      <c r="AG103" s="27" t="n"/>
      <c r="AH103" s="27" t="n"/>
      <c r="AI103" s="27" t="n"/>
      <c r="AJ103" s="27" t="n"/>
      <c r="AK103" s="27" t="n"/>
      <c r="AL103" s="27" t="n"/>
      <c r="AM103" s="27" t="n"/>
      <c r="AN103" s="27" t="n"/>
      <c r="AO103" s="27" t="n"/>
      <c r="AP103" s="27" t="n"/>
      <c r="AQ103" s="27" t="n"/>
      <c r="AR103" s="27" t="n"/>
      <c r="AS103" s="27" t="n"/>
      <c r="AT103" s="27" t="n"/>
      <c r="AU103" s="27" t="n"/>
      <c r="AV103" s="27" t="n"/>
      <c r="AW103" s="27" t="n"/>
      <c r="AX103" s="27" t="n"/>
      <c r="AY103" s="27" t="n"/>
      <c r="AZ103" s="27" t="n"/>
      <c r="BA103" s="27" t="n"/>
      <c r="BB103" s="27" t="n"/>
      <c r="BC103" s="27" t="n"/>
      <c r="BD103" s="27" t="n"/>
      <c r="BE103" s="27" t="n"/>
      <c r="BF103" s="27" t="n"/>
      <c r="BG103" s="27" t="n"/>
      <c r="BH103" s="27" t="n"/>
      <c r="BI103" s="29" t="n"/>
      <c r="BJ103" s="27" t="n"/>
      <c r="BK103" s="27" t="n"/>
      <c r="BL103" s="27" t="n"/>
      <c r="BM103" s="27" t="n"/>
      <c r="DN103" s="26">
        <f>IF('テスト条件'!A102="","",'テスト条件'!A102)</f>
        <v/>
      </c>
    </row>
    <row r="104">
      <c r="A104" s="27" t="n"/>
      <c r="B104" s="27" t="n"/>
      <c r="C104" s="28">
        <f>IF(A104="","",$B$2)</f>
        <v/>
      </c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  <c r="AA104" s="27" t="n"/>
      <c r="AB104" s="27" t="n"/>
      <c r="AC104" s="27" t="n"/>
      <c r="AD104" s="27" t="n"/>
      <c r="AE104" s="27" t="n"/>
      <c r="AF104" s="27" t="n"/>
      <c r="AG104" s="27" t="n"/>
      <c r="AH104" s="27" t="n"/>
      <c r="AI104" s="27" t="n"/>
      <c r="AJ104" s="27" t="n"/>
      <c r="AK104" s="27" t="n"/>
      <c r="AL104" s="27" t="n"/>
      <c r="AM104" s="27" t="n"/>
      <c r="AN104" s="27" t="n"/>
      <c r="AO104" s="27" t="n"/>
      <c r="AP104" s="27" t="n"/>
      <c r="AQ104" s="27" t="n"/>
      <c r="AR104" s="27" t="n"/>
      <c r="AS104" s="27" t="n"/>
      <c r="AT104" s="27" t="n"/>
      <c r="AU104" s="27" t="n"/>
      <c r="AV104" s="27" t="n"/>
      <c r="AW104" s="27" t="n"/>
      <c r="AX104" s="27" t="n"/>
      <c r="AY104" s="27" t="n"/>
      <c r="AZ104" s="27" t="n"/>
      <c r="BA104" s="27" t="n"/>
      <c r="BB104" s="27" t="n"/>
      <c r="BC104" s="27" t="n"/>
      <c r="BD104" s="27" t="n"/>
      <c r="BE104" s="27" t="n"/>
      <c r="BF104" s="27" t="n"/>
      <c r="BG104" s="27" t="n"/>
      <c r="BH104" s="27" t="n"/>
      <c r="BI104" s="29" t="n"/>
      <c r="BJ104" s="27" t="n"/>
      <c r="BK104" s="27" t="n"/>
      <c r="BL104" s="27" t="n"/>
      <c r="BM104" s="27" t="n"/>
      <c r="DN104" s="26">
        <f>IF('テスト条件'!A103="","",'テスト条件'!A103)</f>
        <v/>
      </c>
    </row>
    <row r="105">
      <c r="A105" s="27" t="n"/>
      <c r="B105" s="27" t="n"/>
      <c r="C105" s="28">
        <f>IF(A105="","",$B$2)</f>
        <v/>
      </c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  <c r="AA105" s="27" t="n"/>
      <c r="AB105" s="27" t="n"/>
      <c r="AC105" s="27" t="n"/>
      <c r="AD105" s="27" t="n"/>
      <c r="AE105" s="27" t="n"/>
      <c r="AF105" s="27" t="n"/>
      <c r="AG105" s="27" t="n"/>
      <c r="AH105" s="27" t="n"/>
      <c r="AI105" s="27" t="n"/>
      <c r="AJ105" s="27" t="n"/>
      <c r="AK105" s="27" t="n"/>
      <c r="AL105" s="27" t="n"/>
      <c r="AM105" s="27" t="n"/>
      <c r="AN105" s="27" t="n"/>
      <c r="AO105" s="27" t="n"/>
      <c r="AP105" s="27" t="n"/>
      <c r="AQ105" s="27" t="n"/>
      <c r="AR105" s="27" t="n"/>
      <c r="AS105" s="27" t="n"/>
      <c r="AT105" s="27" t="n"/>
      <c r="AU105" s="27" t="n"/>
      <c r="AV105" s="27" t="n"/>
      <c r="AW105" s="27" t="n"/>
      <c r="AX105" s="27" t="n"/>
      <c r="AY105" s="27" t="n"/>
      <c r="AZ105" s="27" t="n"/>
      <c r="BA105" s="27" t="n"/>
      <c r="BB105" s="27" t="n"/>
      <c r="BC105" s="27" t="n"/>
      <c r="BD105" s="27" t="n"/>
      <c r="BE105" s="27" t="n"/>
      <c r="BF105" s="27" t="n"/>
      <c r="BG105" s="27" t="n"/>
      <c r="BH105" s="27" t="n"/>
      <c r="BI105" s="29" t="n"/>
      <c r="BJ105" s="27" t="n"/>
      <c r="BK105" s="27" t="n"/>
      <c r="BL105" s="27" t="n"/>
      <c r="BM105" s="27" t="n"/>
      <c r="DN105" s="26">
        <f>IF('テスト条件'!A104="","",'テスト条件'!A104)</f>
        <v/>
      </c>
    </row>
    <row r="106">
      <c r="A106" s="27" t="n"/>
      <c r="B106" s="27" t="n"/>
      <c r="C106" s="28">
        <f>IF(A106="","",$B$2)</f>
        <v/>
      </c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  <c r="AA106" s="27" t="n"/>
      <c r="AB106" s="27" t="n"/>
      <c r="AC106" s="27" t="n"/>
      <c r="AD106" s="27" t="n"/>
      <c r="AE106" s="27" t="n"/>
      <c r="AF106" s="27" t="n"/>
      <c r="AG106" s="27" t="n"/>
      <c r="AH106" s="27" t="n"/>
      <c r="AI106" s="27" t="n"/>
      <c r="AJ106" s="27" t="n"/>
      <c r="AK106" s="27" t="n"/>
      <c r="AL106" s="27" t="n"/>
      <c r="AM106" s="27" t="n"/>
      <c r="AN106" s="27" t="n"/>
      <c r="AO106" s="27" t="n"/>
      <c r="AP106" s="27" t="n"/>
      <c r="AQ106" s="27" t="n"/>
      <c r="AR106" s="27" t="n"/>
      <c r="AS106" s="27" t="n"/>
      <c r="AT106" s="27" t="n"/>
      <c r="AU106" s="27" t="n"/>
      <c r="AV106" s="27" t="n"/>
      <c r="AW106" s="27" t="n"/>
      <c r="AX106" s="27" t="n"/>
      <c r="AY106" s="27" t="n"/>
      <c r="AZ106" s="27" t="n"/>
      <c r="BA106" s="27" t="n"/>
      <c r="BB106" s="27" t="n"/>
      <c r="BC106" s="27" t="n"/>
      <c r="BD106" s="27" t="n"/>
      <c r="BE106" s="27" t="n"/>
      <c r="BF106" s="27" t="n"/>
      <c r="BG106" s="27" t="n"/>
      <c r="BH106" s="27" t="n"/>
      <c r="BI106" s="29" t="n"/>
      <c r="BJ106" s="27" t="n"/>
      <c r="BK106" s="27" t="n"/>
      <c r="BL106" s="27" t="n"/>
      <c r="BM106" s="27" t="n"/>
    </row>
    <row r="107">
      <c r="A107" s="27" t="n"/>
      <c r="B107" s="27" t="n"/>
      <c r="C107" s="28">
        <f>IF(A107="","",$B$2)</f>
        <v/>
      </c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  <c r="AA107" s="27" t="n"/>
      <c r="AB107" s="27" t="n"/>
      <c r="AC107" s="27" t="n"/>
      <c r="AD107" s="27" t="n"/>
      <c r="AE107" s="27" t="n"/>
      <c r="AF107" s="27" t="n"/>
      <c r="AG107" s="27" t="n"/>
      <c r="AH107" s="27" t="n"/>
      <c r="AI107" s="27" t="n"/>
      <c r="AJ107" s="27" t="n"/>
      <c r="AK107" s="27" t="n"/>
      <c r="AL107" s="27" t="n"/>
      <c r="AM107" s="27" t="n"/>
      <c r="AN107" s="27" t="n"/>
      <c r="AO107" s="27" t="n"/>
      <c r="AP107" s="27" t="n"/>
      <c r="AQ107" s="27" t="n"/>
      <c r="AR107" s="27" t="n"/>
      <c r="AS107" s="27" t="n"/>
      <c r="AT107" s="27" t="n"/>
      <c r="AU107" s="27" t="n"/>
      <c r="AV107" s="27" t="n"/>
      <c r="AW107" s="27" t="n"/>
      <c r="AX107" s="27" t="n"/>
      <c r="AY107" s="27" t="n"/>
      <c r="AZ107" s="27" t="n"/>
      <c r="BA107" s="27" t="n"/>
      <c r="BB107" s="27" t="n"/>
      <c r="BC107" s="27" t="n"/>
      <c r="BD107" s="27" t="n"/>
      <c r="BE107" s="27" t="n"/>
      <c r="BF107" s="27" t="n"/>
      <c r="BG107" s="27" t="n"/>
      <c r="BH107" s="27" t="n"/>
      <c r="BI107" s="29" t="n"/>
      <c r="BJ107" s="27" t="n"/>
      <c r="BK107" s="27" t="n"/>
      <c r="BL107" s="27" t="n"/>
      <c r="BM107" s="27" t="n"/>
    </row>
    <row r="108">
      <c r="A108" s="27" t="n"/>
      <c r="B108" s="27" t="n"/>
      <c r="C108" s="28">
        <f>IF(A108="","",$B$2)</f>
        <v/>
      </c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  <c r="AA108" s="27" t="n"/>
      <c r="AB108" s="27" t="n"/>
      <c r="AC108" s="27" t="n"/>
      <c r="AD108" s="27" t="n"/>
      <c r="AE108" s="27" t="n"/>
      <c r="AF108" s="27" t="n"/>
      <c r="AG108" s="27" t="n"/>
      <c r="AH108" s="27" t="n"/>
      <c r="AI108" s="27" t="n"/>
      <c r="AJ108" s="27" t="n"/>
      <c r="AK108" s="27" t="n"/>
      <c r="AL108" s="27" t="n"/>
      <c r="AM108" s="27" t="n"/>
      <c r="AN108" s="27" t="n"/>
      <c r="AO108" s="27" t="n"/>
      <c r="AP108" s="27" t="n"/>
      <c r="AQ108" s="27" t="n"/>
      <c r="AR108" s="27" t="n"/>
      <c r="AS108" s="27" t="n"/>
      <c r="AT108" s="27" t="n"/>
      <c r="AU108" s="27" t="n"/>
      <c r="AV108" s="27" t="n"/>
      <c r="AW108" s="27" t="n"/>
      <c r="AX108" s="27" t="n"/>
      <c r="AY108" s="27" t="n"/>
      <c r="AZ108" s="27" t="n"/>
      <c r="BA108" s="27" t="n"/>
      <c r="BB108" s="27" t="n"/>
      <c r="BC108" s="27" t="n"/>
      <c r="BD108" s="27" t="n"/>
      <c r="BE108" s="27" t="n"/>
      <c r="BF108" s="27" t="n"/>
      <c r="BG108" s="27" t="n"/>
      <c r="BH108" s="27" t="n"/>
      <c r="BI108" s="29" t="n"/>
      <c r="BJ108" s="27" t="n"/>
      <c r="BK108" s="27" t="n"/>
      <c r="BL108" s="27" t="n"/>
      <c r="BM108" s="27" t="n"/>
    </row>
    <row r="109">
      <c r="A109" s="27" t="n"/>
      <c r="B109" s="27" t="n"/>
      <c r="C109" s="28">
        <f>IF(A109="","",$B$2)</f>
        <v/>
      </c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  <c r="AA109" s="27" t="n"/>
      <c r="AB109" s="27" t="n"/>
      <c r="AC109" s="27" t="n"/>
      <c r="AD109" s="27" t="n"/>
      <c r="AE109" s="27" t="n"/>
      <c r="AF109" s="27" t="n"/>
      <c r="AG109" s="27" t="n"/>
      <c r="AH109" s="27" t="n"/>
      <c r="AI109" s="27" t="n"/>
      <c r="AJ109" s="27" t="n"/>
      <c r="AK109" s="27" t="n"/>
      <c r="AL109" s="27" t="n"/>
      <c r="AM109" s="27" t="n"/>
      <c r="AN109" s="27" t="n"/>
      <c r="AO109" s="27" t="n"/>
      <c r="AP109" s="27" t="n"/>
      <c r="AQ109" s="27" t="n"/>
      <c r="AR109" s="27" t="n"/>
      <c r="AS109" s="27" t="n"/>
      <c r="AT109" s="27" t="n"/>
      <c r="AU109" s="27" t="n"/>
      <c r="AV109" s="27" t="n"/>
      <c r="AW109" s="27" t="n"/>
      <c r="AX109" s="27" t="n"/>
      <c r="AY109" s="27" t="n"/>
      <c r="AZ109" s="27" t="n"/>
      <c r="BA109" s="27" t="n"/>
      <c r="BB109" s="27" t="n"/>
      <c r="BC109" s="27" t="n"/>
      <c r="BD109" s="27" t="n"/>
      <c r="BE109" s="27" t="n"/>
      <c r="BF109" s="27" t="n"/>
      <c r="BG109" s="27" t="n"/>
      <c r="BH109" s="27" t="n"/>
      <c r="BI109" s="29" t="n"/>
      <c r="BJ109" s="27" t="n"/>
      <c r="BK109" s="27" t="n"/>
      <c r="BL109" s="27" t="n"/>
      <c r="BM109" s="27" t="n"/>
    </row>
    <row r="110">
      <c r="A110" s="27" t="n"/>
      <c r="B110" s="27" t="n"/>
      <c r="C110" s="28">
        <f>IF(A110="","",$B$2)</f>
        <v/>
      </c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  <c r="AA110" s="27" t="n"/>
      <c r="AB110" s="27" t="n"/>
      <c r="AC110" s="27" t="n"/>
      <c r="AD110" s="27" t="n"/>
      <c r="AE110" s="27" t="n"/>
      <c r="AF110" s="27" t="n"/>
      <c r="AG110" s="27" t="n"/>
      <c r="AH110" s="27" t="n"/>
      <c r="AI110" s="27" t="n"/>
      <c r="AJ110" s="27" t="n"/>
      <c r="AK110" s="27" t="n"/>
      <c r="AL110" s="27" t="n"/>
      <c r="AM110" s="27" t="n"/>
      <c r="AN110" s="27" t="n"/>
      <c r="AO110" s="27" t="n"/>
      <c r="AP110" s="27" t="n"/>
      <c r="AQ110" s="27" t="n"/>
      <c r="AR110" s="27" t="n"/>
      <c r="AS110" s="27" t="n"/>
      <c r="AT110" s="27" t="n"/>
      <c r="AU110" s="27" t="n"/>
      <c r="AV110" s="27" t="n"/>
      <c r="AW110" s="27" t="n"/>
      <c r="AX110" s="27" t="n"/>
      <c r="AY110" s="27" t="n"/>
      <c r="AZ110" s="27" t="n"/>
      <c r="BA110" s="27" t="n"/>
      <c r="BB110" s="27" t="n"/>
      <c r="BC110" s="27" t="n"/>
      <c r="BD110" s="27" t="n"/>
      <c r="BE110" s="27" t="n"/>
      <c r="BF110" s="27" t="n"/>
      <c r="BG110" s="27" t="n"/>
      <c r="BH110" s="27" t="n"/>
      <c r="BI110" s="29" t="n"/>
      <c r="BJ110" s="27" t="n"/>
      <c r="BK110" s="27" t="n"/>
      <c r="BL110" s="27" t="n"/>
      <c r="BM110" s="27" t="n"/>
    </row>
    <row r="111">
      <c r="A111" s="27" t="n"/>
      <c r="B111" s="27" t="n"/>
      <c r="C111" s="28">
        <f>IF(A111="","",$B$2)</f>
        <v/>
      </c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  <c r="AA111" s="27" t="n"/>
      <c r="AB111" s="27" t="n"/>
      <c r="AC111" s="27" t="n"/>
      <c r="AD111" s="27" t="n"/>
      <c r="AE111" s="27" t="n"/>
      <c r="AF111" s="27" t="n"/>
      <c r="AG111" s="27" t="n"/>
      <c r="AH111" s="27" t="n"/>
      <c r="AI111" s="27" t="n"/>
      <c r="AJ111" s="27" t="n"/>
      <c r="AK111" s="27" t="n"/>
      <c r="AL111" s="27" t="n"/>
      <c r="AM111" s="27" t="n"/>
      <c r="AN111" s="27" t="n"/>
      <c r="AO111" s="27" t="n"/>
      <c r="AP111" s="27" t="n"/>
      <c r="AQ111" s="27" t="n"/>
      <c r="AR111" s="27" t="n"/>
      <c r="AS111" s="27" t="n"/>
      <c r="AT111" s="27" t="n"/>
      <c r="AU111" s="27" t="n"/>
      <c r="AV111" s="27" t="n"/>
      <c r="AW111" s="27" t="n"/>
      <c r="AX111" s="27" t="n"/>
      <c r="AY111" s="27" t="n"/>
      <c r="AZ111" s="27" t="n"/>
      <c r="BA111" s="27" t="n"/>
      <c r="BB111" s="27" t="n"/>
      <c r="BC111" s="27" t="n"/>
      <c r="BD111" s="27" t="n"/>
      <c r="BE111" s="27" t="n"/>
      <c r="BF111" s="27" t="n"/>
      <c r="BG111" s="27" t="n"/>
      <c r="BH111" s="27" t="n"/>
      <c r="BI111" s="29" t="n"/>
      <c r="BJ111" s="27" t="n"/>
      <c r="BK111" s="27" t="n"/>
      <c r="BL111" s="27" t="n"/>
      <c r="BM111" s="27" t="n"/>
    </row>
    <row r="112">
      <c r="A112" s="27" t="n"/>
      <c r="B112" s="27" t="n"/>
      <c r="C112" s="28">
        <f>IF(A112="","",$B$2)</f>
        <v/>
      </c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  <c r="AA112" s="27" t="n"/>
      <c r="AB112" s="27" t="n"/>
      <c r="AC112" s="27" t="n"/>
      <c r="AD112" s="27" t="n"/>
      <c r="AE112" s="27" t="n"/>
      <c r="AF112" s="27" t="n"/>
      <c r="AG112" s="27" t="n"/>
      <c r="AH112" s="27" t="n"/>
      <c r="AI112" s="27" t="n"/>
      <c r="AJ112" s="27" t="n"/>
      <c r="AK112" s="27" t="n"/>
      <c r="AL112" s="27" t="n"/>
      <c r="AM112" s="27" t="n"/>
      <c r="AN112" s="27" t="n"/>
      <c r="AO112" s="27" t="n"/>
      <c r="AP112" s="27" t="n"/>
      <c r="AQ112" s="27" t="n"/>
      <c r="AR112" s="27" t="n"/>
      <c r="AS112" s="27" t="n"/>
      <c r="AT112" s="27" t="n"/>
      <c r="AU112" s="27" t="n"/>
      <c r="AV112" s="27" t="n"/>
      <c r="AW112" s="27" t="n"/>
      <c r="AX112" s="27" t="n"/>
      <c r="AY112" s="27" t="n"/>
      <c r="AZ112" s="27" t="n"/>
      <c r="BA112" s="27" t="n"/>
      <c r="BB112" s="27" t="n"/>
      <c r="BC112" s="27" t="n"/>
      <c r="BD112" s="27" t="n"/>
      <c r="BE112" s="27" t="n"/>
      <c r="BF112" s="27" t="n"/>
      <c r="BG112" s="27" t="n"/>
      <c r="BH112" s="27" t="n"/>
      <c r="BI112" s="29" t="n"/>
      <c r="BJ112" s="27" t="n"/>
      <c r="BK112" s="27" t="n"/>
      <c r="BL112" s="27" t="n"/>
      <c r="BM112" s="27" t="n"/>
    </row>
    <row r="113">
      <c r="A113" s="27" t="n"/>
      <c r="B113" s="27" t="n"/>
      <c r="C113" s="28">
        <f>IF(A113="","",$B$2)</f>
        <v/>
      </c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  <c r="AA113" s="27" t="n"/>
      <c r="AB113" s="27" t="n"/>
      <c r="AC113" s="27" t="n"/>
      <c r="AD113" s="27" t="n"/>
      <c r="AE113" s="27" t="n"/>
      <c r="AF113" s="27" t="n"/>
      <c r="AG113" s="27" t="n"/>
      <c r="AH113" s="27" t="n"/>
      <c r="AI113" s="27" t="n"/>
      <c r="AJ113" s="27" t="n"/>
      <c r="AK113" s="27" t="n"/>
      <c r="AL113" s="27" t="n"/>
      <c r="AM113" s="27" t="n"/>
      <c r="AN113" s="27" t="n"/>
      <c r="AO113" s="27" t="n"/>
      <c r="AP113" s="27" t="n"/>
      <c r="AQ113" s="27" t="n"/>
      <c r="AR113" s="27" t="n"/>
      <c r="AS113" s="27" t="n"/>
      <c r="AT113" s="27" t="n"/>
      <c r="AU113" s="27" t="n"/>
      <c r="AV113" s="27" t="n"/>
      <c r="AW113" s="27" t="n"/>
      <c r="AX113" s="27" t="n"/>
      <c r="AY113" s="27" t="n"/>
      <c r="AZ113" s="27" t="n"/>
      <c r="BA113" s="27" t="n"/>
      <c r="BB113" s="27" t="n"/>
      <c r="BC113" s="27" t="n"/>
      <c r="BD113" s="27" t="n"/>
      <c r="BE113" s="27" t="n"/>
      <c r="BF113" s="27" t="n"/>
      <c r="BG113" s="27" t="n"/>
      <c r="BH113" s="27" t="n"/>
      <c r="BI113" s="29" t="n"/>
      <c r="BJ113" s="27" t="n"/>
      <c r="BK113" s="27" t="n"/>
      <c r="BL113" s="27" t="n"/>
      <c r="BM113" s="27" t="n"/>
    </row>
    <row r="114">
      <c r="A114" s="27" t="n"/>
      <c r="B114" s="27" t="n"/>
      <c r="C114" s="28">
        <f>IF(A114="","",$B$2)</f>
        <v/>
      </c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  <c r="AA114" s="27" t="n"/>
      <c r="AB114" s="27" t="n"/>
      <c r="AC114" s="27" t="n"/>
      <c r="AD114" s="27" t="n"/>
      <c r="AE114" s="27" t="n"/>
      <c r="AF114" s="27" t="n"/>
      <c r="AG114" s="27" t="n"/>
      <c r="AH114" s="27" t="n"/>
      <c r="AI114" s="27" t="n"/>
      <c r="AJ114" s="27" t="n"/>
      <c r="AK114" s="27" t="n"/>
      <c r="AL114" s="27" t="n"/>
      <c r="AM114" s="27" t="n"/>
      <c r="AN114" s="27" t="n"/>
      <c r="AO114" s="27" t="n"/>
      <c r="AP114" s="27" t="n"/>
      <c r="AQ114" s="27" t="n"/>
      <c r="AR114" s="27" t="n"/>
      <c r="AS114" s="27" t="n"/>
      <c r="AT114" s="27" t="n"/>
      <c r="AU114" s="27" t="n"/>
      <c r="AV114" s="27" t="n"/>
      <c r="AW114" s="27" t="n"/>
      <c r="AX114" s="27" t="n"/>
      <c r="AY114" s="27" t="n"/>
      <c r="AZ114" s="27" t="n"/>
      <c r="BA114" s="27" t="n"/>
      <c r="BB114" s="27" t="n"/>
      <c r="BC114" s="27" t="n"/>
      <c r="BD114" s="27" t="n"/>
      <c r="BE114" s="27" t="n"/>
      <c r="BF114" s="27" t="n"/>
      <c r="BG114" s="27" t="n"/>
      <c r="BH114" s="27" t="n"/>
      <c r="BI114" s="29" t="n"/>
      <c r="BJ114" s="27" t="n"/>
      <c r="BK114" s="27" t="n"/>
      <c r="BL114" s="27" t="n"/>
      <c r="BM114" s="27" t="n"/>
    </row>
    <row r="115">
      <c r="A115" s="27" t="n"/>
      <c r="B115" s="27" t="n"/>
      <c r="C115" s="28">
        <f>IF(A115="","",$B$2)</f>
        <v/>
      </c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  <c r="AA115" s="27" t="n"/>
      <c r="AB115" s="27" t="n"/>
      <c r="AC115" s="27" t="n"/>
      <c r="AD115" s="27" t="n"/>
      <c r="AE115" s="27" t="n"/>
      <c r="AF115" s="27" t="n"/>
      <c r="AG115" s="27" t="n"/>
      <c r="AH115" s="27" t="n"/>
      <c r="AI115" s="27" t="n"/>
      <c r="AJ115" s="27" t="n"/>
      <c r="AK115" s="27" t="n"/>
      <c r="AL115" s="27" t="n"/>
      <c r="AM115" s="27" t="n"/>
      <c r="AN115" s="27" t="n"/>
      <c r="AO115" s="27" t="n"/>
      <c r="AP115" s="27" t="n"/>
      <c r="AQ115" s="27" t="n"/>
      <c r="AR115" s="27" t="n"/>
      <c r="AS115" s="27" t="n"/>
      <c r="AT115" s="27" t="n"/>
      <c r="AU115" s="27" t="n"/>
      <c r="AV115" s="27" t="n"/>
      <c r="AW115" s="27" t="n"/>
      <c r="AX115" s="27" t="n"/>
      <c r="AY115" s="27" t="n"/>
      <c r="AZ115" s="27" t="n"/>
      <c r="BA115" s="27" t="n"/>
      <c r="BB115" s="27" t="n"/>
      <c r="BC115" s="27" t="n"/>
      <c r="BD115" s="27" t="n"/>
      <c r="BE115" s="27" t="n"/>
      <c r="BF115" s="27" t="n"/>
      <c r="BG115" s="27" t="n"/>
      <c r="BH115" s="27" t="n"/>
      <c r="BI115" s="29" t="n"/>
      <c r="BJ115" s="27" t="n"/>
      <c r="BK115" s="27" t="n"/>
      <c r="BL115" s="27" t="n"/>
      <c r="BM115" s="27" t="n"/>
    </row>
    <row r="116">
      <c r="A116" s="27" t="n"/>
      <c r="B116" s="27" t="n"/>
      <c r="C116" s="28">
        <f>IF(A116="","",$B$2)</f>
        <v/>
      </c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  <c r="AA116" s="27" t="n"/>
      <c r="AB116" s="27" t="n"/>
      <c r="AC116" s="27" t="n"/>
      <c r="AD116" s="27" t="n"/>
      <c r="AE116" s="27" t="n"/>
      <c r="AF116" s="27" t="n"/>
      <c r="AG116" s="27" t="n"/>
      <c r="AH116" s="27" t="n"/>
      <c r="AI116" s="27" t="n"/>
      <c r="AJ116" s="27" t="n"/>
      <c r="AK116" s="27" t="n"/>
      <c r="AL116" s="27" t="n"/>
      <c r="AM116" s="27" t="n"/>
      <c r="AN116" s="27" t="n"/>
      <c r="AO116" s="27" t="n"/>
      <c r="AP116" s="27" t="n"/>
      <c r="AQ116" s="27" t="n"/>
      <c r="AR116" s="27" t="n"/>
      <c r="AS116" s="27" t="n"/>
      <c r="AT116" s="27" t="n"/>
      <c r="AU116" s="27" t="n"/>
      <c r="AV116" s="27" t="n"/>
      <c r="AW116" s="27" t="n"/>
      <c r="AX116" s="27" t="n"/>
      <c r="AY116" s="27" t="n"/>
      <c r="AZ116" s="27" t="n"/>
      <c r="BA116" s="27" t="n"/>
      <c r="BB116" s="27" t="n"/>
      <c r="BC116" s="27" t="n"/>
      <c r="BD116" s="27" t="n"/>
      <c r="BE116" s="27" t="n"/>
      <c r="BF116" s="27" t="n"/>
      <c r="BG116" s="27" t="n"/>
      <c r="BH116" s="27" t="n"/>
      <c r="BI116" s="29" t="n"/>
      <c r="BJ116" s="27" t="n"/>
      <c r="BK116" s="27" t="n"/>
      <c r="BL116" s="27" t="n"/>
      <c r="BM116" s="27" t="n"/>
    </row>
    <row r="117">
      <c r="A117" s="27" t="n"/>
      <c r="B117" s="27" t="n"/>
      <c r="C117" s="28">
        <f>IF(A117="","",$B$2)</f>
        <v/>
      </c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  <c r="AA117" s="27" t="n"/>
      <c r="AB117" s="27" t="n"/>
      <c r="AC117" s="27" t="n"/>
      <c r="AD117" s="27" t="n"/>
      <c r="AE117" s="27" t="n"/>
      <c r="AF117" s="27" t="n"/>
      <c r="AG117" s="27" t="n"/>
      <c r="AH117" s="27" t="n"/>
      <c r="AI117" s="27" t="n"/>
      <c r="AJ117" s="27" t="n"/>
      <c r="AK117" s="27" t="n"/>
      <c r="AL117" s="27" t="n"/>
      <c r="AM117" s="27" t="n"/>
      <c r="AN117" s="27" t="n"/>
      <c r="AO117" s="27" t="n"/>
      <c r="AP117" s="27" t="n"/>
      <c r="AQ117" s="27" t="n"/>
      <c r="AR117" s="27" t="n"/>
      <c r="AS117" s="27" t="n"/>
      <c r="AT117" s="27" t="n"/>
      <c r="AU117" s="27" t="n"/>
      <c r="AV117" s="27" t="n"/>
      <c r="AW117" s="27" t="n"/>
      <c r="AX117" s="27" t="n"/>
      <c r="AY117" s="27" t="n"/>
      <c r="AZ117" s="27" t="n"/>
      <c r="BA117" s="27" t="n"/>
      <c r="BB117" s="27" t="n"/>
      <c r="BC117" s="27" t="n"/>
      <c r="BD117" s="27" t="n"/>
      <c r="BE117" s="27" t="n"/>
      <c r="BF117" s="27" t="n"/>
      <c r="BG117" s="27" t="n"/>
      <c r="BH117" s="27" t="n"/>
      <c r="BI117" s="29" t="n"/>
      <c r="BJ117" s="27" t="n"/>
      <c r="BK117" s="27" t="n"/>
      <c r="BL117" s="27" t="n"/>
      <c r="BM117" s="27" t="n"/>
    </row>
    <row r="118">
      <c r="A118" s="27" t="n"/>
      <c r="B118" s="27" t="n"/>
      <c r="C118" s="28">
        <f>IF(A118="","",$B$2)</f>
        <v/>
      </c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  <c r="AA118" s="27" t="n"/>
      <c r="AB118" s="27" t="n"/>
      <c r="AC118" s="27" t="n"/>
      <c r="AD118" s="27" t="n"/>
      <c r="AE118" s="27" t="n"/>
      <c r="AF118" s="27" t="n"/>
      <c r="AG118" s="27" t="n"/>
      <c r="AH118" s="27" t="n"/>
      <c r="AI118" s="27" t="n"/>
      <c r="AJ118" s="27" t="n"/>
      <c r="AK118" s="27" t="n"/>
      <c r="AL118" s="27" t="n"/>
      <c r="AM118" s="27" t="n"/>
      <c r="AN118" s="27" t="n"/>
      <c r="AO118" s="27" t="n"/>
      <c r="AP118" s="27" t="n"/>
      <c r="AQ118" s="27" t="n"/>
      <c r="AR118" s="27" t="n"/>
      <c r="AS118" s="27" t="n"/>
      <c r="AT118" s="27" t="n"/>
      <c r="AU118" s="27" t="n"/>
      <c r="AV118" s="27" t="n"/>
      <c r="AW118" s="27" t="n"/>
      <c r="AX118" s="27" t="n"/>
      <c r="AY118" s="27" t="n"/>
      <c r="AZ118" s="27" t="n"/>
      <c r="BA118" s="27" t="n"/>
      <c r="BB118" s="27" t="n"/>
      <c r="BC118" s="27" t="n"/>
      <c r="BD118" s="27" t="n"/>
      <c r="BE118" s="27" t="n"/>
      <c r="BF118" s="27" t="n"/>
      <c r="BG118" s="27" t="n"/>
      <c r="BH118" s="27" t="n"/>
      <c r="BI118" s="29" t="n"/>
      <c r="BJ118" s="27" t="n"/>
      <c r="BK118" s="27" t="n"/>
      <c r="BL118" s="27" t="n"/>
      <c r="BM118" s="27" t="n"/>
    </row>
    <row r="119">
      <c r="A119" s="27" t="n"/>
      <c r="B119" s="27" t="n"/>
      <c r="C119" s="28">
        <f>IF(A119="","",$B$2)</f>
        <v/>
      </c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  <c r="AA119" s="27" t="n"/>
      <c r="AB119" s="27" t="n"/>
      <c r="AC119" s="27" t="n"/>
      <c r="AD119" s="27" t="n"/>
      <c r="AE119" s="27" t="n"/>
      <c r="AF119" s="27" t="n"/>
      <c r="AG119" s="27" t="n"/>
      <c r="AH119" s="27" t="n"/>
      <c r="AI119" s="27" t="n"/>
      <c r="AJ119" s="27" t="n"/>
      <c r="AK119" s="27" t="n"/>
      <c r="AL119" s="27" t="n"/>
      <c r="AM119" s="27" t="n"/>
      <c r="AN119" s="27" t="n"/>
      <c r="AO119" s="27" t="n"/>
      <c r="AP119" s="27" t="n"/>
      <c r="AQ119" s="27" t="n"/>
      <c r="AR119" s="27" t="n"/>
      <c r="AS119" s="27" t="n"/>
      <c r="AT119" s="27" t="n"/>
      <c r="AU119" s="27" t="n"/>
      <c r="AV119" s="27" t="n"/>
      <c r="AW119" s="27" t="n"/>
      <c r="AX119" s="27" t="n"/>
      <c r="AY119" s="27" t="n"/>
      <c r="AZ119" s="27" t="n"/>
      <c r="BA119" s="27" t="n"/>
      <c r="BB119" s="27" t="n"/>
      <c r="BC119" s="27" t="n"/>
      <c r="BD119" s="27" t="n"/>
      <c r="BE119" s="27" t="n"/>
      <c r="BF119" s="27" t="n"/>
      <c r="BG119" s="27" t="n"/>
      <c r="BH119" s="27" t="n"/>
      <c r="BI119" s="29" t="n"/>
      <c r="BJ119" s="27" t="n"/>
      <c r="BK119" s="27" t="n"/>
      <c r="BL119" s="27" t="n"/>
      <c r="BM119" s="27" t="n"/>
    </row>
    <row r="120">
      <c r="A120" s="27" t="n"/>
      <c r="B120" s="27" t="n"/>
      <c r="C120" s="28">
        <f>IF(A120="","",$B$2)</f>
        <v/>
      </c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  <c r="AA120" s="27" t="n"/>
      <c r="AB120" s="27" t="n"/>
      <c r="AC120" s="27" t="n"/>
      <c r="AD120" s="27" t="n"/>
      <c r="AE120" s="27" t="n"/>
      <c r="AF120" s="27" t="n"/>
      <c r="AG120" s="27" t="n"/>
      <c r="AH120" s="27" t="n"/>
      <c r="AI120" s="27" t="n"/>
      <c r="AJ120" s="27" t="n"/>
      <c r="AK120" s="27" t="n"/>
      <c r="AL120" s="27" t="n"/>
      <c r="AM120" s="27" t="n"/>
      <c r="AN120" s="27" t="n"/>
      <c r="AO120" s="27" t="n"/>
      <c r="AP120" s="27" t="n"/>
      <c r="AQ120" s="27" t="n"/>
      <c r="AR120" s="27" t="n"/>
      <c r="AS120" s="27" t="n"/>
      <c r="AT120" s="27" t="n"/>
      <c r="AU120" s="27" t="n"/>
      <c r="AV120" s="27" t="n"/>
      <c r="AW120" s="27" t="n"/>
      <c r="AX120" s="27" t="n"/>
      <c r="AY120" s="27" t="n"/>
      <c r="AZ120" s="27" t="n"/>
      <c r="BA120" s="27" t="n"/>
      <c r="BB120" s="27" t="n"/>
      <c r="BC120" s="27" t="n"/>
      <c r="BD120" s="27" t="n"/>
      <c r="BE120" s="27" t="n"/>
      <c r="BF120" s="27" t="n"/>
      <c r="BG120" s="27" t="n"/>
      <c r="BH120" s="27" t="n"/>
      <c r="BI120" s="29" t="n"/>
      <c r="BJ120" s="27" t="n"/>
      <c r="BK120" s="27" t="n"/>
      <c r="BL120" s="27" t="n"/>
      <c r="BM120" s="27" t="n"/>
    </row>
    <row r="121">
      <c r="A121" s="27" t="n"/>
      <c r="B121" s="27" t="n"/>
      <c r="C121" s="28">
        <f>IF(A121="","",$B$2)</f>
        <v/>
      </c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  <c r="AA121" s="27" t="n"/>
      <c r="AB121" s="27" t="n"/>
      <c r="AC121" s="27" t="n"/>
      <c r="AD121" s="27" t="n"/>
      <c r="AE121" s="27" t="n"/>
      <c r="AF121" s="27" t="n"/>
      <c r="AG121" s="27" t="n"/>
      <c r="AH121" s="27" t="n"/>
      <c r="AI121" s="27" t="n"/>
      <c r="AJ121" s="27" t="n"/>
      <c r="AK121" s="27" t="n"/>
      <c r="AL121" s="27" t="n"/>
      <c r="AM121" s="27" t="n"/>
      <c r="AN121" s="27" t="n"/>
      <c r="AO121" s="27" t="n"/>
      <c r="AP121" s="27" t="n"/>
      <c r="AQ121" s="27" t="n"/>
      <c r="AR121" s="27" t="n"/>
      <c r="AS121" s="27" t="n"/>
      <c r="AT121" s="27" t="n"/>
      <c r="AU121" s="27" t="n"/>
      <c r="AV121" s="27" t="n"/>
      <c r="AW121" s="27" t="n"/>
      <c r="AX121" s="27" t="n"/>
      <c r="AY121" s="27" t="n"/>
      <c r="AZ121" s="27" t="n"/>
      <c r="BA121" s="27" t="n"/>
      <c r="BB121" s="27" t="n"/>
      <c r="BC121" s="27" t="n"/>
      <c r="BD121" s="27" t="n"/>
      <c r="BE121" s="27" t="n"/>
      <c r="BF121" s="27" t="n"/>
      <c r="BG121" s="27" t="n"/>
      <c r="BH121" s="27" t="n"/>
      <c r="BI121" s="29" t="n"/>
      <c r="BJ121" s="27" t="n"/>
      <c r="BK121" s="27" t="n"/>
      <c r="BL121" s="27" t="n"/>
      <c r="BM121" s="27" t="n"/>
    </row>
    <row r="122">
      <c r="A122" s="27" t="n"/>
      <c r="B122" s="27" t="n"/>
      <c r="C122" s="28">
        <f>IF(A122="","",$B$2)</f>
        <v/>
      </c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  <c r="AA122" s="27" t="n"/>
      <c r="AB122" s="27" t="n"/>
      <c r="AC122" s="27" t="n"/>
      <c r="AD122" s="27" t="n"/>
      <c r="AE122" s="27" t="n"/>
      <c r="AF122" s="27" t="n"/>
      <c r="AG122" s="27" t="n"/>
      <c r="AH122" s="27" t="n"/>
      <c r="AI122" s="27" t="n"/>
      <c r="AJ122" s="27" t="n"/>
      <c r="AK122" s="27" t="n"/>
      <c r="AL122" s="27" t="n"/>
      <c r="AM122" s="27" t="n"/>
      <c r="AN122" s="27" t="n"/>
      <c r="AO122" s="27" t="n"/>
      <c r="AP122" s="27" t="n"/>
      <c r="AQ122" s="27" t="n"/>
      <c r="AR122" s="27" t="n"/>
      <c r="AS122" s="27" t="n"/>
      <c r="AT122" s="27" t="n"/>
      <c r="AU122" s="27" t="n"/>
      <c r="AV122" s="27" t="n"/>
      <c r="AW122" s="27" t="n"/>
      <c r="AX122" s="27" t="n"/>
      <c r="AY122" s="27" t="n"/>
      <c r="AZ122" s="27" t="n"/>
      <c r="BA122" s="27" t="n"/>
      <c r="BB122" s="27" t="n"/>
      <c r="BC122" s="27" t="n"/>
      <c r="BD122" s="27" t="n"/>
      <c r="BE122" s="27" t="n"/>
      <c r="BF122" s="27" t="n"/>
      <c r="BG122" s="27" t="n"/>
      <c r="BH122" s="27" t="n"/>
      <c r="BI122" s="29" t="n"/>
      <c r="BJ122" s="27" t="n"/>
      <c r="BK122" s="27" t="n"/>
      <c r="BL122" s="27" t="n"/>
      <c r="BM122" s="27" t="n"/>
    </row>
    <row r="123">
      <c r="A123" s="27" t="n"/>
      <c r="B123" s="27" t="n"/>
      <c r="C123" s="28">
        <f>IF(A123="","",$B$2)</f>
        <v/>
      </c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  <c r="AA123" s="27" t="n"/>
      <c r="AB123" s="27" t="n"/>
      <c r="AC123" s="27" t="n"/>
      <c r="AD123" s="27" t="n"/>
      <c r="AE123" s="27" t="n"/>
      <c r="AF123" s="27" t="n"/>
      <c r="AG123" s="27" t="n"/>
      <c r="AH123" s="27" t="n"/>
      <c r="AI123" s="27" t="n"/>
      <c r="AJ123" s="27" t="n"/>
      <c r="AK123" s="27" t="n"/>
      <c r="AL123" s="27" t="n"/>
      <c r="AM123" s="27" t="n"/>
      <c r="AN123" s="27" t="n"/>
      <c r="AO123" s="27" t="n"/>
      <c r="AP123" s="27" t="n"/>
      <c r="AQ123" s="27" t="n"/>
      <c r="AR123" s="27" t="n"/>
      <c r="AS123" s="27" t="n"/>
      <c r="AT123" s="27" t="n"/>
      <c r="AU123" s="27" t="n"/>
      <c r="AV123" s="27" t="n"/>
      <c r="AW123" s="27" t="n"/>
      <c r="AX123" s="27" t="n"/>
      <c r="AY123" s="27" t="n"/>
      <c r="AZ123" s="27" t="n"/>
      <c r="BA123" s="27" t="n"/>
      <c r="BB123" s="27" t="n"/>
      <c r="BC123" s="27" t="n"/>
      <c r="BD123" s="27" t="n"/>
      <c r="BE123" s="27" t="n"/>
      <c r="BF123" s="27" t="n"/>
      <c r="BG123" s="27" t="n"/>
      <c r="BH123" s="27" t="n"/>
      <c r="BI123" s="29" t="n"/>
      <c r="BJ123" s="27" t="n"/>
      <c r="BK123" s="27" t="n"/>
      <c r="BL123" s="27" t="n"/>
      <c r="BM123" s="27" t="n"/>
    </row>
    <row r="124">
      <c r="A124" s="27" t="n"/>
      <c r="B124" s="27" t="n"/>
      <c r="C124" s="28">
        <f>IF(A124="","",$B$2)</f>
        <v/>
      </c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  <c r="AA124" s="27" t="n"/>
      <c r="AB124" s="27" t="n"/>
      <c r="AC124" s="27" t="n"/>
      <c r="AD124" s="27" t="n"/>
      <c r="AE124" s="27" t="n"/>
      <c r="AF124" s="27" t="n"/>
      <c r="AG124" s="27" t="n"/>
      <c r="AH124" s="27" t="n"/>
      <c r="AI124" s="27" t="n"/>
      <c r="AJ124" s="27" t="n"/>
      <c r="AK124" s="27" t="n"/>
      <c r="AL124" s="27" t="n"/>
      <c r="AM124" s="27" t="n"/>
      <c r="AN124" s="27" t="n"/>
      <c r="AO124" s="27" t="n"/>
      <c r="AP124" s="27" t="n"/>
      <c r="AQ124" s="27" t="n"/>
      <c r="AR124" s="27" t="n"/>
      <c r="AS124" s="27" t="n"/>
      <c r="AT124" s="27" t="n"/>
      <c r="AU124" s="27" t="n"/>
      <c r="AV124" s="27" t="n"/>
      <c r="AW124" s="27" t="n"/>
      <c r="AX124" s="27" t="n"/>
      <c r="AY124" s="27" t="n"/>
      <c r="AZ124" s="27" t="n"/>
      <c r="BA124" s="27" t="n"/>
      <c r="BB124" s="27" t="n"/>
      <c r="BC124" s="27" t="n"/>
      <c r="BD124" s="27" t="n"/>
      <c r="BE124" s="27" t="n"/>
      <c r="BF124" s="27" t="n"/>
      <c r="BG124" s="27" t="n"/>
      <c r="BH124" s="27" t="n"/>
      <c r="BI124" s="29" t="n"/>
      <c r="BJ124" s="27" t="n"/>
      <c r="BK124" s="27" t="n"/>
      <c r="BL124" s="27" t="n"/>
      <c r="BM124" s="27" t="n"/>
    </row>
    <row r="125">
      <c r="A125" s="27" t="n"/>
      <c r="B125" s="27" t="n"/>
      <c r="C125" s="28">
        <f>IF(A125="","",$B$2)</f>
        <v/>
      </c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  <c r="AA125" s="27" t="n"/>
      <c r="AB125" s="27" t="n"/>
      <c r="AC125" s="27" t="n"/>
      <c r="AD125" s="27" t="n"/>
      <c r="AE125" s="27" t="n"/>
      <c r="AF125" s="27" t="n"/>
      <c r="AG125" s="27" t="n"/>
      <c r="AH125" s="27" t="n"/>
      <c r="AI125" s="27" t="n"/>
      <c r="AJ125" s="27" t="n"/>
      <c r="AK125" s="27" t="n"/>
      <c r="AL125" s="27" t="n"/>
      <c r="AM125" s="27" t="n"/>
      <c r="AN125" s="27" t="n"/>
      <c r="AO125" s="27" t="n"/>
      <c r="AP125" s="27" t="n"/>
      <c r="AQ125" s="27" t="n"/>
      <c r="AR125" s="27" t="n"/>
      <c r="AS125" s="27" t="n"/>
      <c r="AT125" s="27" t="n"/>
      <c r="AU125" s="27" t="n"/>
      <c r="AV125" s="27" t="n"/>
      <c r="AW125" s="27" t="n"/>
      <c r="AX125" s="27" t="n"/>
      <c r="AY125" s="27" t="n"/>
      <c r="AZ125" s="27" t="n"/>
      <c r="BA125" s="27" t="n"/>
      <c r="BB125" s="27" t="n"/>
      <c r="BC125" s="27" t="n"/>
      <c r="BD125" s="27" t="n"/>
      <c r="BE125" s="27" t="n"/>
      <c r="BF125" s="27" t="n"/>
      <c r="BG125" s="27" t="n"/>
      <c r="BH125" s="27" t="n"/>
      <c r="BI125" s="29" t="n"/>
      <c r="BJ125" s="27" t="n"/>
      <c r="BK125" s="27" t="n"/>
      <c r="BL125" s="27" t="n"/>
      <c r="BM125" s="27" t="n"/>
    </row>
    <row r="126">
      <c r="A126" s="27" t="n"/>
      <c r="B126" s="27" t="n"/>
      <c r="C126" s="28">
        <f>IF(A126="","",$B$2)</f>
        <v/>
      </c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  <c r="AA126" s="27" t="n"/>
      <c r="AB126" s="27" t="n"/>
      <c r="AC126" s="27" t="n"/>
      <c r="AD126" s="27" t="n"/>
      <c r="AE126" s="27" t="n"/>
      <c r="AF126" s="27" t="n"/>
      <c r="AG126" s="27" t="n"/>
      <c r="AH126" s="27" t="n"/>
      <c r="AI126" s="27" t="n"/>
      <c r="AJ126" s="27" t="n"/>
      <c r="AK126" s="27" t="n"/>
      <c r="AL126" s="27" t="n"/>
      <c r="AM126" s="27" t="n"/>
      <c r="AN126" s="27" t="n"/>
      <c r="AO126" s="27" t="n"/>
      <c r="AP126" s="27" t="n"/>
      <c r="AQ126" s="27" t="n"/>
      <c r="AR126" s="27" t="n"/>
      <c r="AS126" s="27" t="n"/>
      <c r="AT126" s="27" t="n"/>
      <c r="AU126" s="27" t="n"/>
      <c r="AV126" s="27" t="n"/>
      <c r="AW126" s="27" t="n"/>
      <c r="AX126" s="27" t="n"/>
      <c r="AY126" s="27" t="n"/>
      <c r="AZ126" s="27" t="n"/>
      <c r="BA126" s="27" t="n"/>
      <c r="BB126" s="27" t="n"/>
      <c r="BC126" s="27" t="n"/>
      <c r="BD126" s="27" t="n"/>
      <c r="BE126" s="27" t="n"/>
      <c r="BF126" s="27" t="n"/>
      <c r="BG126" s="27" t="n"/>
      <c r="BH126" s="27" t="n"/>
      <c r="BI126" s="29" t="n"/>
      <c r="BJ126" s="27" t="n"/>
      <c r="BK126" s="27" t="n"/>
      <c r="BL126" s="27" t="n"/>
      <c r="BM126" s="27" t="n"/>
    </row>
    <row r="127">
      <c r="A127" s="27" t="n"/>
      <c r="B127" s="27" t="n"/>
      <c r="C127" s="28">
        <f>IF(A127="","",$B$2)</f>
        <v/>
      </c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  <c r="AA127" s="27" t="n"/>
      <c r="AB127" s="27" t="n"/>
      <c r="AC127" s="27" t="n"/>
      <c r="AD127" s="27" t="n"/>
      <c r="AE127" s="27" t="n"/>
      <c r="AF127" s="27" t="n"/>
      <c r="AG127" s="27" t="n"/>
      <c r="AH127" s="27" t="n"/>
      <c r="AI127" s="27" t="n"/>
      <c r="AJ127" s="27" t="n"/>
      <c r="AK127" s="27" t="n"/>
      <c r="AL127" s="27" t="n"/>
      <c r="AM127" s="27" t="n"/>
      <c r="AN127" s="27" t="n"/>
      <c r="AO127" s="27" t="n"/>
      <c r="AP127" s="27" t="n"/>
      <c r="AQ127" s="27" t="n"/>
      <c r="AR127" s="27" t="n"/>
      <c r="AS127" s="27" t="n"/>
      <c r="AT127" s="27" t="n"/>
      <c r="AU127" s="27" t="n"/>
      <c r="AV127" s="27" t="n"/>
      <c r="AW127" s="27" t="n"/>
      <c r="AX127" s="27" t="n"/>
      <c r="AY127" s="27" t="n"/>
      <c r="AZ127" s="27" t="n"/>
      <c r="BA127" s="27" t="n"/>
      <c r="BB127" s="27" t="n"/>
      <c r="BC127" s="27" t="n"/>
      <c r="BD127" s="27" t="n"/>
      <c r="BE127" s="27" t="n"/>
      <c r="BF127" s="27" t="n"/>
      <c r="BG127" s="27" t="n"/>
      <c r="BH127" s="27" t="n"/>
      <c r="BI127" s="29" t="n"/>
      <c r="BJ127" s="27" t="n"/>
      <c r="BK127" s="27" t="n"/>
      <c r="BL127" s="27" t="n"/>
      <c r="BM127" s="27" t="n"/>
    </row>
    <row r="128">
      <c r="A128" s="27" t="n"/>
      <c r="B128" s="27" t="n"/>
      <c r="C128" s="28">
        <f>IF(A128="","",$B$2)</f>
        <v/>
      </c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  <c r="AA128" s="27" t="n"/>
      <c r="AB128" s="27" t="n"/>
      <c r="AC128" s="27" t="n"/>
      <c r="AD128" s="27" t="n"/>
      <c r="AE128" s="27" t="n"/>
      <c r="AF128" s="27" t="n"/>
      <c r="AG128" s="27" t="n"/>
      <c r="AH128" s="27" t="n"/>
      <c r="AI128" s="27" t="n"/>
      <c r="AJ128" s="27" t="n"/>
      <c r="AK128" s="27" t="n"/>
      <c r="AL128" s="27" t="n"/>
      <c r="AM128" s="27" t="n"/>
      <c r="AN128" s="27" t="n"/>
      <c r="AO128" s="27" t="n"/>
      <c r="AP128" s="27" t="n"/>
      <c r="AQ128" s="27" t="n"/>
      <c r="AR128" s="27" t="n"/>
      <c r="AS128" s="27" t="n"/>
      <c r="AT128" s="27" t="n"/>
      <c r="AU128" s="27" t="n"/>
      <c r="AV128" s="27" t="n"/>
      <c r="AW128" s="27" t="n"/>
      <c r="AX128" s="27" t="n"/>
      <c r="AY128" s="27" t="n"/>
      <c r="AZ128" s="27" t="n"/>
      <c r="BA128" s="27" t="n"/>
      <c r="BB128" s="27" t="n"/>
      <c r="BC128" s="27" t="n"/>
      <c r="BD128" s="27" t="n"/>
      <c r="BE128" s="27" t="n"/>
      <c r="BF128" s="27" t="n"/>
      <c r="BG128" s="27" t="n"/>
      <c r="BH128" s="27" t="n"/>
      <c r="BI128" s="29" t="n"/>
      <c r="BJ128" s="27" t="n"/>
      <c r="BK128" s="27" t="n"/>
      <c r="BL128" s="27" t="n"/>
      <c r="BM128" s="27" t="n"/>
    </row>
    <row r="129">
      <c r="A129" s="27" t="n"/>
      <c r="B129" s="27" t="n"/>
      <c r="C129" s="28">
        <f>IF(A129="","",$B$2)</f>
        <v/>
      </c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  <c r="AA129" s="27" t="n"/>
      <c r="AB129" s="27" t="n"/>
      <c r="AC129" s="27" t="n"/>
      <c r="AD129" s="27" t="n"/>
      <c r="AE129" s="27" t="n"/>
      <c r="AF129" s="27" t="n"/>
      <c r="AG129" s="27" t="n"/>
      <c r="AH129" s="27" t="n"/>
      <c r="AI129" s="27" t="n"/>
      <c r="AJ129" s="27" t="n"/>
      <c r="AK129" s="27" t="n"/>
      <c r="AL129" s="27" t="n"/>
      <c r="AM129" s="27" t="n"/>
      <c r="AN129" s="27" t="n"/>
      <c r="AO129" s="27" t="n"/>
      <c r="AP129" s="27" t="n"/>
      <c r="AQ129" s="27" t="n"/>
      <c r="AR129" s="27" t="n"/>
      <c r="AS129" s="27" t="n"/>
      <c r="AT129" s="27" t="n"/>
      <c r="AU129" s="27" t="n"/>
      <c r="AV129" s="27" t="n"/>
      <c r="AW129" s="27" t="n"/>
      <c r="AX129" s="27" t="n"/>
      <c r="AY129" s="27" t="n"/>
      <c r="AZ129" s="27" t="n"/>
      <c r="BA129" s="27" t="n"/>
      <c r="BB129" s="27" t="n"/>
      <c r="BC129" s="27" t="n"/>
      <c r="BD129" s="27" t="n"/>
      <c r="BE129" s="27" t="n"/>
      <c r="BF129" s="27" t="n"/>
      <c r="BG129" s="27" t="n"/>
      <c r="BH129" s="27" t="n"/>
      <c r="BI129" s="29" t="n"/>
      <c r="BJ129" s="27" t="n"/>
      <c r="BK129" s="27" t="n"/>
      <c r="BL129" s="27" t="n"/>
      <c r="BM129" s="27" t="n"/>
    </row>
    <row r="130">
      <c r="A130" s="27" t="n"/>
      <c r="B130" s="27" t="n"/>
      <c r="C130" s="28">
        <f>IF(A130="","",$B$2)</f>
        <v/>
      </c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  <c r="AA130" s="27" t="n"/>
      <c r="AB130" s="27" t="n"/>
      <c r="AC130" s="27" t="n"/>
      <c r="AD130" s="27" t="n"/>
      <c r="AE130" s="27" t="n"/>
      <c r="AF130" s="27" t="n"/>
      <c r="AG130" s="27" t="n"/>
      <c r="AH130" s="27" t="n"/>
      <c r="AI130" s="27" t="n"/>
      <c r="AJ130" s="27" t="n"/>
      <c r="AK130" s="27" t="n"/>
      <c r="AL130" s="27" t="n"/>
      <c r="AM130" s="27" t="n"/>
      <c r="AN130" s="27" t="n"/>
      <c r="AO130" s="27" t="n"/>
      <c r="AP130" s="27" t="n"/>
      <c r="AQ130" s="27" t="n"/>
      <c r="AR130" s="27" t="n"/>
      <c r="AS130" s="27" t="n"/>
      <c r="AT130" s="27" t="n"/>
      <c r="AU130" s="27" t="n"/>
      <c r="AV130" s="27" t="n"/>
      <c r="AW130" s="27" t="n"/>
      <c r="AX130" s="27" t="n"/>
      <c r="AY130" s="27" t="n"/>
      <c r="AZ130" s="27" t="n"/>
      <c r="BA130" s="27" t="n"/>
      <c r="BB130" s="27" t="n"/>
      <c r="BC130" s="27" t="n"/>
      <c r="BD130" s="27" t="n"/>
      <c r="BE130" s="27" t="n"/>
      <c r="BF130" s="27" t="n"/>
      <c r="BG130" s="27" t="n"/>
      <c r="BH130" s="27" t="n"/>
      <c r="BI130" s="29" t="n"/>
      <c r="BJ130" s="27" t="n"/>
      <c r="BK130" s="27" t="n"/>
      <c r="BL130" s="27" t="n"/>
      <c r="BM130" s="27" t="n"/>
    </row>
    <row r="131">
      <c r="A131" s="27" t="n"/>
      <c r="B131" s="27" t="n"/>
      <c r="C131" s="28">
        <f>IF(A131="","",$B$2)</f>
        <v/>
      </c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  <c r="AA131" s="27" t="n"/>
      <c r="AB131" s="27" t="n"/>
      <c r="AC131" s="27" t="n"/>
      <c r="AD131" s="27" t="n"/>
      <c r="AE131" s="27" t="n"/>
      <c r="AF131" s="27" t="n"/>
      <c r="AG131" s="27" t="n"/>
      <c r="AH131" s="27" t="n"/>
      <c r="AI131" s="27" t="n"/>
      <c r="AJ131" s="27" t="n"/>
      <c r="AK131" s="27" t="n"/>
      <c r="AL131" s="27" t="n"/>
      <c r="AM131" s="27" t="n"/>
      <c r="AN131" s="27" t="n"/>
      <c r="AO131" s="27" t="n"/>
      <c r="AP131" s="27" t="n"/>
      <c r="AQ131" s="27" t="n"/>
      <c r="AR131" s="27" t="n"/>
      <c r="AS131" s="27" t="n"/>
      <c r="AT131" s="27" t="n"/>
      <c r="AU131" s="27" t="n"/>
      <c r="AV131" s="27" t="n"/>
      <c r="AW131" s="27" t="n"/>
      <c r="AX131" s="27" t="n"/>
      <c r="AY131" s="27" t="n"/>
      <c r="AZ131" s="27" t="n"/>
      <c r="BA131" s="27" t="n"/>
      <c r="BB131" s="27" t="n"/>
      <c r="BC131" s="27" t="n"/>
      <c r="BD131" s="27" t="n"/>
      <c r="BE131" s="27" t="n"/>
      <c r="BF131" s="27" t="n"/>
      <c r="BG131" s="27" t="n"/>
      <c r="BH131" s="27" t="n"/>
      <c r="BI131" s="29" t="n"/>
      <c r="BJ131" s="27" t="n"/>
      <c r="BK131" s="27" t="n"/>
      <c r="BL131" s="27" t="n"/>
      <c r="BM131" s="27" t="n"/>
    </row>
    <row r="132">
      <c r="A132" s="27" t="n"/>
      <c r="B132" s="27" t="n"/>
      <c r="C132" s="28">
        <f>IF(A132="","",$B$2)</f>
        <v/>
      </c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  <c r="AA132" s="27" t="n"/>
      <c r="AB132" s="27" t="n"/>
      <c r="AC132" s="27" t="n"/>
      <c r="AD132" s="27" t="n"/>
      <c r="AE132" s="27" t="n"/>
      <c r="AF132" s="27" t="n"/>
      <c r="AG132" s="27" t="n"/>
      <c r="AH132" s="27" t="n"/>
      <c r="AI132" s="27" t="n"/>
      <c r="AJ132" s="27" t="n"/>
      <c r="AK132" s="27" t="n"/>
      <c r="AL132" s="27" t="n"/>
      <c r="AM132" s="27" t="n"/>
      <c r="AN132" s="27" t="n"/>
      <c r="AO132" s="27" t="n"/>
      <c r="AP132" s="27" t="n"/>
      <c r="AQ132" s="27" t="n"/>
      <c r="AR132" s="27" t="n"/>
      <c r="AS132" s="27" t="n"/>
      <c r="AT132" s="27" t="n"/>
      <c r="AU132" s="27" t="n"/>
      <c r="AV132" s="27" t="n"/>
      <c r="AW132" s="27" t="n"/>
      <c r="AX132" s="27" t="n"/>
      <c r="AY132" s="27" t="n"/>
      <c r="AZ132" s="27" t="n"/>
      <c r="BA132" s="27" t="n"/>
      <c r="BB132" s="27" t="n"/>
      <c r="BC132" s="27" t="n"/>
      <c r="BD132" s="27" t="n"/>
      <c r="BE132" s="27" t="n"/>
      <c r="BF132" s="27" t="n"/>
      <c r="BG132" s="27" t="n"/>
      <c r="BH132" s="27" t="n"/>
      <c r="BI132" s="29" t="n"/>
      <c r="BJ132" s="27" t="n"/>
      <c r="BK132" s="27" t="n"/>
      <c r="BL132" s="27" t="n"/>
      <c r="BM132" s="27" t="n"/>
    </row>
    <row r="133">
      <c r="A133" s="27" t="n"/>
      <c r="B133" s="27" t="n"/>
      <c r="C133" s="28">
        <f>IF(A133="","",$B$2)</f>
        <v/>
      </c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  <c r="AA133" s="27" t="n"/>
      <c r="AB133" s="27" t="n"/>
      <c r="AC133" s="27" t="n"/>
      <c r="AD133" s="27" t="n"/>
      <c r="AE133" s="27" t="n"/>
      <c r="AF133" s="27" t="n"/>
      <c r="AG133" s="27" t="n"/>
      <c r="AH133" s="27" t="n"/>
      <c r="AI133" s="27" t="n"/>
      <c r="AJ133" s="27" t="n"/>
      <c r="AK133" s="27" t="n"/>
      <c r="AL133" s="27" t="n"/>
      <c r="AM133" s="27" t="n"/>
      <c r="AN133" s="27" t="n"/>
      <c r="AO133" s="27" t="n"/>
      <c r="AP133" s="27" t="n"/>
      <c r="AQ133" s="27" t="n"/>
      <c r="AR133" s="27" t="n"/>
      <c r="AS133" s="27" t="n"/>
      <c r="AT133" s="27" t="n"/>
      <c r="AU133" s="27" t="n"/>
      <c r="AV133" s="27" t="n"/>
      <c r="AW133" s="27" t="n"/>
      <c r="AX133" s="27" t="n"/>
      <c r="AY133" s="27" t="n"/>
      <c r="AZ133" s="27" t="n"/>
      <c r="BA133" s="27" t="n"/>
      <c r="BB133" s="27" t="n"/>
      <c r="BC133" s="27" t="n"/>
      <c r="BD133" s="27" t="n"/>
      <c r="BE133" s="27" t="n"/>
      <c r="BF133" s="27" t="n"/>
      <c r="BG133" s="27" t="n"/>
      <c r="BH133" s="27" t="n"/>
      <c r="BI133" s="29" t="n"/>
      <c r="BJ133" s="27" t="n"/>
      <c r="BK133" s="27" t="n"/>
      <c r="BL133" s="27" t="n"/>
      <c r="BM133" s="27" t="n"/>
    </row>
    <row r="134">
      <c r="A134" s="27" t="n"/>
      <c r="B134" s="27" t="n"/>
      <c r="C134" s="28">
        <f>IF(A134="","",$B$2)</f>
        <v/>
      </c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  <c r="AA134" s="27" t="n"/>
      <c r="AB134" s="27" t="n"/>
      <c r="AC134" s="27" t="n"/>
      <c r="AD134" s="27" t="n"/>
      <c r="AE134" s="27" t="n"/>
      <c r="AF134" s="27" t="n"/>
      <c r="AG134" s="27" t="n"/>
      <c r="AH134" s="27" t="n"/>
      <c r="AI134" s="27" t="n"/>
      <c r="AJ134" s="27" t="n"/>
      <c r="AK134" s="27" t="n"/>
      <c r="AL134" s="27" t="n"/>
      <c r="AM134" s="27" t="n"/>
      <c r="AN134" s="27" t="n"/>
      <c r="AO134" s="27" t="n"/>
      <c r="AP134" s="27" t="n"/>
      <c r="AQ134" s="27" t="n"/>
      <c r="AR134" s="27" t="n"/>
      <c r="AS134" s="27" t="n"/>
      <c r="AT134" s="27" t="n"/>
      <c r="AU134" s="27" t="n"/>
      <c r="AV134" s="27" t="n"/>
      <c r="AW134" s="27" t="n"/>
      <c r="AX134" s="27" t="n"/>
      <c r="AY134" s="27" t="n"/>
      <c r="AZ134" s="27" t="n"/>
      <c r="BA134" s="27" t="n"/>
      <c r="BB134" s="27" t="n"/>
      <c r="BC134" s="27" t="n"/>
      <c r="BD134" s="27" t="n"/>
      <c r="BE134" s="27" t="n"/>
      <c r="BF134" s="27" t="n"/>
      <c r="BG134" s="27" t="n"/>
      <c r="BH134" s="27" t="n"/>
      <c r="BI134" s="29" t="n"/>
      <c r="BJ134" s="27" t="n"/>
      <c r="BK134" s="27" t="n"/>
      <c r="BL134" s="27" t="n"/>
      <c r="BM134" s="27" t="n"/>
    </row>
    <row r="135">
      <c r="A135" s="27" t="n"/>
      <c r="B135" s="27" t="n"/>
      <c r="C135" s="28">
        <f>IF(A135="","",$B$2)</f>
        <v/>
      </c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  <c r="AA135" s="27" t="n"/>
      <c r="AB135" s="27" t="n"/>
      <c r="AC135" s="27" t="n"/>
      <c r="AD135" s="27" t="n"/>
      <c r="AE135" s="27" t="n"/>
      <c r="AF135" s="27" t="n"/>
      <c r="AG135" s="27" t="n"/>
      <c r="AH135" s="27" t="n"/>
      <c r="AI135" s="27" t="n"/>
      <c r="AJ135" s="27" t="n"/>
      <c r="AK135" s="27" t="n"/>
      <c r="AL135" s="27" t="n"/>
      <c r="AM135" s="27" t="n"/>
      <c r="AN135" s="27" t="n"/>
      <c r="AO135" s="27" t="n"/>
      <c r="AP135" s="27" t="n"/>
      <c r="AQ135" s="27" t="n"/>
      <c r="AR135" s="27" t="n"/>
      <c r="AS135" s="27" t="n"/>
      <c r="AT135" s="27" t="n"/>
      <c r="AU135" s="27" t="n"/>
      <c r="AV135" s="27" t="n"/>
      <c r="AW135" s="27" t="n"/>
      <c r="AX135" s="27" t="n"/>
      <c r="AY135" s="27" t="n"/>
      <c r="AZ135" s="27" t="n"/>
      <c r="BA135" s="27" t="n"/>
      <c r="BB135" s="27" t="n"/>
      <c r="BC135" s="27" t="n"/>
      <c r="BD135" s="27" t="n"/>
      <c r="BE135" s="27" t="n"/>
      <c r="BF135" s="27" t="n"/>
      <c r="BG135" s="27" t="n"/>
      <c r="BH135" s="27" t="n"/>
      <c r="BI135" s="29" t="n"/>
      <c r="BJ135" s="27" t="n"/>
      <c r="BK135" s="27" t="n"/>
      <c r="BL135" s="27" t="n"/>
      <c r="BM135" s="27" t="n"/>
    </row>
    <row r="136">
      <c r="A136" s="27" t="n"/>
      <c r="B136" s="27" t="n"/>
      <c r="C136" s="28">
        <f>IF(A136="","",$B$2)</f>
        <v/>
      </c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  <c r="AA136" s="27" t="n"/>
      <c r="AB136" s="27" t="n"/>
      <c r="AC136" s="27" t="n"/>
      <c r="AD136" s="27" t="n"/>
      <c r="AE136" s="27" t="n"/>
      <c r="AF136" s="27" t="n"/>
      <c r="AG136" s="27" t="n"/>
      <c r="AH136" s="27" t="n"/>
      <c r="AI136" s="27" t="n"/>
      <c r="AJ136" s="27" t="n"/>
      <c r="AK136" s="27" t="n"/>
      <c r="AL136" s="27" t="n"/>
      <c r="AM136" s="27" t="n"/>
      <c r="AN136" s="27" t="n"/>
      <c r="AO136" s="27" t="n"/>
      <c r="AP136" s="27" t="n"/>
      <c r="AQ136" s="27" t="n"/>
      <c r="AR136" s="27" t="n"/>
      <c r="AS136" s="27" t="n"/>
      <c r="AT136" s="27" t="n"/>
      <c r="AU136" s="27" t="n"/>
      <c r="AV136" s="27" t="n"/>
      <c r="AW136" s="27" t="n"/>
      <c r="AX136" s="27" t="n"/>
      <c r="AY136" s="27" t="n"/>
      <c r="AZ136" s="27" t="n"/>
      <c r="BA136" s="27" t="n"/>
      <c r="BB136" s="27" t="n"/>
      <c r="BC136" s="27" t="n"/>
      <c r="BD136" s="27" t="n"/>
      <c r="BE136" s="27" t="n"/>
      <c r="BF136" s="27" t="n"/>
      <c r="BG136" s="27" t="n"/>
      <c r="BH136" s="27" t="n"/>
      <c r="BI136" s="29" t="n"/>
      <c r="BJ136" s="27" t="n"/>
      <c r="BK136" s="27" t="n"/>
      <c r="BL136" s="27" t="n"/>
      <c r="BM136" s="27" t="n"/>
    </row>
    <row r="137">
      <c r="A137" s="27" t="n"/>
      <c r="B137" s="27" t="n"/>
      <c r="C137" s="28">
        <f>IF(A137="","",$B$2)</f>
        <v/>
      </c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  <c r="AA137" s="27" t="n"/>
      <c r="AB137" s="27" t="n"/>
      <c r="AC137" s="27" t="n"/>
      <c r="AD137" s="27" t="n"/>
      <c r="AE137" s="27" t="n"/>
      <c r="AF137" s="27" t="n"/>
      <c r="AG137" s="27" t="n"/>
      <c r="AH137" s="27" t="n"/>
      <c r="AI137" s="27" t="n"/>
      <c r="AJ137" s="27" t="n"/>
      <c r="AK137" s="27" t="n"/>
      <c r="AL137" s="27" t="n"/>
      <c r="AM137" s="27" t="n"/>
      <c r="AN137" s="27" t="n"/>
      <c r="AO137" s="27" t="n"/>
      <c r="AP137" s="27" t="n"/>
      <c r="AQ137" s="27" t="n"/>
      <c r="AR137" s="27" t="n"/>
      <c r="AS137" s="27" t="n"/>
      <c r="AT137" s="27" t="n"/>
      <c r="AU137" s="27" t="n"/>
      <c r="AV137" s="27" t="n"/>
      <c r="AW137" s="27" t="n"/>
      <c r="AX137" s="27" t="n"/>
      <c r="AY137" s="27" t="n"/>
      <c r="AZ137" s="27" t="n"/>
      <c r="BA137" s="27" t="n"/>
      <c r="BB137" s="27" t="n"/>
      <c r="BC137" s="27" t="n"/>
      <c r="BD137" s="27" t="n"/>
      <c r="BE137" s="27" t="n"/>
      <c r="BF137" s="27" t="n"/>
      <c r="BG137" s="27" t="n"/>
      <c r="BH137" s="27" t="n"/>
      <c r="BI137" s="29" t="n"/>
      <c r="BJ137" s="27" t="n"/>
      <c r="BK137" s="27" t="n"/>
      <c r="BL137" s="27" t="n"/>
      <c r="BM137" s="27" t="n"/>
    </row>
    <row r="138">
      <c r="A138" s="27" t="n"/>
      <c r="B138" s="27" t="n"/>
      <c r="C138" s="28">
        <f>IF(A138="","",$B$2)</f>
        <v/>
      </c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  <c r="AA138" s="27" t="n"/>
      <c r="AB138" s="27" t="n"/>
      <c r="AC138" s="27" t="n"/>
      <c r="AD138" s="27" t="n"/>
      <c r="AE138" s="27" t="n"/>
      <c r="AF138" s="27" t="n"/>
      <c r="AG138" s="27" t="n"/>
      <c r="AH138" s="27" t="n"/>
      <c r="AI138" s="27" t="n"/>
      <c r="AJ138" s="27" t="n"/>
      <c r="AK138" s="27" t="n"/>
      <c r="AL138" s="27" t="n"/>
      <c r="AM138" s="27" t="n"/>
      <c r="AN138" s="27" t="n"/>
      <c r="AO138" s="27" t="n"/>
      <c r="AP138" s="27" t="n"/>
      <c r="AQ138" s="27" t="n"/>
      <c r="AR138" s="27" t="n"/>
      <c r="AS138" s="27" t="n"/>
      <c r="AT138" s="27" t="n"/>
      <c r="AU138" s="27" t="n"/>
      <c r="AV138" s="27" t="n"/>
      <c r="AW138" s="27" t="n"/>
      <c r="AX138" s="27" t="n"/>
      <c r="AY138" s="27" t="n"/>
      <c r="AZ138" s="27" t="n"/>
      <c r="BA138" s="27" t="n"/>
      <c r="BB138" s="27" t="n"/>
      <c r="BC138" s="27" t="n"/>
      <c r="BD138" s="27" t="n"/>
      <c r="BE138" s="27" t="n"/>
      <c r="BF138" s="27" t="n"/>
      <c r="BG138" s="27" t="n"/>
      <c r="BH138" s="27" t="n"/>
      <c r="BI138" s="29" t="n"/>
      <c r="BJ138" s="27" t="n"/>
      <c r="BK138" s="27" t="n"/>
      <c r="BL138" s="27" t="n"/>
      <c r="BM138" s="27" t="n"/>
    </row>
    <row r="139">
      <c r="A139" s="27" t="n"/>
      <c r="B139" s="27" t="n"/>
      <c r="C139" s="28">
        <f>IF(A139="","",$B$2)</f>
        <v/>
      </c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  <c r="AA139" s="27" t="n"/>
      <c r="AB139" s="27" t="n"/>
      <c r="AC139" s="27" t="n"/>
      <c r="AD139" s="27" t="n"/>
      <c r="AE139" s="27" t="n"/>
      <c r="AF139" s="27" t="n"/>
      <c r="AG139" s="27" t="n"/>
      <c r="AH139" s="27" t="n"/>
      <c r="AI139" s="27" t="n"/>
      <c r="AJ139" s="27" t="n"/>
      <c r="AK139" s="27" t="n"/>
      <c r="AL139" s="27" t="n"/>
      <c r="AM139" s="27" t="n"/>
      <c r="AN139" s="27" t="n"/>
      <c r="AO139" s="27" t="n"/>
      <c r="AP139" s="27" t="n"/>
      <c r="AQ139" s="27" t="n"/>
      <c r="AR139" s="27" t="n"/>
      <c r="AS139" s="27" t="n"/>
      <c r="AT139" s="27" t="n"/>
      <c r="AU139" s="27" t="n"/>
      <c r="AV139" s="27" t="n"/>
      <c r="AW139" s="27" t="n"/>
      <c r="AX139" s="27" t="n"/>
      <c r="AY139" s="27" t="n"/>
      <c r="AZ139" s="27" t="n"/>
      <c r="BA139" s="27" t="n"/>
      <c r="BB139" s="27" t="n"/>
      <c r="BC139" s="27" t="n"/>
      <c r="BD139" s="27" t="n"/>
      <c r="BE139" s="27" t="n"/>
      <c r="BF139" s="27" t="n"/>
      <c r="BG139" s="27" t="n"/>
      <c r="BH139" s="27" t="n"/>
      <c r="BI139" s="29" t="n"/>
      <c r="BJ139" s="27" t="n"/>
      <c r="BK139" s="27" t="n"/>
      <c r="BL139" s="27" t="n"/>
      <c r="BM139" s="27" t="n"/>
    </row>
    <row r="140">
      <c r="A140" s="27" t="n"/>
      <c r="B140" s="27" t="n"/>
      <c r="C140" s="28">
        <f>IF(A140="","",$B$2)</f>
        <v/>
      </c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  <c r="AA140" s="27" t="n"/>
      <c r="AB140" s="27" t="n"/>
      <c r="AC140" s="27" t="n"/>
      <c r="AD140" s="27" t="n"/>
      <c r="AE140" s="27" t="n"/>
      <c r="AF140" s="27" t="n"/>
      <c r="AG140" s="27" t="n"/>
      <c r="AH140" s="27" t="n"/>
      <c r="AI140" s="27" t="n"/>
      <c r="AJ140" s="27" t="n"/>
      <c r="AK140" s="27" t="n"/>
      <c r="AL140" s="27" t="n"/>
      <c r="AM140" s="27" t="n"/>
      <c r="AN140" s="27" t="n"/>
      <c r="AO140" s="27" t="n"/>
      <c r="AP140" s="27" t="n"/>
      <c r="AQ140" s="27" t="n"/>
      <c r="AR140" s="27" t="n"/>
      <c r="AS140" s="27" t="n"/>
      <c r="AT140" s="27" t="n"/>
      <c r="AU140" s="27" t="n"/>
      <c r="AV140" s="27" t="n"/>
      <c r="AW140" s="27" t="n"/>
      <c r="AX140" s="27" t="n"/>
      <c r="AY140" s="27" t="n"/>
      <c r="AZ140" s="27" t="n"/>
      <c r="BA140" s="27" t="n"/>
      <c r="BB140" s="27" t="n"/>
      <c r="BC140" s="27" t="n"/>
      <c r="BD140" s="27" t="n"/>
      <c r="BE140" s="27" t="n"/>
      <c r="BF140" s="27" t="n"/>
      <c r="BG140" s="27" t="n"/>
      <c r="BH140" s="27" t="n"/>
      <c r="BI140" s="29" t="n"/>
      <c r="BJ140" s="27" t="n"/>
      <c r="BK140" s="27" t="n"/>
      <c r="BL140" s="27" t="n"/>
      <c r="BM140" s="27" t="n"/>
    </row>
    <row r="141">
      <c r="A141" s="27" t="n"/>
      <c r="B141" s="27" t="n"/>
      <c r="C141" s="28">
        <f>IF(A141="","",$B$2)</f>
        <v/>
      </c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  <c r="AA141" s="27" t="n"/>
      <c r="AB141" s="27" t="n"/>
      <c r="AC141" s="27" t="n"/>
      <c r="AD141" s="27" t="n"/>
      <c r="AE141" s="27" t="n"/>
      <c r="AF141" s="27" t="n"/>
      <c r="AG141" s="27" t="n"/>
      <c r="AH141" s="27" t="n"/>
      <c r="AI141" s="27" t="n"/>
      <c r="AJ141" s="27" t="n"/>
      <c r="AK141" s="27" t="n"/>
      <c r="AL141" s="27" t="n"/>
      <c r="AM141" s="27" t="n"/>
      <c r="AN141" s="27" t="n"/>
      <c r="AO141" s="27" t="n"/>
      <c r="AP141" s="27" t="n"/>
      <c r="AQ141" s="27" t="n"/>
      <c r="AR141" s="27" t="n"/>
      <c r="AS141" s="27" t="n"/>
      <c r="AT141" s="27" t="n"/>
      <c r="AU141" s="27" t="n"/>
      <c r="AV141" s="27" t="n"/>
      <c r="AW141" s="27" t="n"/>
      <c r="AX141" s="27" t="n"/>
      <c r="AY141" s="27" t="n"/>
      <c r="AZ141" s="27" t="n"/>
      <c r="BA141" s="27" t="n"/>
      <c r="BB141" s="27" t="n"/>
      <c r="BC141" s="27" t="n"/>
      <c r="BD141" s="27" t="n"/>
      <c r="BE141" s="27" t="n"/>
      <c r="BF141" s="27" t="n"/>
      <c r="BG141" s="27" t="n"/>
      <c r="BH141" s="27" t="n"/>
      <c r="BI141" s="29" t="n"/>
      <c r="BJ141" s="27" t="n"/>
      <c r="BK141" s="27" t="n"/>
      <c r="BL141" s="27" t="n"/>
      <c r="BM141" s="27" t="n"/>
    </row>
    <row r="142">
      <c r="A142" s="27" t="n"/>
      <c r="B142" s="27" t="n"/>
      <c r="C142" s="28">
        <f>IF(A142="","",$B$2)</f>
        <v/>
      </c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  <c r="AA142" s="27" t="n"/>
      <c r="AB142" s="27" t="n"/>
      <c r="AC142" s="27" t="n"/>
      <c r="AD142" s="27" t="n"/>
      <c r="AE142" s="27" t="n"/>
      <c r="AF142" s="27" t="n"/>
      <c r="AG142" s="27" t="n"/>
      <c r="AH142" s="27" t="n"/>
      <c r="AI142" s="27" t="n"/>
      <c r="AJ142" s="27" t="n"/>
      <c r="AK142" s="27" t="n"/>
      <c r="AL142" s="27" t="n"/>
      <c r="AM142" s="27" t="n"/>
      <c r="AN142" s="27" t="n"/>
      <c r="AO142" s="27" t="n"/>
      <c r="AP142" s="27" t="n"/>
      <c r="AQ142" s="27" t="n"/>
      <c r="AR142" s="27" t="n"/>
      <c r="AS142" s="27" t="n"/>
      <c r="AT142" s="27" t="n"/>
      <c r="AU142" s="27" t="n"/>
      <c r="AV142" s="27" t="n"/>
      <c r="AW142" s="27" t="n"/>
      <c r="AX142" s="27" t="n"/>
      <c r="AY142" s="27" t="n"/>
      <c r="AZ142" s="27" t="n"/>
      <c r="BA142" s="27" t="n"/>
      <c r="BB142" s="27" t="n"/>
      <c r="BC142" s="27" t="n"/>
      <c r="BD142" s="27" t="n"/>
      <c r="BE142" s="27" t="n"/>
      <c r="BF142" s="27" t="n"/>
      <c r="BG142" s="27" t="n"/>
      <c r="BH142" s="27" t="n"/>
      <c r="BI142" s="29" t="n"/>
      <c r="BJ142" s="27" t="n"/>
      <c r="BK142" s="27" t="n"/>
      <c r="BL142" s="27" t="n"/>
      <c r="BM142" s="27" t="n"/>
    </row>
    <row r="143">
      <c r="A143" s="27" t="n"/>
      <c r="B143" s="27" t="n"/>
      <c r="C143" s="28">
        <f>IF(A143="","",$B$2)</f>
        <v/>
      </c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  <c r="AA143" s="27" t="n"/>
      <c r="AB143" s="27" t="n"/>
      <c r="AC143" s="27" t="n"/>
      <c r="AD143" s="27" t="n"/>
      <c r="AE143" s="27" t="n"/>
      <c r="AF143" s="27" t="n"/>
      <c r="AG143" s="27" t="n"/>
      <c r="AH143" s="27" t="n"/>
      <c r="AI143" s="27" t="n"/>
      <c r="AJ143" s="27" t="n"/>
      <c r="AK143" s="27" t="n"/>
      <c r="AL143" s="27" t="n"/>
      <c r="AM143" s="27" t="n"/>
      <c r="AN143" s="27" t="n"/>
      <c r="AO143" s="27" t="n"/>
      <c r="AP143" s="27" t="n"/>
      <c r="AQ143" s="27" t="n"/>
      <c r="AR143" s="27" t="n"/>
      <c r="AS143" s="27" t="n"/>
      <c r="AT143" s="27" t="n"/>
      <c r="AU143" s="27" t="n"/>
      <c r="AV143" s="27" t="n"/>
      <c r="AW143" s="27" t="n"/>
      <c r="AX143" s="27" t="n"/>
      <c r="AY143" s="27" t="n"/>
      <c r="AZ143" s="27" t="n"/>
      <c r="BA143" s="27" t="n"/>
      <c r="BB143" s="27" t="n"/>
      <c r="BC143" s="27" t="n"/>
      <c r="BD143" s="27" t="n"/>
      <c r="BE143" s="27" t="n"/>
      <c r="BF143" s="27" t="n"/>
      <c r="BG143" s="27" t="n"/>
      <c r="BH143" s="27" t="n"/>
      <c r="BI143" s="29" t="n"/>
      <c r="BJ143" s="27" t="n"/>
      <c r="BK143" s="27" t="n"/>
      <c r="BL143" s="27" t="n"/>
      <c r="BM143" s="27" t="n"/>
    </row>
    <row r="144">
      <c r="A144" s="27" t="n"/>
      <c r="B144" s="27" t="n"/>
      <c r="C144" s="28">
        <f>IF(A144="","",$B$2)</f>
        <v/>
      </c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  <c r="AA144" s="27" t="n"/>
      <c r="AB144" s="27" t="n"/>
      <c r="AC144" s="27" t="n"/>
      <c r="AD144" s="27" t="n"/>
      <c r="AE144" s="27" t="n"/>
      <c r="AF144" s="27" t="n"/>
      <c r="AG144" s="27" t="n"/>
      <c r="AH144" s="27" t="n"/>
      <c r="AI144" s="27" t="n"/>
      <c r="AJ144" s="27" t="n"/>
      <c r="AK144" s="27" t="n"/>
      <c r="AL144" s="27" t="n"/>
      <c r="AM144" s="27" t="n"/>
      <c r="AN144" s="27" t="n"/>
      <c r="AO144" s="27" t="n"/>
      <c r="AP144" s="27" t="n"/>
      <c r="AQ144" s="27" t="n"/>
      <c r="AR144" s="27" t="n"/>
      <c r="AS144" s="27" t="n"/>
      <c r="AT144" s="27" t="n"/>
      <c r="AU144" s="27" t="n"/>
      <c r="AV144" s="27" t="n"/>
      <c r="AW144" s="27" t="n"/>
      <c r="AX144" s="27" t="n"/>
      <c r="AY144" s="27" t="n"/>
      <c r="AZ144" s="27" t="n"/>
      <c r="BA144" s="27" t="n"/>
      <c r="BB144" s="27" t="n"/>
      <c r="BC144" s="27" t="n"/>
      <c r="BD144" s="27" t="n"/>
      <c r="BE144" s="27" t="n"/>
      <c r="BF144" s="27" t="n"/>
      <c r="BG144" s="27" t="n"/>
      <c r="BH144" s="27" t="n"/>
      <c r="BI144" s="29" t="n"/>
      <c r="BJ144" s="27" t="n"/>
      <c r="BK144" s="27" t="n"/>
      <c r="BL144" s="27" t="n"/>
      <c r="BM144" s="27" t="n"/>
    </row>
    <row r="145">
      <c r="A145" s="27" t="n"/>
      <c r="B145" s="27" t="n"/>
      <c r="C145" s="28">
        <f>IF(A145="","",$B$2)</f>
        <v/>
      </c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  <c r="AA145" s="27" t="n"/>
      <c r="AB145" s="27" t="n"/>
      <c r="AC145" s="27" t="n"/>
      <c r="AD145" s="27" t="n"/>
      <c r="AE145" s="27" t="n"/>
      <c r="AF145" s="27" t="n"/>
      <c r="AG145" s="27" t="n"/>
      <c r="AH145" s="27" t="n"/>
      <c r="AI145" s="27" t="n"/>
      <c r="AJ145" s="27" t="n"/>
      <c r="AK145" s="27" t="n"/>
      <c r="AL145" s="27" t="n"/>
      <c r="AM145" s="27" t="n"/>
      <c r="AN145" s="27" t="n"/>
      <c r="AO145" s="27" t="n"/>
      <c r="AP145" s="27" t="n"/>
      <c r="AQ145" s="27" t="n"/>
      <c r="AR145" s="27" t="n"/>
      <c r="AS145" s="27" t="n"/>
      <c r="AT145" s="27" t="n"/>
      <c r="AU145" s="27" t="n"/>
      <c r="AV145" s="27" t="n"/>
      <c r="AW145" s="27" t="n"/>
      <c r="AX145" s="27" t="n"/>
      <c r="AY145" s="27" t="n"/>
      <c r="AZ145" s="27" t="n"/>
      <c r="BA145" s="27" t="n"/>
      <c r="BB145" s="27" t="n"/>
      <c r="BC145" s="27" t="n"/>
      <c r="BD145" s="27" t="n"/>
      <c r="BE145" s="27" t="n"/>
      <c r="BF145" s="27" t="n"/>
      <c r="BG145" s="27" t="n"/>
      <c r="BH145" s="27" t="n"/>
      <c r="BI145" s="29" t="n"/>
      <c r="BJ145" s="27" t="n"/>
      <c r="BK145" s="27" t="n"/>
      <c r="BL145" s="27" t="n"/>
      <c r="BM145" s="27" t="n"/>
    </row>
    <row r="146">
      <c r="A146" s="27" t="n"/>
      <c r="B146" s="27" t="n"/>
      <c r="C146" s="28">
        <f>IF(A146="","",$B$2)</f>
        <v/>
      </c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  <c r="AA146" s="27" t="n"/>
      <c r="AB146" s="27" t="n"/>
      <c r="AC146" s="27" t="n"/>
      <c r="AD146" s="27" t="n"/>
      <c r="AE146" s="27" t="n"/>
      <c r="AF146" s="27" t="n"/>
      <c r="AG146" s="27" t="n"/>
      <c r="AH146" s="27" t="n"/>
      <c r="AI146" s="27" t="n"/>
      <c r="AJ146" s="27" t="n"/>
      <c r="AK146" s="27" t="n"/>
      <c r="AL146" s="27" t="n"/>
      <c r="AM146" s="27" t="n"/>
      <c r="AN146" s="27" t="n"/>
      <c r="AO146" s="27" t="n"/>
      <c r="AP146" s="27" t="n"/>
      <c r="AQ146" s="27" t="n"/>
      <c r="AR146" s="27" t="n"/>
      <c r="AS146" s="27" t="n"/>
      <c r="AT146" s="27" t="n"/>
      <c r="AU146" s="27" t="n"/>
      <c r="AV146" s="27" t="n"/>
      <c r="AW146" s="27" t="n"/>
      <c r="AX146" s="27" t="n"/>
      <c r="AY146" s="27" t="n"/>
      <c r="AZ146" s="27" t="n"/>
      <c r="BA146" s="27" t="n"/>
      <c r="BB146" s="27" t="n"/>
      <c r="BC146" s="27" t="n"/>
      <c r="BD146" s="27" t="n"/>
      <c r="BE146" s="27" t="n"/>
      <c r="BF146" s="27" t="n"/>
      <c r="BG146" s="27" t="n"/>
      <c r="BH146" s="27" t="n"/>
      <c r="BI146" s="29" t="n"/>
      <c r="BJ146" s="27" t="n"/>
      <c r="BK146" s="27" t="n"/>
      <c r="BL146" s="27" t="n"/>
      <c r="BM146" s="27" t="n"/>
    </row>
    <row r="147">
      <c r="A147" s="27" t="n"/>
      <c r="B147" s="27" t="n"/>
      <c r="C147" s="28">
        <f>IF(A147="","",$B$2)</f>
        <v/>
      </c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  <c r="AA147" s="27" t="n"/>
      <c r="AB147" s="27" t="n"/>
      <c r="AC147" s="27" t="n"/>
      <c r="AD147" s="27" t="n"/>
      <c r="AE147" s="27" t="n"/>
      <c r="AF147" s="27" t="n"/>
      <c r="AG147" s="27" t="n"/>
      <c r="AH147" s="27" t="n"/>
      <c r="AI147" s="27" t="n"/>
      <c r="AJ147" s="27" t="n"/>
      <c r="AK147" s="27" t="n"/>
      <c r="AL147" s="27" t="n"/>
      <c r="AM147" s="27" t="n"/>
      <c r="AN147" s="27" t="n"/>
      <c r="AO147" s="27" t="n"/>
      <c r="AP147" s="27" t="n"/>
      <c r="AQ147" s="27" t="n"/>
      <c r="AR147" s="27" t="n"/>
      <c r="AS147" s="27" t="n"/>
      <c r="AT147" s="27" t="n"/>
      <c r="AU147" s="27" t="n"/>
      <c r="AV147" s="27" t="n"/>
      <c r="AW147" s="27" t="n"/>
      <c r="AX147" s="27" t="n"/>
      <c r="AY147" s="27" t="n"/>
      <c r="AZ147" s="27" t="n"/>
      <c r="BA147" s="27" t="n"/>
      <c r="BB147" s="27" t="n"/>
      <c r="BC147" s="27" t="n"/>
      <c r="BD147" s="27" t="n"/>
      <c r="BE147" s="27" t="n"/>
      <c r="BF147" s="27" t="n"/>
      <c r="BG147" s="27" t="n"/>
      <c r="BH147" s="27" t="n"/>
      <c r="BI147" s="29" t="n"/>
      <c r="BJ147" s="27" t="n"/>
      <c r="BK147" s="27" t="n"/>
      <c r="BL147" s="27" t="n"/>
      <c r="BM147" s="27" t="n"/>
    </row>
    <row r="148">
      <c r="A148" s="27" t="n"/>
      <c r="B148" s="27" t="n"/>
      <c r="C148" s="28">
        <f>IF(A148="","",$B$2)</f>
        <v/>
      </c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  <c r="AA148" s="27" t="n"/>
      <c r="AB148" s="27" t="n"/>
      <c r="AC148" s="27" t="n"/>
      <c r="AD148" s="27" t="n"/>
      <c r="AE148" s="27" t="n"/>
      <c r="AF148" s="27" t="n"/>
      <c r="AG148" s="27" t="n"/>
      <c r="AH148" s="27" t="n"/>
      <c r="AI148" s="27" t="n"/>
      <c r="AJ148" s="27" t="n"/>
      <c r="AK148" s="27" t="n"/>
      <c r="AL148" s="27" t="n"/>
      <c r="AM148" s="27" t="n"/>
      <c r="AN148" s="27" t="n"/>
      <c r="AO148" s="27" t="n"/>
      <c r="AP148" s="27" t="n"/>
      <c r="AQ148" s="27" t="n"/>
      <c r="AR148" s="27" t="n"/>
      <c r="AS148" s="27" t="n"/>
      <c r="AT148" s="27" t="n"/>
      <c r="AU148" s="27" t="n"/>
      <c r="AV148" s="27" t="n"/>
      <c r="AW148" s="27" t="n"/>
      <c r="AX148" s="27" t="n"/>
      <c r="AY148" s="27" t="n"/>
      <c r="AZ148" s="27" t="n"/>
      <c r="BA148" s="27" t="n"/>
      <c r="BB148" s="27" t="n"/>
      <c r="BC148" s="27" t="n"/>
      <c r="BD148" s="27" t="n"/>
      <c r="BE148" s="27" t="n"/>
      <c r="BF148" s="27" t="n"/>
      <c r="BG148" s="27" t="n"/>
      <c r="BH148" s="27" t="n"/>
      <c r="BI148" s="29" t="n"/>
      <c r="BJ148" s="27" t="n"/>
      <c r="BK148" s="27" t="n"/>
      <c r="BL148" s="27" t="n"/>
      <c r="BM148" s="27" t="n"/>
    </row>
    <row r="149">
      <c r="A149" s="27" t="n"/>
      <c r="B149" s="27" t="n"/>
      <c r="C149" s="28">
        <f>IF(A149="","",$B$2)</f>
        <v/>
      </c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  <c r="AA149" s="27" t="n"/>
      <c r="AB149" s="27" t="n"/>
      <c r="AC149" s="27" t="n"/>
      <c r="AD149" s="27" t="n"/>
      <c r="AE149" s="27" t="n"/>
      <c r="AF149" s="27" t="n"/>
      <c r="AG149" s="27" t="n"/>
      <c r="AH149" s="27" t="n"/>
      <c r="AI149" s="27" t="n"/>
      <c r="AJ149" s="27" t="n"/>
      <c r="AK149" s="27" t="n"/>
      <c r="AL149" s="27" t="n"/>
      <c r="AM149" s="27" t="n"/>
      <c r="AN149" s="27" t="n"/>
      <c r="AO149" s="27" t="n"/>
      <c r="AP149" s="27" t="n"/>
      <c r="AQ149" s="27" t="n"/>
      <c r="AR149" s="27" t="n"/>
      <c r="AS149" s="27" t="n"/>
      <c r="AT149" s="27" t="n"/>
      <c r="AU149" s="27" t="n"/>
      <c r="AV149" s="27" t="n"/>
      <c r="AW149" s="27" t="n"/>
      <c r="AX149" s="27" t="n"/>
      <c r="AY149" s="27" t="n"/>
      <c r="AZ149" s="27" t="n"/>
      <c r="BA149" s="27" t="n"/>
      <c r="BB149" s="27" t="n"/>
      <c r="BC149" s="27" t="n"/>
      <c r="BD149" s="27" t="n"/>
      <c r="BE149" s="27" t="n"/>
      <c r="BF149" s="27" t="n"/>
      <c r="BG149" s="27" t="n"/>
      <c r="BH149" s="27" t="n"/>
      <c r="BI149" s="29" t="n"/>
      <c r="BJ149" s="27" t="n"/>
      <c r="BK149" s="27" t="n"/>
      <c r="BL149" s="27" t="n"/>
      <c r="BM149" s="27" t="n"/>
    </row>
    <row r="150">
      <c r="A150" s="27" t="n"/>
      <c r="B150" s="27" t="n"/>
      <c r="C150" s="28">
        <f>IF(A150="","",$B$2)</f>
        <v/>
      </c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  <c r="AA150" s="27" t="n"/>
      <c r="AB150" s="27" t="n"/>
      <c r="AC150" s="27" t="n"/>
      <c r="AD150" s="27" t="n"/>
      <c r="AE150" s="27" t="n"/>
      <c r="AF150" s="27" t="n"/>
      <c r="AG150" s="27" t="n"/>
      <c r="AH150" s="27" t="n"/>
      <c r="AI150" s="27" t="n"/>
      <c r="AJ150" s="27" t="n"/>
      <c r="AK150" s="27" t="n"/>
      <c r="AL150" s="27" t="n"/>
      <c r="AM150" s="27" t="n"/>
      <c r="AN150" s="27" t="n"/>
      <c r="AO150" s="27" t="n"/>
      <c r="AP150" s="27" t="n"/>
      <c r="AQ150" s="27" t="n"/>
      <c r="AR150" s="27" t="n"/>
      <c r="AS150" s="27" t="n"/>
      <c r="AT150" s="27" t="n"/>
      <c r="AU150" s="27" t="n"/>
      <c r="AV150" s="27" t="n"/>
      <c r="AW150" s="27" t="n"/>
      <c r="AX150" s="27" t="n"/>
      <c r="AY150" s="27" t="n"/>
      <c r="AZ150" s="27" t="n"/>
      <c r="BA150" s="27" t="n"/>
      <c r="BB150" s="27" t="n"/>
      <c r="BC150" s="27" t="n"/>
      <c r="BD150" s="27" t="n"/>
      <c r="BE150" s="27" t="n"/>
      <c r="BF150" s="27" t="n"/>
      <c r="BG150" s="27" t="n"/>
      <c r="BH150" s="27" t="n"/>
      <c r="BI150" s="29" t="n"/>
      <c r="BJ150" s="27" t="n"/>
      <c r="BK150" s="27" t="n"/>
      <c r="BL150" s="27" t="n"/>
      <c r="BM150" s="27" t="n"/>
    </row>
    <row r="151">
      <c r="A151" s="27" t="n"/>
      <c r="B151" s="27" t="n"/>
      <c r="C151" s="28">
        <f>IF(A151="","",$B$2)</f>
        <v/>
      </c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  <c r="AA151" s="27" t="n"/>
      <c r="AB151" s="27" t="n"/>
      <c r="AC151" s="27" t="n"/>
      <c r="AD151" s="27" t="n"/>
      <c r="AE151" s="27" t="n"/>
      <c r="AF151" s="27" t="n"/>
      <c r="AG151" s="27" t="n"/>
      <c r="AH151" s="27" t="n"/>
      <c r="AI151" s="27" t="n"/>
      <c r="AJ151" s="27" t="n"/>
      <c r="AK151" s="27" t="n"/>
      <c r="AL151" s="27" t="n"/>
      <c r="AM151" s="27" t="n"/>
      <c r="AN151" s="27" t="n"/>
      <c r="AO151" s="27" t="n"/>
      <c r="AP151" s="27" t="n"/>
      <c r="AQ151" s="27" t="n"/>
      <c r="AR151" s="27" t="n"/>
      <c r="AS151" s="27" t="n"/>
      <c r="AT151" s="27" t="n"/>
      <c r="AU151" s="27" t="n"/>
      <c r="AV151" s="27" t="n"/>
      <c r="AW151" s="27" t="n"/>
      <c r="AX151" s="27" t="n"/>
      <c r="AY151" s="27" t="n"/>
      <c r="AZ151" s="27" t="n"/>
      <c r="BA151" s="27" t="n"/>
      <c r="BB151" s="27" t="n"/>
      <c r="BC151" s="27" t="n"/>
      <c r="BD151" s="27" t="n"/>
      <c r="BE151" s="27" t="n"/>
      <c r="BF151" s="27" t="n"/>
      <c r="BG151" s="27" t="n"/>
      <c r="BH151" s="27" t="n"/>
      <c r="BI151" s="29" t="n"/>
      <c r="BJ151" s="27" t="n"/>
      <c r="BK151" s="27" t="n"/>
      <c r="BL151" s="27" t="n"/>
      <c r="BM151" s="27" t="n"/>
    </row>
    <row r="152">
      <c r="A152" s="27" t="n"/>
      <c r="B152" s="27" t="n"/>
      <c r="C152" s="28">
        <f>IF(A152="","",$B$2)</f>
        <v/>
      </c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  <c r="AA152" s="27" t="n"/>
      <c r="AB152" s="27" t="n"/>
      <c r="AC152" s="27" t="n"/>
      <c r="AD152" s="27" t="n"/>
      <c r="AE152" s="27" t="n"/>
      <c r="AF152" s="27" t="n"/>
      <c r="AG152" s="27" t="n"/>
      <c r="AH152" s="27" t="n"/>
      <c r="AI152" s="27" t="n"/>
      <c r="AJ152" s="27" t="n"/>
      <c r="AK152" s="27" t="n"/>
      <c r="AL152" s="27" t="n"/>
      <c r="AM152" s="27" t="n"/>
      <c r="AN152" s="27" t="n"/>
      <c r="AO152" s="27" t="n"/>
      <c r="AP152" s="27" t="n"/>
      <c r="AQ152" s="27" t="n"/>
      <c r="AR152" s="27" t="n"/>
      <c r="AS152" s="27" t="n"/>
      <c r="AT152" s="27" t="n"/>
      <c r="AU152" s="27" t="n"/>
      <c r="AV152" s="27" t="n"/>
      <c r="AW152" s="27" t="n"/>
      <c r="AX152" s="27" t="n"/>
      <c r="AY152" s="27" t="n"/>
      <c r="AZ152" s="27" t="n"/>
      <c r="BA152" s="27" t="n"/>
      <c r="BB152" s="27" t="n"/>
      <c r="BC152" s="27" t="n"/>
      <c r="BD152" s="27" t="n"/>
      <c r="BE152" s="27" t="n"/>
      <c r="BF152" s="27" t="n"/>
      <c r="BG152" s="27" t="n"/>
      <c r="BH152" s="27" t="n"/>
      <c r="BI152" s="29" t="n"/>
      <c r="BJ152" s="27" t="n"/>
      <c r="BK152" s="27" t="n"/>
      <c r="BL152" s="27" t="n"/>
      <c r="BM152" s="27" t="n"/>
    </row>
    <row r="153">
      <c r="A153" s="27" t="n"/>
      <c r="B153" s="27" t="n"/>
      <c r="C153" s="28">
        <f>IF(A153="","",$B$2)</f>
        <v/>
      </c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  <c r="AA153" s="27" t="n"/>
      <c r="AB153" s="27" t="n"/>
      <c r="AC153" s="27" t="n"/>
      <c r="AD153" s="27" t="n"/>
      <c r="AE153" s="27" t="n"/>
      <c r="AF153" s="27" t="n"/>
      <c r="AG153" s="27" t="n"/>
      <c r="AH153" s="27" t="n"/>
      <c r="AI153" s="27" t="n"/>
      <c r="AJ153" s="27" t="n"/>
      <c r="AK153" s="27" t="n"/>
      <c r="AL153" s="27" t="n"/>
      <c r="AM153" s="27" t="n"/>
      <c r="AN153" s="27" t="n"/>
      <c r="AO153" s="27" t="n"/>
      <c r="AP153" s="27" t="n"/>
      <c r="AQ153" s="27" t="n"/>
      <c r="AR153" s="27" t="n"/>
      <c r="AS153" s="27" t="n"/>
      <c r="AT153" s="27" t="n"/>
      <c r="AU153" s="27" t="n"/>
      <c r="AV153" s="27" t="n"/>
      <c r="AW153" s="27" t="n"/>
      <c r="AX153" s="27" t="n"/>
      <c r="AY153" s="27" t="n"/>
      <c r="AZ153" s="27" t="n"/>
      <c r="BA153" s="27" t="n"/>
      <c r="BB153" s="27" t="n"/>
      <c r="BC153" s="27" t="n"/>
      <c r="BD153" s="27" t="n"/>
      <c r="BE153" s="27" t="n"/>
      <c r="BF153" s="27" t="n"/>
      <c r="BG153" s="27" t="n"/>
      <c r="BH153" s="27" t="n"/>
      <c r="BI153" s="29" t="n"/>
      <c r="BJ153" s="27" t="n"/>
      <c r="BK153" s="27" t="n"/>
      <c r="BL153" s="27" t="n"/>
      <c r="BM153" s="27" t="n"/>
    </row>
    <row r="154">
      <c r="A154" s="27" t="n"/>
      <c r="B154" s="27" t="n"/>
      <c r="C154" s="28">
        <f>IF(A154="","",$B$2)</f>
        <v/>
      </c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  <c r="AA154" s="27" t="n"/>
      <c r="AB154" s="27" t="n"/>
      <c r="AC154" s="27" t="n"/>
      <c r="AD154" s="27" t="n"/>
      <c r="AE154" s="27" t="n"/>
      <c r="AF154" s="27" t="n"/>
      <c r="AG154" s="27" t="n"/>
      <c r="AH154" s="27" t="n"/>
      <c r="AI154" s="27" t="n"/>
      <c r="AJ154" s="27" t="n"/>
      <c r="AK154" s="27" t="n"/>
      <c r="AL154" s="27" t="n"/>
      <c r="AM154" s="27" t="n"/>
      <c r="AN154" s="27" t="n"/>
      <c r="AO154" s="27" t="n"/>
      <c r="AP154" s="27" t="n"/>
      <c r="AQ154" s="27" t="n"/>
      <c r="AR154" s="27" t="n"/>
      <c r="AS154" s="27" t="n"/>
      <c r="AT154" s="27" t="n"/>
      <c r="AU154" s="27" t="n"/>
      <c r="AV154" s="27" t="n"/>
      <c r="AW154" s="27" t="n"/>
      <c r="AX154" s="27" t="n"/>
      <c r="AY154" s="27" t="n"/>
      <c r="AZ154" s="27" t="n"/>
      <c r="BA154" s="27" t="n"/>
      <c r="BB154" s="27" t="n"/>
      <c r="BC154" s="27" t="n"/>
      <c r="BD154" s="27" t="n"/>
      <c r="BE154" s="27" t="n"/>
      <c r="BF154" s="27" t="n"/>
      <c r="BG154" s="27" t="n"/>
      <c r="BH154" s="27" t="n"/>
      <c r="BI154" s="29" t="n"/>
      <c r="BJ154" s="27" t="n"/>
      <c r="BK154" s="27" t="n"/>
      <c r="BL154" s="27" t="n"/>
      <c r="BM154" s="27" t="n"/>
    </row>
    <row r="155">
      <c r="A155" s="27" t="n"/>
      <c r="B155" s="27" t="n"/>
      <c r="C155" s="28">
        <f>IF(A155="","",$B$2)</f>
        <v/>
      </c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  <c r="AA155" s="27" t="n"/>
      <c r="AB155" s="27" t="n"/>
      <c r="AC155" s="27" t="n"/>
      <c r="AD155" s="27" t="n"/>
      <c r="AE155" s="27" t="n"/>
      <c r="AF155" s="27" t="n"/>
      <c r="AG155" s="27" t="n"/>
      <c r="AH155" s="27" t="n"/>
      <c r="AI155" s="27" t="n"/>
      <c r="AJ155" s="27" t="n"/>
      <c r="AK155" s="27" t="n"/>
      <c r="AL155" s="27" t="n"/>
      <c r="AM155" s="27" t="n"/>
      <c r="AN155" s="27" t="n"/>
      <c r="AO155" s="27" t="n"/>
      <c r="AP155" s="27" t="n"/>
      <c r="AQ155" s="27" t="n"/>
      <c r="AR155" s="27" t="n"/>
      <c r="AS155" s="27" t="n"/>
      <c r="AT155" s="27" t="n"/>
      <c r="AU155" s="27" t="n"/>
      <c r="AV155" s="27" t="n"/>
      <c r="AW155" s="27" t="n"/>
      <c r="AX155" s="27" t="n"/>
      <c r="AY155" s="27" t="n"/>
      <c r="AZ155" s="27" t="n"/>
      <c r="BA155" s="27" t="n"/>
      <c r="BB155" s="27" t="n"/>
      <c r="BC155" s="27" t="n"/>
      <c r="BD155" s="27" t="n"/>
      <c r="BE155" s="27" t="n"/>
      <c r="BF155" s="27" t="n"/>
      <c r="BG155" s="27" t="n"/>
      <c r="BH155" s="27" t="n"/>
      <c r="BI155" s="29" t="n"/>
      <c r="BJ155" s="27" t="n"/>
      <c r="BK155" s="27" t="n"/>
      <c r="BL155" s="27" t="n"/>
      <c r="BM155" s="27" t="n"/>
    </row>
    <row r="156">
      <c r="A156" s="27" t="n"/>
      <c r="B156" s="27" t="n"/>
      <c r="C156" s="28">
        <f>IF(A156="","",$B$2)</f>
        <v/>
      </c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  <c r="AA156" s="27" t="n"/>
      <c r="AB156" s="27" t="n"/>
      <c r="AC156" s="27" t="n"/>
      <c r="AD156" s="27" t="n"/>
      <c r="AE156" s="27" t="n"/>
      <c r="AF156" s="27" t="n"/>
      <c r="AG156" s="27" t="n"/>
      <c r="AH156" s="27" t="n"/>
      <c r="AI156" s="27" t="n"/>
      <c r="AJ156" s="27" t="n"/>
      <c r="AK156" s="27" t="n"/>
      <c r="AL156" s="27" t="n"/>
      <c r="AM156" s="27" t="n"/>
      <c r="AN156" s="27" t="n"/>
      <c r="AO156" s="27" t="n"/>
      <c r="AP156" s="27" t="n"/>
      <c r="AQ156" s="27" t="n"/>
      <c r="AR156" s="27" t="n"/>
      <c r="AS156" s="27" t="n"/>
      <c r="AT156" s="27" t="n"/>
      <c r="AU156" s="27" t="n"/>
      <c r="AV156" s="27" t="n"/>
      <c r="AW156" s="27" t="n"/>
      <c r="AX156" s="27" t="n"/>
      <c r="AY156" s="27" t="n"/>
      <c r="AZ156" s="27" t="n"/>
      <c r="BA156" s="27" t="n"/>
      <c r="BB156" s="27" t="n"/>
      <c r="BC156" s="27" t="n"/>
      <c r="BD156" s="27" t="n"/>
      <c r="BE156" s="27" t="n"/>
      <c r="BF156" s="27" t="n"/>
      <c r="BG156" s="27" t="n"/>
      <c r="BH156" s="27" t="n"/>
      <c r="BI156" s="29" t="n"/>
      <c r="BJ156" s="27" t="n"/>
      <c r="BK156" s="27" t="n"/>
      <c r="BL156" s="27" t="n"/>
      <c r="BM156" s="27" t="n"/>
    </row>
    <row r="157">
      <c r="A157" s="27" t="n"/>
      <c r="B157" s="27" t="n"/>
      <c r="C157" s="28">
        <f>IF(A157="","",$B$2)</f>
        <v/>
      </c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  <c r="AA157" s="27" t="n"/>
      <c r="AB157" s="27" t="n"/>
      <c r="AC157" s="27" t="n"/>
      <c r="AD157" s="27" t="n"/>
      <c r="AE157" s="27" t="n"/>
      <c r="AF157" s="27" t="n"/>
      <c r="AG157" s="27" t="n"/>
      <c r="AH157" s="27" t="n"/>
      <c r="AI157" s="27" t="n"/>
      <c r="AJ157" s="27" t="n"/>
      <c r="AK157" s="27" t="n"/>
      <c r="AL157" s="27" t="n"/>
      <c r="AM157" s="27" t="n"/>
      <c r="AN157" s="27" t="n"/>
      <c r="AO157" s="27" t="n"/>
      <c r="AP157" s="27" t="n"/>
      <c r="AQ157" s="27" t="n"/>
      <c r="AR157" s="27" t="n"/>
      <c r="AS157" s="27" t="n"/>
      <c r="AT157" s="27" t="n"/>
      <c r="AU157" s="27" t="n"/>
      <c r="AV157" s="27" t="n"/>
      <c r="AW157" s="27" t="n"/>
      <c r="AX157" s="27" t="n"/>
      <c r="AY157" s="27" t="n"/>
      <c r="AZ157" s="27" t="n"/>
      <c r="BA157" s="27" t="n"/>
      <c r="BB157" s="27" t="n"/>
      <c r="BC157" s="27" t="n"/>
      <c r="BD157" s="27" t="n"/>
      <c r="BE157" s="27" t="n"/>
      <c r="BF157" s="27" t="n"/>
      <c r="BG157" s="27" t="n"/>
      <c r="BH157" s="27" t="n"/>
      <c r="BI157" s="29" t="n"/>
      <c r="BJ157" s="27" t="n"/>
      <c r="BK157" s="27" t="n"/>
      <c r="BL157" s="27" t="n"/>
      <c r="BM157" s="27" t="n"/>
    </row>
    <row r="158">
      <c r="A158" s="27" t="n"/>
      <c r="B158" s="27" t="n"/>
      <c r="C158" s="28">
        <f>IF(A158="","",$B$2)</f>
        <v/>
      </c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  <c r="AA158" s="27" t="n"/>
      <c r="AB158" s="27" t="n"/>
      <c r="AC158" s="27" t="n"/>
      <c r="AD158" s="27" t="n"/>
      <c r="AE158" s="27" t="n"/>
      <c r="AF158" s="27" t="n"/>
      <c r="AG158" s="27" t="n"/>
      <c r="AH158" s="27" t="n"/>
      <c r="AI158" s="27" t="n"/>
      <c r="AJ158" s="27" t="n"/>
      <c r="AK158" s="27" t="n"/>
      <c r="AL158" s="27" t="n"/>
      <c r="AM158" s="27" t="n"/>
      <c r="AN158" s="27" t="n"/>
      <c r="AO158" s="27" t="n"/>
      <c r="AP158" s="27" t="n"/>
      <c r="AQ158" s="27" t="n"/>
      <c r="AR158" s="27" t="n"/>
      <c r="AS158" s="27" t="n"/>
      <c r="AT158" s="27" t="n"/>
      <c r="AU158" s="27" t="n"/>
      <c r="AV158" s="27" t="n"/>
      <c r="AW158" s="27" t="n"/>
      <c r="AX158" s="27" t="n"/>
      <c r="AY158" s="27" t="n"/>
      <c r="AZ158" s="27" t="n"/>
      <c r="BA158" s="27" t="n"/>
      <c r="BB158" s="27" t="n"/>
      <c r="BC158" s="27" t="n"/>
      <c r="BD158" s="27" t="n"/>
      <c r="BE158" s="27" t="n"/>
      <c r="BF158" s="27" t="n"/>
      <c r="BG158" s="27" t="n"/>
      <c r="BH158" s="27" t="n"/>
      <c r="BI158" s="29" t="n"/>
      <c r="BJ158" s="27" t="n"/>
      <c r="BK158" s="27" t="n"/>
      <c r="BL158" s="27" t="n"/>
      <c r="BM158" s="27" t="n"/>
    </row>
    <row r="159">
      <c r="A159" s="27" t="n"/>
      <c r="B159" s="27" t="n"/>
      <c r="C159" s="28">
        <f>IF(A159="","",$B$2)</f>
        <v/>
      </c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  <c r="AA159" s="27" t="n"/>
      <c r="AB159" s="27" t="n"/>
      <c r="AC159" s="27" t="n"/>
      <c r="AD159" s="27" t="n"/>
      <c r="AE159" s="27" t="n"/>
      <c r="AF159" s="27" t="n"/>
      <c r="AG159" s="27" t="n"/>
      <c r="AH159" s="27" t="n"/>
      <c r="AI159" s="27" t="n"/>
      <c r="AJ159" s="27" t="n"/>
      <c r="AK159" s="27" t="n"/>
      <c r="AL159" s="27" t="n"/>
      <c r="AM159" s="27" t="n"/>
      <c r="AN159" s="27" t="n"/>
      <c r="AO159" s="27" t="n"/>
      <c r="AP159" s="27" t="n"/>
      <c r="AQ159" s="27" t="n"/>
      <c r="AR159" s="27" t="n"/>
      <c r="AS159" s="27" t="n"/>
      <c r="AT159" s="27" t="n"/>
      <c r="AU159" s="27" t="n"/>
      <c r="AV159" s="27" t="n"/>
      <c r="AW159" s="27" t="n"/>
      <c r="AX159" s="27" t="n"/>
      <c r="AY159" s="27" t="n"/>
      <c r="AZ159" s="27" t="n"/>
      <c r="BA159" s="27" t="n"/>
      <c r="BB159" s="27" t="n"/>
      <c r="BC159" s="27" t="n"/>
      <c r="BD159" s="27" t="n"/>
      <c r="BE159" s="27" t="n"/>
      <c r="BF159" s="27" t="n"/>
      <c r="BG159" s="27" t="n"/>
      <c r="BH159" s="27" t="n"/>
      <c r="BI159" s="29" t="n"/>
      <c r="BJ159" s="27" t="n"/>
      <c r="BK159" s="27" t="n"/>
      <c r="BL159" s="27" t="n"/>
      <c r="BM159" s="27" t="n"/>
    </row>
    <row r="160">
      <c r="A160" s="27" t="n"/>
      <c r="B160" s="27" t="n"/>
      <c r="C160" s="28">
        <f>IF(A160="","",$B$2)</f>
        <v/>
      </c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  <c r="AA160" s="27" t="n"/>
      <c r="AB160" s="27" t="n"/>
      <c r="AC160" s="27" t="n"/>
      <c r="AD160" s="27" t="n"/>
      <c r="AE160" s="27" t="n"/>
      <c r="AF160" s="27" t="n"/>
      <c r="AG160" s="27" t="n"/>
      <c r="AH160" s="27" t="n"/>
      <c r="AI160" s="27" t="n"/>
      <c r="AJ160" s="27" t="n"/>
      <c r="AK160" s="27" t="n"/>
      <c r="AL160" s="27" t="n"/>
      <c r="AM160" s="27" t="n"/>
      <c r="AN160" s="27" t="n"/>
      <c r="AO160" s="27" t="n"/>
      <c r="AP160" s="27" t="n"/>
      <c r="AQ160" s="27" t="n"/>
      <c r="AR160" s="27" t="n"/>
      <c r="AS160" s="27" t="n"/>
      <c r="AT160" s="27" t="n"/>
      <c r="AU160" s="27" t="n"/>
      <c r="AV160" s="27" t="n"/>
      <c r="AW160" s="27" t="n"/>
      <c r="AX160" s="27" t="n"/>
      <c r="AY160" s="27" t="n"/>
      <c r="AZ160" s="27" t="n"/>
      <c r="BA160" s="27" t="n"/>
      <c r="BB160" s="27" t="n"/>
      <c r="BC160" s="27" t="n"/>
      <c r="BD160" s="27" t="n"/>
      <c r="BE160" s="27" t="n"/>
      <c r="BF160" s="27" t="n"/>
      <c r="BG160" s="27" t="n"/>
      <c r="BH160" s="27" t="n"/>
      <c r="BI160" s="29" t="n"/>
      <c r="BJ160" s="27" t="n"/>
      <c r="BK160" s="27" t="n"/>
      <c r="BL160" s="27" t="n"/>
      <c r="BM160" s="27" t="n"/>
    </row>
    <row r="161">
      <c r="A161" s="27" t="n"/>
      <c r="B161" s="27" t="n"/>
      <c r="C161" s="28">
        <f>IF(A161="","",$B$2)</f>
        <v/>
      </c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  <c r="AA161" s="27" t="n"/>
      <c r="AB161" s="27" t="n"/>
      <c r="AC161" s="27" t="n"/>
      <c r="AD161" s="27" t="n"/>
      <c r="AE161" s="27" t="n"/>
      <c r="AF161" s="27" t="n"/>
      <c r="AG161" s="27" t="n"/>
      <c r="AH161" s="27" t="n"/>
      <c r="AI161" s="27" t="n"/>
      <c r="AJ161" s="27" t="n"/>
      <c r="AK161" s="27" t="n"/>
      <c r="AL161" s="27" t="n"/>
      <c r="AM161" s="27" t="n"/>
      <c r="AN161" s="27" t="n"/>
      <c r="AO161" s="27" t="n"/>
      <c r="AP161" s="27" t="n"/>
      <c r="AQ161" s="27" t="n"/>
      <c r="AR161" s="27" t="n"/>
      <c r="AS161" s="27" t="n"/>
      <c r="AT161" s="27" t="n"/>
      <c r="AU161" s="27" t="n"/>
      <c r="AV161" s="27" t="n"/>
      <c r="AW161" s="27" t="n"/>
      <c r="AX161" s="27" t="n"/>
      <c r="AY161" s="27" t="n"/>
      <c r="AZ161" s="27" t="n"/>
      <c r="BA161" s="27" t="n"/>
      <c r="BB161" s="27" t="n"/>
      <c r="BC161" s="27" t="n"/>
      <c r="BD161" s="27" t="n"/>
      <c r="BE161" s="27" t="n"/>
      <c r="BF161" s="27" t="n"/>
      <c r="BG161" s="27" t="n"/>
      <c r="BH161" s="27" t="n"/>
      <c r="BI161" s="29" t="n"/>
      <c r="BJ161" s="27" t="n"/>
      <c r="BK161" s="27" t="n"/>
      <c r="BL161" s="27" t="n"/>
      <c r="BM161" s="27" t="n"/>
    </row>
    <row r="162">
      <c r="A162" s="27" t="n"/>
      <c r="B162" s="27" t="n"/>
      <c r="C162" s="28">
        <f>IF(A162="","",$B$2)</f>
        <v/>
      </c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  <c r="AA162" s="27" t="n"/>
      <c r="AB162" s="27" t="n"/>
      <c r="AC162" s="27" t="n"/>
      <c r="AD162" s="27" t="n"/>
      <c r="AE162" s="27" t="n"/>
      <c r="AF162" s="27" t="n"/>
      <c r="AG162" s="27" t="n"/>
      <c r="AH162" s="27" t="n"/>
      <c r="AI162" s="27" t="n"/>
      <c r="AJ162" s="27" t="n"/>
      <c r="AK162" s="27" t="n"/>
      <c r="AL162" s="27" t="n"/>
      <c r="AM162" s="27" t="n"/>
      <c r="AN162" s="27" t="n"/>
      <c r="AO162" s="27" t="n"/>
      <c r="AP162" s="27" t="n"/>
      <c r="AQ162" s="27" t="n"/>
      <c r="AR162" s="27" t="n"/>
      <c r="AS162" s="27" t="n"/>
      <c r="AT162" s="27" t="n"/>
      <c r="AU162" s="27" t="n"/>
      <c r="AV162" s="27" t="n"/>
      <c r="AW162" s="27" t="n"/>
      <c r="AX162" s="27" t="n"/>
      <c r="AY162" s="27" t="n"/>
      <c r="AZ162" s="27" t="n"/>
      <c r="BA162" s="27" t="n"/>
      <c r="BB162" s="27" t="n"/>
      <c r="BC162" s="27" t="n"/>
      <c r="BD162" s="27" t="n"/>
      <c r="BE162" s="27" t="n"/>
      <c r="BF162" s="27" t="n"/>
      <c r="BG162" s="27" t="n"/>
      <c r="BH162" s="27" t="n"/>
      <c r="BI162" s="29" t="n"/>
      <c r="BJ162" s="27" t="n"/>
      <c r="BK162" s="27" t="n"/>
      <c r="BL162" s="27" t="n"/>
      <c r="BM162" s="27" t="n"/>
    </row>
    <row r="163">
      <c r="A163" s="27" t="n"/>
      <c r="B163" s="27" t="n"/>
      <c r="C163" s="28">
        <f>IF(A163="","",$B$2)</f>
        <v/>
      </c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  <c r="AA163" s="27" t="n"/>
      <c r="AB163" s="27" t="n"/>
      <c r="AC163" s="27" t="n"/>
      <c r="AD163" s="27" t="n"/>
      <c r="AE163" s="27" t="n"/>
      <c r="AF163" s="27" t="n"/>
      <c r="AG163" s="27" t="n"/>
      <c r="AH163" s="27" t="n"/>
      <c r="AI163" s="27" t="n"/>
      <c r="AJ163" s="27" t="n"/>
      <c r="AK163" s="27" t="n"/>
      <c r="AL163" s="27" t="n"/>
      <c r="AM163" s="27" t="n"/>
      <c r="AN163" s="27" t="n"/>
      <c r="AO163" s="27" t="n"/>
      <c r="AP163" s="27" t="n"/>
      <c r="AQ163" s="27" t="n"/>
      <c r="AR163" s="27" t="n"/>
      <c r="AS163" s="27" t="n"/>
      <c r="AT163" s="27" t="n"/>
      <c r="AU163" s="27" t="n"/>
      <c r="AV163" s="27" t="n"/>
      <c r="AW163" s="27" t="n"/>
      <c r="AX163" s="27" t="n"/>
      <c r="AY163" s="27" t="n"/>
      <c r="AZ163" s="27" t="n"/>
      <c r="BA163" s="27" t="n"/>
      <c r="BB163" s="27" t="n"/>
      <c r="BC163" s="27" t="n"/>
      <c r="BD163" s="27" t="n"/>
      <c r="BE163" s="27" t="n"/>
      <c r="BF163" s="27" t="n"/>
      <c r="BG163" s="27" t="n"/>
      <c r="BH163" s="27" t="n"/>
      <c r="BI163" s="29" t="n"/>
      <c r="BJ163" s="27" t="n"/>
      <c r="BK163" s="27" t="n"/>
      <c r="BL163" s="27" t="n"/>
      <c r="BM163" s="27" t="n"/>
    </row>
    <row r="164">
      <c r="A164" s="27" t="n"/>
      <c r="B164" s="27" t="n"/>
      <c r="C164" s="28">
        <f>IF(A164="","",$B$2)</f>
        <v/>
      </c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  <c r="AA164" s="27" t="n"/>
      <c r="AB164" s="27" t="n"/>
      <c r="AC164" s="27" t="n"/>
      <c r="AD164" s="27" t="n"/>
      <c r="AE164" s="27" t="n"/>
      <c r="AF164" s="27" t="n"/>
      <c r="AG164" s="27" t="n"/>
      <c r="AH164" s="27" t="n"/>
      <c r="AI164" s="27" t="n"/>
      <c r="AJ164" s="27" t="n"/>
      <c r="AK164" s="27" t="n"/>
      <c r="AL164" s="27" t="n"/>
      <c r="AM164" s="27" t="n"/>
      <c r="AN164" s="27" t="n"/>
      <c r="AO164" s="27" t="n"/>
      <c r="AP164" s="27" t="n"/>
      <c r="AQ164" s="27" t="n"/>
      <c r="AR164" s="27" t="n"/>
      <c r="AS164" s="27" t="n"/>
      <c r="AT164" s="27" t="n"/>
      <c r="AU164" s="27" t="n"/>
      <c r="AV164" s="27" t="n"/>
      <c r="AW164" s="27" t="n"/>
      <c r="AX164" s="27" t="n"/>
      <c r="AY164" s="27" t="n"/>
      <c r="AZ164" s="27" t="n"/>
      <c r="BA164" s="27" t="n"/>
      <c r="BB164" s="27" t="n"/>
      <c r="BC164" s="27" t="n"/>
      <c r="BD164" s="27" t="n"/>
      <c r="BE164" s="27" t="n"/>
      <c r="BF164" s="27" t="n"/>
      <c r="BG164" s="27" t="n"/>
      <c r="BH164" s="27" t="n"/>
      <c r="BI164" s="29" t="n"/>
      <c r="BJ164" s="27" t="n"/>
      <c r="BK164" s="27" t="n"/>
      <c r="BL164" s="27" t="n"/>
      <c r="BM164" s="27" t="n"/>
    </row>
    <row r="165">
      <c r="A165" s="27" t="n"/>
      <c r="B165" s="27" t="n"/>
      <c r="C165" s="28">
        <f>IF(A165="","",$B$2)</f>
        <v/>
      </c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  <c r="AA165" s="27" t="n"/>
      <c r="AB165" s="27" t="n"/>
      <c r="AC165" s="27" t="n"/>
      <c r="AD165" s="27" t="n"/>
      <c r="AE165" s="27" t="n"/>
      <c r="AF165" s="27" t="n"/>
      <c r="AG165" s="27" t="n"/>
      <c r="AH165" s="27" t="n"/>
      <c r="AI165" s="27" t="n"/>
      <c r="AJ165" s="27" t="n"/>
      <c r="AK165" s="27" t="n"/>
      <c r="AL165" s="27" t="n"/>
      <c r="AM165" s="27" t="n"/>
      <c r="AN165" s="27" t="n"/>
      <c r="AO165" s="27" t="n"/>
      <c r="AP165" s="27" t="n"/>
      <c r="AQ165" s="27" t="n"/>
      <c r="AR165" s="27" t="n"/>
      <c r="AS165" s="27" t="n"/>
      <c r="AT165" s="27" t="n"/>
      <c r="AU165" s="27" t="n"/>
      <c r="AV165" s="27" t="n"/>
      <c r="AW165" s="27" t="n"/>
      <c r="AX165" s="27" t="n"/>
      <c r="AY165" s="27" t="n"/>
      <c r="AZ165" s="27" t="n"/>
      <c r="BA165" s="27" t="n"/>
      <c r="BB165" s="27" t="n"/>
      <c r="BC165" s="27" t="n"/>
      <c r="BD165" s="27" t="n"/>
      <c r="BE165" s="27" t="n"/>
      <c r="BF165" s="27" t="n"/>
      <c r="BG165" s="27" t="n"/>
      <c r="BH165" s="27" t="n"/>
      <c r="BI165" s="29" t="n"/>
      <c r="BJ165" s="27" t="n"/>
      <c r="BK165" s="27" t="n"/>
      <c r="BL165" s="27" t="n"/>
      <c r="BM165" s="27" t="n"/>
    </row>
    <row r="166">
      <c r="A166" s="27" t="n"/>
      <c r="B166" s="27" t="n"/>
      <c r="C166" s="28">
        <f>IF(A166="","",$B$2)</f>
        <v/>
      </c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  <c r="AA166" s="27" t="n"/>
      <c r="AB166" s="27" t="n"/>
      <c r="AC166" s="27" t="n"/>
      <c r="AD166" s="27" t="n"/>
      <c r="AE166" s="27" t="n"/>
      <c r="AF166" s="27" t="n"/>
      <c r="AG166" s="27" t="n"/>
      <c r="AH166" s="27" t="n"/>
      <c r="AI166" s="27" t="n"/>
      <c r="AJ166" s="27" t="n"/>
      <c r="AK166" s="27" t="n"/>
      <c r="AL166" s="27" t="n"/>
      <c r="AM166" s="27" t="n"/>
      <c r="AN166" s="27" t="n"/>
      <c r="AO166" s="27" t="n"/>
      <c r="AP166" s="27" t="n"/>
      <c r="AQ166" s="27" t="n"/>
      <c r="AR166" s="27" t="n"/>
      <c r="AS166" s="27" t="n"/>
      <c r="AT166" s="27" t="n"/>
      <c r="AU166" s="27" t="n"/>
      <c r="AV166" s="27" t="n"/>
      <c r="AW166" s="27" t="n"/>
      <c r="AX166" s="27" t="n"/>
      <c r="AY166" s="27" t="n"/>
      <c r="AZ166" s="27" t="n"/>
      <c r="BA166" s="27" t="n"/>
      <c r="BB166" s="27" t="n"/>
      <c r="BC166" s="27" t="n"/>
      <c r="BD166" s="27" t="n"/>
      <c r="BE166" s="27" t="n"/>
      <c r="BF166" s="27" t="n"/>
      <c r="BG166" s="27" t="n"/>
      <c r="BH166" s="27" t="n"/>
      <c r="BI166" s="29" t="n"/>
      <c r="BJ166" s="27" t="n"/>
      <c r="BK166" s="27" t="n"/>
      <c r="BL166" s="27" t="n"/>
      <c r="BM166" s="27" t="n"/>
    </row>
    <row r="167">
      <c r="A167" s="27" t="n"/>
      <c r="B167" s="27" t="n"/>
      <c r="C167" s="28">
        <f>IF(A167="","",$B$2)</f>
        <v/>
      </c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  <c r="AA167" s="27" t="n"/>
      <c r="AB167" s="27" t="n"/>
      <c r="AC167" s="27" t="n"/>
      <c r="AD167" s="27" t="n"/>
      <c r="AE167" s="27" t="n"/>
      <c r="AF167" s="27" t="n"/>
      <c r="AG167" s="27" t="n"/>
      <c r="AH167" s="27" t="n"/>
      <c r="AI167" s="27" t="n"/>
      <c r="AJ167" s="27" t="n"/>
      <c r="AK167" s="27" t="n"/>
      <c r="AL167" s="27" t="n"/>
      <c r="AM167" s="27" t="n"/>
      <c r="AN167" s="27" t="n"/>
      <c r="AO167" s="27" t="n"/>
      <c r="AP167" s="27" t="n"/>
      <c r="AQ167" s="27" t="n"/>
      <c r="AR167" s="27" t="n"/>
      <c r="AS167" s="27" t="n"/>
      <c r="AT167" s="27" t="n"/>
      <c r="AU167" s="27" t="n"/>
      <c r="AV167" s="27" t="n"/>
      <c r="AW167" s="27" t="n"/>
      <c r="AX167" s="27" t="n"/>
      <c r="AY167" s="27" t="n"/>
      <c r="AZ167" s="27" t="n"/>
      <c r="BA167" s="27" t="n"/>
      <c r="BB167" s="27" t="n"/>
      <c r="BC167" s="27" t="n"/>
      <c r="BD167" s="27" t="n"/>
      <c r="BE167" s="27" t="n"/>
      <c r="BF167" s="27" t="n"/>
      <c r="BG167" s="27" t="n"/>
      <c r="BH167" s="27" t="n"/>
      <c r="BI167" s="29" t="n"/>
      <c r="BJ167" s="27" t="n"/>
      <c r="BK167" s="27" t="n"/>
      <c r="BL167" s="27" t="n"/>
      <c r="BM167" s="27" t="n"/>
    </row>
    <row r="168">
      <c r="A168" s="27" t="n"/>
      <c r="B168" s="27" t="n"/>
      <c r="C168" s="28">
        <f>IF(A168="","",$B$2)</f>
        <v/>
      </c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  <c r="AA168" s="27" t="n"/>
      <c r="AB168" s="27" t="n"/>
      <c r="AC168" s="27" t="n"/>
      <c r="AD168" s="27" t="n"/>
      <c r="AE168" s="27" t="n"/>
      <c r="AF168" s="27" t="n"/>
      <c r="AG168" s="27" t="n"/>
      <c r="AH168" s="27" t="n"/>
      <c r="AI168" s="27" t="n"/>
      <c r="AJ168" s="27" t="n"/>
      <c r="AK168" s="27" t="n"/>
      <c r="AL168" s="27" t="n"/>
      <c r="AM168" s="27" t="n"/>
      <c r="AN168" s="27" t="n"/>
      <c r="AO168" s="27" t="n"/>
      <c r="AP168" s="27" t="n"/>
      <c r="AQ168" s="27" t="n"/>
      <c r="AR168" s="27" t="n"/>
      <c r="AS168" s="27" t="n"/>
      <c r="AT168" s="27" t="n"/>
      <c r="AU168" s="27" t="n"/>
      <c r="AV168" s="27" t="n"/>
      <c r="AW168" s="27" t="n"/>
      <c r="AX168" s="27" t="n"/>
      <c r="AY168" s="27" t="n"/>
      <c r="AZ168" s="27" t="n"/>
      <c r="BA168" s="27" t="n"/>
      <c r="BB168" s="27" t="n"/>
      <c r="BC168" s="27" t="n"/>
      <c r="BD168" s="27" t="n"/>
      <c r="BE168" s="27" t="n"/>
      <c r="BF168" s="27" t="n"/>
      <c r="BG168" s="27" t="n"/>
      <c r="BH168" s="27" t="n"/>
      <c r="BI168" s="29" t="n"/>
      <c r="BJ168" s="27" t="n"/>
      <c r="BK168" s="27" t="n"/>
      <c r="BL168" s="27" t="n"/>
      <c r="BM168" s="27" t="n"/>
    </row>
    <row r="169">
      <c r="A169" s="27" t="n"/>
      <c r="B169" s="27" t="n"/>
      <c r="C169" s="28">
        <f>IF(A169="","",$B$2)</f>
        <v/>
      </c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  <c r="AA169" s="27" t="n"/>
      <c r="AB169" s="27" t="n"/>
      <c r="AC169" s="27" t="n"/>
      <c r="AD169" s="27" t="n"/>
      <c r="AE169" s="27" t="n"/>
      <c r="AF169" s="27" t="n"/>
      <c r="AG169" s="27" t="n"/>
      <c r="AH169" s="27" t="n"/>
      <c r="AI169" s="27" t="n"/>
      <c r="AJ169" s="27" t="n"/>
      <c r="AK169" s="27" t="n"/>
      <c r="AL169" s="27" t="n"/>
      <c r="AM169" s="27" t="n"/>
      <c r="AN169" s="27" t="n"/>
      <c r="AO169" s="27" t="n"/>
      <c r="AP169" s="27" t="n"/>
      <c r="AQ169" s="27" t="n"/>
      <c r="AR169" s="27" t="n"/>
      <c r="AS169" s="27" t="n"/>
      <c r="AT169" s="27" t="n"/>
      <c r="AU169" s="27" t="n"/>
      <c r="AV169" s="27" t="n"/>
      <c r="AW169" s="27" t="n"/>
      <c r="AX169" s="27" t="n"/>
      <c r="AY169" s="27" t="n"/>
      <c r="AZ169" s="27" t="n"/>
      <c r="BA169" s="27" t="n"/>
      <c r="BB169" s="27" t="n"/>
      <c r="BC169" s="27" t="n"/>
      <c r="BD169" s="27" t="n"/>
      <c r="BE169" s="27" t="n"/>
      <c r="BF169" s="27" t="n"/>
      <c r="BG169" s="27" t="n"/>
      <c r="BH169" s="27" t="n"/>
      <c r="BI169" s="29" t="n"/>
      <c r="BJ169" s="27" t="n"/>
      <c r="BK169" s="27" t="n"/>
      <c r="BL169" s="27" t="n"/>
      <c r="BM169" s="27" t="n"/>
    </row>
    <row r="170">
      <c r="A170" s="27" t="n"/>
      <c r="B170" s="27" t="n"/>
      <c r="C170" s="28">
        <f>IF(A170="","",$B$2)</f>
        <v/>
      </c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  <c r="AA170" s="27" t="n"/>
      <c r="AB170" s="27" t="n"/>
      <c r="AC170" s="27" t="n"/>
      <c r="AD170" s="27" t="n"/>
      <c r="AE170" s="27" t="n"/>
      <c r="AF170" s="27" t="n"/>
      <c r="AG170" s="27" t="n"/>
      <c r="AH170" s="27" t="n"/>
      <c r="AI170" s="27" t="n"/>
      <c r="AJ170" s="27" t="n"/>
      <c r="AK170" s="27" t="n"/>
      <c r="AL170" s="27" t="n"/>
      <c r="AM170" s="27" t="n"/>
      <c r="AN170" s="27" t="n"/>
      <c r="AO170" s="27" t="n"/>
      <c r="AP170" s="27" t="n"/>
      <c r="AQ170" s="27" t="n"/>
      <c r="AR170" s="27" t="n"/>
      <c r="AS170" s="27" t="n"/>
      <c r="AT170" s="27" t="n"/>
      <c r="AU170" s="27" t="n"/>
      <c r="AV170" s="27" t="n"/>
      <c r="AW170" s="27" t="n"/>
      <c r="AX170" s="27" t="n"/>
      <c r="AY170" s="27" t="n"/>
      <c r="AZ170" s="27" t="n"/>
      <c r="BA170" s="27" t="n"/>
      <c r="BB170" s="27" t="n"/>
      <c r="BC170" s="27" t="n"/>
      <c r="BD170" s="27" t="n"/>
      <c r="BE170" s="27" t="n"/>
      <c r="BF170" s="27" t="n"/>
      <c r="BG170" s="27" t="n"/>
      <c r="BH170" s="27" t="n"/>
      <c r="BI170" s="29" t="n"/>
      <c r="BJ170" s="27" t="n"/>
      <c r="BK170" s="27" t="n"/>
      <c r="BL170" s="27" t="n"/>
      <c r="BM170" s="27" t="n"/>
    </row>
    <row r="171">
      <c r="A171" s="27" t="n"/>
      <c r="B171" s="27" t="n"/>
      <c r="C171" s="28">
        <f>IF(A171="","",$B$2)</f>
        <v/>
      </c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  <c r="AA171" s="27" t="n"/>
      <c r="AB171" s="27" t="n"/>
      <c r="AC171" s="27" t="n"/>
      <c r="AD171" s="27" t="n"/>
      <c r="AE171" s="27" t="n"/>
      <c r="AF171" s="27" t="n"/>
      <c r="AG171" s="27" t="n"/>
      <c r="AH171" s="27" t="n"/>
      <c r="AI171" s="27" t="n"/>
      <c r="AJ171" s="27" t="n"/>
      <c r="AK171" s="27" t="n"/>
      <c r="AL171" s="27" t="n"/>
      <c r="AM171" s="27" t="n"/>
      <c r="AN171" s="27" t="n"/>
      <c r="AO171" s="27" t="n"/>
      <c r="AP171" s="27" t="n"/>
      <c r="AQ171" s="27" t="n"/>
      <c r="AR171" s="27" t="n"/>
      <c r="AS171" s="27" t="n"/>
      <c r="AT171" s="27" t="n"/>
      <c r="AU171" s="27" t="n"/>
      <c r="AV171" s="27" t="n"/>
      <c r="AW171" s="27" t="n"/>
      <c r="AX171" s="27" t="n"/>
      <c r="AY171" s="27" t="n"/>
      <c r="AZ171" s="27" t="n"/>
      <c r="BA171" s="27" t="n"/>
      <c r="BB171" s="27" t="n"/>
      <c r="BC171" s="27" t="n"/>
      <c r="BD171" s="27" t="n"/>
      <c r="BE171" s="27" t="n"/>
      <c r="BF171" s="27" t="n"/>
      <c r="BG171" s="27" t="n"/>
      <c r="BH171" s="27" t="n"/>
      <c r="BI171" s="29" t="n"/>
      <c r="BJ171" s="27" t="n"/>
      <c r="BK171" s="27" t="n"/>
      <c r="BL171" s="27" t="n"/>
      <c r="BM171" s="27" t="n"/>
    </row>
    <row r="172">
      <c r="A172" s="27" t="n"/>
      <c r="B172" s="27" t="n"/>
      <c r="C172" s="28">
        <f>IF(A172="","",$B$2)</f>
        <v/>
      </c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  <c r="AA172" s="27" t="n"/>
      <c r="AB172" s="27" t="n"/>
      <c r="AC172" s="27" t="n"/>
      <c r="AD172" s="27" t="n"/>
      <c r="AE172" s="27" t="n"/>
      <c r="AF172" s="27" t="n"/>
      <c r="AG172" s="27" t="n"/>
      <c r="AH172" s="27" t="n"/>
      <c r="AI172" s="27" t="n"/>
      <c r="AJ172" s="27" t="n"/>
      <c r="AK172" s="27" t="n"/>
      <c r="AL172" s="27" t="n"/>
      <c r="AM172" s="27" t="n"/>
      <c r="AN172" s="27" t="n"/>
      <c r="AO172" s="27" t="n"/>
      <c r="AP172" s="27" t="n"/>
      <c r="AQ172" s="27" t="n"/>
      <c r="AR172" s="27" t="n"/>
      <c r="AS172" s="27" t="n"/>
      <c r="AT172" s="27" t="n"/>
      <c r="AU172" s="27" t="n"/>
      <c r="AV172" s="27" t="n"/>
      <c r="AW172" s="27" t="n"/>
      <c r="AX172" s="27" t="n"/>
      <c r="AY172" s="27" t="n"/>
      <c r="AZ172" s="27" t="n"/>
      <c r="BA172" s="27" t="n"/>
      <c r="BB172" s="27" t="n"/>
      <c r="BC172" s="27" t="n"/>
      <c r="BD172" s="27" t="n"/>
      <c r="BE172" s="27" t="n"/>
      <c r="BF172" s="27" t="n"/>
      <c r="BG172" s="27" t="n"/>
      <c r="BH172" s="27" t="n"/>
      <c r="BI172" s="29" t="n"/>
      <c r="BJ172" s="27" t="n"/>
      <c r="BK172" s="27" t="n"/>
      <c r="BL172" s="27" t="n"/>
      <c r="BM172" s="27" t="n"/>
    </row>
    <row r="173">
      <c r="A173" s="27" t="n"/>
      <c r="B173" s="27" t="n"/>
      <c r="C173" s="28">
        <f>IF(A173="","",$B$2)</f>
        <v/>
      </c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  <c r="AA173" s="27" t="n"/>
      <c r="AB173" s="27" t="n"/>
      <c r="AC173" s="27" t="n"/>
      <c r="AD173" s="27" t="n"/>
      <c r="AE173" s="27" t="n"/>
      <c r="AF173" s="27" t="n"/>
      <c r="AG173" s="27" t="n"/>
      <c r="AH173" s="27" t="n"/>
      <c r="AI173" s="27" t="n"/>
      <c r="AJ173" s="27" t="n"/>
      <c r="AK173" s="27" t="n"/>
      <c r="AL173" s="27" t="n"/>
      <c r="AM173" s="27" t="n"/>
      <c r="AN173" s="27" t="n"/>
      <c r="AO173" s="27" t="n"/>
      <c r="AP173" s="27" t="n"/>
      <c r="AQ173" s="27" t="n"/>
      <c r="AR173" s="27" t="n"/>
      <c r="AS173" s="27" t="n"/>
      <c r="AT173" s="27" t="n"/>
      <c r="AU173" s="27" t="n"/>
      <c r="AV173" s="27" t="n"/>
      <c r="AW173" s="27" t="n"/>
      <c r="AX173" s="27" t="n"/>
      <c r="AY173" s="27" t="n"/>
      <c r="AZ173" s="27" t="n"/>
      <c r="BA173" s="27" t="n"/>
      <c r="BB173" s="27" t="n"/>
      <c r="BC173" s="27" t="n"/>
      <c r="BD173" s="27" t="n"/>
      <c r="BE173" s="27" t="n"/>
      <c r="BF173" s="27" t="n"/>
      <c r="BG173" s="27" t="n"/>
      <c r="BH173" s="27" t="n"/>
      <c r="BI173" s="29" t="n"/>
      <c r="BJ173" s="27" t="n"/>
      <c r="BK173" s="27" t="n"/>
      <c r="BL173" s="27" t="n"/>
      <c r="BM173" s="27" t="n"/>
    </row>
    <row r="174">
      <c r="A174" s="27" t="n"/>
      <c r="B174" s="27" t="n"/>
      <c r="C174" s="28">
        <f>IF(A174="","",$B$2)</f>
        <v/>
      </c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  <c r="AA174" s="27" t="n"/>
      <c r="AB174" s="27" t="n"/>
      <c r="AC174" s="27" t="n"/>
      <c r="AD174" s="27" t="n"/>
      <c r="AE174" s="27" t="n"/>
      <c r="AF174" s="27" t="n"/>
      <c r="AG174" s="27" t="n"/>
      <c r="AH174" s="27" t="n"/>
      <c r="AI174" s="27" t="n"/>
      <c r="AJ174" s="27" t="n"/>
      <c r="AK174" s="27" t="n"/>
      <c r="AL174" s="27" t="n"/>
      <c r="AM174" s="27" t="n"/>
      <c r="AN174" s="27" t="n"/>
      <c r="AO174" s="27" t="n"/>
      <c r="AP174" s="27" t="n"/>
      <c r="AQ174" s="27" t="n"/>
      <c r="AR174" s="27" t="n"/>
      <c r="AS174" s="27" t="n"/>
      <c r="AT174" s="27" t="n"/>
      <c r="AU174" s="27" t="n"/>
      <c r="AV174" s="27" t="n"/>
      <c r="AW174" s="27" t="n"/>
      <c r="AX174" s="27" t="n"/>
      <c r="AY174" s="27" t="n"/>
      <c r="AZ174" s="27" t="n"/>
      <c r="BA174" s="27" t="n"/>
      <c r="BB174" s="27" t="n"/>
      <c r="BC174" s="27" t="n"/>
      <c r="BD174" s="27" t="n"/>
      <c r="BE174" s="27" t="n"/>
      <c r="BF174" s="27" t="n"/>
      <c r="BG174" s="27" t="n"/>
      <c r="BH174" s="27" t="n"/>
      <c r="BI174" s="29" t="n"/>
      <c r="BJ174" s="27" t="n"/>
      <c r="BK174" s="27" t="n"/>
      <c r="BL174" s="27" t="n"/>
      <c r="BM174" s="27" t="n"/>
    </row>
    <row r="175">
      <c r="A175" s="27" t="n"/>
      <c r="B175" s="27" t="n"/>
      <c r="C175" s="28">
        <f>IF(A175="","",$B$2)</f>
        <v/>
      </c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  <c r="AA175" s="27" t="n"/>
      <c r="AB175" s="27" t="n"/>
      <c r="AC175" s="27" t="n"/>
      <c r="AD175" s="27" t="n"/>
      <c r="AE175" s="27" t="n"/>
      <c r="AF175" s="27" t="n"/>
      <c r="AG175" s="27" t="n"/>
      <c r="AH175" s="27" t="n"/>
      <c r="AI175" s="27" t="n"/>
      <c r="AJ175" s="27" t="n"/>
      <c r="AK175" s="27" t="n"/>
      <c r="AL175" s="27" t="n"/>
      <c r="AM175" s="27" t="n"/>
      <c r="AN175" s="27" t="n"/>
      <c r="AO175" s="27" t="n"/>
      <c r="AP175" s="27" t="n"/>
      <c r="AQ175" s="27" t="n"/>
      <c r="AR175" s="27" t="n"/>
      <c r="AS175" s="27" t="n"/>
      <c r="AT175" s="27" t="n"/>
      <c r="AU175" s="27" t="n"/>
      <c r="AV175" s="27" t="n"/>
      <c r="AW175" s="27" t="n"/>
      <c r="AX175" s="27" t="n"/>
      <c r="AY175" s="27" t="n"/>
      <c r="AZ175" s="27" t="n"/>
      <c r="BA175" s="27" t="n"/>
      <c r="BB175" s="27" t="n"/>
      <c r="BC175" s="27" t="n"/>
      <c r="BD175" s="27" t="n"/>
      <c r="BE175" s="27" t="n"/>
      <c r="BF175" s="27" t="n"/>
      <c r="BG175" s="27" t="n"/>
      <c r="BH175" s="27" t="n"/>
      <c r="BI175" s="29" t="n"/>
      <c r="BJ175" s="27" t="n"/>
      <c r="BK175" s="27" t="n"/>
      <c r="BL175" s="27" t="n"/>
      <c r="BM175" s="27" t="n"/>
    </row>
    <row r="176">
      <c r="A176" s="27" t="n"/>
      <c r="B176" s="27" t="n"/>
      <c r="C176" s="28">
        <f>IF(A176="","",$B$2)</f>
        <v/>
      </c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  <c r="AA176" s="27" t="n"/>
      <c r="AB176" s="27" t="n"/>
      <c r="AC176" s="27" t="n"/>
      <c r="AD176" s="27" t="n"/>
      <c r="AE176" s="27" t="n"/>
      <c r="AF176" s="27" t="n"/>
      <c r="AG176" s="27" t="n"/>
      <c r="AH176" s="27" t="n"/>
      <c r="AI176" s="27" t="n"/>
      <c r="AJ176" s="27" t="n"/>
      <c r="AK176" s="27" t="n"/>
      <c r="AL176" s="27" t="n"/>
      <c r="AM176" s="27" t="n"/>
      <c r="AN176" s="27" t="n"/>
      <c r="AO176" s="27" t="n"/>
      <c r="AP176" s="27" t="n"/>
      <c r="AQ176" s="27" t="n"/>
      <c r="AR176" s="27" t="n"/>
      <c r="AS176" s="27" t="n"/>
      <c r="AT176" s="27" t="n"/>
      <c r="AU176" s="27" t="n"/>
      <c r="AV176" s="27" t="n"/>
      <c r="AW176" s="27" t="n"/>
      <c r="AX176" s="27" t="n"/>
      <c r="AY176" s="27" t="n"/>
      <c r="AZ176" s="27" t="n"/>
      <c r="BA176" s="27" t="n"/>
      <c r="BB176" s="27" t="n"/>
      <c r="BC176" s="27" t="n"/>
      <c r="BD176" s="27" t="n"/>
      <c r="BE176" s="27" t="n"/>
      <c r="BF176" s="27" t="n"/>
      <c r="BG176" s="27" t="n"/>
      <c r="BH176" s="27" t="n"/>
      <c r="BI176" s="29" t="n"/>
      <c r="BJ176" s="27" t="n"/>
      <c r="BK176" s="27" t="n"/>
      <c r="BL176" s="27" t="n"/>
      <c r="BM176" s="27" t="n"/>
    </row>
    <row r="177">
      <c r="A177" s="27" t="n"/>
      <c r="B177" s="27" t="n"/>
      <c r="C177" s="28">
        <f>IF(A177="","",$B$2)</f>
        <v/>
      </c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  <c r="AA177" s="27" t="n"/>
      <c r="AB177" s="27" t="n"/>
      <c r="AC177" s="27" t="n"/>
      <c r="AD177" s="27" t="n"/>
      <c r="AE177" s="27" t="n"/>
      <c r="AF177" s="27" t="n"/>
      <c r="AG177" s="27" t="n"/>
      <c r="AH177" s="27" t="n"/>
      <c r="AI177" s="27" t="n"/>
      <c r="AJ177" s="27" t="n"/>
      <c r="AK177" s="27" t="n"/>
      <c r="AL177" s="27" t="n"/>
      <c r="AM177" s="27" t="n"/>
      <c r="AN177" s="27" t="n"/>
      <c r="AO177" s="27" t="n"/>
      <c r="AP177" s="27" t="n"/>
      <c r="AQ177" s="27" t="n"/>
      <c r="AR177" s="27" t="n"/>
      <c r="AS177" s="27" t="n"/>
      <c r="AT177" s="27" t="n"/>
      <c r="AU177" s="27" t="n"/>
      <c r="AV177" s="27" t="n"/>
      <c r="AW177" s="27" t="n"/>
      <c r="AX177" s="27" t="n"/>
      <c r="AY177" s="27" t="n"/>
      <c r="AZ177" s="27" t="n"/>
      <c r="BA177" s="27" t="n"/>
      <c r="BB177" s="27" t="n"/>
      <c r="BC177" s="27" t="n"/>
      <c r="BD177" s="27" t="n"/>
      <c r="BE177" s="27" t="n"/>
      <c r="BF177" s="27" t="n"/>
      <c r="BG177" s="27" t="n"/>
      <c r="BH177" s="27" t="n"/>
      <c r="BI177" s="29" t="n"/>
      <c r="BJ177" s="27" t="n"/>
      <c r="BK177" s="27" t="n"/>
      <c r="BL177" s="27" t="n"/>
      <c r="BM177" s="27" t="n"/>
    </row>
    <row r="178">
      <c r="A178" s="27" t="n"/>
      <c r="B178" s="27" t="n"/>
      <c r="C178" s="28">
        <f>IF(A178="","",$B$2)</f>
        <v/>
      </c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  <c r="AA178" s="27" t="n"/>
      <c r="AB178" s="27" t="n"/>
      <c r="AC178" s="27" t="n"/>
      <c r="AD178" s="27" t="n"/>
      <c r="AE178" s="27" t="n"/>
      <c r="AF178" s="27" t="n"/>
      <c r="AG178" s="27" t="n"/>
      <c r="AH178" s="27" t="n"/>
      <c r="AI178" s="27" t="n"/>
      <c r="AJ178" s="27" t="n"/>
      <c r="AK178" s="27" t="n"/>
      <c r="AL178" s="27" t="n"/>
      <c r="AM178" s="27" t="n"/>
      <c r="AN178" s="27" t="n"/>
      <c r="AO178" s="27" t="n"/>
      <c r="AP178" s="27" t="n"/>
      <c r="AQ178" s="27" t="n"/>
      <c r="AR178" s="27" t="n"/>
      <c r="AS178" s="27" t="n"/>
      <c r="AT178" s="27" t="n"/>
      <c r="AU178" s="27" t="n"/>
      <c r="AV178" s="27" t="n"/>
      <c r="AW178" s="27" t="n"/>
      <c r="AX178" s="27" t="n"/>
      <c r="AY178" s="27" t="n"/>
      <c r="AZ178" s="27" t="n"/>
      <c r="BA178" s="27" t="n"/>
      <c r="BB178" s="27" t="n"/>
      <c r="BC178" s="27" t="n"/>
      <c r="BD178" s="27" t="n"/>
      <c r="BE178" s="27" t="n"/>
      <c r="BF178" s="27" t="n"/>
      <c r="BG178" s="27" t="n"/>
      <c r="BH178" s="27" t="n"/>
      <c r="BI178" s="29" t="n"/>
      <c r="BJ178" s="27" t="n"/>
      <c r="BK178" s="27" t="n"/>
      <c r="BL178" s="27" t="n"/>
      <c r="BM178" s="27" t="n"/>
    </row>
    <row r="179">
      <c r="A179" s="27" t="n"/>
      <c r="B179" s="27" t="n"/>
      <c r="C179" s="28">
        <f>IF(A179="","",$B$2)</f>
        <v/>
      </c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  <c r="AA179" s="27" t="n"/>
      <c r="AB179" s="27" t="n"/>
      <c r="AC179" s="27" t="n"/>
      <c r="AD179" s="27" t="n"/>
      <c r="AE179" s="27" t="n"/>
      <c r="AF179" s="27" t="n"/>
      <c r="AG179" s="27" t="n"/>
      <c r="AH179" s="27" t="n"/>
      <c r="AI179" s="27" t="n"/>
      <c r="AJ179" s="27" t="n"/>
      <c r="AK179" s="27" t="n"/>
      <c r="AL179" s="27" t="n"/>
      <c r="AM179" s="27" t="n"/>
      <c r="AN179" s="27" t="n"/>
      <c r="AO179" s="27" t="n"/>
      <c r="AP179" s="27" t="n"/>
      <c r="AQ179" s="27" t="n"/>
      <c r="AR179" s="27" t="n"/>
      <c r="AS179" s="27" t="n"/>
      <c r="AT179" s="27" t="n"/>
      <c r="AU179" s="27" t="n"/>
      <c r="AV179" s="27" t="n"/>
      <c r="AW179" s="27" t="n"/>
      <c r="AX179" s="27" t="n"/>
      <c r="AY179" s="27" t="n"/>
      <c r="AZ179" s="27" t="n"/>
      <c r="BA179" s="27" t="n"/>
      <c r="BB179" s="27" t="n"/>
      <c r="BC179" s="27" t="n"/>
      <c r="BD179" s="27" t="n"/>
      <c r="BE179" s="27" t="n"/>
      <c r="BF179" s="27" t="n"/>
      <c r="BG179" s="27" t="n"/>
      <c r="BH179" s="27" t="n"/>
      <c r="BI179" s="29" t="n"/>
      <c r="BJ179" s="27" t="n"/>
      <c r="BK179" s="27" t="n"/>
      <c r="BL179" s="27" t="n"/>
      <c r="BM179" s="27" t="n"/>
    </row>
    <row r="180">
      <c r="A180" s="27" t="n"/>
      <c r="B180" s="27" t="n"/>
      <c r="C180" s="28">
        <f>IF(A180="","",$B$2)</f>
        <v/>
      </c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  <c r="AA180" s="27" t="n"/>
      <c r="AB180" s="27" t="n"/>
      <c r="AC180" s="27" t="n"/>
      <c r="AD180" s="27" t="n"/>
      <c r="AE180" s="27" t="n"/>
      <c r="AF180" s="27" t="n"/>
      <c r="AG180" s="27" t="n"/>
      <c r="AH180" s="27" t="n"/>
      <c r="AI180" s="27" t="n"/>
      <c r="AJ180" s="27" t="n"/>
      <c r="AK180" s="27" t="n"/>
      <c r="AL180" s="27" t="n"/>
      <c r="AM180" s="27" t="n"/>
      <c r="AN180" s="27" t="n"/>
      <c r="AO180" s="27" t="n"/>
      <c r="AP180" s="27" t="n"/>
      <c r="AQ180" s="27" t="n"/>
      <c r="AR180" s="27" t="n"/>
      <c r="AS180" s="27" t="n"/>
      <c r="AT180" s="27" t="n"/>
      <c r="AU180" s="27" t="n"/>
      <c r="AV180" s="27" t="n"/>
      <c r="AW180" s="27" t="n"/>
      <c r="AX180" s="27" t="n"/>
      <c r="AY180" s="27" t="n"/>
      <c r="AZ180" s="27" t="n"/>
      <c r="BA180" s="27" t="n"/>
      <c r="BB180" s="27" t="n"/>
      <c r="BC180" s="27" t="n"/>
      <c r="BD180" s="27" t="n"/>
      <c r="BE180" s="27" t="n"/>
      <c r="BF180" s="27" t="n"/>
      <c r="BG180" s="27" t="n"/>
      <c r="BH180" s="27" t="n"/>
      <c r="BI180" s="29" t="n"/>
      <c r="BJ180" s="27" t="n"/>
      <c r="BK180" s="27" t="n"/>
      <c r="BL180" s="27" t="n"/>
      <c r="BM180" s="27" t="n"/>
    </row>
    <row r="181">
      <c r="A181" s="27" t="n"/>
      <c r="B181" s="27" t="n"/>
      <c r="C181" s="28">
        <f>IF(A181="","",$B$2)</f>
        <v/>
      </c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  <c r="AA181" s="27" t="n"/>
      <c r="AB181" s="27" t="n"/>
      <c r="AC181" s="27" t="n"/>
      <c r="AD181" s="27" t="n"/>
      <c r="AE181" s="27" t="n"/>
      <c r="AF181" s="27" t="n"/>
      <c r="AG181" s="27" t="n"/>
      <c r="AH181" s="27" t="n"/>
      <c r="AI181" s="27" t="n"/>
      <c r="AJ181" s="27" t="n"/>
      <c r="AK181" s="27" t="n"/>
      <c r="AL181" s="27" t="n"/>
      <c r="AM181" s="27" t="n"/>
      <c r="AN181" s="27" t="n"/>
      <c r="AO181" s="27" t="n"/>
      <c r="AP181" s="27" t="n"/>
      <c r="AQ181" s="27" t="n"/>
      <c r="AR181" s="27" t="n"/>
      <c r="AS181" s="27" t="n"/>
      <c r="AT181" s="27" t="n"/>
      <c r="AU181" s="27" t="n"/>
      <c r="AV181" s="27" t="n"/>
      <c r="AW181" s="27" t="n"/>
      <c r="AX181" s="27" t="n"/>
      <c r="AY181" s="27" t="n"/>
      <c r="AZ181" s="27" t="n"/>
      <c r="BA181" s="27" t="n"/>
      <c r="BB181" s="27" t="n"/>
      <c r="BC181" s="27" t="n"/>
      <c r="BD181" s="27" t="n"/>
      <c r="BE181" s="27" t="n"/>
      <c r="BF181" s="27" t="n"/>
      <c r="BG181" s="27" t="n"/>
      <c r="BH181" s="27" t="n"/>
      <c r="BI181" s="29" t="n"/>
      <c r="BJ181" s="27" t="n"/>
      <c r="BK181" s="27" t="n"/>
      <c r="BL181" s="27" t="n"/>
      <c r="BM181" s="27" t="n"/>
    </row>
    <row r="182">
      <c r="A182" s="27" t="n"/>
      <c r="B182" s="27" t="n"/>
      <c r="C182" s="28">
        <f>IF(A182="","",$B$2)</f>
        <v/>
      </c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  <c r="AA182" s="27" t="n"/>
      <c r="AB182" s="27" t="n"/>
      <c r="AC182" s="27" t="n"/>
      <c r="AD182" s="27" t="n"/>
      <c r="AE182" s="27" t="n"/>
      <c r="AF182" s="27" t="n"/>
      <c r="AG182" s="27" t="n"/>
      <c r="AH182" s="27" t="n"/>
      <c r="AI182" s="27" t="n"/>
      <c r="AJ182" s="27" t="n"/>
      <c r="AK182" s="27" t="n"/>
      <c r="AL182" s="27" t="n"/>
      <c r="AM182" s="27" t="n"/>
      <c r="AN182" s="27" t="n"/>
      <c r="AO182" s="27" t="n"/>
      <c r="AP182" s="27" t="n"/>
      <c r="AQ182" s="27" t="n"/>
      <c r="AR182" s="27" t="n"/>
      <c r="AS182" s="27" t="n"/>
      <c r="AT182" s="27" t="n"/>
      <c r="AU182" s="27" t="n"/>
      <c r="AV182" s="27" t="n"/>
      <c r="AW182" s="27" t="n"/>
      <c r="AX182" s="27" t="n"/>
      <c r="AY182" s="27" t="n"/>
      <c r="AZ182" s="27" t="n"/>
      <c r="BA182" s="27" t="n"/>
      <c r="BB182" s="27" t="n"/>
      <c r="BC182" s="27" t="n"/>
      <c r="BD182" s="27" t="n"/>
      <c r="BE182" s="27" t="n"/>
      <c r="BF182" s="27" t="n"/>
      <c r="BG182" s="27" t="n"/>
      <c r="BH182" s="27" t="n"/>
      <c r="BI182" s="29" t="n"/>
      <c r="BJ182" s="27" t="n"/>
      <c r="BK182" s="27" t="n"/>
      <c r="BL182" s="27" t="n"/>
      <c r="BM182" s="27" t="n"/>
    </row>
    <row r="183">
      <c r="A183" s="27" t="n"/>
      <c r="B183" s="27" t="n"/>
      <c r="C183" s="28">
        <f>IF(A183="","",$B$2)</f>
        <v/>
      </c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  <c r="AA183" s="27" t="n"/>
      <c r="AB183" s="27" t="n"/>
      <c r="AC183" s="27" t="n"/>
      <c r="AD183" s="27" t="n"/>
      <c r="AE183" s="27" t="n"/>
      <c r="AF183" s="27" t="n"/>
      <c r="AG183" s="27" t="n"/>
      <c r="AH183" s="27" t="n"/>
      <c r="AI183" s="27" t="n"/>
      <c r="AJ183" s="27" t="n"/>
      <c r="AK183" s="27" t="n"/>
      <c r="AL183" s="27" t="n"/>
      <c r="AM183" s="27" t="n"/>
      <c r="AN183" s="27" t="n"/>
      <c r="AO183" s="27" t="n"/>
      <c r="AP183" s="27" t="n"/>
      <c r="AQ183" s="27" t="n"/>
      <c r="AR183" s="27" t="n"/>
      <c r="AS183" s="27" t="n"/>
      <c r="AT183" s="27" t="n"/>
      <c r="AU183" s="27" t="n"/>
      <c r="AV183" s="27" t="n"/>
      <c r="AW183" s="27" t="n"/>
      <c r="AX183" s="27" t="n"/>
      <c r="AY183" s="27" t="n"/>
      <c r="AZ183" s="27" t="n"/>
      <c r="BA183" s="27" t="n"/>
      <c r="BB183" s="27" t="n"/>
      <c r="BC183" s="27" t="n"/>
      <c r="BD183" s="27" t="n"/>
      <c r="BE183" s="27" t="n"/>
      <c r="BF183" s="27" t="n"/>
      <c r="BG183" s="27" t="n"/>
      <c r="BH183" s="27" t="n"/>
      <c r="BI183" s="29" t="n"/>
      <c r="BJ183" s="27" t="n"/>
      <c r="BK183" s="27" t="n"/>
      <c r="BL183" s="27" t="n"/>
      <c r="BM183" s="27" t="n"/>
    </row>
    <row r="184">
      <c r="A184" s="27" t="n"/>
      <c r="B184" s="27" t="n"/>
      <c r="C184" s="28">
        <f>IF(A184="","",$B$2)</f>
        <v/>
      </c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  <c r="AA184" s="27" t="n"/>
      <c r="AB184" s="27" t="n"/>
      <c r="AC184" s="27" t="n"/>
      <c r="AD184" s="27" t="n"/>
      <c r="AE184" s="27" t="n"/>
      <c r="AF184" s="27" t="n"/>
      <c r="AG184" s="27" t="n"/>
      <c r="AH184" s="27" t="n"/>
      <c r="AI184" s="27" t="n"/>
      <c r="AJ184" s="27" t="n"/>
      <c r="AK184" s="27" t="n"/>
      <c r="AL184" s="27" t="n"/>
      <c r="AM184" s="27" t="n"/>
      <c r="AN184" s="27" t="n"/>
      <c r="AO184" s="27" t="n"/>
      <c r="AP184" s="27" t="n"/>
      <c r="AQ184" s="27" t="n"/>
      <c r="AR184" s="27" t="n"/>
      <c r="AS184" s="27" t="n"/>
      <c r="AT184" s="27" t="n"/>
      <c r="AU184" s="27" t="n"/>
      <c r="AV184" s="27" t="n"/>
      <c r="AW184" s="27" t="n"/>
      <c r="AX184" s="27" t="n"/>
      <c r="AY184" s="27" t="n"/>
      <c r="AZ184" s="27" t="n"/>
      <c r="BA184" s="27" t="n"/>
      <c r="BB184" s="27" t="n"/>
      <c r="BC184" s="27" t="n"/>
      <c r="BD184" s="27" t="n"/>
      <c r="BE184" s="27" t="n"/>
      <c r="BF184" s="27" t="n"/>
      <c r="BG184" s="27" t="n"/>
      <c r="BH184" s="27" t="n"/>
      <c r="BI184" s="29" t="n"/>
      <c r="BJ184" s="27" t="n"/>
      <c r="BK184" s="27" t="n"/>
      <c r="BL184" s="27" t="n"/>
      <c r="BM184" s="27" t="n"/>
    </row>
    <row r="185">
      <c r="A185" s="27" t="n"/>
      <c r="B185" s="27" t="n"/>
      <c r="C185" s="28">
        <f>IF(A185="","",$B$2)</f>
        <v/>
      </c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  <c r="AA185" s="27" t="n"/>
      <c r="AB185" s="27" t="n"/>
      <c r="AC185" s="27" t="n"/>
      <c r="AD185" s="27" t="n"/>
      <c r="AE185" s="27" t="n"/>
      <c r="AF185" s="27" t="n"/>
      <c r="AG185" s="27" t="n"/>
      <c r="AH185" s="27" t="n"/>
      <c r="AI185" s="27" t="n"/>
      <c r="AJ185" s="27" t="n"/>
      <c r="AK185" s="27" t="n"/>
      <c r="AL185" s="27" t="n"/>
      <c r="AM185" s="27" t="n"/>
      <c r="AN185" s="27" t="n"/>
      <c r="AO185" s="27" t="n"/>
      <c r="AP185" s="27" t="n"/>
      <c r="AQ185" s="27" t="n"/>
      <c r="AR185" s="27" t="n"/>
      <c r="AS185" s="27" t="n"/>
      <c r="AT185" s="27" t="n"/>
      <c r="AU185" s="27" t="n"/>
      <c r="AV185" s="27" t="n"/>
      <c r="AW185" s="27" t="n"/>
      <c r="AX185" s="27" t="n"/>
      <c r="AY185" s="27" t="n"/>
      <c r="AZ185" s="27" t="n"/>
      <c r="BA185" s="27" t="n"/>
      <c r="BB185" s="27" t="n"/>
      <c r="BC185" s="27" t="n"/>
      <c r="BD185" s="27" t="n"/>
      <c r="BE185" s="27" t="n"/>
      <c r="BF185" s="27" t="n"/>
      <c r="BG185" s="27" t="n"/>
      <c r="BH185" s="27" t="n"/>
      <c r="BI185" s="29" t="n"/>
      <c r="BJ185" s="27" t="n"/>
      <c r="BK185" s="27" t="n"/>
      <c r="BL185" s="27" t="n"/>
      <c r="BM185" s="27" t="n"/>
    </row>
    <row r="186">
      <c r="A186" s="27" t="n"/>
      <c r="B186" s="27" t="n"/>
      <c r="C186" s="28">
        <f>IF(A186="","",$B$2)</f>
        <v/>
      </c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  <c r="AA186" s="27" t="n"/>
      <c r="AB186" s="27" t="n"/>
      <c r="AC186" s="27" t="n"/>
      <c r="AD186" s="27" t="n"/>
      <c r="AE186" s="27" t="n"/>
      <c r="AF186" s="27" t="n"/>
      <c r="AG186" s="27" t="n"/>
      <c r="AH186" s="27" t="n"/>
      <c r="AI186" s="27" t="n"/>
      <c r="AJ186" s="27" t="n"/>
      <c r="AK186" s="27" t="n"/>
      <c r="AL186" s="27" t="n"/>
      <c r="AM186" s="27" t="n"/>
      <c r="AN186" s="27" t="n"/>
      <c r="AO186" s="27" t="n"/>
      <c r="AP186" s="27" t="n"/>
      <c r="AQ186" s="27" t="n"/>
      <c r="AR186" s="27" t="n"/>
      <c r="AS186" s="27" t="n"/>
      <c r="AT186" s="27" t="n"/>
      <c r="AU186" s="27" t="n"/>
      <c r="AV186" s="27" t="n"/>
      <c r="AW186" s="27" t="n"/>
      <c r="AX186" s="27" t="n"/>
      <c r="AY186" s="27" t="n"/>
      <c r="AZ186" s="27" t="n"/>
      <c r="BA186" s="27" t="n"/>
      <c r="BB186" s="27" t="n"/>
      <c r="BC186" s="27" t="n"/>
      <c r="BD186" s="27" t="n"/>
      <c r="BE186" s="27" t="n"/>
      <c r="BF186" s="27" t="n"/>
      <c r="BG186" s="27" t="n"/>
      <c r="BH186" s="27" t="n"/>
      <c r="BI186" s="29" t="n"/>
      <c r="BJ186" s="27" t="n"/>
      <c r="BK186" s="27" t="n"/>
      <c r="BL186" s="27" t="n"/>
      <c r="BM186" s="27" t="n"/>
    </row>
    <row r="187">
      <c r="A187" s="27" t="n"/>
      <c r="B187" s="27" t="n"/>
      <c r="C187" s="28">
        <f>IF(A187="","",$B$2)</f>
        <v/>
      </c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  <c r="AA187" s="27" t="n"/>
      <c r="AB187" s="27" t="n"/>
      <c r="AC187" s="27" t="n"/>
      <c r="AD187" s="27" t="n"/>
      <c r="AE187" s="27" t="n"/>
      <c r="AF187" s="27" t="n"/>
      <c r="AG187" s="27" t="n"/>
      <c r="AH187" s="27" t="n"/>
      <c r="AI187" s="27" t="n"/>
      <c r="AJ187" s="27" t="n"/>
      <c r="AK187" s="27" t="n"/>
      <c r="AL187" s="27" t="n"/>
      <c r="AM187" s="27" t="n"/>
      <c r="AN187" s="27" t="n"/>
      <c r="AO187" s="27" t="n"/>
      <c r="AP187" s="27" t="n"/>
      <c r="AQ187" s="27" t="n"/>
      <c r="AR187" s="27" t="n"/>
      <c r="AS187" s="27" t="n"/>
      <c r="AT187" s="27" t="n"/>
      <c r="AU187" s="27" t="n"/>
      <c r="AV187" s="27" t="n"/>
      <c r="AW187" s="27" t="n"/>
      <c r="AX187" s="27" t="n"/>
      <c r="AY187" s="27" t="n"/>
      <c r="AZ187" s="27" t="n"/>
      <c r="BA187" s="27" t="n"/>
      <c r="BB187" s="27" t="n"/>
      <c r="BC187" s="27" t="n"/>
      <c r="BD187" s="27" t="n"/>
      <c r="BE187" s="27" t="n"/>
      <c r="BF187" s="27" t="n"/>
      <c r="BG187" s="27" t="n"/>
      <c r="BH187" s="27" t="n"/>
      <c r="BI187" s="29" t="n"/>
      <c r="BJ187" s="27" t="n"/>
      <c r="BK187" s="27" t="n"/>
      <c r="BL187" s="27" t="n"/>
      <c r="BM187" s="27" t="n"/>
    </row>
    <row r="188">
      <c r="A188" s="27" t="n"/>
      <c r="B188" s="27" t="n"/>
      <c r="C188" s="28">
        <f>IF(A188="","",$B$2)</f>
        <v/>
      </c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  <c r="AA188" s="27" t="n"/>
      <c r="AB188" s="27" t="n"/>
      <c r="AC188" s="27" t="n"/>
      <c r="AD188" s="27" t="n"/>
      <c r="AE188" s="27" t="n"/>
      <c r="AF188" s="27" t="n"/>
      <c r="AG188" s="27" t="n"/>
      <c r="AH188" s="27" t="n"/>
      <c r="AI188" s="27" t="n"/>
      <c r="AJ188" s="27" t="n"/>
      <c r="AK188" s="27" t="n"/>
      <c r="AL188" s="27" t="n"/>
      <c r="AM188" s="27" t="n"/>
      <c r="AN188" s="27" t="n"/>
      <c r="AO188" s="27" t="n"/>
      <c r="AP188" s="27" t="n"/>
      <c r="AQ188" s="27" t="n"/>
      <c r="AR188" s="27" t="n"/>
      <c r="AS188" s="27" t="n"/>
      <c r="AT188" s="27" t="n"/>
      <c r="AU188" s="27" t="n"/>
      <c r="AV188" s="27" t="n"/>
      <c r="AW188" s="27" t="n"/>
      <c r="AX188" s="27" t="n"/>
      <c r="AY188" s="27" t="n"/>
      <c r="AZ188" s="27" t="n"/>
      <c r="BA188" s="27" t="n"/>
      <c r="BB188" s="27" t="n"/>
      <c r="BC188" s="27" t="n"/>
      <c r="BD188" s="27" t="n"/>
      <c r="BE188" s="27" t="n"/>
      <c r="BF188" s="27" t="n"/>
      <c r="BG188" s="27" t="n"/>
      <c r="BH188" s="27" t="n"/>
      <c r="BI188" s="29" t="n"/>
      <c r="BJ188" s="27" t="n"/>
      <c r="BK188" s="27" t="n"/>
      <c r="BL188" s="27" t="n"/>
      <c r="BM188" s="27" t="n"/>
    </row>
    <row r="189">
      <c r="A189" s="27" t="n"/>
      <c r="B189" s="27" t="n"/>
      <c r="C189" s="28">
        <f>IF(A189="","",$B$2)</f>
        <v/>
      </c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  <c r="AA189" s="27" t="n"/>
      <c r="AB189" s="27" t="n"/>
      <c r="AC189" s="27" t="n"/>
      <c r="AD189" s="27" t="n"/>
      <c r="AE189" s="27" t="n"/>
      <c r="AF189" s="27" t="n"/>
      <c r="AG189" s="27" t="n"/>
      <c r="AH189" s="27" t="n"/>
      <c r="AI189" s="27" t="n"/>
      <c r="AJ189" s="27" t="n"/>
      <c r="AK189" s="27" t="n"/>
      <c r="AL189" s="27" t="n"/>
      <c r="AM189" s="27" t="n"/>
      <c r="AN189" s="27" t="n"/>
      <c r="AO189" s="27" t="n"/>
      <c r="AP189" s="27" t="n"/>
      <c r="AQ189" s="27" t="n"/>
      <c r="AR189" s="27" t="n"/>
      <c r="AS189" s="27" t="n"/>
      <c r="AT189" s="27" t="n"/>
      <c r="AU189" s="27" t="n"/>
      <c r="AV189" s="27" t="n"/>
      <c r="AW189" s="27" t="n"/>
      <c r="AX189" s="27" t="n"/>
      <c r="AY189" s="27" t="n"/>
      <c r="AZ189" s="27" t="n"/>
      <c r="BA189" s="27" t="n"/>
      <c r="BB189" s="27" t="n"/>
      <c r="BC189" s="27" t="n"/>
      <c r="BD189" s="27" t="n"/>
      <c r="BE189" s="27" t="n"/>
      <c r="BF189" s="27" t="n"/>
      <c r="BG189" s="27" t="n"/>
      <c r="BH189" s="27" t="n"/>
      <c r="BI189" s="29" t="n"/>
      <c r="BJ189" s="27" t="n"/>
      <c r="BK189" s="27" t="n"/>
      <c r="BL189" s="27" t="n"/>
      <c r="BM189" s="27" t="n"/>
    </row>
    <row r="190">
      <c r="A190" s="27" t="n"/>
      <c r="B190" s="27" t="n"/>
      <c r="C190" s="28">
        <f>IF(A190="","",$B$2)</f>
        <v/>
      </c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  <c r="AA190" s="27" t="n"/>
      <c r="AB190" s="27" t="n"/>
      <c r="AC190" s="27" t="n"/>
      <c r="AD190" s="27" t="n"/>
      <c r="AE190" s="27" t="n"/>
      <c r="AF190" s="27" t="n"/>
      <c r="AG190" s="27" t="n"/>
      <c r="AH190" s="27" t="n"/>
      <c r="AI190" s="27" t="n"/>
      <c r="AJ190" s="27" t="n"/>
      <c r="AK190" s="27" t="n"/>
      <c r="AL190" s="27" t="n"/>
      <c r="AM190" s="27" t="n"/>
      <c r="AN190" s="27" t="n"/>
      <c r="AO190" s="27" t="n"/>
      <c r="AP190" s="27" t="n"/>
      <c r="AQ190" s="27" t="n"/>
      <c r="AR190" s="27" t="n"/>
      <c r="AS190" s="27" t="n"/>
      <c r="AT190" s="27" t="n"/>
      <c r="AU190" s="27" t="n"/>
      <c r="AV190" s="27" t="n"/>
      <c r="AW190" s="27" t="n"/>
      <c r="AX190" s="27" t="n"/>
      <c r="AY190" s="27" t="n"/>
      <c r="AZ190" s="27" t="n"/>
      <c r="BA190" s="27" t="n"/>
      <c r="BB190" s="27" t="n"/>
      <c r="BC190" s="27" t="n"/>
      <c r="BD190" s="27" t="n"/>
      <c r="BE190" s="27" t="n"/>
      <c r="BF190" s="27" t="n"/>
      <c r="BG190" s="27" t="n"/>
      <c r="BH190" s="27" t="n"/>
      <c r="BI190" s="29" t="n"/>
      <c r="BJ190" s="27" t="n"/>
      <c r="BK190" s="27" t="n"/>
      <c r="BL190" s="27" t="n"/>
      <c r="BM190" s="27" t="n"/>
    </row>
    <row r="191">
      <c r="A191" s="27" t="n"/>
      <c r="B191" s="27" t="n"/>
      <c r="C191" s="28">
        <f>IF(A191="","",$B$2)</f>
        <v/>
      </c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  <c r="AA191" s="27" t="n"/>
      <c r="AB191" s="27" t="n"/>
      <c r="AC191" s="27" t="n"/>
      <c r="AD191" s="27" t="n"/>
      <c r="AE191" s="27" t="n"/>
      <c r="AF191" s="27" t="n"/>
      <c r="AG191" s="27" t="n"/>
      <c r="AH191" s="27" t="n"/>
      <c r="AI191" s="27" t="n"/>
      <c r="AJ191" s="27" t="n"/>
      <c r="AK191" s="27" t="n"/>
      <c r="AL191" s="27" t="n"/>
      <c r="AM191" s="27" t="n"/>
      <c r="AN191" s="27" t="n"/>
      <c r="AO191" s="27" t="n"/>
      <c r="AP191" s="27" t="n"/>
      <c r="AQ191" s="27" t="n"/>
      <c r="AR191" s="27" t="n"/>
      <c r="AS191" s="27" t="n"/>
      <c r="AT191" s="27" t="n"/>
      <c r="AU191" s="27" t="n"/>
      <c r="AV191" s="27" t="n"/>
      <c r="AW191" s="27" t="n"/>
      <c r="AX191" s="27" t="n"/>
      <c r="AY191" s="27" t="n"/>
      <c r="AZ191" s="27" t="n"/>
      <c r="BA191" s="27" t="n"/>
      <c r="BB191" s="27" t="n"/>
      <c r="BC191" s="27" t="n"/>
      <c r="BD191" s="27" t="n"/>
      <c r="BE191" s="27" t="n"/>
      <c r="BF191" s="27" t="n"/>
      <c r="BG191" s="27" t="n"/>
      <c r="BH191" s="27" t="n"/>
      <c r="BI191" s="29" t="n"/>
      <c r="BJ191" s="27" t="n"/>
      <c r="BK191" s="27" t="n"/>
      <c r="BL191" s="27" t="n"/>
      <c r="BM191" s="27" t="n"/>
    </row>
    <row r="192">
      <c r="A192" s="27" t="n"/>
      <c r="B192" s="27" t="n"/>
      <c r="C192" s="28">
        <f>IF(A192="","",$B$2)</f>
        <v/>
      </c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  <c r="AA192" s="27" t="n"/>
      <c r="AB192" s="27" t="n"/>
      <c r="AC192" s="27" t="n"/>
      <c r="AD192" s="27" t="n"/>
      <c r="AE192" s="27" t="n"/>
      <c r="AF192" s="27" t="n"/>
      <c r="AG192" s="27" t="n"/>
      <c r="AH192" s="27" t="n"/>
      <c r="AI192" s="27" t="n"/>
      <c r="AJ192" s="27" t="n"/>
      <c r="AK192" s="27" t="n"/>
      <c r="AL192" s="27" t="n"/>
      <c r="AM192" s="27" t="n"/>
      <c r="AN192" s="27" t="n"/>
      <c r="AO192" s="27" t="n"/>
      <c r="AP192" s="27" t="n"/>
      <c r="AQ192" s="27" t="n"/>
      <c r="AR192" s="27" t="n"/>
      <c r="AS192" s="27" t="n"/>
      <c r="AT192" s="27" t="n"/>
      <c r="AU192" s="27" t="n"/>
      <c r="AV192" s="27" t="n"/>
      <c r="AW192" s="27" t="n"/>
      <c r="AX192" s="27" t="n"/>
      <c r="AY192" s="27" t="n"/>
      <c r="AZ192" s="27" t="n"/>
      <c r="BA192" s="27" t="n"/>
      <c r="BB192" s="27" t="n"/>
      <c r="BC192" s="27" t="n"/>
      <c r="BD192" s="27" t="n"/>
      <c r="BE192" s="27" t="n"/>
      <c r="BF192" s="27" t="n"/>
      <c r="BG192" s="27" t="n"/>
      <c r="BH192" s="27" t="n"/>
      <c r="BI192" s="29" t="n"/>
      <c r="BJ192" s="27" t="n"/>
      <c r="BK192" s="27" t="n"/>
      <c r="BL192" s="27" t="n"/>
      <c r="BM192" s="27" t="n"/>
    </row>
    <row r="193">
      <c r="A193" s="27" t="n"/>
      <c r="B193" s="27" t="n"/>
      <c r="C193" s="28">
        <f>IF(A193="","",$B$2)</f>
        <v/>
      </c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  <c r="AA193" s="27" t="n"/>
      <c r="AB193" s="27" t="n"/>
      <c r="AC193" s="27" t="n"/>
      <c r="AD193" s="27" t="n"/>
      <c r="AE193" s="27" t="n"/>
      <c r="AF193" s="27" t="n"/>
      <c r="AG193" s="27" t="n"/>
      <c r="AH193" s="27" t="n"/>
      <c r="AI193" s="27" t="n"/>
      <c r="AJ193" s="27" t="n"/>
      <c r="AK193" s="27" t="n"/>
      <c r="AL193" s="27" t="n"/>
      <c r="AM193" s="27" t="n"/>
      <c r="AN193" s="27" t="n"/>
      <c r="AO193" s="27" t="n"/>
      <c r="AP193" s="27" t="n"/>
      <c r="AQ193" s="27" t="n"/>
      <c r="AR193" s="27" t="n"/>
      <c r="AS193" s="27" t="n"/>
      <c r="AT193" s="27" t="n"/>
      <c r="AU193" s="27" t="n"/>
      <c r="AV193" s="27" t="n"/>
      <c r="AW193" s="27" t="n"/>
      <c r="AX193" s="27" t="n"/>
      <c r="AY193" s="27" t="n"/>
      <c r="AZ193" s="27" t="n"/>
      <c r="BA193" s="27" t="n"/>
      <c r="BB193" s="27" t="n"/>
      <c r="BC193" s="27" t="n"/>
      <c r="BD193" s="27" t="n"/>
      <c r="BE193" s="27" t="n"/>
      <c r="BF193" s="27" t="n"/>
      <c r="BG193" s="27" t="n"/>
      <c r="BH193" s="27" t="n"/>
      <c r="BI193" s="29" t="n"/>
      <c r="BJ193" s="27" t="n"/>
      <c r="BK193" s="27" t="n"/>
      <c r="BL193" s="27" t="n"/>
      <c r="BM193" s="27" t="n"/>
    </row>
    <row r="194">
      <c r="A194" s="27" t="n"/>
      <c r="B194" s="27" t="n"/>
      <c r="C194" s="28">
        <f>IF(A194="","",$B$2)</f>
        <v/>
      </c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  <c r="AA194" s="27" t="n"/>
      <c r="AB194" s="27" t="n"/>
      <c r="AC194" s="27" t="n"/>
      <c r="AD194" s="27" t="n"/>
      <c r="AE194" s="27" t="n"/>
      <c r="AF194" s="27" t="n"/>
      <c r="AG194" s="27" t="n"/>
      <c r="AH194" s="27" t="n"/>
      <c r="AI194" s="27" t="n"/>
      <c r="AJ194" s="27" t="n"/>
      <c r="AK194" s="27" t="n"/>
      <c r="AL194" s="27" t="n"/>
      <c r="AM194" s="27" t="n"/>
      <c r="AN194" s="27" t="n"/>
      <c r="AO194" s="27" t="n"/>
      <c r="AP194" s="27" t="n"/>
      <c r="AQ194" s="27" t="n"/>
      <c r="AR194" s="27" t="n"/>
      <c r="AS194" s="27" t="n"/>
      <c r="AT194" s="27" t="n"/>
      <c r="AU194" s="27" t="n"/>
      <c r="AV194" s="27" t="n"/>
      <c r="AW194" s="27" t="n"/>
      <c r="AX194" s="27" t="n"/>
      <c r="AY194" s="27" t="n"/>
      <c r="AZ194" s="27" t="n"/>
      <c r="BA194" s="27" t="n"/>
      <c r="BB194" s="27" t="n"/>
      <c r="BC194" s="27" t="n"/>
      <c r="BD194" s="27" t="n"/>
      <c r="BE194" s="27" t="n"/>
      <c r="BF194" s="27" t="n"/>
      <c r="BG194" s="27" t="n"/>
      <c r="BH194" s="27" t="n"/>
      <c r="BI194" s="29" t="n"/>
      <c r="BJ194" s="27" t="n"/>
      <c r="BK194" s="27" t="n"/>
      <c r="BL194" s="27" t="n"/>
      <c r="BM194" s="27" t="n"/>
    </row>
    <row r="195">
      <c r="A195" s="27" t="n"/>
      <c r="B195" s="27" t="n"/>
      <c r="C195" s="28">
        <f>IF(A195="","",$B$2)</f>
        <v/>
      </c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  <c r="AA195" s="27" t="n"/>
      <c r="AB195" s="27" t="n"/>
      <c r="AC195" s="27" t="n"/>
      <c r="AD195" s="27" t="n"/>
      <c r="AE195" s="27" t="n"/>
      <c r="AF195" s="27" t="n"/>
      <c r="AG195" s="27" t="n"/>
      <c r="AH195" s="27" t="n"/>
      <c r="AI195" s="27" t="n"/>
      <c r="AJ195" s="27" t="n"/>
      <c r="AK195" s="27" t="n"/>
      <c r="AL195" s="27" t="n"/>
      <c r="AM195" s="27" t="n"/>
      <c r="AN195" s="27" t="n"/>
      <c r="AO195" s="27" t="n"/>
      <c r="AP195" s="27" t="n"/>
      <c r="AQ195" s="27" t="n"/>
      <c r="AR195" s="27" t="n"/>
      <c r="AS195" s="27" t="n"/>
      <c r="AT195" s="27" t="n"/>
      <c r="AU195" s="27" t="n"/>
      <c r="AV195" s="27" t="n"/>
      <c r="AW195" s="27" t="n"/>
      <c r="AX195" s="27" t="n"/>
      <c r="AY195" s="27" t="n"/>
      <c r="AZ195" s="27" t="n"/>
      <c r="BA195" s="27" t="n"/>
      <c r="BB195" s="27" t="n"/>
      <c r="BC195" s="27" t="n"/>
      <c r="BD195" s="27" t="n"/>
      <c r="BE195" s="27" t="n"/>
      <c r="BF195" s="27" t="n"/>
      <c r="BG195" s="27" t="n"/>
      <c r="BH195" s="27" t="n"/>
      <c r="BI195" s="29" t="n"/>
      <c r="BJ195" s="27" t="n"/>
      <c r="BK195" s="27" t="n"/>
      <c r="BL195" s="27" t="n"/>
      <c r="BM195" s="27" t="n"/>
    </row>
    <row r="196">
      <c r="A196" s="27" t="n"/>
      <c r="B196" s="27" t="n"/>
      <c r="C196" s="28">
        <f>IF(A196="","",$B$2)</f>
        <v/>
      </c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  <c r="AA196" s="27" t="n"/>
      <c r="AB196" s="27" t="n"/>
      <c r="AC196" s="27" t="n"/>
      <c r="AD196" s="27" t="n"/>
      <c r="AE196" s="27" t="n"/>
      <c r="AF196" s="27" t="n"/>
      <c r="AG196" s="27" t="n"/>
      <c r="AH196" s="27" t="n"/>
      <c r="AI196" s="27" t="n"/>
      <c r="AJ196" s="27" t="n"/>
      <c r="AK196" s="27" t="n"/>
      <c r="AL196" s="27" t="n"/>
      <c r="AM196" s="27" t="n"/>
      <c r="AN196" s="27" t="n"/>
      <c r="AO196" s="27" t="n"/>
      <c r="AP196" s="27" t="n"/>
      <c r="AQ196" s="27" t="n"/>
      <c r="AR196" s="27" t="n"/>
      <c r="AS196" s="27" t="n"/>
      <c r="AT196" s="27" t="n"/>
      <c r="AU196" s="27" t="n"/>
      <c r="AV196" s="27" t="n"/>
      <c r="AW196" s="27" t="n"/>
      <c r="AX196" s="27" t="n"/>
      <c r="AY196" s="27" t="n"/>
      <c r="AZ196" s="27" t="n"/>
      <c r="BA196" s="27" t="n"/>
      <c r="BB196" s="27" t="n"/>
      <c r="BC196" s="27" t="n"/>
      <c r="BD196" s="27" t="n"/>
      <c r="BE196" s="27" t="n"/>
      <c r="BF196" s="27" t="n"/>
      <c r="BG196" s="27" t="n"/>
      <c r="BH196" s="27" t="n"/>
      <c r="BI196" s="29" t="n"/>
      <c r="BJ196" s="27" t="n"/>
      <c r="BK196" s="27" t="n"/>
      <c r="BL196" s="27" t="n"/>
      <c r="BM196" s="27" t="n"/>
    </row>
    <row r="197">
      <c r="A197" s="27" t="n"/>
      <c r="B197" s="27" t="n"/>
      <c r="C197" s="28">
        <f>IF(A197="","",$B$2)</f>
        <v/>
      </c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  <c r="AA197" s="27" t="n"/>
      <c r="AB197" s="27" t="n"/>
      <c r="AC197" s="27" t="n"/>
      <c r="AD197" s="27" t="n"/>
      <c r="AE197" s="27" t="n"/>
      <c r="AF197" s="27" t="n"/>
      <c r="AG197" s="27" t="n"/>
      <c r="AH197" s="27" t="n"/>
      <c r="AI197" s="27" t="n"/>
      <c r="AJ197" s="27" t="n"/>
      <c r="AK197" s="27" t="n"/>
      <c r="AL197" s="27" t="n"/>
      <c r="AM197" s="27" t="n"/>
      <c r="AN197" s="27" t="n"/>
      <c r="AO197" s="27" t="n"/>
      <c r="AP197" s="27" t="n"/>
      <c r="AQ197" s="27" t="n"/>
      <c r="AR197" s="27" t="n"/>
      <c r="AS197" s="27" t="n"/>
      <c r="AT197" s="27" t="n"/>
      <c r="AU197" s="27" t="n"/>
      <c r="AV197" s="27" t="n"/>
      <c r="AW197" s="27" t="n"/>
      <c r="AX197" s="27" t="n"/>
      <c r="AY197" s="27" t="n"/>
      <c r="AZ197" s="27" t="n"/>
      <c r="BA197" s="27" t="n"/>
      <c r="BB197" s="27" t="n"/>
      <c r="BC197" s="27" t="n"/>
      <c r="BD197" s="27" t="n"/>
      <c r="BE197" s="27" t="n"/>
      <c r="BF197" s="27" t="n"/>
      <c r="BG197" s="27" t="n"/>
      <c r="BH197" s="27" t="n"/>
      <c r="BI197" s="29" t="n"/>
      <c r="BJ197" s="27" t="n"/>
      <c r="BK197" s="27" t="n"/>
      <c r="BL197" s="27" t="n"/>
      <c r="BM197" s="27" t="n"/>
    </row>
    <row r="198">
      <c r="A198" s="27" t="n"/>
      <c r="B198" s="27" t="n"/>
      <c r="C198" s="28">
        <f>IF(A198="","",$B$2)</f>
        <v/>
      </c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  <c r="AA198" s="27" t="n"/>
      <c r="AB198" s="27" t="n"/>
      <c r="AC198" s="27" t="n"/>
      <c r="AD198" s="27" t="n"/>
      <c r="AE198" s="27" t="n"/>
      <c r="AF198" s="27" t="n"/>
      <c r="AG198" s="27" t="n"/>
      <c r="AH198" s="27" t="n"/>
      <c r="AI198" s="27" t="n"/>
      <c r="AJ198" s="27" t="n"/>
      <c r="AK198" s="27" t="n"/>
      <c r="AL198" s="27" t="n"/>
      <c r="AM198" s="27" t="n"/>
      <c r="AN198" s="27" t="n"/>
      <c r="AO198" s="27" t="n"/>
      <c r="AP198" s="27" t="n"/>
      <c r="AQ198" s="27" t="n"/>
      <c r="AR198" s="27" t="n"/>
      <c r="AS198" s="27" t="n"/>
      <c r="AT198" s="27" t="n"/>
      <c r="AU198" s="27" t="n"/>
      <c r="AV198" s="27" t="n"/>
      <c r="AW198" s="27" t="n"/>
      <c r="AX198" s="27" t="n"/>
      <c r="AY198" s="27" t="n"/>
      <c r="AZ198" s="27" t="n"/>
      <c r="BA198" s="27" t="n"/>
      <c r="BB198" s="27" t="n"/>
      <c r="BC198" s="27" t="n"/>
      <c r="BD198" s="27" t="n"/>
      <c r="BE198" s="27" t="n"/>
      <c r="BF198" s="27" t="n"/>
      <c r="BG198" s="27" t="n"/>
      <c r="BH198" s="27" t="n"/>
      <c r="BI198" s="29" t="n"/>
      <c r="BJ198" s="27" t="n"/>
      <c r="BK198" s="27" t="n"/>
      <c r="BL198" s="27" t="n"/>
      <c r="BM198" s="27" t="n"/>
    </row>
    <row r="199">
      <c r="A199" s="27" t="n"/>
      <c r="B199" s="27" t="n"/>
      <c r="C199" s="28">
        <f>IF(A199="","",$B$2)</f>
        <v/>
      </c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  <c r="AA199" s="27" t="n"/>
      <c r="AB199" s="27" t="n"/>
      <c r="AC199" s="27" t="n"/>
      <c r="AD199" s="27" t="n"/>
      <c r="AE199" s="27" t="n"/>
      <c r="AF199" s="27" t="n"/>
      <c r="AG199" s="27" t="n"/>
      <c r="AH199" s="27" t="n"/>
      <c r="AI199" s="27" t="n"/>
      <c r="AJ199" s="27" t="n"/>
      <c r="AK199" s="27" t="n"/>
      <c r="AL199" s="27" t="n"/>
      <c r="AM199" s="27" t="n"/>
      <c r="AN199" s="27" t="n"/>
      <c r="AO199" s="27" t="n"/>
      <c r="AP199" s="27" t="n"/>
      <c r="AQ199" s="27" t="n"/>
      <c r="AR199" s="27" t="n"/>
      <c r="AS199" s="27" t="n"/>
      <c r="AT199" s="27" t="n"/>
      <c r="AU199" s="27" t="n"/>
      <c r="AV199" s="27" t="n"/>
      <c r="AW199" s="27" t="n"/>
      <c r="AX199" s="27" t="n"/>
      <c r="AY199" s="27" t="n"/>
      <c r="AZ199" s="27" t="n"/>
      <c r="BA199" s="27" t="n"/>
      <c r="BB199" s="27" t="n"/>
      <c r="BC199" s="27" t="n"/>
      <c r="BD199" s="27" t="n"/>
      <c r="BE199" s="27" t="n"/>
      <c r="BF199" s="27" t="n"/>
      <c r="BG199" s="27" t="n"/>
      <c r="BH199" s="27" t="n"/>
      <c r="BI199" s="29" t="n"/>
      <c r="BJ199" s="27" t="n"/>
      <c r="BK199" s="27" t="n"/>
      <c r="BL199" s="27" t="n"/>
      <c r="BM199" s="27" t="n"/>
    </row>
    <row r="200">
      <c r="A200" s="27" t="n"/>
      <c r="B200" s="27" t="n"/>
      <c r="C200" s="28">
        <f>IF(A200="","",$B$2)</f>
        <v/>
      </c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  <c r="AA200" s="27" t="n"/>
      <c r="AB200" s="27" t="n"/>
      <c r="AC200" s="27" t="n"/>
      <c r="AD200" s="27" t="n"/>
      <c r="AE200" s="27" t="n"/>
      <c r="AF200" s="27" t="n"/>
      <c r="AG200" s="27" t="n"/>
      <c r="AH200" s="27" t="n"/>
      <c r="AI200" s="27" t="n"/>
      <c r="AJ200" s="27" t="n"/>
      <c r="AK200" s="27" t="n"/>
      <c r="AL200" s="27" t="n"/>
      <c r="AM200" s="27" t="n"/>
      <c r="AN200" s="27" t="n"/>
      <c r="AO200" s="27" t="n"/>
      <c r="AP200" s="27" t="n"/>
      <c r="AQ200" s="27" t="n"/>
      <c r="AR200" s="27" t="n"/>
      <c r="AS200" s="27" t="n"/>
      <c r="AT200" s="27" t="n"/>
      <c r="AU200" s="27" t="n"/>
      <c r="AV200" s="27" t="n"/>
      <c r="AW200" s="27" t="n"/>
      <c r="AX200" s="27" t="n"/>
      <c r="AY200" s="27" t="n"/>
      <c r="AZ200" s="27" t="n"/>
      <c r="BA200" s="27" t="n"/>
      <c r="BB200" s="27" t="n"/>
      <c r="BC200" s="27" t="n"/>
      <c r="BD200" s="27" t="n"/>
      <c r="BE200" s="27" t="n"/>
      <c r="BF200" s="27" t="n"/>
      <c r="BG200" s="27" t="n"/>
      <c r="BH200" s="27" t="n"/>
      <c r="BI200" s="29" t="n"/>
      <c r="BJ200" s="27" t="n"/>
      <c r="BK200" s="27" t="n"/>
      <c r="BL200" s="27" t="n"/>
      <c r="BM200" s="27" t="n"/>
    </row>
    <row r="201">
      <c r="A201" s="27" t="n"/>
      <c r="B201" s="27" t="n"/>
      <c r="C201" s="28">
        <f>IF(A201="","",$B$2)</f>
        <v/>
      </c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  <c r="AA201" s="27" t="n"/>
      <c r="AB201" s="27" t="n"/>
      <c r="AC201" s="27" t="n"/>
      <c r="AD201" s="27" t="n"/>
      <c r="AE201" s="27" t="n"/>
      <c r="AF201" s="27" t="n"/>
      <c r="AG201" s="27" t="n"/>
      <c r="AH201" s="27" t="n"/>
      <c r="AI201" s="27" t="n"/>
      <c r="AJ201" s="27" t="n"/>
      <c r="AK201" s="27" t="n"/>
      <c r="AL201" s="27" t="n"/>
      <c r="AM201" s="27" t="n"/>
      <c r="AN201" s="27" t="n"/>
      <c r="AO201" s="27" t="n"/>
      <c r="AP201" s="27" t="n"/>
      <c r="AQ201" s="27" t="n"/>
      <c r="AR201" s="27" t="n"/>
      <c r="AS201" s="27" t="n"/>
      <c r="AT201" s="27" t="n"/>
      <c r="AU201" s="27" t="n"/>
      <c r="AV201" s="27" t="n"/>
      <c r="AW201" s="27" t="n"/>
      <c r="AX201" s="27" t="n"/>
      <c r="AY201" s="27" t="n"/>
      <c r="AZ201" s="27" t="n"/>
      <c r="BA201" s="27" t="n"/>
      <c r="BB201" s="27" t="n"/>
      <c r="BC201" s="27" t="n"/>
      <c r="BD201" s="27" t="n"/>
      <c r="BE201" s="27" t="n"/>
      <c r="BF201" s="27" t="n"/>
      <c r="BG201" s="27" t="n"/>
      <c r="BH201" s="27" t="n"/>
      <c r="BI201" s="29" t="n"/>
      <c r="BJ201" s="27" t="n"/>
      <c r="BK201" s="27" t="n"/>
      <c r="BL201" s="27" t="n"/>
      <c r="BM201" s="27" t="n"/>
    </row>
    <row r="202">
      <c r="A202" s="27" t="n"/>
      <c r="B202" s="27" t="n"/>
      <c r="C202" s="28">
        <f>IF(A202="","",$B$2)</f>
        <v/>
      </c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  <c r="AA202" s="27" t="n"/>
      <c r="AB202" s="27" t="n"/>
      <c r="AC202" s="27" t="n"/>
      <c r="AD202" s="27" t="n"/>
      <c r="AE202" s="27" t="n"/>
      <c r="AF202" s="27" t="n"/>
      <c r="AG202" s="27" t="n"/>
      <c r="AH202" s="27" t="n"/>
      <c r="AI202" s="27" t="n"/>
      <c r="AJ202" s="27" t="n"/>
      <c r="AK202" s="27" t="n"/>
      <c r="AL202" s="27" t="n"/>
      <c r="AM202" s="27" t="n"/>
      <c r="AN202" s="27" t="n"/>
      <c r="AO202" s="27" t="n"/>
      <c r="AP202" s="27" t="n"/>
      <c r="AQ202" s="27" t="n"/>
      <c r="AR202" s="27" t="n"/>
      <c r="AS202" s="27" t="n"/>
      <c r="AT202" s="27" t="n"/>
      <c r="AU202" s="27" t="n"/>
      <c r="AV202" s="27" t="n"/>
      <c r="AW202" s="27" t="n"/>
      <c r="AX202" s="27" t="n"/>
      <c r="AY202" s="27" t="n"/>
      <c r="AZ202" s="27" t="n"/>
      <c r="BA202" s="27" t="n"/>
      <c r="BB202" s="27" t="n"/>
      <c r="BC202" s="27" t="n"/>
      <c r="BD202" s="27" t="n"/>
      <c r="BE202" s="27" t="n"/>
      <c r="BF202" s="27" t="n"/>
      <c r="BG202" s="27" t="n"/>
      <c r="BH202" s="27" t="n"/>
      <c r="BI202" s="29" t="n"/>
      <c r="BJ202" s="27" t="n"/>
      <c r="BK202" s="27" t="n"/>
      <c r="BL202" s="27" t="n"/>
      <c r="BM202" s="27" t="n"/>
    </row>
    <row r="203">
      <c r="A203" s="27" t="n"/>
      <c r="B203" s="27" t="n"/>
      <c r="C203" s="28">
        <f>IF(A203="","",$B$2)</f>
        <v/>
      </c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  <c r="AA203" s="27" t="n"/>
      <c r="AB203" s="27" t="n"/>
      <c r="AC203" s="27" t="n"/>
      <c r="AD203" s="27" t="n"/>
      <c r="AE203" s="27" t="n"/>
      <c r="AF203" s="27" t="n"/>
      <c r="AG203" s="27" t="n"/>
      <c r="AH203" s="27" t="n"/>
      <c r="AI203" s="27" t="n"/>
      <c r="AJ203" s="27" t="n"/>
      <c r="AK203" s="27" t="n"/>
      <c r="AL203" s="27" t="n"/>
      <c r="AM203" s="27" t="n"/>
      <c r="AN203" s="27" t="n"/>
      <c r="AO203" s="27" t="n"/>
      <c r="AP203" s="27" t="n"/>
      <c r="AQ203" s="27" t="n"/>
      <c r="AR203" s="27" t="n"/>
      <c r="AS203" s="27" t="n"/>
      <c r="AT203" s="27" t="n"/>
      <c r="AU203" s="27" t="n"/>
      <c r="AV203" s="27" t="n"/>
      <c r="AW203" s="27" t="n"/>
      <c r="AX203" s="27" t="n"/>
      <c r="AY203" s="27" t="n"/>
      <c r="AZ203" s="27" t="n"/>
      <c r="BA203" s="27" t="n"/>
      <c r="BB203" s="27" t="n"/>
      <c r="BC203" s="27" t="n"/>
      <c r="BD203" s="27" t="n"/>
      <c r="BE203" s="27" t="n"/>
      <c r="BF203" s="27" t="n"/>
      <c r="BG203" s="27" t="n"/>
      <c r="BH203" s="27" t="n"/>
      <c r="BI203" s="29" t="n"/>
      <c r="BJ203" s="27" t="n"/>
      <c r="BK203" s="27" t="n"/>
      <c r="BL203" s="27" t="n"/>
      <c r="BM203" s="27" t="n"/>
    </row>
    <row r="204">
      <c r="A204" s="27" t="n"/>
      <c r="B204" s="27" t="n"/>
      <c r="C204" s="28">
        <f>IF(A204="","",$B$2)</f>
        <v/>
      </c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  <c r="AA204" s="27" t="n"/>
      <c r="AB204" s="27" t="n"/>
      <c r="AC204" s="27" t="n"/>
      <c r="AD204" s="27" t="n"/>
      <c r="AE204" s="27" t="n"/>
      <c r="AF204" s="27" t="n"/>
      <c r="AG204" s="27" t="n"/>
      <c r="AH204" s="27" t="n"/>
      <c r="AI204" s="27" t="n"/>
      <c r="AJ204" s="27" t="n"/>
      <c r="AK204" s="27" t="n"/>
      <c r="AL204" s="27" t="n"/>
      <c r="AM204" s="27" t="n"/>
      <c r="AN204" s="27" t="n"/>
      <c r="AO204" s="27" t="n"/>
      <c r="AP204" s="27" t="n"/>
      <c r="AQ204" s="27" t="n"/>
      <c r="AR204" s="27" t="n"/>
      <c r="AS204" s="27" t="n"/>
      <c r="AT204" s="27" t="n"/>
      <c r="AU204" s="27" t="n"/>
      <c r="AV204" s="27" t="n"/>
      <c r="AW204" s="27" t="n"/>
      <c r="AX204" s="27" t="n"/>
      <c r="AY204" s="27" t="n"/>
      <c r="AZ204" s="27" t="n"/>
      <c r="BA204" s="27" t="n"/>
      <c r="BB204" s="27" t="n"/>
      <c r="BC204" s="27" t="n"/>
      <c r="BD204" s="27" t="n"/>
      <c r="BE204" s="27" t="n"/>
      <c r="BF204" s="27" t="n"/>
      <c r="BG204" s="27" t="n"/>
      <c r="BH204" s="27" t="n"/>
      <c r="BI204" s="29" t="n"/>
      <c r="BJ204" s="27" t="n"/>
      <c r="BK204" s="27" t="n"/>
      <c r="BL204" s="27" t="n"/>
      <c r="BM204" s="27" t="n"/>
    </row>
    <row r="205">
      <c r="A205" s="27" t="n"/>
      <c r="B205" s="27" t="n"/>
      <c r="C205" s="28">
        <f>IF(A205="","",$B$2)</f>
        <v/>
      </c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  <c r="AA205" s="27" t="n"/>
      <c r="AB205" s="27" t="n"/>
      <c r="AC205" s="27" t="n"/>
      <c r="AD205" s="27" t="n"/>
      <c r="AE205" s="27" t="n"/>
      <c r="AF205" s="27" t="n"/>
      <c r="AG205" s="27" t="n"/>
      <c r="AH205" s="27" t="n"/>
      <c r="AI205" s="27" t="n"/>
      <c r="AJ205" s="27" t="n"/>
      <c r="AK205" s="27" t="n"/>
      <c r="AL205" s="27" t="n"/>
      <c r="AM205" s="27" t="n"/>
      <c r="AN205" s="27" t="n"/>
      <c r="AO205" s="27" t="n"/>
      <c r="AP205" s="27" t="n"/>
      <c r="AQ205" s="27" t="n"/>
      <c r="AR205" s="27" t="n"/>
      <c r="AS205" s="27" t="n"/>
      <c r="AT205" s="27" t="n"/>
      <c r="AU205" s="27" t="n"/>
      <c r="AV205" s="27" t="n"/>
      <c r="AW205" s="27" t="n"/>
      <c r="AX205" s="27" t="n"/>
      <c r="AY205" s="27" t="n"/>
      <c r="AZ205" s="27" t="n"/>
      <c r="BA205" s="27" t="n"/>
      <c r="BB205" s="27" t="n"/>
      <c r="BC205" s="27" t="n"/>
      <c r="BD205" s="27" t="n"/>
      <c r="BE205" s="27" t="n"/>
      <c r="BF205" s="27" t="n"/>
      <c r="BG205" s="27" t="n"/>
      <c r="BH205" s="27" t="n"/>
      <c r="BI205" s="29" t="n"/>
      <c r="BJ205" s="27" t="n"/>
      <c r="BK205" s="27" t="n"/>
      <c r="BL205" s="27" t="n"/>
      <c r="BM205" s="27" t="n"/>
    </row>
  </sheetData>
  <autoFilter ref="A5:BM205"/>
  <mergeCells count="21">
    <mergeCell ref="BH4:BH5"/>
    <mergeCell ref="C4:C5"/>
    <mergeCell ref="E4:E5"/>
    <mergeCell ref="BE4:BE5"/>
    <mergeCell ref="BG4:BG5"/>
    <mergeCell ref="BK4:BK5"/>
    <mergeCell ref="A3:F3"/>
    <mergeCell ref="D4:D5"/>
    <mergeCell ref="BE3:BH3"/>
    <mergeCell ref="BF4:BF5"/>
    <mergeCell ref="BL4:BL5"/>
    <mergeCell ref="BI3:BM3"/>
    <mergeCell ref="A4:A5"/>
    <mergeCell ref="BO4:DN4"/>
    <mergeCell ref="BI4:BI5"/>
    <mergeCell ref="BM4:BM5"/>
    <mergeCell ref="G3:BD3"/>
    <mergeCell ref="B4:B5"/>
    <mergeCell ref="F4:F5"/>
    <mergeCell ref="BJ4:BJ5"/>
    <mergeCell ref="B2:D2"/>
  </mergeCells>
  <dataValidations count="56">
    <dataValidation sqref="G6:G205" showDropDown="0" showInputMessage="0" showErrorMessage="0" allowBlank="1" type="list">
      <formula1>'テストケース2'!$BO$6:$BO$15</formula1>
    </dataValidation>
    <dataValidation sqref="H6:H205" showDropDown="0" showInputMessage="0" showErrorMessage="0" allowBlank="1" type="list">
      <formula1>'テストケース2'!$BP$6:$BP$15</formula1>
    </dataValidation>
    <dataValidation sqref="I6:I205" showDropDown="0" showInputMessage="0" showErrorMessage="0" allowBlank="1" type="list">
      <formula1>'テストケース2'!$BQ$6:$BQ$15</formula1>
    </dataValidation>
    <dataValidation sqref="J6:J205" showDropDown="0" showInputMessage="0" showErrorMessage="0" allowBlank="1" type="list">
      <formula1>'テストケース2'!$BR$6:$BR$15</formula1>
    </dataValidation>
    <dataValidation sqref="K6:K205" showDropDown="0" showInputMessage="0" showErrorMessage="0" allowBlank="1" type="list">
      <formula1>'テストケース2'!$BS$6:$BS$15</formula1>
    </dataValidation>
    <dataValidation sqref="L6:L205" showDropDown="0" showInputMessage="0" showErrorMessage="0" allowBlank="1" type="list">
      <formula1>'テストケース2'!$BT$6:$BT$15</formula1>
    </dataValidation>
    <dataValidation sqref="M6:M205" showDropDown="0" showInputMessage="0" showErrorMessage="0" allowBlank="1" type="list">
      <formula1>'テストケース2'!$BU$6:$BU$15</formula1>
    </dataValidation>
    <dataValidation sqref="N6:N205" showDropDown="0" showInputMessage="0" showErrorMessage="0" allowBlank="1" type="list">
      <formula1>'テストケース2'!$BV$6:$BV$15</formula1>
    </dataValidation>
    <dataValidation sqref="O6:O205" showDropDown="0" showInputMessage="0" showErrorMessage="0" allowBlank="1" type="list">
      <formula1>'テストケース2'!$BW$6:$BW$15</formula1>
    </dataValidation>
    <dataValidation sqref="P6:P205" showDropDown="0" showInputMessage="0" showErrorMessage="0" allowBlank="1" type="list">
      <formula1>'テストケース2'!$BX$6:$BX$15</formula1>
    </dataValidation>
    <dataValidation sqref="Q6:Q205" showDropDown="0" showInputMessage="0" showErrorMessage="0" allowBlank="1" type="list">
      <formula1>'テストケース2'!$BY$6:$BY$15</formula1>
    </dataValidation>
    <dataValidation sqref="R6:R205" showDropDown="0" showInputMessage="0" showErrorMessage="0" allowBlank="1" type="list">
      <formula1>'テストケース2'!$BZ$6:$BZ$15</formula1>
    </dataValidation>
    <dataValidation sqref="S6:S205" showDropDown="0" showInputMessage="0" showErrorMessage="0" allowBlank="1" type="list">
      <formula1>'テストケース2'!$CA$6:$CA$15</formula1>
    </dataValidation>
    <dataValidation sqref="T6:T205" showDropDown="0" showInputMessage="0" showErrorMessage="0" allowBlank="1" type="list">
      <formula1>'テストケース2'!$CB$6:$CB$15</formula1>
    </dataValidation>
    <dataValidation sqref="U6:U205" showDropDown="0" showInputMessage="0" showErrorMessage="0" allowBlank="1" type="list">
      <formula1>'テストケース2'!$CC$6:$CC$15</formula1>
    </dataValidation>
    <dataValidation sqref="V6:V205" showDropDown="0" showInputMessage="0" showErrorMessage="0" allowBlank="1" type="list">
      <formula1>'テストケース2'!$CD$6:$CD$15</formula1>
    </dataValidation>
    <dataValidation sqref="W6:W205" showDropDown="0" showInputMessage="0" showErrorMessage="0" allowBlank="1" type="list">
      <formula1>'テストケース2'!$CE$6:$CE$15</formula1>
    </dataValidation>
    <dataValidation sqref="X6:X205" showDropDown="0" showInputMessage="0" showErrorMessage="0" allowBlank="1" type="list">
      <formula1>'テストケース2'!$CF$6:$CF$15</formula1>
    </dataValidation>
    <dataValidation sqref="Y6:Y205" showDropDown="0" showInputMessage="0" showErrorMessage="0" allowBlank="1" type="list">
      <formula1>'テストケース2'!$CG$6:$CG$15</formula1>
    </dataValidation>
    <dataValidation sqref="Z6:Z205" showDropDown="0" showInputMessage="0" showErrorMessage="0" allowBlank="1" type="list">
      <formula1>'テストケース2'!$CH$6:$CH$15</formula1>
    </dataValidation>
    <dataValidation sqref="AA6:AA205" showDropDown="0" showInputMessage="0" showErrorMessage="0" allowBlank="1" type="list">
      <formula1>'テストケース2'!$CI$6:$CI$15</formula1>
    </dataValidation>
    <dataValidation sqref="AB6:AB205" showDropDown="0" showInputMessage="0" showErrorMessage="0" allowBlank="1" type="list">
      <formula1>'テストケース2'!$CJ$6:$CJ$15</formula1>
    </dataValidation>
    <dataValidation sqref="AC6:AC205" showDropDown="0" showInputMessage="0" showErrorMessage="0" allowBlank="1" type="list">
      <formula1>'テストケース2'!$CK$6:$CK$15</formula1>
    </dataValidation>
    <dataValidation sqref="AD6:AD205" showDropDown="0" showInputMessage="0" showErrorMessage="0" allowBlank="1" type="list">
      <formula1>'テストケース2'!$CL$6:$CL$15</formula1>
    </dataValidation>
    <dataValidation sqref="AE6:AE205" showDropDown="0" showInputMessage="0" showErrorMessage="0" allowBlank="1" type="list">
      <formula1>'テストケース2'!$CM$6:$CM$15</formula1>
    </dataValidation>
    <dataValidation sqref="AF6:AF205" showDropDown="0" showInputMessage="0" showErrorMessage="0" allowBlank="1" type="list">
      <formula1>'テストケース2'!$CN$6:$CN$15</formula1>
    </dataValidation>
    <dataValidation sqref="AG6:AG205" showDropDown="0" showInputMessage="0" showErrorMessage="0" allowBlank="1" type="list">
      <formula1>'テストケース2'!$CO$6:$CO$15</formula1>
    </dataValidation>
    <dataValidation sqref="AH6:AH205" showDropDown="0" showInputMessage="0" showErrorMessage="0" allowBlank="1" type="list">
      <formula1>'テストケース2'!$CP$6:$CP$15</formula1>
    </dataValidation>
    <dataValidation sqref="AI6:AI205" showDropDown="0" showInputMessage="0" showErrorMessage="0" allowBlank="1" type="list">
      <formula1>'テストケース2'!$CQ$6:$CQ$15</formula1>
    </dataValidation>
    <dataValidation sqref="AJ6:AJ205" showDropDown="0" showInputMessage="0" showErrorMessage="0" allowBlank="1" type="list">
      <formula1>'テストケース2'!$CR$6:$CR$15</formula1>
    </dataValidation>
    <dataValidation sqref="AK6:AK205" showDropDown="0" showInputMessage="0" showErrorMessage="0" allowBlank="1" type="list">
      <formula1>'テストケース2'!$CS$6:$CS$15</formula1>
    </dataValidation>
    <dataValidation sqref="AL6:AL205" showDropDown="0" showInputMessage="0" showErrorMessage="0" allowBlank="1" type="list">
      <formula1>'テストケース2'!$CT$6:$CT$15</formula1>
    </dataValidation>
    <dataValidation sqref="AM6:AM205" showDropDown="0" showInputMessage="0" showErrorMessage="0" allowBlank="1" type="list">
      <formula1>'テストケース2'!$CU$6:$CU$15</formula1>
    </dataValidation>
    <dataValidation sqref="AN6:AN205" showDropDown="0" showInputMessage="0" showErrorMessage="0" allowBlank="1" type="list">
      <formula1>'テストケース2'!$CV$6:$CV$15</formula1>
    </dataValidation>
    <dataValidation sqref="AO6:AO205" showDropDown="0" showInputMessage="0" showErrorMessage="0" allowBlank="1" type="list">
      <formula1>'テストケース2'!$CW$6:$CW$15</formula1>
    </dataValidation>
    <dataValidation sqref="AP6:AP205" showDropDown="0" showInputMessage="0" showErrorMessage="0" allowBlank="1" type="list">
      <formula1>'テストケース2'!$CX$6:$CX$15</formula1>
    </dataValidation>
    <dataValidation sqref="AQ6:AQ205" showDropDown="0" showInputMessage="0" showErrorMessage="0" allowBlank="1" type="list">
      <formula1>'テストケース2'!$CY$6:$CY$15</formula1>
    </dataValidation>
    <dataValidation sqref="AR6:AR205" showDropDown="0" showInputMessage="0" showErrorMessage="0" allowBlank="1" type="list">
      <formula1>'テストケース2'!$CZ$6:$CZ$15</formula1>
    </dataValidation>
    <dataValidation sqref="AS6:AS205" showDropDown="0" showInputMessage="0" showErrorMessage="0" allowBlank="1" type="list">
      <formula1>'テストケース2'!$DA$6:$DA$15</formula1>
    </dataValidation>
    <dataValidation sqref="AT6:AT205" showDropDown="0" showInputMessage="0" showErrorMessage="0" allowBlank="1" type="list">
      <formula1>'テストケース2'!$DB$6:$DB$15</formula1>
    </dataValidation>
    <dataValidation sqref="AU6:AU205" showDropDown="0" showInputMessage="0" showErrorMessage="0" allowBlank="1" type="list">
      <formula1>'テストケース2'!$DC$6:$DC$15</formula1>
    </dataValidation>
    <dataValidation sqref="AV6:AV205" showDropDown="0" showInputMessage="0" showErrorMessage="0" allowBlank="1" type="list">
      <formula1>'テストケース2'!$DD$6:$DD$15</formula1>
    </dataValidation>
    <dataValidation sqref="AW6:AW205" showDropDown="0" showInputMessage="0" showErrorMessage="0" allowBlank="1" type="list">
      <formula1>'テストケース2'!$DE$6:$DE$15</formula1>
    </dataValidation>
    <dataValidation sqref="AX6:AX205" showDropDown="0" showInputMessage="0" showErrorMessage="0" allowBlank="1" type="list">
      <formula1>'テストケース2'!$DF$6:$DF$15</formula1>
    </dataValidation>
    <dataValidation sqref="AY6:AY205" showDropDown="0" showInputMessage="0" showErrorMessage="0" allowBlank="1" type="list">
      <formula1>'テストケース2'!$DG$6:$DG$15</formula1>
    </dataValidation>
    <dataValidation sqref="AZ6:AZ205" showDropDown="0" showInputMessage="0" showErrorMessage="0" allowBlank="1" type="list">
      <formula1>'テストケース2'!$DH$6:$DH$15</formula1>
    </dataValidation>
    <dataValidation sqref="BA6:BA205" showDropDown="0" showInputMessage="0" showErrorMessage="0" allowBlank="1" type="list">
      <formula1>'テストケース2'!$DI$6:$DI$15</formula1>
    </dataValidation>
    <dataValidation sqref="BB6:BB205" showDropDown="0" showInputMessage="0" showErrorMessage="0" allowBlank="1" type="list">
      <formula1>'テストケース2'!$DJ$6:$DJ$15</formula1>
    </dataValidation>
    <dataValidation sqref="BC6:BC205" showDropDown="0" showInputMessage="0" showErrorMessage="0" allowBlank="1" type="list">
      <formula1>'テストケース2'!$DK$6:$DK$15</formula1>
    </dataValidation>
    <dataValidation sqref="BD6:BD205" showDropDown="0" showInputMessage="0" showErrorMessage="0" allowBlank="1" type="list">
      <formula1>'テストケース2'!$DL$6:$DL$15</formula1>
    </dataValidation>
    <dataValidation sqref="C6:C205" showDropDown="0" showInputMessage="0" showErrorMessage="0" allowBlank="1" type="list">
      <formula1>'テストケース2'!$DM$6:$DM$35</formula1>
    </dataValidation>
    <dataValidation sqref="B2" showDropDown="0" showInputMessage="0" showErrorMessage="0" allowBlank="1" type="list">
      <formula1>'テストケース2'!$DM$6:$DM$35</formula1>
    </dataValidation>
    <dataValidation sqref="B6:B205" showDropDown="0" showInputMessage="0" showErrorMessage="0" allowBlank="1" type="list">
      <formula1>'テストケース2'!$DN$6:$DN$105</formula1>
    </dataValidation>
    <dataValidation sqref="E6:E205" showDropDown="0" showInputMessage="0" showErrorMessage="0" allowBlank="1" type="list">
      <formula1>"高,中,低"</formula1>
    </dataValidation>
    <dataValidation sqref="BH6:BH205" showDropDown="0" showInputMessage="0" showErrorMessage="0" allowBlank="1" type="list">
      <formula1>"要,否,済"</formula1>
    </dataValidation>
    <dataValidation sqref="BK6:BK205" showDropDown="0" showInputMessage="0" showErrorMessage="0" allowBlank="1" type="list">
      <formula1>"OK,NG,保留,対象外"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N20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8" customWidth="1" min="4" max="4"/>
    <col width="7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30" customWidth="1" min="57" max="57"/>
    <col width="34" customWidth="1" min="58" max="58"/>
    <col width="14" customWidth="1" min="59" max="59"/>
    <col width="9" customWidth="1" min="60" max="60"/>
    <col width="11" customWidth="1" min="61" max="61"/>
    <col width="10" customWidth="1" min="62" max="62"/>
    <col width="9" customWidth="1" min="63" max="63"/>
    <col width="10" customWidth="1" min="64" max="64"/>
    <col width="24" customWidth="1" min="65" max="65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</cols>
  <sheetData>
    <row r="1">
      <c r="A1" s="1" t="inlineStr">
        <is>
          <t>テストケース</t>
        </is>
      </c>
      <c r="E1" s="2" t="inlineStr">
        <is>
          <t>2 行目でカテゴリを選ぶと、そのカテゴリの因子が左から自動で入ります。セルは水準のプルダウンから選べます。</t>
        </is>
      </c>
    </row>
    <row r="2">
      <c r="A2" s="11" t="inlineStr">
        <is>
          <t>カテゴリ</t>
        </is>
      </c>
      <c r="B2" s="8" t="n"/>
      <c r="C2" s="9" t="n"/>
      <c r="D2" s="10" t="n"/>
      <c r="E2" s="18">
        <f>IF($B$2="","",COUNTIF('因子水準表'!$B$5:$KO$5,$B$2)&amp;" 因子")</f>
        <v/>
      </c>
    </row>
    <row r="3">
      <c r="A3" s="21" t="inlineStr">
        <is>
          <t>テストケース</t>
        </is>
      </c>
      <c r="B3" s="9" t="n"/>
      <c r="C3" s="9" t="n"/>
      <c r="D3" s="9" t="n"/>
      <c r="E3" s="9" t="n"/>
      <c r="F3" s="10" t="n"/>
      <c r="G3" s="21" t="inlineStr">
        <is>
          <t>因子の水準（シートのカテゴリの因子が自動で入る）</t>
        </is>
      </c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  <c r="AQ3" s="9" t="n"/>
      <c r="AR3" s="9" t="n"/>
      <c r="AS3" s="9" t="n"/>
      <c r="AT3" s="9" t="n"/>
      <c r="AU3" s="9" t="n"/>
      <c r="AV3" s="9" t="n"/>
      <c r="AW3" s="9" t="n"/>
      <c r="AX3" s="9" t="n"/>
      <c r="AY3" s="9" t="n"/>
      <c r="AZ3" s="9" t="n"/>
      <c r="BA3" s="9" t="n"/>
      <c r="BB3" s="9" t="n"/>
      <c r="BC3" s="9" t="n"/>
      <c r="BD3" s="10" t="n"/>
      <c r="BE3" s="21" t="inlineStr">
        <is>
          <t>内容</t>
        </is>
      </c>
      <c r="BF3" s="9" t="n"/>
      <c r="BG3" s="9" t="n"/>
      <c r="BH3" s="10" t="n"/>
      <c r="BI3" s="21" t="inlineStr">
        <is>
          <t>実行結果</t>
        </is>
      </c>
      <c r="BJ3" s="9" t="n"/>
      <c r="BK3" s="9" t="n"/>
      <c r="BL3" s="9" t="n"/>
      <c r="BM3" s="10" t="n"/>
    </row>
    <row r="4">
      <c r="A4" s="12" t="inlineStr">
        <is>
          <t>ID</t>
        </is>
      </c>
      <c r="B4" s="12" t="inlineStr">
        <is>
          <t>条件ID</t>
        </is>
      </c>
      <c r="C4" s="12" t="inlineStr">
        <is>
          <t>カテゴリ</t>
        </is>
      </c>
      <c r="D4" s="12" t="inlineStr">
        <is>
          <t>テスト観点（目的）</t>
        </is>
      </c>
      <c r="E4" s="12" t="inlineStr">
        <is>
          <t>優先度</t>
        </is>
      </c>
      <c r="F4" s="12" t="inlineStr">
        <is>
          <t>事前条件</t>
        </is>
      </c>
      <c r="G4" s="22">
        <f>IF($B$2="","",IFERROR(INDEX('因子水準表'!$B$4:$KO$4,MATCH($B$2&amp;"|1",'因子水準表'!$B$20:$KO$20,0)),""))</f>
        <v/>
      </c>
      <c r="H4" s="22">
        <f>IF($B$2="","",IFERROR(INDEX('因子水準表'!$B$4:$KO$4,MATCH($B$2&amp;"|2",'因子水準表'!$B$20:$KO$20,0)),""))</f>
        <v/>
      </c>
      <c r="I4" s="22">
        <f>IF($B$2="","",IFERROR(INDEX('因子水準表'!$B$4:$KO$4,MATCH($B$2&amp;"|3",'因子水準表'!$B$20:$KO$20,0)),""))</f>
        <v/>
      </c>
      <c r="J4" s="22">
        <f>IF($B$2="","",IFERROR(INDEX('因子水準表'!$B$4:$KO$4,MATCH($B$2&amp;"|4",'因子水準表'!$B$20:$KO$20,0)),""))</f>
        <v/>
      </c>
      <c r="K4" s="22">
        <f>IF($B$2="","",IFERROR(INDEX('因子水準表'!$B$4:$KO$4,MATCH($B$2&amp;"|5",'因子水準表'!$B$20:$KO$20,0)),""))</f>
        <v/>
      </c>
      <c r="L4" s="22">
        <f>IF($B$2="","",IFERROR(INDEX('因子水準表'!$B$4:$KO$4,MATCH($B$2&amp;"|6",'因子水準表'!$B$20:$KO$20,0)),""))</f>
        <v/>
      </c>
      <c r="M4" s="22">
        <f>IF($B$2="","",IFERROR(INDEX('因子水準表'!$B$4:$KO$4,MATCH($B$2&amp;"|7",'因子水準表'!$B$20:$KO$20,0)),""))</f>
        <v/>
      </c>
      <c r="N4" s="22">
        <f>IF($B$2="","",IFERROR(INDEX('因子水準表'!$B$4:$KO$4,MATCH($B$2&amp;"|8",'因子水準表'!$B$20:$KO$20,0)),""))</f>
        <v/>
      </c>
      <c r="O4" s="22">
        <f>IF($B$2="","",IFERROR(INDEX('因子水準表'!$B$4:$KO$4,MATCH($B$2&amp;"|9",'因子水準表'!$B$20:$KO$20,0)),""))</f>
        <v/>
      </c>
      <c r="P4" s="22">
        <f>IF($B$2="","",IFERROR(INDEX('因子水準表'!$B$4:$KO$4,MATCH($B$2&amp;"|10",'因子水準表'!$B$20:$KO$20,0)),""))</f>
        <v/>
      </c>
      <c r="Q4" s="22">
        <f>IF($B$2="","",IFERROR(INDEX('因子水準表'!$B$4:$KO$4,MATCH($B$2&amp;"|11",'因子水準表'!$B$20:$KO$20,0)),""))</f>
        <v/>
      </c>
      <c r="R4" s="22">
        <f>IF($B$2="","",IFERROR(INDEX('因子水準表'!$B$4:$KO$4,MATCH($B$2&amp;"|12",'因子水準表'!$B$20:$KO$20,0)),""))</f>
        <v/>
      </c>
      <c r="S4" s="22">
        <f>IF($B$2="","",IFERROR(INDEX('因子水準表'!$B$4:$KO$4,MATCH($B$2&amp;"|13",'因子水準表'!$B$20:$KO$20,0)),""))</f>
        <v/>
      </c>
      <c r="T4" s="22">
        <f>IF($B$2="","",IFERROR(INDEX('因子水準表'!$B$4:$KO$4,MATCH($B$2&amp;"|14",'因子水準表'!$B$20:$KO$20,0)),""))</f>
        <v/>
      </c>
      <c r="U4" s="22">
        <f>IF($B$2="","",IFERROR(INDEX('因子水準表'!$B$4:$KO$4,MATCH($B$2&amp;"|15",'因子水準表'!$B$20:$KO$20,0)),""))</f>
        <v/>
      </c>
      <c r="V4" s="22">
        <f>IF($B$2="","",IFERROR(INDEX('因子水準表'!$B$4:$KO$4,MATCH($B$2&amp;"|16",'因子水準表'!$B$20:$KO$20,0)),""))</f>
        <v/>
      </c>
      <c r="W4" s="22">
        <f>IF($B$2="","",IFERROR(INDEX('因子水準表'!$B$4:$KO$4,MATCH($B$2&amp;"|17",'因子水準表'!$B$20:$KO$20,0)),""))</f>
        <v/>
      </c>
      <c r="X4" s="22">
        <f>IF($B$2="","",IFERROR(INDEX('因子水準表'!$B$4:$KO$4,MATCH($B$2&amp;"|18",'因子水準表'!$B$20:$KO$20,0)),""))</f>
        <v/>
      </c>
      <c r="Y4" s="22">
        <f>IF($B$2="","",IFERROR(INDEX('因子水準表'!$B$4:$KO$4,MATCH($B$2&amp;"|19",'因子水準表'!$B$20:$KO$20,0)),""))</f>
        <v/>
      </c>
      <c r="Z4" s="22">
        <f>IF($B$2="","",IFERROR(INDEX('因子水準表'!$B$4:$KO$4,MATCH($B$2&amp;"|20",'因子水準表'!$B$20:$KO$20,0)),""))</f>
        <v/>
      </c>
      <c r="AA4" s="22">
        <f>IF($B$2="","",IFERROR(INDEX('因子水準表'!$B$4:$KO$4,MATCH($B$2&amp;"|21",'因子水準表'!$B$20:$KO$20,0)),""))</f>
        <v/>
      </c>
      <c r="AB4" s="22">
        <f>IF($B$2="","",IFERROR(INDEX('因子水準表'!$B$4:$KO$4,MATCH($B$2&amp;"|22",'因子水準表'!$B$20:$KO$20,0)),""))</f>
        <v/>
      </c>
      <c r="AC4" s="22">
        <f>IF($B$2="","",IFERROR(INDEX('因子水準表'!$B$4:$KO$4,MATCH($B$2&amp;"|23",'因子水準表'!$B$20:$KO$20,0)),""))</f>
        <v/>
      </c>
      <c r="AD4" s="22">
        <f>IF($B$2="","",IFERROR(INDEX('因子水準表'!$B$4:$KO$4,MATCH($B$2&amp;"|24",'因子水準表'!$B$20:$KO$20,0)),""))</f>
        <v/>
      </c>
      <c r="AE4" s="22">
        <f>IF($B$2="","",IFERROR(INDEX('因子水準表'!$B$4:$KO$4,MATCH($B$2&amp;"|25",'因子水準表'!$B$20:$KO$20,0)),""))</f>
        <v/>
      </c>
      <c r="AF4" s="22">
        <f>IF($B$2="","",IFERROR(INDEX('因子水準表'!$B$4:$KO$4,MATCH($B$2&amp;"|26",'因子水準表'!$B$20:$KO$20,0)),""))</f>
        <v/>
      </c>
      <c r="AG4" s="22">
        <f>IF($B$2="","",IFERROR(INDEX('因子水準表'!$B$4:$KO$4,MATCH($B$2&amp;"|27",'因子水準表'!$B$20:$KO$20,0)),""))</f>
        <v/>
      </c>
      <c r="AH4" s="22">
        <f>IF($B$2="","",IFERROR(INDEX('因子水準表'!$B$4:$KO$4,MATCH($B$2&amp;"|28",'因子水準表'!$B$20:$KO$20,0)),""))</f>
        <v/>
      </c>
      <c r="AI4" s="22">
        <f>IF($B$2="","",IFERROR(INDEX('因子水準表'!$B$4:$KO$4,MATCH($B$2&amp;"|29",'因子水準表'!$B$20:$KO$20,0)),""))</f>
        <v/>
      </c>
      <c r="AJ4" s="22">
        <f>IF($B$2="","",IFERROR(INDEX('因子水準表'!$B$4:$KO$4,MATCH($B$2&amp;"|30",'因子水準表'!$B$20:$KO$20,0)),""))</f>
        <v/>
      </c>
      <c r="AK4" s="22">
        <f>IF($B$2="","",IFERROR(INDEX('因子水準表'!$B$4:$KO$4,MATCH($B$2&amp;"|31",'因子水準表'!$B$20:$KO$20,0)),""))</f>
        <v/>
      </c>
      <c r="AL4" s="22">
        <f>IF($B$2="","",IFERROR(INDEX('因子水準表'!$B$4:$KO$4,MATCH($B$2&amp;"|32",'因子水準表'!$B$20:$KO$20,0)),""))</f>
        <v/>
      </c>
      <c r="AM4" s="22">
        <f>IF($B$2="","",IFERROR(INDEX('因子水準表'!$B$4:$KO$4,MATCH($B$2&amp;"|33",'因子水準表'!$B$20:$KO$20,0)),""))</f>
        <v/>
      </c>
      <c r="AN4" s="22">
        <f>IF($B$2="","",IFERROR(INDEX('因子水準表'!$B$4:$KO$4,MATCH($B$2&amp;"|34",'因子水準表'!$B$20:$KO$20,0)),""))</f>
        <v/>
      </c>
      <c r="AO4" s="22">
        <f>IF($B$2="","",IFERROR(INDEX('因子水準表'!$B$4:$KO$4,MATCH($B$2&amp;"|35",'因子水準表'!$B$20:$KO$20,0)),""))</f>
        <v/>
      </c>
      <c r="AP4" s="22">
        <f>IF($B$2="","",IFERROR(INDEX('因子水準表'!$B$4:$KO$4,MATCH($B$2&amp;"|36",'因子水準表'!$B$20:$KO$20,0)),""))</f>
        <v/>
      </c>
      <c r="AQ4" s="22">
        <f>IF($B$2="","",IFERROR(INDEX('因子水準表'!$B$4:$KO$4,MATCH($B$2&amp;"|37",'因子水準表'!$B$20:$KO$20,0)),""))</f>
        <v/>
      </c>
      <c r="AR4" s="22">
        <f>IF($B$2="","",IFERROR(INDEX('因子水準表'!$B$4:$KO$4,MATCH($B$2&amp;"|38",'因子水準表'!$B$20:$KO$20,0)),""))</f>
        <v/>
      </c>
      <c r="AS4" s="22">
        <f>IF($B$2="","",IFERROR(INDEX('因子水準表'!$B$4:$KO$4,MATCH($B$2&amp;"|39",'因子水準表'!$B$20:$KO$20,0)),""))</f>
        <v/>
      </c>
      <c r="AT4" s="22">
        <f>IF($B$2="","",IFERROR(INDEX('因子水準表'!$B$4:$KO$4,MATCH($B$2&amp;"|40",'因子水準表'!$B$20:$KO$20,0)),""))</f>
        <v/>
      </c>
      <c r="AU4" s="22">
        <f>IF($B$2="","",IFERROR(INDEX('因子水準表'!$B$4:$KO$4,MATCH($B$2&amp;"|41",'因子水準表'!$B$20:$KO$20,0)),""))</f>
        <v/>
      </c>
      <c r="AV4" s="22">
        <f>IF($B$2="","",IFERROR(INDEX('因子水準表'!$B$4:$KO$4,MATCH($B$2&amp;"|42",'因子水準表'!$B$20:$KO$20,0)),""))</f>
        <v/>
      </c>
      <c r="AW4" s="22">
        <f>IF($B$2="","",IFERROR(INDEX('因子水準表'!$B$4:$KO$4,MATCH($B$2&amp;"|43",'因子水準表'!$B$20:$KO$20,0)),""))</f>
        <v/>
      </c>
      <c r="AX4" s="22">
        <f>IF($B$2="","",IFERROR(INDEX('因子水準表'!$B$4:$KO$4,MATCH($B$2&amp;"|44",'因子水準表'!$B$20:$KO$20,0)),""))</f>
        <v/>
      </c>
      <c r="AY4" s="22">
        <f>IF($B$2="","",IFERROR(INDEX('因子水準表'!$B$4:$KO$4,MATCH($B$2&amp;"|45",'因子水準表'!$B$20:$KO$20,0)),""))</f>
        <v/>
      </c>
      <c r="AZ4" s="22">
        <f>IF($B$2="","",IFERROR(INDEX('因子水準表'!$B$4:$KO$4,MATCH($B$2&amp;"|46",'因子水準表'!$B$20:$KO$20,0)),""))</f>
        <v/>
      </c>
      <c r="BA4" s="22">
        <f>IF($B$2="","",IFERROR(INDEX('因子水準表'!$B$4:$KO$4,MATCH($B$2&amp;"|47",'因子水準表'!$B$20:$KO$20,0)),""))</f>
        <v/>
      </c>
      <c r="BB4" s="22">
        <f>IF($B$2="","",IFERROR(INDEX('因子水準表'!$B$4:$KO$4,MATCH($B$2&amp;"|48",'因子水準表'!$B$20:$KO$20,0)),""))</f>
        <v/>
      </c>
      <c r="BC4" s="22">
        <f>IF($B$2="","",IFERROR(INDEX('因子水準表'!$B$4:$KO$4,MATCH($B$2&amp;"|49",'因子水準表'!$B$20:$KO$20,0)),""))</f>
        <v/>
      </c>
      <c r="BD4" s="22">
        <f>IF($B$2="","",IFERROR(INDEX('因子水準表'!$B$4:$KO$4,MATCH($B$2&amp;"|50",'因子水準表'!$B$20:$KO$20,0)),""))</f>
        <v/>
      </c>
      <c r="BE4" s="12" t="inlineStr">
        <is>
          <t>手順</t>
        </is>
      </c>
      <c r="BF4" s="12" t="inlineStr">
        <is>
          <t>期待結果</t>
        </is>
      </c>
      <c r="BG4" s="12" t="inlineStr">
        <is>
          <t>技法</t>
        </is>
      </c>
      <c r="BH4" s="12" t="inlineStr">
        <is>
          <t>自動化</t>
        </is>
      </c>
      <c r="BI4" s="12" t="inlineStr">
        <is>
          <t>実行日</t>
        </is>
      </c>
      <c r="BJ4" s="12" t="inlineStr">
        <is>
          <t>実行者</t>
        </is>
      </c>
      <c r="BK4" s="12" t="inlineStr">
        <is>
          <t>結果</t>
        </is>
      </c>
      <c r="BL4" s="12" t="inlineStr">
        <is>
          <t>欠陥ID</t>
        </is>
      </c>
      <c r="BM4" s="12" t="inlineStr">
        <is>
          <t>備考</t>
        </is>
      </c>
      <c r="BO4" s="21" t="inlineStr">
        <is>
          <t>プルダウン用（非表示・編集しない）</t>
        </is>
      </c>
      <c r="BP4" s="9" t="n"/>
      <c r="BQ4" s="9" t="n"/>
      <c r="BR4" s="9" t="n"/>
      <c r="BS4" s="9" t="n"/>
      <c r="BT4" s="9" t="n"/>
      <c r="BU4" s="9" t="n"/>
      <c r="BV4" s="9" t="n"/>
      <c r="BW4" s="9" t="n"/>
      <c r="BX4" s="9" t="n"/>
      <c r="BY4" s="9" t="n"/>
      <c r="BZ4" s="9" t="n"/>
      <c r="CA4" s="9" t="n"/>
      <c r="CB4" s="9" t="n"/>
      <c r="CC4" s="9" t="n"/>
      <c r="CD4" s="9" t="n"/>
      <c r="CE4" s="9" t="n"/>
      <c r="CF4" s="9" t="n"/>
      <c r="CG4" s="9" t="n"/>
      <c r="CH4" s="9" t="n"/>
      <c r="CI4" s="9" t="n"/>
      <c r="CJ4" s="9" t="n"/>
      <c r="CK4" s="9" t="n"/>
      <c r="CL4" s="9" t="n"/>
      <c r="CM4" s="9" t="n"/>
      <c r="CN4" s="9" t="n"/>
      <c r="CO4" s="9" t="n"/>
      <c r="CP4" s="9" t="n"/>
      <c r="CQ4" s="9" t="n"/>
      <c r="CR4" s="9" t="n"/>
      <c r="CS4" s="9" t="n"/>
      <c r="CT4" s="9" t="n"/>
      <c r="CU4" s="9" t="n"/>
      <c r="CV4" s="9" t="n"/>
      <c r="CW4" s="9" t="n"/>
      <c r="CX4" s="9" t="n"/>
      <c r="CY4" s="9" t="n"/>
      <c r="CZ4" s="9" t="n"/>
      <c r="DA4" s="9" t="n"/>
      <c r="DB4" s="9" t="n"/>
      <c r="DC4" s="9" t="n"/>
      <c r="DD4" s="9" t="n"/>
      <c r="DE4" s="9" t="n"/>
      <c r="DF4" s="9" t="n"/>
      <c r="DG4" s="9" t="n"/>
      <c r="DH4" s="9" t="n"/>
      <c r="DI4" s="9" t="n"/>
      <c r="DJ4" s="9" t="n"/>
      <c r="DK4" s="9" t="n"/>
      <c r="DL4" s="9" t="n"/>
      <c r="DM4" s="9" t="n"/>
      <c r="DN4" s="10" t="n"/>
    </row>
    <row r="5">
      <c r="A5" s="23" t="n"/>
      <c r="B5" s="23" t="n"/>
      <c r="C5" s="23" t="n"/>
      <c r="D5" s="23" t="n"/>
      <c r="E5" s="23" t="n"/>
      <c r="F5" s="23" t="n"/>
      <c r="G5" s="12">
        <f>IF(G4="","（未使用）",IFERROR(INDEX('因子水準表'!$B$6:$KO$6,MATCH(G4,'因子水準表'!$B$4:$KO$4,0)),"（ID不明）"))</f>
        <v/>
      </c>
      <c r="H5" s="12">
        <f>IF(H4="","（未使用）",IFERROR(INDEX('因子水準表'!$B$6:$KO$6,MATCH(H4,'因子水準表'!$B$4:$KO$4,0)),"（ID不明）"))</f>
        <v/>
      </c>
      <c r="I5" s="12">
        <f>IF(I4="","（未使用）",IFERROR(INDEX('因子水準表'!$B$6:$KO$6,MATCH(I4,'因子水準表'!$B$4:$KO$4,0)),"（ID不明）"))</f>
        <v/>
      </c>
      <c r="J5" s="12">
        <f>IF(J4="","（未使用）",IFERROR(INDEX('因子水準表'!$B$6:$KO$6,MATCH(J4,'因子水準表'!$B$4:$KO$4,0)),"（ID不明）"))</f>
        <v/>
      </c>
      <c r="K5" s="12">
        <f>IF(K4="","（未使用）",IFERROR(INDEX('因子水準表'!$B$6:$KO$6,MATCH(K4,'因子水準表'!$B$4:$KO$4,0)),"（ID不明）"))</f>
        <v/>
      </c>
      <c r="L5" s="12">
        <f>IF(L4="","（未使用）",IFERROR(INDEX('因子水準表'!$B$6:$KO$6,MATCH(L4,'因子水準表'!$B$4:$KO$4,0)),"（ID不明）"))</f>
        <v/>
      </c>
      <c r="M5" s="12">
        <f>IF(M4="","（未使用）",IFERROR(INDEX('因子水準表'!$B$6:$KO$6,MATCH(M4,'因子水準表'!$B$4:$KO$4,0)),"（ID不明）"))</f>
        <v/>
      </c>
      <c r="N5" s="12">
        <f>IF(N4="","（未使用）",IFERROR(INDEX('因子水準表'!$B$6:$KO$6,MATCH(N4,'因子水準表'!$B$4:$KO$4,0)),"（ID不明）"))</f>
        <v/>
      </c>
      <c r="O5" s="12">
        <f>IF(O4="","（未使用）",IFERROR(INDEX('因子水準表'!$B$6:$KO$6,MATCH(O4,'因子水準表'!$B$4:$KO$4,0)),"（ID不明）"))</f>
        <v/>
      </c>
      <c r="P5" s="12">
        <f>IF(P4="","（未使用）",IFERROR(INDEX('因子水準表'!$B$6:$KO$6,MATCH(P4,'因子水準表'!$B$4:$KO$4,0)),"（ID不明）"))</f>
        <v/>
      </c>
      <c r="Q5" s="12">
        <f>IF(Q4="","（未使用）",IFERROR(INDEX('因子水準表'!$B$6:$KO$6,MATCH(Q4,'因子水準表'!$B$4:$KO$4,0)),"（ID不明）"))</f>
        <v/>
      </c>
      <c r="R5" s="12">
        <f>IF(R4="","（未使用）",IFERROR(INDEX('因子水準表'!$B$6:$KO$6,MATCH(R4,'因子水準表'!$B$4:$KO$4,0)),"（ID不明）"))</f>
        <v/>
      </c>
      <c r="S5" s="12">
        <f>IF(S4="","（未使用）",IFERROR(INDEX('因子水準表'!$B$6:$KO$6,MATCH(S4,'因子水準表'!$B$4:$KO$4,0)),"（ID不明）"))</f>
        <v/>
      </c>
      <c r="T5" s="12">
        <f>IF(T4="","（未使用）",IFERROR(INDEX('因子水準表'!$B$6:$KO$6,MATCH(T4,'因子水準表'!$B$4:$KO$4,0)),"（ID不明）"))</f>
        <v/>
      </c>
      <c r="U5" s="12">
        <f>IF(U4="","（未使用）",IFERROR(INDEX('因子水準表'!$B$6:$KO$6,MATCH(U4,'因子水準表'!$B$4:$KO$4,0)),"（ID不明）"))</f>
        <v/>
      </c>
      <c r="V5" s="12">
        <f>IF(V4="","（未使用）",IFERROR(INDEX('因子水準表'!$B$6:$KO$6,MATCH(V4,'因子水準表'!$B$4:$KO$4,0)),"（ID不明）"))</f>
        <v/>
      </c>
      <c r="W5" s="12">
        <f>IF(W4="","（未使用）",IFERROR(INDEX('因子水準表'!$B$6:$KO$6,MATCH(W4,'因子水準表'!$B$4:$KO$4,0)),"（ID不明）"))</f>
        <v/>
      </c>
      <c r="X5" s="12">
        <f>IF(X4="","（未使用）",IFERROR(INDEX('因子水準表'!$B$6:$KO$6,MATCH(X4,'因子水準表'!$B$4:$KO$4,0)),"（ID不明）"))</f>
        <v/>
      </c>
      <c r="Y5" s="12">
        <f>IF(Y4="","（未使用）",IFERROR(INDEX('因子水準表'!$B$6:$KO$6,MATCH(Y4,'因子水準表'!$B$4:$KO$4,0)),"（ID不明）"))</f>
        <v/>
      </c>
      <c r="Z5" s="12">
        <f>IF(Z4="","（未使用）",IFERROR(INDEX('因子水準表'!$B$6:$KO$6,MATCH(Z4,'因子水準表'!$B$4:$KO$4,0)),"（ID不明）"))</f>
        <v/>
      </c>
      <c r="AA5" s="12">
        <f>IF(AA4="","（未使用）",IFERROR(INDEX('因子水準表'!$B$6:$KO$6,MATCH(AA4,'因子水準表'!$B$4:$KO$4,0)),"（ID不明）"))</f>
        <v/>
      </c>
      <c r="AB5" s="12">
        <f>IF(AB4="","（未使用）",IFERROR(INDEX('因子水準表'!$B$6:$KO$6,MATCH(AB4,'因子水準表'!$B$4:$KO$4,0)),"（ID不明）"))</f>
        <v/>
      </c>
      <c r="AC5" s="12">
        <f>IF(AC4="","（未使用）",IFERROR(INDEX('因子水準表'!$B$6:$KO$6,MATCH(AC4,'因子水準表'!$B$4:$KO$4,0)),"（ID不明）"))</f>
        <v/>
      </c>
      <c r="AD5" s="12">
        <f>IF(AD4="","（未使用）",IFERROR(INDEX('因子水準表'!$B$6:$KO$6,MATCH(AD4,'因子水準表'!$B$4:$KO$4,0)),"（ID不明）"))</f>
        <v/>
      </c>
      <c r="AE5" s="12">
        <f>IF(AE4="","（未使用）",IFERROR(INDEX('因子水準表'!$B$6:$KO$6,MATCH(AE4,'因子水準表'!$B$4:$KO$4,0)),"（ID不明）"))</f>
        <v/>
      </c>
      <c r="AF5" s="12">
        <f>IF(AF4="","（未使用）",IFERROR(INDEX('因子水準表'!$B$6:$KO$6,MATCH(AF4,'因子水準表'!$B$4:$KO$4,0)),"（ID不明）"))</f>
        <v/>
      </c>
      <c r="AG5" s="12">
        <f>IF(AG4="","（未使用）",IFERROR(INDEX('因子水準表'!$B$6:$KO$6,MATCH(AG4,'因子水準表'!$B$4:$KO$4,0)),"（ID不明）"))</f>
        <v/>
      </c>
      <c r="AH5" s="12">
        <f>IF(AH4="","（未使用）",IFERROR(INDEX('因子水準表'!$B$6:$KO$6,MATCH(AH4,'因子水準表'!$B$4:$KO$4,0)),"（ID不明）"))</f>
        <v/>
      </c>
      <c r="AI5" s="12">
        <f>IF(AI4="","（未使用）",IFERROR(INDEX('因子水準表'!$B$6:$KO$6,MATCH(AI4,'因子水準表'!$B$4:$KO$4,0)),"（ID不明）"))</f>
        <v/>
      </c>
      <c r="AJ5" s="12">
        <f>IF(AJ4="","（未使用）",IFERROR(INDEX('因子水準表'!$B$6:$KO$6,MATCH(AJ4,'因子水準表'!$B$4:$KO$4,0)),"（ID不明）"))</f>
        <v/>
      </c>
      <c r="AK5" s="12">
        <f>IF(AK4="","（未使用）",IFERROR(INDEX('因子水準表'!$B$6:$KO$6,MATCH(AK4,'因子水準表'!$B$4:$KO$4,0)),"（ID不明）"))</f>
        <v/>
      </c>
      <c r="AL5" s="12">
        <f>IF(AL4="","（未使用）",IFERROR(INDEX('因子水準表'!$B$6:$KO$6,MATCH(AL4,'因子水準表'!$B$4:$KO$4,0)),"（ID不明）"))</f>
        <v/>
      </c>
      <c r="AM5" s="12">
        <f>IF(AM4="","（未使用）",IFERROR(INDEX('因子水準表'!$B$6:$KO$6,MATCH(AM4,'因子水準表'!$B$4:$KO$4,0)),"（ID不明）"))</f>
        <v/>
      </c>
      <c r="AN5" s="12">
        <f>IF(AN4="","（未使用）",IFERROR(INDEX('因子水準表'!$B$6:$KO$6,MATCH(AN4,'因子水準表'!$B$4:$KO$4,0)),"（ID不明）"))</f>
        <v/>
      </c>
      <c r="AO5" s="12">
        <f>IF(AO4="","（未使用）",IFERROR(INDEX('因子水準表'!$B$6:$KO$6,MATCH(AO4,'因子水準表'!$B$4:$KO$4,0)),"（ID不明）"))</f>
        <v/>
      </c>
      <c r="AP5" s="12">
        <f>IF(AP4="","（未使用）",IFERROR(INDEX('因子水準表'!$B$6:$KO$6,MATCH(AP4,'因子水準表'!$B$4:$KO$4,0)),"（ID不明）"))</f>
        <v/>
      </c>
      <c r="AQ5" s="12">
        <f>IF(AQ4="","（未使用）",IFERROR(INDEX('因子水準表'!$B$6:$KO$6,MATCH(AQ4,'因子水準表'!$B$4:$KO$4,0)),"（ID不明）"))</f>
        <v/>
      </c>
      <c r="AR5" s="12">
        <f>IF(AR4="","（未使用）",IFERROR(INDEX('因子水準表'!$B$6:$KO$6,MATCH(AR4,'因子水準表'!$B$4:$KO$4,0)),"（ID不明）"))</f>
        <v/>
      </c>
      <c r="AS5" s="12">
        <f>IF(AS4="","（未使用）",IFERROR(INDEX('因子水準表'!$B$6:$KO$6,MATCH(AS4,'因子水準表'!$B$4:$KO$4,0)),"（ID不明）"))</f>
        <v/>
      </c>
      <c r="AT5" s="12">
        <f>IF(AT4="","（未使用）",IFERROR(INDEX('因子水準表'!$B$6:$KO$6,MATCH(AT4,'因子水準表'!$B$4:$KO$4,0)),"（ID不明）"))</f>
        <v/>
      </c>
      <c r="AU5" s="12">
        <f>IF(AU4="","（未使用）",IFERROR(INDEX('因子水準表'!$B$6:$KO$6,MATCH(AU4,'因子水準表'!$B$4:$KO$4,0)),"（ID不明）"))</f>
        <v/>
      </c>
      <c r="AV5" s="12">
        <f>IF(AV4="","（未使用）",IFERROR(INDEX('因子水準表'!$B$6:$KO$6,MATCH(AV4,'因子水準表'!$B$4:$KO$4,0)),"（ID不明）"))</f>
        <v/>
      </c>
      <c r="AW5" s="12">
        <f>IF(AW4="","（未使用）",IFERROR(INDEX('因子水準表'!$B$6:$KO$6,MATCH(AW4,'因子水準表'!$B$4:$KO$4,0)),"（ID不明）"))</f>
        <v/>
      </c>
      <c r="AX5" s="12">
        <f>IF(AX4="","（未使用）",IFERROR(INDEX('因子水準表'!$B$6:$KO$6,MATCH(AX4,'因子水準表'!$B$4:$KO$4,0)),"（ID不明）"))</f>
        <v/>
      </c>
      <c r="AY5" s="12">
        <f>IF(AY4="","（未使用）",IFERROR(INDEX('因子水準表'!$B$6:$KO$6,MATCH(AY4,'因子水準表'!$B$4:$KO$4,0)),"（ID不明）"))</f>
        <v/>
      </c>
      <c r="AZ5" s="12">
        <f>IF(AZ4="","（未使用）",IFERROR(INDEX('因子水準表'!$B$6:$KO$6,MATCH(AZ4,'因子水準表'!$B$4:$KO$4,0)),"（ID不明）"))</f>
        <v/>
      </c>
      <c r="BA5" s="12">
        <f>IF(BA4="","（未使用）",IFERROR(INDEX('因子水準表'!$B$6:$KO$6,MATCH(BA4,'因子水準表'!$B$4:$KO$4,0)),"（ID不明）"))</f>
        <v/>
      </c>
      <c r="BB5" s="12">
        <f>IF(BB4="","（未使用）",IFERROR(INDEX('因子水準表'!$B$6:$KO$6,MATCH(BB4,'因子水準表'!$B$4:$KO$4,0)),"（ID不明）"))</f>
        <v/>
      </c>
      <c r="BC5" s="12">
        <f>IF(BC4="","（未使用）",IFERROR(INDEX('因子水準表'!$B$6:$KO$6,MATCH(BC4,'因子水準表'!$B$4:$KO$4,0)),"（ID不明）"))</f>
        <v/>
      </c>
      <c r="BD5" s="12">
        <f>IF(BD4="","（未使用）",IFERROR(INDEX('因子水準表'!$B$6:$KO$6,MATCH(BD4,'因子水準表'!$B$4:$KO$4,0)),"（ID不明）"))</f>
        <v/>
      </c>
      <c r="BE5" s="23" t="n"/>
      <c r="BF5" s="23" t="n"/>
      <c r="BG5" s="23" t="n"/>
      <c r="BH5" s="23" t="n"/>
      <c r="BI5" s="23" t="n"/>
      <c r="BJ5" s="23" t="n"/>
      <c r="BK5" s="23" t="n"/>
      <c r="BL5" s="23" t="n"/>
      <c r="BM5" s="23" t="n"/>
      <c r="BO5" s="12" t="inlineStr">
        <is>
          <t>1列目の水準</t>
        </is>
      </c>
      <c r="BP5" s="12" t="inlineStr">
        <is>
          <t>2列目の水準</t>
        </is>
      </c>
      <c r="BQ5" s="12" t="inlineStr">
        <is>
          <t>3列目の水準</t>
        </is>
      </c>
      <c r="BR5" s="12" t="inlineStr">
        <is>
          <t>4列目の水準</t>
        </is>
      </c>
      <c r="BS5" s="12" t="inlineStr">
        <is>
          <t>5列目の水準</t>
        </is>
      </c>
      <c r="BT5" s="12" t="inlineStr">
        <is>
          <t>6列目の水準</t>
        </is>
      </c>
      <c r="BU5" s="12" t="inlineStr">
        <is>
          <t>7列目の水準</t>
        </is>
      </c>
      <c r="BV5" s="12" t="inlineStr">
        <is>
          <t>8列目の水準</t>
        </is>
      </c>
      <c r="BW5" s="12" t="inlineStr">
        <is>
          <t>9列目の水準</t>
        </is>
      </c>
      <c r="BX5" s="12" t="inlineStr">
        <is>
          <t>10列目の水準</t>
        </is>
      </c>
      <c r="BY5" s="12" t="inlineStr">
        <is>
          <t>11列目の水準</t>
        </is>
      </c>
      <c r="BZ5" s="12" t="inlineStr">
        <is>
          <t>12列目の水準</t>
        </is>
      </c>
      <c r="CA5" s="12" t="inlineStr">
        <is>
          <t>13列目の水準</t>
        </is>
      </c>
      <c r="CB5" s="12" t="inlineStr">
        <is>
          <t>14列目の水準</t>
        </is>
      </c>
      <c r="CC5" s="12" t="inlineStr">
        <is>
          <t>15列目の水準</t>
        </is>
      </c>
      <c r="CD5" s="12" t="inlineStr">
        <is>
          <t>16列目の水準</t>
        </is>
      </c>
      <c r="CE5" s="12" t="inlineStr">
        <is>
          <t>17列目の水準</t>
        </is>
      </c>
      <c r="CF5" s="12" t="inlineStr">
        <is>
          <t>18列目の水準</t>
        </is>
      </c>
      <c r="CG5" s="12" t="inlineStr">
        <is>
          <t>19列目の水準</t>
        </is>
      </c>
      <c r="CH5" s="12" t="inlineStr">
        <is>
          <t>20列目の水準</t>
        </is>
      </c>
      <c r="CI5" s="12" t="inlineStr">
        <is>
          <t>21列目の水準</t>
        </is>
      </c>
      <c r="CJ5" s="12" t="inlineStr">
        <is>
          <t>22列目の水準</t>
        </is>
      </c>
      <c r="CK5" s="12" t="inlineStr">
        <is>
          <t>23列目の水準</t>
        </is>
      </c>
      <c r="CL5" s="12" t="inlineStr">
        <is>
          <t>24列目の水準</t>
        </is>
      </c>
      <c r="CM5" s="12" t="inlineStr">
        <is>
          <t>25列目の水準</t>
        </is>
      </c>
      <c r="CN5" s="12" t="inlineStr">
        <is>
          <t>26列目の水準</t>
        </is>
      </c>
      <c r="CO5" s="12" t="inlineStr">
        <is>
          <t>27列目の水準</t>
        </is>
      </c>
      <c r="CP5" s="12" t="inlineStr">
        <is>
          <t>28列目の水準</t>
        </is>
      </c>
      <c r="CQ5" s="12" t="inlineStr">
        <is>
          <t>29列目の水準</t>
        </is>
      </c>
      <c r="CR5" s="12" t="inlineStr">
        <is>
          <t>30列目の水準</t>
        </is>
      </c>
      <c r="CS5" s="12" t="inlineStr">
        <is>
          <t>31列目の水準</t>
        </is>
      </c>
      <c r="CT5" s="12" t="inlineStr">
        <is>
          <t>32列目の水準</t>
        </is>
      </c>
      <c r="CU5" s="12" t="inlineStr">
        <is>
          <t>33列目の水準</t>
        </is>
      </c>
      <c r="CV5" s="12" t="inlineStr">
        <is>
          <t>34列目の水準</t>
        </is>
      </c>
      <c r="CW5" s="12" t="inlineStr">
        <is>
          <t>35列目の水準</t>
        </is>
      </c>
      <c r="CX5" s="12" t="inlineStr">
        <is>
          <t>36列目の水準</t>
        </is>
      </c>
      <c r="CY5" s="12" t="inlineStr">
        <is>
          <t>37列目の水準</t>
        </is>
      </c>
      <c r="CZ5" s="12" t="inlineStr">
        <is>
          <t>38列目の水準</t>
        </is>
      </c>
      <c r="DA5" s="12" t="inlineStr">
        <is>
          <t>39列目の水準</t>
        </is>
      </c>
      <c r="DB5" s="12" t="inlineStr">
        <is>
          <t>40列目の水準</t>
        </is>
      </c>
      <c r="DC5" s="12" t="inlineStr">
        <is>
          <t>41列目の水準</t>
        </is>
      </c>
      <c r="DD5" s="12" t="inlineStr">
        <is>
          <t>42列目の水準</t>
        </is>
      </c>
      <c r="DE5" s="12" t="inlineStr">
        <is>
          <t>43列目の水準</t>
        </is>
      </c>
      <c r="DF5" s="12" t="inlineStr">
        <is>
          <t>44列目の水準</t>
        </is>
      </c>
      <c r="DG5" s="12" t="inlineStr">
        <is>
          <t>45列目の水準</t>
        </is>
      </c>
      <c r="DH5" s="12" t="inlineStr">
        <is>
          <t>46列目の水準</t>
        </is>
      </c>
      <c r="DI5" s="12" t="inlineStr">
        <is>
          <t>47列目の水準</t>
        </is>
      </c>
      <c r="DJ5" s="12" t="inlineStr">
        <is>
          <t>48列目の水準</t>
        </is>
      </c>
      <c r="DK5" s="12" t="inlineStr">
        <is>
          <t>49列目の水準</t>
        </is>
      </c>
      <c r="DL5" s="12" t="inlineStr">
        <is>
          <t>50列目の水準</t>
        </is>
      </c>
      <c r="DM5" s="12" t="inlineStr">
        <is>
          <t>カテゴリ</t>
        </is>
      </c>
      <c r="DN5" s="12" t="inlineStr">
        <is>
          <t>条件ID</t>
        </is>
      </c>
    </row>
    <row r="6">
      <c r="A6" s="27" t="n"/>
      <c r="B6" s="27" t="n"/>
      <c r="C6" s="28">
        <f>IF(A6="","",$B$2)</f>
        <v/>
      </c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  <c r="AI6" s="27" t="n"/>
      <c r="AJ6" s="27" t="n"/>
      <c r="AK6" s="27" t="n"/>
      <c r="AL6" s="27" t="n"/>
      <c r="AM6" s="27" t="n"/>
      <c r="AN6" s="27" t="n"/>
      <c r="AO6" s="27" t="n"/>
      <c r="AP6" s="27" t="n"/>
      <c r="AQ6" s="27" t="n"/>
      <c r="AR6" s="27" t="n"/>
      <c r="AS6" s="27" t="n"/>
      <c r="AT6" s="27" t="n"/>
      <c r="AU6" s="27" t="n"/>
      <c r="AV6" s="27" t="n"/>
      <c r="AW6" s="27" t="n"/>
      <c r="AX6" s="27" t="n"/>
      <c r="AY6" s="27" t="n"/>
      <c r="AZ6" s="27" t="n"/>
      <c r="BA6" s="27" t="n"/>
      <c r="BB6" s="27" t="n"/>
      <c r="BC6" s="27" t="n"/>
      <c r="BD6" s="27" t="n"/>
      <c r="BE6" s="27" t="n"/>
      <c r="BF6" s="27" t="n"/>
      <c r="BG6" s="27" t="n"/>
      <c r="BH6" s="27" t="n"/>
      <c r="BI6" s="29" t="n"/>
      <c r="BJ6" s="27" t="n"/>
      <c r="BK6" s="27" t="n"/>
      <c r="BL6" s="27" t="n"/>
      <c r="BM6" s="27" t="n"/>
      <c r="BO6" s="26">
        <f>IF(G$4="","",IFERROR(INDEX('因子水準表'!$B$9:$KO$18,1,MATCH(G$4,'因子水準表'!$B$4:$KO$4,0))&amp;"",""))</f>
        <v/>
      </c>
      <c r="BP6" s="26">
        <f>IF(H$4="","",IFERROR(INDEX('因子水準表'!$B$9:$KO$18,1,MATCH(H$4,'因子水準表'!$B$4:$KO$4,0))&amp;"",""))</f>
        <v/>
      </c>
      <c r="BQ6" s="26">
        <f>IF(I$4="","",IFERROR(INDEX('因子水準表'!$B$9:$KO$18,1,MATCH(I$4,'因子水準表'!$B$4:$KO$4,0))&amp;"",""))</f>
        <v/>
      </c>
      <c r="BR6" s="26">
        <f>IF(J$4="","",IFERROR(INDEX('因子水準表'!$B$9:$KO$18,1,MATCH(J$4,'因子水準表'!$B$4:$KO$4,0))&amp;"",""))</f>
        <v/>
      </c>
      <c r="BS6" s="26">
        <f>IF(K$4="","",IFERROR(INDEX('因子水準表'!$B$9:$KO$18,1,MATCH(K$4,'因子水準表'!$B$4:$KO$4,0))&amp;"",""))</f>
        <v/>
      </c>
      <c r="BT6" s="26">
        <f>IF(L$4="","",IFERROR(INDEX('因子水準表'!$B$9:$KO$18,1,MATCH(L$4,'因子水準表'!$B$4:$KO$4,0))&amp;"",""))</f>
        <v/>
      </c>
      <c r="BU6" s="26">
        <f>IF(M$4="","",IFERROR(INDEX('因子水準表'!$B$9:$KO$18,1,MATCH(M$4,'因子水準表'!$B$4:$KO$4,0))&amp;"",""))</f>
        <v/>
      </c>
      <c r="BV6" s="26">
        <f>IF(N$4="","",IFERROR(INDEX('因子水準表'!$B$9:$KO$18,1,MATCH(N$4,'因子水準表'!$B$4:$KO$4,0))&amp;"",""))</f>
        <v/>
      </c>
      <c r="BW6" s="26">
        <f>IF(O$4="","",IFERROR(INDEX('因子水準表'!$B$9:$KO$18,1,MATCH(O$4,'因子水準表'!$B$4:$KO$4,0))&amp;"",""))</f>
        <v/>
      </c>
      <c r="BX6" s="26">
        <f>IF(P$4="","",IFERROR(INDEX('因子水準表'!$B$9:$KO$18,1,MATCH(P$4,'因子水準表'!$B$4:$KO$4,0))&amp;"",""))</f>
        <v/>
      </c>
      <c r="BY6" s="26">
        <f>IF(Q$4="","",IFERROR(INDEX('因子水準表'!$B$9:$KO$18,1,MATCH(Q$4,'因子水準表'!$B$4:$KO$4,0))&amp;"",""))</f>
        <v/>
      </c>
      <c r="BZ6" s="26">
        <f>IF(R$4="","",IFERROR(INDEX('因子水準表'!$B$9:$KO$18,1,MATCH(R$4,'因子水準表'!$B$4:$KO$4,0))&amp;"",""))</f>
        <v/>
      </c>
      <c r="CA6" s="26">
        <f>IF(S$4="","",IFERROR(INDEX('因子水準表'!$B$9:$KO$18,1,MATCH(S$4,'因子水準表'!$B$4:$KO$4,0))&amp;"",""))</f>
        <v/>
      </c>
      <c r="CB6" s="26">
        <f>IF(T$4="","",IFERROR(INDEX('因子水準表'!$B$9:$KO$18,1,MATCH(T$4,'因子水準表'!$B$4:$KO$4,0))&amp;"",""))</f>
        <v/>
      </c>
      <c r="CC6" s="26">
        <f>IF(U$4="","",IFERROR(INDEX('因子水準表'!$B$9:$KO$18,1,MATCH(U$4,'因子水準表'!$B$4:$KO$4,0))&amp;"",""))</f>
        <v/>
      </c>
      <c r="CD6" s="26">
        <f>IF(V$4="","",IFERROR(INDEX('因子水準表'!$B$9:$KO$18,1,MATCH(V$4,'因子水準表'!$B$4:$KO$4,0))&amp;"",""))</f>
        <v/>
      </c>
      <c r="CE6" s="26">
        <f>IF(W$4="","",IFERROR(INDEX('因子水準表'!$B$9:$KO$18,1,MATCH(W$4,'因子水準表'!$B$4:$KO$4,0))&amp;"",""))</f>
        <v/>
      </c>
      <c r="CF6" s="26">
        <f>IF(X$4="","",IFERROR(INDEX('因子水準表'!$B$9:$KO$18,1,MATCH(X$4,'因子水準表'!$B$4:$KO$4,0))&amp;"",""))</f>
        <v/>
      </c>
      <c r="CG6" s="26">
        <f>IF(Y$4="","",IFERROR(INDEX('因子水準表'!$B$9:$KO$18,1,MATCH(Y$4,'因子水準表'!$B$4:$KO$4,0))&amp;"",""))</f>
        <v/>
      </c>
      <c r="CH6" s="26">
        <f>IF(Z$4="","",IFERROR(INDEX('因子水準表'!$B$9:$KO$18,1,MATCH(Z$4,'因子水準表'!$B$4:$KO$4,0))&amp;"",""))</f>
        <v/>
      </c>
      <c r="CI6" s="26">
        <f>IF(AA$4="","",IFERROR(INDEX('因子水準表'!$B$9:$KO$18,1,MATCH(AA$4,'因子水準表'!$B$4:$KO$4,0))&amp;"",""))</f>
        <v/>
      </c>
      <c r="CJ6" s="26">
        <f>IF(AB$4="","",IFERROR(INDEX('因子水準表'!$B$9:$KO$18,1,MATCH(AB$4,'因子水準表'!$B$4:$KO$4,0))&amp;"",""))</f>
        <v/>
      </c>
      <c r="CK6" s="26">
        <f>IF(AC$4="","",IFERROR(INDEX('因子水準表'!$B$9:$KO$18,1,MATCH(AC$4,'因子水準表'!$B$4:$KO$4,0))&amp;"",""))</f>
        <v/>
      </c>
      <c r="CL6" s="26">
        <f>IF(AD$4="","",IFERROR(INDEX('因子水準表'!$B$9:$KO$18,1,MATCH(AD$4,'因子水準表'!$B$4:$KO$4,0))&amp;"",""))</f>
        <v/>
      </c>
      <c r="CM6" s="26">
        <f>IF(AE$4="","",IFERROR(INDEX('因子水準表'!$B$9:$KO$18,1,MATCH(AE$4,'因子水準表'!$B$4:$KO$4,0))&amp;"",""))</f>
        <v/>
      </c>
      <c r="CN6" s="26">
        <f>IF(AF$4="","",IFERROR(INDEX('因子水準表'!$B$9:$KO$18,1,MATCH(AF$4,'因子水準表'!$B$4:$KO$4,0))&amp;"",""))</f>
        <v/>
      </c>
      <c r="CO6" s="26">
        <f>IF(AG$4="","",IFERROR(INDEX('因子水準表'!$B$9:$KO$18,1,MATCH(AG$4,'因子水準表'!$B$4:$KO$4,0))&amp;"",""))</f>
        <v/>
      </c>
      <c r="CP6" s="26">
        <f>IF(AH$4="","",IFERROR(INDEX('因子水準表'!$B$9:$KO$18,1,MATCH(AH$4,'因子水準表'!$B$4:$KO$4,0))&amp;"",""))</f>
        <v/>
      </c>
      <c r="CQ6" s="26">
        <f>IF(AI$4="","",IFERROR(INDEX('因子水準表'!$B$9:$KO$18,1,MATCH(AI$4,'因子水準表'!$B$4:$KO$4,0))&amp;"",""))</f>
        <v/>
      </c>
      <c r="CR6" s="26">
        <f>IF(AJ$4="","",IFERROR(INDEX('因子水準表'!$B$9:$KO$18,1,MATCH(AJ$4,'因子水準表'!$B$4:$KO$4,0))&amp;"",""))</f>
        <v/>
      </c>
      <c r="CS6" s="26">
        <f>IF(AK$4="","",IFERROR(INDEX('因子水準表'!$B$9:$KO$18,1,MATCH(AK$4,'因子水準表'!$B$4:$KO$4,0))&amp;"",""))</f>
        <v/>
      </c>
      <c r="CT6" s="26">
        <f>IF(AL$4="","",IFERROR(INDEX('因子水準表'!$B$9:$KO$18,1,MATCH(AL$4,'因子水準表'!$B$4:$KO$4,0))&amp;"",""))</f>
        <v/>
      </c>
      <c r="CU6" s="26">
        <f>IF(AM$4="","",IFERROR(INDEX('因子水準表'!$B$9:$KO$18,1,MATCH(AM$4,'因子水準表'!$B$4:$KO$4,0))&amp;"",""))</f>
        <v/>
      </c>
      <c r="CV6" s="26">
        <f>IF(AN$4="","",IFERROR(INDEX('因子水準表'!$B$9:$KO$18,1,MATCH(AN$4,'因子水準表'!$B$4:$KO$4,0))&amp;"",""))</f>
        <v/>
      </c>
      <c r="CW6" s="26">
        <f>IF(AO$4="","",IFERROR(INDEX('因子水準表'!$B$9:$KO$18,1,MATCH(AO$4,'因子水準表'!$B$4:$KO$4,0))&amp;"",""))</f>
        <v/>
      </c>
      <c r="CX6" s="26">
        <f>IF(AP$4="","",IFERROR(INDEX('因子水準表'!$B$9:$KO$18,1,MATCH(AP$4,'因子水準表'!$B$4:$KO$4,0))&amp;"",""))</f>
        <v/>
      </c>
      <c r="CY6" s="26">
        <f>IF(AQ$4="","",IFERROR(INDEX('因子水準表'!$B$9:$KO$18,1,MATCH(AQ$4,'因子水準表'!$B$4:$KO$4,0))&amp;"",""))</f>
        <v/>
      </c>
      <c r="CZ6" s="26">
        <f>IF(AR$4="","",IFERROR(INDEX('因子水準表'!$B$9:$KO$18,1,MATCH(AR$4,'因子水準表'!$B$4:$KO$4,0))&amp;"",""))</f>
        <v/>
      </c>
      <c r="DA6" s="26">
        <f>IF(AS$4="","",IFERROR(INDEX('因子水準表'!$B$9:$KO$18,1,MATCH(AS$4,'因子水準表'!$B$4:$KO$4,0))&amp;"",""))</f>
        <v/>
      </c>
      <c r="DB6" s="26">
        <f>IF(AT$4="","",IFERROR(INDEX('因子水準表'!$B$9:$KO$18,1,MATCH(AT$4,'因子水準表'!$B$4:$KO$4,0))&amp;"",""))</f>
        <v/>
      </c>
      <c r="DC6" s="26">
        <f>IF(AU$4="","",IFERROR(INDEX('因子水準表'!$B$9:$KO$18,1,MATCH(AU$4,'因子水準表'!$B$4:$KO$4,0))&amp;"",""))</f>
        <v/>
      </c>
      <c r="DD6" s="26">
        <f>IF(AV$4="","",IFERROR(INDEX('因子水準表'!$B$9:$KO$18,1,MATCH(AV$4,'因子水準表'!$B$4:$KO$4,0))&amp;"",""))</f>
        <v/>
      </c>
      <c r="DE6" s="26">
        <f>IF(AW$4="","",IFERROR(INDEX('因子水準表'!$B$9:$KO$18,1,MATCH(AW$4,'因子水準表'!$B$4:$KO$4,0))&amp;"",""))</f>
        <v/>
      </c>
      <c r="DF6" s="26">
        <f>IF(AX$4="","",IFERROR(INDEX('因子水準表'!$B$9:$KO$18,1,MATCH(AX$4,'因子水準表'!$B$4:$KO$4,0))&amp;"",""))</f>
        <v/>
      </c>
      <c r="DG6" s="26">
        <f>IF(AY$4="","",IFERROR(INDEX('因子水準表'!$B$9:$KO$18,1,MATCH(AY$4,'因子水準表'!$B$4:$KO$4,0))&amp;"",""))</f>
        <v/>
      </c>
      <c r="DH6" s="26">
        <f>IF(AZ$4="","",IFERROR(INDEX('因子水準表'!$B$9:$KO$18,1,MATCH(AZ$4,'因子水準表'!$B$4:$KO$4,0))&amp;"",""))</f>
        <v/>
      </c>
      <c r="DI6" s="26">
        <f>IF(BA$4="","",IFERROR(INDEX('因子水準表'!$B$9:$KO$18,1,MATCH(BA$4,'因子水準表'!$B$4:$KO$4,0))&amp;"",""))</f>
        <v/>
      </c>
      <c r="DJ6" s="26">
        <f>IF(BB$4="","",IFERROR(INDEX('因子水準表'!$B$9:$KO$18,1,MATCH(BB$4,'因子水準表'!$B$4:$KO$4,0))&amp;"",""))</f>
        <v/>
      </c>
      <c r="DK6" s="26">
        <f>IF(BC$4="","",IFERROR(INDEX('因子水準表'!$B$9:$KO$18,1,MATCH(BC$4,'因子水準表'!$B$4:$KO$4,0))&amp;"",""))</f>
        <v/>
      </c>
      <c r="DL6" s="26">
        <f>IF(BD$4="","",IFERROR(INDEX('因子水準表'!$B$9:$KO$18,1,MATCH(BD$4,'因子水準表'!$B$4:$KO$4,0))&amp;"",""))</f>
        <v/>
      </c>
      <c r="DM6" s="26">
        <f>IF('因子水準表'!B29="","",'因子水準表'!B29)</f>
        <v/>
      </c>
      <c r="DN6" s="26">
        <f>IF('テスト条件'!A5="","",'テスト条件'!A5)</f>
        <v/>
      </c>
    </row>
    <row r="7">
      <c r="A7" s="27" t="n"/>
      <c r="B7" s="27" t="n"/>
      <c r="C7" s="28">
        <f>IF(A7="","",$B$2)</f>
        <v/>
      </c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7" t="n"/>
      <c r="BE7" s="27" t="n"/>
      <c r="BF7" s="27" t="n"/>
      <c r="BG7" s="27" t="n"/>
      <c r="BH7" s="27" t="n"/>
      <c r="BI7" s="29" t="n"/>
      <c r="BJ7" s="27" t="n"/>
      <c r="BK7" s="27" t="n"/>
      <c r="BL7" s="27" t="n"/>
      <c r="BM7" s="27" t="n"/>
      <c r="BO7" s="26">
        <f>IF(G$4="","",IFERROR(INDEX('因子水準表'!$B$9:$KO$18,2,MATCH(G$4,'因子水準表'!$B$4:$KO$4,0))&amp;"",""))</f>
        <v/>
      </c>
      <c r="BP7" s="26">
        <f>IF(H$4="","",IFERROR(INDEX('因子水準表'!$B$9:$KO$18,2,MATCH(H$4,'因子水準表'!$B$4:$KO$4,0))&amp;"",""))</f>
        <v/>
      </c>
      <c r="BQ7" s="26">
        <f>IF(I$4="","",IFERROR(INDEX('因子水準表'!$B$9:$KO$18,2,MATCH(I$4,'因子水準表'!$B$4:$KO$4,0))&amp;"",""))</f>
        <v/>
      </c>
      <c r="BR7" s="26">
        <f>IF(J$4="","",IFERROR(INDEX('因子水準表'!$B$9:$KO$18,2,MATCH(J$4,'因子水準表'!$B$4:$KO$4,0))&amp;"",""))</f>
        <v/>
      </c>
      <c r="BS7" s="26">
        <f>IF(K$4="","",IFERROR(INDEX('因子水準表'!$B$9:$KO$18,2,MATCH(K$4,'因子水準表'!$B$4:$KO$4,0))&amp;"",""))</f>
        <v/>
      </c>
      <c r="BT7" s="26">
        <f>IF(L$4="","",IFERROR(INDEX('因子水準表'!$B$9:$KO$18,2,MATCH(L$4,'因子水準表'!$B$4:$KO$4,0))&amp;"",""))</f>
        <v/>
      </c>
      <c r="BU7" s="26">
        <f>IF(M$4="","",IFERROR(INDEX('因子水準表'!$B$9:$KO$18,2,MATCH(M$4,'因子水準表'!$B$4:$KO$4,0))&amp;"",""))</f>
        <v/>
      </c>
      <c r="BV7" s="26">
        <f>IF(N$4="","",IFERROR(INDEX('因子水準表'!$B$9:$KO$18,2,MATCH(N$4,'因子水準表'!$B$4:$KO$4,0))&amp;"",""))</f>
        <v/>
      </c>
      <c r="BW7" s="26">
        <f>IF(O$4="","",IFERROR(INDEX('因子水準表'!$B$9:$KO$18,2,MATCH(O$4,'因子水準表'!$B$4:$KO$4,0))&amp;"",""))</f>
        <v/>
      </c>
      <c r="BX7" s="26">
        <f>IF(P$4="","",IFERROR(INDEX('因子水準表'!$B$9:$KO$18,2,MATCH(P$4,'因子水準表'!$B$4:$KO$4,0))&amp;"",""))</f>
        <v/>
      </c>
      <c r="BY7" s="26">
        <f>IF(Q$4="","",IFERROR(INDEX('因子水準表'!$B$9:$KO$18,2,MATCH(Q$4,'因子水準表'!$B$4:$KO$4,0))&amp;"",""))</f>
        <v/>
      </c>
      <c r="BZ7" s="26">
        <f>IF(R$4="","",IFERROR(INDEX('因子水準表'!$B$9:$KO$18,2,MATCH(R$4,'因子水準表'!$B$4:$KO$4,0))&amp;"",""))</f>
        <v/>
      </c>
      <c r="CA7" s="26">
        <f>IF(S$4="","",IFERROR(INDEX('因子水準表'!$B$9:$KO$18,2,MATCH(S$4,'因子水準表'!$B$4:$KO$4,0))&amp;"",""))</f>
        <v/>
      </c>
      <c r="CB7" s="26">
        <f>IF(T$4="","",IFERROR(INDEX('因子水準表'!$B$9:$KO$18,2,MATCH(T$4,'因子水準表'!$B$4:$KO$4,0))&amp;"",""))</f>
        <v/>
      </c>
      <c r="CC7" s="26">
        <f>IF(U$4="","",IFERROR(INDEX('因子水準表'!$B$9:$KO$18,2,MATCH(U$4,'因子水準表'!$B$4:$KO$4,0))&amp;"",""))</f>
        <v/>
      </c>
      <c r="CD7" s="26">
        <f>IF(V$4="","",IFERROR(INDEX('因子水準表'!$B$9:$KO$18,2,MATCH(V$4,'因子水準表'!$B$4:$KO$4,0))&amp;"",""))</f>
        <v/>
      </c>
      <c r="CE7" s="26">
        <f>IF(W$4="","",IFERROR(INDEX('因子水準表'!$B$9:$KO$18,2,MATCH(W$4,'因子水準表'!$B$4:$KO$4,0))&amp;"",""))</f>
        <v/>
      </c>
      <c r="CF7" s="26">
        <f>IF(X$4="","",IFERROR(INDEX('因子水準表'!$B$9:$KO$18,2,MATCH(X$4,'因子水準表'!$B$4:$KO$4,0))&amp;"",""))</f>
        <v/>
      </c>
      <c r="CG7" s="26">
        <f>IF(Y$4="","",IFERROR(INDEX('因子水準表'!$B$9:$KO$18,2,MATCH(Y$4,'因子水準表'!$B$4:$KO$4,0))&amp;"",""))</f>
        <v/>
      </c>
      <c r="CH7" s="26">
        <f>IF(Z$4="","",IFERROR(INDEX('因子水準表'!$B$9:$KO$18,2,MATCH(Z$4,'因子水準表'!$B$4:$KO$4,0))&amp;"",""))</f>
        <v/>
      </c>
      <c r="CI7" s="26">
        <f>IF(AA$4="","",IFERROR(INDEX('因子水準表'!$B$9:$KO$18,2,MATCH(AA$4,'因子水準表'!$B$4:$KO$4,0))&amp;"",""))</f>
        <v/>
      </c>
      <c r="CJ7" s="26">
        <f>IF(AB$4="","",IFERROR(INDEX('因子水準表'!$B$9:$KO$18,2,MATCH(AB$4,'因子水準表'!$B$4:$KO$4,0))&amp;"",""))</f>
        <v/>
      </c>
      <c r="CK7" s="26">
        <f>IF(AC$4="","",IFERROR(INDEX('因子水準表'!$B$9:$KO$18,2,MATCH(AC$4,'因子水準表'!$B$4:$KO$4,0))&amp;"",""))</f>
        <v/>
      </c>
      <c r="CL7" s="26">
        <f>IF(AD$4="","",IFERROR(INDEX('因子水準表'!$B$9:$KO$18,2,MATCH(AD$4,'因子水準表'!$B$4:$KO$4,0))&amp;"",""))</f>
        <v/>
      </c>
      <c r="CM7" s="26">
        <f>IF(AE$4="","",IFERROR(INDEX('因子水準表'!$B$9:$KO$18,2,MATCH(AE$4,'因子水準表'!$B$4:$KO$4,0))&amp;"",""))</f>
        <v/>
      </c>
      <c r="CN7" s="26">
        <f>IF(AF$4="","",IFERROR(INDEX('因子水準表'!$B$9:$KO$18,2,MATCH(AF$4,'因子水準表'!$B$4:$KO$4,0))&amp;"",""))</f>
        <v/>
      </c>
      <c r="CO7" s="26">
        <f>IF(AG$4="","",IFERROR(INDEX('因子水準表'!$B$9:$KO$18,2,MATCH(AG$4,'因子水準表'!$B$4:$KO$4,0))&amp;"",""))</f>
        <v/>
      </c>
      <c r="CP7" s="26">
        <f>IF(AH$4="","",IFERROR(INDEX('因子水準表'!$B$9:$KO$18,2,MATCH(AH$4,'因子水準表'!$B$4:$KO$4,0))&amp;"",""))</f>
        <v/>
      </c>
      <c r="CQ7" s="26">
        <f>IF(AI$4="","",IFERROR(INDEX('因子水準表'!$B$9:$KO$18,2,MATCH(AI$4,'因子水準表'!$B$4:$KO$4,0))&amp;"",""))</f>
        <v/>
      </c>
      <c r="CR7" s="26">
        <f>IF(AJ$4="","",IFERROR(INDEX('因子水準表'!$B$9:$KO$18,2,MATCH(AJ$4,'因子水準表'!$B$4:$KO$4,0))&amp;"",""))</f>
        <v/>
      </c>
      <c r="CS7" s="26">
        <f>IF(AK$4="","",IFERROR(INDEX('因子水準表'!$B$9:$KO$18,2,MATCH(AK$4,'因子水準表'!$B$4:$KO$4,0))&amp;"",""))</f>
        <v/>
      </c>
      <c r="CT7" s="26">
        <f>IF(AL$4="","",IFERROR(INDEX('因子水準表'!$B$9:$KO$18,2,MATCH(AL$4,'因子水準表'!$B$4:$KO$4,0))&amp;"",""))</f>
        <v/>
      </c>
      <c r="CU7" s="26">
        <f>IF(AM$4="","",IFERROR(INDEX('因子水準表'!$B$9:$KO$18,2,MATCH(AM$4,'因子水準表'!$B$4:$KO$4,0))&amp;"",""))</f>
        <v/>
      </c>
      <c r="CV7" s="26">
        <f>IF(AN$4="","",IFERROR(INDEX('因子水準表'!$B$9:$KO$18,2,MATCH(AN$4,'因子水準表'!$B$4:$KO$4,0))&amp;"",""))</f>
        <v/>
      </c>
      <c r="CW7" s="26">
        <f>IF(AO$4="","",IFERROR(INDEX('因子水準表'!$B$9:$KO$18,2,MATCH(AO$4,'因子水準表'!$B$4:$KO$4,0))&amp;"",""))</f>
        <v/>
      </c>
      <c r="CX7" s="26">
        <f>IF(AP$4="","",IFERROR(INDEX('因子水準表'!$B$9:$KO$18,2,MATCH(AP$4,'因子水準表'!$B$4:$KO$4,0))&amp;"",""))</f>
        <v/>
      </c>
      <c r="CY7" s="26">
        <f>IF(AQ$4="","",IFERROR(INDEX('因子水準表'!$B$9:$KO$18,2,MATCH(AQ$4,'因子水準表'!$B$4:$KO$4,0))&amp;"",""))</f>
        <v/>
      </c>
      <c r="CZ7" s="26">
        <f>IF(AR$4="","",IFERROR(INDEX('因子水準表'!$B$9:$KO$18,2,MATCH(AR$4,'因子水準表'!$B$4:$KO$4,0))&amp;"",""))</f>
        <v/>
      </c>
      <c r="DA7" s="26">
        <f>IF(AS$4="","",IFERROR(INDEX('因子水準表'!$B$9:$KO$18,2,MATCH(AS$4,'因子水準表'!$B$4:$KO$4,0))&amp;"",""))</f>
        <v/>
      </c>
      <c r="DB7" s="26">
        <f>IF(AT$4="","",IFERROR(INDEX('因子水準表'!$B$9:$KO$18,2,MATCH(AT$4,'因子水準表'!$B$4:$KO$4,0))&amp;"",""))</f>
        <v/>
      </c>
      <c r="DC7" s="26">
        <f>IF(AU$4="","",IFERROR(INDEX('因子水準表'!$B$9:$KO$18,2,MATCH(AU$4,'因子水準表'!$B$4:$KO$4,0))&amp;"",""))</f>
        <v/>
      </c>
      <c r="DD7" s="26">
        <f>IF(AV$4="","",IFERROR(INDEX('因子水準表'!$B$9:$KO$18,2,MATCH(AV$4,'因子水準表'!$B$4:$KO$4,0))&amp;"",""))</f>
        <v/>
      </c>
      <c r="DE7" s="26">
        <f>IF(AW$4="","",IFERROR(INDEX('因子水準表'!$B$9:$KO$18,2,MATCH(AW$4,'因子水準表'!$B$4:$KO$4,0))&amp;"",""))</f>
        <v/>
      </c>
      <c r="DF7" s="26">
        <f>IF(AX$4="","",IFERROR(INDEX('因子水準表'!$B$9:$KO$18,2,MATCH(AX$4,'因子水準表'!$B$4:$KO$4,0))&amp;"",""))</f>
        <v/>
      </c>
      <c r="DG7" s="26">
        <f>IF(AY$4="","",IFERROR(INDEX('因子水準表'!$B$9:$KO$18,2,MATCH(AY$4,'因子水準表'!$B$4:$KO$4,0))&amp;"",""))</f>
        <v/>
      </c>
      <c r="DH7" s="26">
        <f>IF(AZ$4="","",IFERROR(INDEX('因子水準表'!$B$9:$KO$18,2,MATCH(AZ$4,'因子水準表'!$B$4:$KO$4,0))&amp;"",""))</f>
        <v/>
      </c>
      <c r="DI7" s="26">
        <f>IF(BA$4="","",IFERROR(INDEX('因子水準表'!$B$9:$KO$18,2,MATCH(BA$4,'因子水準表'!$B$4:$KO$4,0))&amp;"",""))</f>
        <v/>
      </c>
      <c r="DJ7" s="26">
        <f>IF(BB$4="","",IFERROR(INDEX('因子水準表'!$B$9:$KO$18,2,MATCH(BB$4,'因子水準表'!$B$4:$KO$4,0))&amp;"",""))</f>
        <v/>
      </c>
      <c r="DK7" s="26">
        <f>IF(BC$4="","",IFERROR(INDEX('因子水準表'!$B$9:$KO$18,2,MATCH(BC$4,'因子水準表'!$B$4:$KO$4,0))&amp;"",""))</f>
        <v/>
      </c>
      <c r="DL7" s="26">
        <f>IF(BD$4="","",IFERROR(INDEX('因子水準表'!$B$9:$KO$18,2,MATCH(BD$4,'因子水準表'!$B$4:$KO$4,0))&amp;"",""))</f>
        <v/>
      </c>
      <c r="DM7" s="26">
        <f>IF('因子水準表'!B30="","",'因子水準表'!B30)</f>
        <v/>
      </c>
      <c r="DN7" s="26">
        <f>IF('テスト条件'!A6="","",'テスト条件'!A6)</f>
        <v/>
      </c>
    </row>
    <row r="8">
      <c r="A8" s="27" t="n"/>
      <c r="B8" s="27" t="n"/>
      <c r="C8" s="28">
        <f>IF(A8="","",$B$2)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  <c r="AJ8" s="27" t="n"/>
      <c r="AK8" s="27" t="n"/>
      <c r="AL8" s="27" t="n"/>
      <c r="AM8" s="27" t="n"/>
      <c r="AN8" s="27" t="n"/>
      <c r="AO8" s="27" t="n"/>
      <c r="AP8" s="27" t="n"/>
      <c r="AQ8" s="27" t="n"/>
      <c r="AR8" s="27" t="n"/>
      <c r="AS8" s="27" t="n"/>
      <c r="AT8" s="27" t="n"/>
      <c r="AU8" s="27" t="n"/>
      <c r="AV8" s="27" t="n"/>
      <c r="AW8" s="27" t="n"/>
      <c r="AX8" s="27" t="n"/>
      <c r="AY8" s="27" t="n"/>
      <c r="AZ8" s="27" t="n"/>
      <c r="BA8" s="27" t="n"/>
      <c r="BB8" s="27" t="n"/>
      <c r="BC8" s="27" t="n"/>
      <c r="BD8" s="27" t="n"/>
      <c r="BE8" s="27" t="n"/>
      <c r="BF8" s="27" t="n"/>
      <c r="BG8" s="27" t="n"/>
      <c r="BH8" s="27" t="n"/>
      <c r="BI8" s="29" t="n"/>
      <c r="BJ8" s="27" t="n"/>
      <c r="BK8" s="27" t="n"/>
      <c r="BL8" s="27" t="n"/>
      <c r="BM8" s="27" t="n"/>
      <c r="BO8" s="26">
        <f>IF(G$4="","",IFERROR(INDEX('因子水準表'!$B$9:$KO$18,3,MATCH(G$4,'因子水準表'!$B$4:$KO$4,0))&amp;"",""))</f>
        <v/>
      </c>
      <c r="BP8" s="26">
        <f>IF(H$4="","",IFERROR(INDEX('因子水準表'!$B$9:$KO$18,3,MATCH(H$4,'因子水準表'!$B$4:$KO$4,0))&amp;"",""))</f>
        <v/>
      </c>
      <c r="BQ8" s="26">
        <f>IF(I$4="","",IFERROR(INDEX('因子水準表'!$B$9:$KO$18,3,MATCH(I$4,'因子水準表'!$B$4:$KO$4,0))&amp;"",""))</f>
        <v/>
      </c>
      <c r="BR8" s="26">
        <f>IF(J$4="","",IFERROR(INDEX('因子水準表'!$B$9:$KO$18,3,MATCH(J$4,'因子水準表'!$B$4:$KO$4,0))&amp;"",""))</f>
        <v/>
      </c>
      <c r="BS8" s="26">
        <f>IF(K$4="","",IFERROR(INDEX('因子水準表'!$B$9:$KO$18,3,MATCH(K$4,'因子水準表'!$B$4:$KO$4,0))&amp;"",""))</f>
        <v/>
      </c>
      <c r="BT8" s="26">
        <f>IF(L$4="","",IFERROR(INDEX('因子水準表'!$B$9:$KO$18,3,MATCH(L$4,'因子水準表'!$B$4:$KO$4,0))&amp;"",""))</f>
        <v/>
      </c>
      <c r="BU8" s="26">
        <f>IF(M$4="","",IFERROR(INDEX('因子水準表'!$B$9:$KO$18,3,MATCH(M$4,'因子水準表'!$B$4:$KO$4,0))&amp;"",""))</f>
        <v/>
      </c>
      <c r="BV8" s="26">
        <f>IF(N$4="","",IFERROR(INDEX('因子水準表'!$B$9:$KO$18,3,MATCH(N$4,'因子水準表'!$B$4:$KO$4,0))&amp;"",""))</f>
        <v/>
      </c>
      <c r="BW8" s="26">
        <f>IF(O$4="","",IFERROR(INDEX('因子水準表'!$B$9:$KO$18,3,MATCH(O$4,'因子水準表'!$B$4:$KO$4,0))&amp;"",""))</f>
        <v/>
      </c>
      <c r="BX8" s="26">
        <f>IF(P$4="","",IFERROR(INDEX('因子水準表'!$B$9:$KO$18,3,MATCH(P$4,'因子水準表'!$B$4:$KO$4,0))&amp;"",""))</f>
        <v/>
      </c>
      <c r="BY8" s="26">
        <f>IF(Q$4="","",IFERROR(INDEX('因子水準表'!$B$9:$KO$18,3,MATCH(Q$4,'因子水準表'!$B$4:$KO$4,0))&amp;"",""))</f>
        <v/>
      </c>
      <c r="BZ8" s="26">
        <f>IF(R$4="","",IFERROR(INDEX('因子水準表'!$B$9:$KO$18,3,MATCH(R$4,'因子水準表'!$B$4:$KO$4,0))&amp;"",""))</f>
        <v/>
      </c>
      <c r="CA8" s="26">
        <f>IF(S$4="","",IFERROR(INDEX('因子水準表'!$B$9:$KO$18,3,MATCH(S$4,'因子水準表'!$B$4:$KO$4,0))&amp;"",""))</f>
        <v/>
      </c>
      <c r="CB8" s="26">
        <f>IF(T$4="","",IFERROR(INDEX('因子水準表'!$B$9:$KO$18,3,MATCH(T$4,'因子水準表'!$B$4:$KO$4,0))&amp;"",""))</f>
        <v/>
      </c>
      <c r="CC8" s="26">
        <f>IF(U$4="","",IFERROR(INDEX('因子水準表'!$B$9:$KO$18,3,MATCH(U$4,'因子水準表'!$B$4:$KO$4,0))&amp;"",""))</f>
        <v/>
      </c>
      <c r="CD8" s="26">
        <f>IF(V$4="","",IFERROR(INDEX('因子水準表'!$B$9:$KO$18,3,MATCH(V$4,'因子水準表'!$B$4:$KO$4,0))&amp;"",""))</f>
        <v/>
      </c>
      <c r="CE8" s="26">
        <f>IF(W$4="","",IFERROR(INDEX('因子水準表'!$B$9:$KO$18,3,MATCH(W$4,'因子水準表'!$B$4:$KO$4,0))&amp;"",""))</f>
        <v/>
      </c>
      <c r="CF8" s="26">
        <f>IF(X$4="","",IFERROR(INDEX('因子水準表'!$B$9:$KO$18,3,MATCH(X$4,'因子水準表'!$B$4:$KO$4,0))&amp;"",""))</f>
        <v/>
      </c>
      <c r="CG8" s="26">
        <f>IF(Y$4="","",IFERROR(INDEX('因子水準表'!$B$9:$KO$18,3,MATCH(Y$4,'因子水準表'!$B$4:$KO$4,0))&amp;"",""))</f>
        <v/>
      </c>
      <c r="CH8" s="26">
        <f>IF(Z$4="","",IFERROR(INDEX('因子水準表'!$B$9:$KO$18,3,MATCH(Z$4,'因子水準表'!$B$4:$KO$4,0))&amp;"",""))</f>
        <v/>
      </c>
      <c r="CI8" s="26">
        <f>IF(AA$4="","",IFERROR(INDEX('因子水準表'!$B$9:$KO$18,3,MATCH(AA$4,'因子水準表'!$B$4:$KO$4,0))&amp;"",""))</f>
        <v/>
      </c>
      <c r="CJ8" s="26">
        <f>IF(AB$4="","",IFERROR(INDEX('因子水準表'!$B$9:$KO$18,3,MATCH(AB$4,'因子水準表'!$B$4:$KO$4,0))&amp;"",""))</f>
        <v/>
      </c>
      <c r="CK8" s="26">
        <f>IF(AC$4="","",IFERROR(INDEX('因子水準表'!$B$9:$KO$18,3,MATCH(AC$4,'因子水準表'!$B$4:$KO$4,0))&amp;"",""))</f>
        <v/>
      </c>
      <c r="CL8" s="26">
        <f>IF(AD$4="","",IFERROR(INDEX('因子水準表'!$B$9:$KO$18,3,MATCH(AD$4,'因子水準表'!$B$4:$KO$4,0))&amp;"",""))</f>
        <v/>
      </c>
      <c r="CM8" s="26">
        <f>IF(AE$4="","",IFERROR(INDEX('因子水準表'!$B$9:$KO$18,3,MATCH(AE$4,'因子水準表'!$B$4:$KO$4,0))&amp;"",""))</f>
        <v/>
      </c>
      <c r="CN8" s="26">
        <f>IF(AF$4="","",IFERROR(INDEX('因子水準表'!$B$9:$KO$18,3,MATCH(AF$4,'因子水準表'!$B$4:$KO$4,0))&amp;"",""))</f>
        <v/>
      </c>
      <c r="CO8" s="26">
        <f>IF(AG$4="","",IFERROR(INDEX('因子水準表'!$B$9:$KO$18,3,MATCH(AG$4,'因子水準表'!$B$4:$KO$4,0))&amp;"",""))</f>
        <v/>
      </c>
      <c r="CP8" s="26">
        <f>IF(AH$4="","",IFERROR(INDEX('因子水準表'!$B$9:$KO$18,3,MATCH(AH$4,'因子水準表'!$B$4:$KO$4,0))&amp;"",""))</f>
        <v/>
      </c>
      <c r="CQ8" s="26">
        <f>IF(AI$4="","",IFERROR(INDEX('因子水準表'!$B$9:$KO$18,3,MATCH(AI$4,'因子水準表'!$B$4:$KO$4,0))&amp;"",""))</f>
        <v/>
      </c>
      <c r="CR8" s="26">
        <f>IF(AJ$4="","",IFERROR(INDEX('因子水準表'!$B$9:$KO$18,3,MATCH(AJ$4,'因子水準表'!$B$4:$KO$4,0))&amp;"",""))</f>
        <v/>
      </c>
      <c r="CS8" s="26">
        <f>IF(AK$4="","",IFERROR(INDEX('因子水準表'!$B$9:$KO$18,3,MATCH(AK$4,'因子水準表'!$B$4:$KO$4,0))&amp;"",""))</f>
        <v/>
      </c>
      <c r="CT8" s="26">
        <f>IF(AL$4="","",IFERROR(INDEX('因子水準表'!$B$9:$KO$18,3,MATCH(AL$4,'因子水準表'!$B$4:$KO$4,0))&amp;"",""))</f>
        <v/>
      </c>
      <c r="CU8" s="26">
        <f>IF(AM$4="","",IFERROR(INDEX('因子水準表'!$B$9:$KO$18,3,MATCH(AM$4,'因子水準表'!$B$4:$KO$4,0))&amp;"",""))</f>
        <v/>
      </c>
      <c r="CV8" s="26">
        <f>IF(AN$4="","",IFERROR(INDEX('因子水準表'!$B$9:$KO$18,3,MATCH(AN$4,'因子水準表'!$B$4:$KO$4,0))&amp;"",""))</f>
        <v/>
      </c>
      <c r="CW8" s="26">
        <f>IF(AO$4="","",IFERROR(INDEX('因子水準表'!$B$9:$KO$18,3,MATCH(AO$4,'因子水準表'!$B$4:$KO$4,0))&amp;"",""))</f>
        <v/>
      </c>
      <c r="CX8" s="26">
        <f>IF(AP$4="","",IFERROR(INDEX('因子水準表'!$B$9:$KO$18,3,MATCH(AP$4,'因子水準表'!$B$4:$KO$4,0))&amp;"",""))</f>
        <v/>
      </c>
      <c r="CY8" s="26">
        <f>IF(AQ$4="","",IFERROR(INDEX('因子水準表'!$B$9:$KO$18,3,MATCH(AQ$4,'因子水準表'!$B$4:$KO$4,0))&amp;"",""))</f>
        <v/>
      </c>
      <c r="CZ8" s="26">
        <f>IF(AR$4="","",IFERROR(INDEX('因子水準表'!$B$9:$KO$18,3,MATCH(AR$4,'因子水準表'!$B$4:$KO$4,0))&amp;"",""))</f>
        <v/>
      </c>
      <c r="DA8" s="26">
        <f>IF(AS$4="","",IFERROR(INDEX('因子水準表'!$B$9:$KO$18,3,MATCH(AS$4,'因子水準表'!$B$4:$KO$4,0))&amp;"",""))</f>
        <v/>
      </c>
      <c r="DB8" s="26">
        <f>IF(AT$4="","",IFERROR(INDEX('因子水準表'!$B$9:$KO$18,3,MATCH(AT$4,'因子水準表'!$B$4:$KO$4,0))&amp;"",""))</f>
        <v/>
      </c>
      <c r="DC8" s="26">
        <f>IF(AU$4="","",IFERROR(INDEX('因子水準表'!$B$9:$KO$18,3,MATCH(AU$4,'因子水準表'!$B$4:$KO$4,0))&amp;"",""))</f>
        <v/>
      </c>
      <c r="DD8" s="26">
        <f>IF(AV$4="","",IFERROR(INDEX('因子水準表'!$B$9:$KO$18,3,MATCH(AV$4,'因子水準表'!$B$4:$KO$4,0))&amp;"",""))</f>
        <v/>
      </c>
      <c r="DE8" s="26">
        <f>IF(AW$4="","",IFERROR(INDEX('因子水準表'!$B$9:$KO$18,3,MATCH(AW$4,'因子水準表'!$B$4:$KO$4,0))&amp;"",""))</f>
        <v/>
      </c>
      <c r="DF8" s="26">
        <f>IF(AX$4="","",IFERROR(INDEX('因子水準表'!$B$9:$KO$18,3,MATCH(AX$4,'因子水準表'!$B$4:$KO$4,0))&amp;"",""))</f>
        <v/>
      </c>
      <c r="DG8" s="26">
        <f>IF(AY$4="","",IFERROR(INDEX('因子水準表'!$B$9:$KO$18,3,MATCH(AY$4,'因子水準表'!$B$4:$KO$4,0))&amp;"",""))</f>
        <v/>
      </c>
      <c r="DH8" s="26">
        <f>IF(AZ$4="","",IFERROR(INDEX('因子水準表'!$B$9:$KO$18,3,MATCH(AZ$4,'因子水準表'!$B$4:$KO$4,0))&amp;"",""))</f>
        <v/>
      </c>
      <c r="DI8" s="26">
        <f>IF(BA$4="","",IFERROR(INDEX('因子水準表'!$B$9:$KO$18,3,MATCH(BA$4,'因子水準表'!$B$4:$KO$4,0))&amp;"",""))</f>
        <v/>
      </c>
      <c r="DJ8" s="26">
        <f>IF(BB$4="","",IFERROR(INDEX('因子水準表'!$B$9:$KO$18,3,MATCH(BB$4,'因子水準表'!$B$4:$KO$4,0))&amp;"",""))</f>
        <v/>
      </c>
      <c r="DK8" s="26">
        <f>IF(BC$4="","",IFERROR(INDEX('因子水準表'!$B$9:$KO$18,3,MATCH(BC$4,'因子水準表'!$B$4:$KO$4,0))&amp;"",""))</f>
        <v/>
      </c>
      <c r="DL8" s="26">
        <f>IF(BD$4="","",IFERROR(INDEX('因子水準表'!$B$9:$KO$18,3,MATCH(BD$4,'因子水準表'!$B$4:$KO$4,0))&amp;"",""))</f>
        <v/>
      </c>
      <c r="DM8" s="26">
        <f>IF('因子水準表'!B31="","",'因子水準表'!B31)</f>
        <v/>
      </c>
      <c r="DN8" s="26">
        <f>IF('テスト条件'!A7="","",'テスト条件'!A7)</f>
        <v/>
      </c>
    </row>
    <row r="9">
      <c r="A9" s="27" t="n"/>
      <c r="B9" s="27" t="n"/>
      <c r="C9" s="28">
        <f>IF(A9="","",$B$2)</f>
        <v/>
      </c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  <c r="AA9" s="27" t="n"/>
      <c r="AB9" s="27" t="n"/>
      <c r="AC9" s="27" t="n"/>
      <c r="AD9" s="27" t="n"/>
      <c r="AE9" s="27" t="n"/>
      <c r="AF9" s="27" t="n"/>
      <c r="AG9" s="27" t="n"/>
      <c r="AH9" s="27" t="n"/>
      <c r="AI9" s="27" t="n"/>
      <c r="AJ9" s="27" t="n"/>
      <c r="AK9" s="27" t="n"/>
      <c r="AL9" s="27" t="n"/>
      <c r="AM9" s="27" t="n"/>
      <c r="AN9" s="27" t="n"/>
      <c r="AO9" s="27" t="n"/>
      <c r="AP9" s="27" t="n"/>
      <c r="AQ9" s="27" t="n"/>
      <c r="AR9" s="27" t="n"/>
      <c r="AS9" s="27" t="n"/>
      <c r="AT9" s="27" t="n"/>
      <c r="AU9" s="27" t="n"/>
      <c r="AV9" s="27" t="n"/>
      <c r="AW9" s="27" t="n"/>
      <c r="AX9" s="27" t="n"/>
      <c r="AY9" s="27" t="n"/>
      <c r="AZ9" s="27" t="n"/>
      <c r="BA9" s="27" t="n"/>
      <c r="BB9" s="27" t="n"/>
      <c r="BC9" s="27" t="n"/>
      <c r="BD9" s="27" t="n"/>
      <c r="BE9" s="27" t="n"/>
      <c r="BF9" s="27" t="n"/>
      <c r="BG9" s="27" t="n"/>
      <c r="BH9" s="27" t="n"/>
      <c r="BI9" s="29" t="n"/>
      <c r="BJ9" s="27" t="n"/>
      <c r="BK9" s="27" t="n"/>
      <c r="BL9" s="27" t="n"/>
      <c r="BM9" s="27" t="n"/>
      <c r="BO9" s="26">
        <f>IF(G$4="","",IFERROR(INDEX('因子水準表'!$B$9:$KO$18,4,MATCH(G$4,'因子水準表'!$B$4:$KO$4,0))&amp;"",""))</f>
        <v/>
      </c>
      <c r="BP9" s="26">
        <f>IF(H$4="","",IFERROR(INDEX('因子水準表'!$B$9:$KO$18,4,MATCH(H$4,'因子水準表'!$B$4:$KO$4,0))&amp;"",""))</f>
        <v/>
      </c>
      <c r="BQ9" s="26">
        <f>IF(I$4="","",IFERROR(INDEX('因子水準表'!$B$9:$KO$18,4,MATCH(I$4,'因子水準表'!$B$4:$KO$4,0))&amp;"",""))</f>
        <v/>
      </c>
      <c r="BR9" s="26">
        <f>IF(J$4="","",IFERROR(INDEX('因子水準表'!$B$9:$KO$18,4,MATCH(J$4,'因子水準表'!$B$4:$KO$4,0))&amp;"",""))</f>
        <v/>
      </c>
      <c r="BS9" s="26">
        <f>IF(K$4="","",IFERROR(INDEX('因子水準表'!$B$9:$KO$18,4,MATCH(K$4,'因子水準表'!$B$4:$KO$4,0))&amp;"",""))</f>
        <v/>
      </c>
      <c r="BT9" s="26">
        <f>IF(L$4="","",IFERROR(INDEX('因子水準表'!$B$9:$KO$18,4,MATCH(L$4,'因子水準表'!$B$4:$KO$4,0))&amp;"",""))</f>
        <v/>
      </c>
      <c r="BU9" s="26">
        <f>IF(M$4="","",IFERROR(INDEX('因子水準表'!$B$9:$KO$18,4,MATCH(M$4,'因子水準表'!$B$4:$KO$4,0))&amp;"",""))</f>
        <v/>
      </c>
      <c r="BV9" s="26">
        <f>IF(N$4="","",IFERROR(INDEX('因子水準表'!$B$9:$KO$18,4,MATCH(N$4,'因子水準表'!$B$4:$KO$4,0))&amp;"",""))</f>
        <v/>
      </c>
      <c r="BW9" s="26">
        <f>IF(O$4="","",IFERROR(INDEX('因子水準表'!$B$9:$KO$18,4,MATCH(O$4,'因子水準表'!$B$4:$KO$4,0))&amp;"",""))</f>
        <v/>
      </c>
      <c r="BX9" s="26">
        <f>IF(P$4="","",IFERROR(INDEX('因子水準表'!$B$9:$KO$18,4,MATCH(P$4,'因子水準表'!$B$4:$KO$4,0))&amp;"",""))</f>
        <v/>
      </c>
      <c r="BY9" s="26">
        <f>IF(Q$4="","",IFERROR(INDEX('因子水準表'!$B$9:$KO$18,4,MATCH(Q$4,'因子水準表'!$B$4:$KO$4,0))&amp;"",""))</f>
        <v/>
      </c>
      <c r="BZ9" s="26">
        <f>IF(R$4="","",IFERROR(INDEX('因子水準表'!$B$9:$KO$18,4,MATCH(R$4,'因子水準表'!$B$4:$KO$4,0))&amp;"",""))</f>
        <v/>
      </c>
      <c r="CA9" s="26">
        <f>IF(S$4="","",IFERROR(INDEX('因子水準表'!$B$9:$KO$18,4,MATCH(S$4,'因子水準表'!$B$4:$KO$4,0))&amp;"",""))</f>
        <v/>
      </c>
      <c r="CB9" s="26">
        <f>IF(T$4="","",IFERROR(INDEX('因子水準表'!$B$9:$KO$18,4,MATCH(T$4,'因子水準表'!$B$4:$KO$4,0))&amp;"",""))</f>
        <v/>
      </c>
      <c r="CC9" s="26">
        <f>IF(U$4="","",IFERROR(INDEX('因子水準表'!$B$9:$KO$18,4,MATCH(U$4,'因子水準表'!$B$4:$KO$4,0))&amp;"",""))</f>
        <v/>
      </c>
      <c r="CD9" s="26">
        <f>IF(V$4="","",IFERROR(INDEX('因子水準表'!$B$9:$KO$18,4,MATCH(V$4,'因子水準表'!$B$4:$KO$4,0))&amp;"",""))</f>
        <v/>
      </c>
      <c r="CE9" s="26">
        <f>IF(W$4="","",IFERROR(INDEX('因子水準表'!$B$9:$KO$18,4,MATCH(W$4,'因子水準表'!$B$4:$KO$4,0))&amp;"",""))</f>
        <v/>
      </c>
      <c r="CF9" s="26">
        <f>IF(X$4="","",IFERROR(INDEX('因子水準表'!$B$9:$KO$18,4,MATCH(X$4,'因子水準表'!$B$4:$KO$4,0))&amp;"",""))</f>
        <v/>
      </c>
      <c r="CG9" s="26">
        <f>IF(Y$4="","",IFERROR(INDEX('因子水準表'!$B$9:$KO$18,4,MATCH(Y$4,'因子水準表'!$B$4:$KO$4,0))&amp;"",""))</f>
        <v/>
      </c>
      <c r="CH9" s="26">
        <f>IF(Z$4="","",IFERROR(INDEX('因子水準表'!$B$9:$KO$18,4,MATCH(Z$4,'因子水準表'!$B$4:$KO$4,0))&amp;"",""))</f>
        <v/>
      </c>
      <c r="CI9" s="26">
        <f>IF(AA$4="","",IFERROR(INDEX('因子水準表'!$B$9:$KO$18,4,MATCH(AA$4,'因子水準表'!$B$4:$KO$4,0))&amp;"",""))</f>
        <v/>
      </c>
      <c r="CJ9" s="26">
        <f>IF(AB$4="","",IFERROR(INDEX('因子水準表'!$B$9:$KO$18,4,MATCH(AB$4,'因子水準表'!$B$4:$KO$4,0))&amp;"",""))</f>
        <v/>
      </c>
      <c r="CK9" s="26">
        <f>IF(AC$4="","",IFERROR(INDEX('因子水準表'!$B$9:$KO$18,4,MATCH(AC$4,'因子水準表'!$B$4:$KO$4,0))&amp;"",""))</f>
        <v/>
      </c>
      <c r="CL9" s="26">
        <f>IF(AD$4="","",IFERROR(INDEX('因子水準表'!$B$9:$KO$18,4,MATCH(AD$4,'因子水準表'!$B$4:$KO$4,0))&amp;"",""))</f>
        <v/>
      </c>
      <c r="CM9" s="26">
        <f>IF(AE$4="","",IFERROR(INDEX('因子水準表'!$B$9:$KO$18,4,MATCH(AE$4,'因子水準表'!$B$4:$KO$4,0))&amp;"",""))</f>
        <v/>
      </c>
      <c r="CN9" s="26">
        <f>IF(AF$4="","",IFERROR(INDEX('因子水準表'!$B$9:$KO$18,4,MATCH(AF$4,'因子水準表'!$B$4:$KO$4,0))&amp;"",""))</f>
        <v/>
      </c>
      <c r="CO9" s="26">
        <f>IF(AG$4="","",IFERROR(INDEX('因子水準表'!$B$9:$KO$18,4,MATCH(AG$4,'因子水準表'!$B$4:$KO$4,0))&amp;"",""))</f>
        <v/>
      </c>
      <c r="CP9" s="26">
        <f>IF(AH$4="","",IFERROR(INDEX('因子水準表'!$B$9:$KO$18,4,MATCH(AH$4,'因子水準表'!$B$4:$KO$4,0))&amp;"",""))</f>
        <v/>
      </c>
      <c r="CQ9" s="26">
        <f>IF(AI$4="","",IFERROR(INDEX('因子水準表'!$B$9:$KO$18,4,MATCH(AI$4,'因子水準表'!$B$4:$KO$4,0))&amp;"",""))</f>
        <v/>
      </c>
      <c r="CR9" s="26">
        <f>IF(AJ$4="","",IFERROR(INDEX('因子水準表'!$B$9:$KO$18,4,MATCH(AJ$4,'因子水準表'!$B$4:$KO$4,0))&amp;"",""))</f>
        <v/>
      </c>
      <c r="CS9" s="26">
        <f>IF(AK$4="","",IFERROR(INDEX('因子水準表'!$B$9:$KO$18,4,MATCH(AK$4,'因子水準表'!$B$4:$KO$4,0))&amp;"",""))</f>
        <v/>
      </c>
      <c r="CT9" s="26">
        <f>IF(AL$4="","",IFERROR(INDEX('因子水準表'!$B$9:$KO$18,4,MATCH(AL$4,'因子水準表'!$B$4:$KO$4,0))&amp;"",""))</f>
        <v/>
      </c>
      <c r="CU9" s="26">
        <f>IF(AM$4="","",IFERROR(INDEX('因子水準表'!$B$9:$KO$18,4,MATCH(AM$4,'因子水準表'!$B$4:$KO$4,0))&amp;"",""))</f>
        <v/>
      </c>
      <c r="CV9" s="26">
        <f>IF(AN$4="","",IFERROR(INDEX('因子水準表'!$B$9:$KO$18,4,MATCH(AN$4,'因子水準表'!$B$4:$KO$4,0))&amp;"",""))</f>
        <v/>
      </c>
      <c r="CW9" s="26">
        <f>IF(AO$4="","",IFERROR(INDEX('因子水準表'!$B$9:$KO$18,4,MATCH(AO$4,'因子水準表'!$B$4:$KO$4,0))&amp;"",""))</f>
        <v/>
      </c>
      <c r="CX9" s="26">
        <f>IF(AP$4="","",IFERROR(INDEX('因子水準表'!$B$9:$KO$18,4,MATCH(AP$4,'因子水準表'!$B$4:$KO$4,0))&amp;"",""))</f>
        <v/>
      </c>
      <c r="CY9" s="26">
        <f>IF(AQ$4="","",IFERROR(INDEX('因子水準表'!$B$9:$KO$18,4,MATCH(AQ$4,'因子水準表'!$B$4:$KO$4,0))&amp;"",""))</f>
        <v/>
      </c>
      <c r="CZ9" s="26">
        <f>IF(AR$4="","",IFERROR(INDEX('因子水準表'!$B$9:$KO$18,4,MATCH(AR$4,'因子水準表'!$B$4:$KO$4,0))&amp;"",""))</f>
        <v/>
      </c>
      <c r="DA9" s="26">
        <f>IF(AS$4="","",IFERROR(INDEX('因子水準表'!$B$9:$KO$18,4,MATCH(AS$4,'因子水準表'!$B$4:$KO$4,0))&amp;"",""))</f>
        <v/>
      </c>
      <c r="DB9" s="26">
        <f>IF(AT$4="","",IFERROR(INDEX('因子水準表'!$B$9:$KO$18,4,MATCH(AT$4,'因子水準表'!$B$4:$KO$4,0))&amp;"",""))</f>
        <v/>
      </c>
      <c r="DC9" s="26">
        <f>IF(AU$4="","",IFERROR(INDEX('因子水準表'!$B$9:$KO$18,4,MATCH(AU$4,'因子水準表'!$B$4:$KO$4,0))&amp;"",""))</f>
        <v/>
      </c>
      <c r="DD9" s="26">
        <f>IF(AV$4="","",IFERROR(INDEX('因子水準表'!$B$9:$KO$18,4,MATCH(AV$4,'因子水準表'!$B$4:$KO$4,0))&amp;"",""))</f>
        <v/>
      </c>
      <c r="DE9" s="26">
        <f>IF(AW$4="","",IFERROR(INDEX('因子水準表'!$B$9:$KO$18,4,MATCH(AW$4,'因子水準表'!$B$4:$KO$4,0))&amp;"",""))</f>
        <v/>
      </c>
      <c r="DF9" s="26">
        <f>IF(AX$4="","",IFERROR(INDEX('因子水準表'!$B$9:$KO$18,4,MATCH(AX$4,'因子水準表'!$B$4:$KO$4,0))&amp;"",""))</f>
        <v/>
      </c>
      <c r="DG9" s="26">
        <f>IF(AY$4="","",IFERROR(INDEX('因子水準表'!$B$9:$KO$18,4,MATCH(AY$4,'因子水準表'!$B$4:$KO$4,0))&amp;"",""))</f>
        <v/>
      </c>
      <c r="DH9" s="26">
        <f>IF(AZ$4="","",IFERROR(INDEX('因子水準表'!$B$9:$KO$18,4,MATCH(AZ$4,'因子水準表'!$B$4:$KO$4,0))&amp;"",""))</f>
        <v/>
      </c>
      <c r="DI9" s="26">
        <f>IF(BA$4="","",IFERROR(INDEX('因子水準表'!$B$9:$KO$18,4,MATCH(BA$4,'因子水準表'!$B$4:$KO$4,0))&amp;"",""))</f>
        <v/>
      </c>
      <c r="DJ9" s="26">
        <f>IF(BB$4="","",IFERROR(INDEX('因子水準表'!$B$9:$KO$18,4,MATCH(BB$4,'因子水準表'!$B$4:$KO$4,0))&amp;"",""))</f>
        <v/>
      </c>
      <c r="DK9" s="26">
        <f>IF(BC$4="","",IFERROR(INDEX('因子水準表'!$B$9:$KO$18,4,MATCH(BC$4,'因子水準表'!$B$4:$KO$4,0))&amp;"",""))</f>
        <v/>
      </c>
      <c r="DL9" s="26">
        <f>IF(BD$4="","",IFERROR(INDEX('因子水準表'!$B$9:$KO$18,4,MATCH(BD$4,'因子水準表'!$B$4:$KO$4,0))&amp;"",""))</f>
        <v/>
      </c>
      <c r="DM9" s="26">
        <f>IF('因子水準表'!B32="","",'因子水準表'!B32)</f>
        <v/>
      </c>
      <c r="DN9" s="26">
        <f>IF('テスト条件'!A8="","",'テスト条件'!A8)</f>
        <v/>
      </c>
    </row>
    <row r="10">
      <c r="A10" s="27" t="n"/>
      <c r="B10" s="27" t="n"/>
      <c r="C10" s="28">
        <f>IF(A10="","",$B$2)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  <c r="AI10" s="27" t="n"/>
      <c r="AJ10" s="27" t="n"/>
      <c r="AK10" s="27" t="n"/>
      <c r="AL10" s="27" t="n"/>
      <c r="AM10" s="27" t="n"/>
      <c r="AN10" s="27" t="n"/>
      <c r="AO10" s="27" t="n"/>
      <c r="AP10" s="27" t="n"/>
      <c r="AQ10" s="27" t="n"/>
      <c r="AR10" s="27" t="n"/>
      <c r="AS10" s="27" t="n"/>
      <c r="AT10" s="27" t="n"/>
      <c r="AU10" s="27" t="n"/>
      <c r="AV10" s="27" t="n"/>
      <c r="AW10" s="27" t="n"/>
      <c r="AX10" s="27" t="n"/>
      <c r="AY10" s="27" t="n"/>
      <c r="AZ10" s="27" t="n"/>
      <c r="BA10" s="27" t="n"/>
      <c r="BB10" s="27" t="n"/>
      <c r="BC10" s="27" t="n"/>
      <c r="BD10" s="27" t="n"/>
      <c r="BE10" s="27" t="n"/>
      <c r="BF10" s="27" t="n"/>
      <c r="BG10" s="27" t="n"/>
      <c r="BH10" s="27" t="n"/>
      <c r="BI10" s="29" t="n"/>
      <c r="BJ10" s="27" t="n"/>
      <c r="BK10" s="27" t="n"/>
      <c r="BL10" s="27" t="n"/>
      <c r="BM10" s="27" t="n"/>
      <c r="BO10" s="26">
        <f>IF(G$4="","",IFERROR(INDEX('因子水準表'!$B$9:$KO$18,5,MATCH(G$4,'因子水準表'!$B$4:$KO$4,0))&amp;"",""))</f>
        <v/>
      </c>
      <c r="BP10" s="26">
        <f>IF(H$4="","",IFERROR(INDEX('因子水準表'!$B$9:$KO$18,5,MATCH(H$4,'因子水準表'!$B$4:$KO$4,0))&amp;"",""))</f>
        <v/>
      </c>
      <c r="BQ10" s="26">
        <f>IF(I$4="","",IFERROR(INDEX('因子水準表'!$B$9:$KO$18,5,MATCH(I$4,'因子水準表'!$B$4:$KO$4,0))&amp;"",""))</f>
        <v/>
      </c>
      <c r="BR10" s="26">
        <f>IF(J$4="","",IFERROR(INDEX('因子水準表'!$B$9:$KO$18,5,MATCH(J$4,'因子水準表'!$B$4:$KO$4,0))&amp;"",""))</f>
        <v/>
      </c>
      <c r="BS10" s="26">
        <f>IF(K$4="","",IFERROR(INDEX('因子水準表'!$B$9:$KO$18,5,MATCH(K$4,'因子水準表'!$B$4:$KO$4,0))&amp;"",""))</f>
        <v/>
      </c>
      <c r="BT10" s="26">
        <f>IF(L$4="","",IFERROR(INDEX('因子水準表'!$B$9:$KO$18,5,MATCH(L$4,'因子水準表'!$B$4:$KO$4,0))&amp;"",""))</f>
        <v/>
      </c>
      <c r="BU10" s="26">
        <f>IF(M$4="","",IFERROR(INDEX('因子水準表'!$B$9:$KO$18,5,MATCH(M$4,'因子水準表'!$B$4:$KO$4,0))&amp;"",""))</f>
        <v/>
      </c>
      <c r="BV10" s="26">
        <f>IF(N$4="","",IFERROR(INDEX('因子水準表'!$B$9:$KO$18,5,MATCH(N$4,'因子水準表'!$B$4:$KO$4,0))&amp;"",""))</f>
        <v/>
      </c>
      <c r="BW10" s="26">
        <f>IF(O$4="","",IFERROR(INDEX('因子水準表'!$B$9:$KO$18,5,MATCH(O$4,'因子水準表'!$B$4:$KO$4,0))&amp;"",""))</f>
        <v/>
      </c>
      <c r="BX10" s="26">
        <f>IF(P$4="","",IFERROR(INDEX('因子水準表'!$B$9:$KO$18,5,MATCH(P$4,'因子水準表'!$B$4:$KO$4,0))&amp;"",""))</f>
        <v/>
      </c>
      <c r="BY10" s="26">
        <f>IF(Q$4="","",IFERROR(INDEX('因子水準表'!$B$9:$KO$18,5,MATCH(Q$4,'因子水準表'!$B$4:$KO$4,0))&amp;"",""))</f>
        <v/>
      </c>
      <c r="BZ10" s="26">
        <f>IF(R$4="","",IFERROR(INDEX('因子水準表'!$B$9:$KO$18,5,MATCH(R$4,'因子水準表'!$B$4:$KO$4,0))&amp;"",""))</f>
        <v/>
      </c>
      <c r="CA10" s="26">
        <f>IF(S$4="","",IFERROR(INDEX('因子水準表'!$B$9:$KO$18,5,MATCH(S$4,'因子水準表'!$B$4:$KO$4,0))&amp;"",""))</f>
        <v/>
      </c>
      <c r="CB10" s="26">
        <f>IF(T$4="","",IFERROR(INDEX('因子水準表'!$B$9:$KO$18,5,MATCH(T$4,'因子水準表'!$B$4:$KO$4,0))&amp;"",""))</f>
        <v/>
      </c>
      <c r="CC10" s="26">
        <f>IF(U$4="","",IFERROR(INDEX('因子水準表'!$B$9:$KO$18,5,MATCH(U$4,'因子水準表'!$B$4:$KO$4,0))&amp;"",""))</f>
        <v/>
      </c>
      <c r="CD10" s="26">
        <f>IF(V$4="","",IFERROR(INDEX('因子水準表'!$B$9:$KO$18,5,MATCH(V$4,'因子水準表'!$B$4:$KO$4,0))&amp;"",""))</f>
        <v/>
      </c>
      <c r="CE10" s="26">
        <f>IF(W$4="","",IFERROR(INDEX('因子水準表'!$B$9:$KO$18,5,MATCH(W$4,'因子水準表'!$B$4:$KO$4,0))&amp;"",""))</f>
        <v/>
      </c>
      <c r="CF10" s="26">
        <f>IF(X$4="","",IFERROR(INDEX('因子水準表'!$B$9:$KO$18,5,MATCH(X$4,'因子水準表'!$B$4:$KO$4,0))&amp;"",""))</f>
        <v/>
      </c>
      <c r="CG10" s="26">
        <f>IF(Y$4="","",IFERROR(INDEX('因子水準表'!$B$9:$KO$18,5,MATCH(Y$4,'因子水準表'!$B$4:$KO$4,0))&amp;"",""))</f>
        <v/>
      </c>
      <c r="CH10" s="26">
        <f>IF(Z$4="","",IFERROR(INDEX('因子水準表'!$B$9:$KO$18,5,MATCH(Z$4,'因子水準表'!$B$4:$KO$4,0))&amp;"",""))</f>
        <v/>
      </c>
      <c r="CI10" s="26">
        <f>IF(AA$4="","",IFERROR(INDEX('因子水準表'!$B$9:$KO$18,5,MATCH(AA$4,'因子水準表'!$B$4:$KO$4,0))&amp;"",""))</f>
        <v/>
      </c>
      <c r="CJ10" s="26">
        <f>IF(AB$4="","",IFERROR(INDEX('因子水準表'!$B$9:$KO$18,5,MATCH(AB$4,'因子水準表'!$B$4:$KO$4,0))&amp;"",""))</f>
        <v/>
      </c>
      <c r="CK10" s="26">
        <f>IF(AC$4="","",IFERROR(INDEX('因子水準表'!$B$9:$KO$18,5,MATCH(AC$4,'因子水準表'!$B$4:$KO$4,0))&amp;"",""))</f>
        <v/>
      </c>
      <c r="CL10" s="26">
        <f>IF(AD$4="","",IFERROR(INDEX('因子水準表'!$B$9:$KO$18,5,MATCH(AD$4,'因子水準表'!$B$4:$KO$4,0))&amp;"",""))</f>
        <v/>
      </c>
      <c r="CM10" s="26">
        <f>IF(AE$4="","",IFERROR(INDEX('因子水準表'!$B$9:$KO$18,5,MATCH(AE$4,'因子水準表'!$B$4:$KO$4,0))&amp;"",""))</f>
        <v/>
      </c>
      <c r="CN10" s="26">
        <f>IF(AF$4="","",IFERROR(INDEX('因子水準表'!$B$9:$KO$18,5,MATCH(AF$4,'因子水準表'!$B$4:$KO$4,0))&amp;"",""))</f>
        <v/>
      </c>
      <c r="CO10" s="26">
        <f>IF(AG$4="","",IFERROR(INDEX('因子水準表'!$B$9:$KO$18,5,MATCH(AG$4,'因子水準表'!$B$4:$KO$4,0))&amp;"",""))</f>
        <v/>
      </c>
      <c r="CP10" s="26">
        <f>IF(AH$4="","",IFERROR(INDEX('因子水準表'!$B$9:$KO$18,5,MATCH(AH$4,'因子水準表'!$B$4:$KO$4,0))&amp;"",""))</f>
        <v/>
      </c>
      <c r="CQ10" s="26">
        <f>IF(AI$4="","",IFERROR(INDEX('因子水準表'!$B$9:$KO$18,5,MATCH(AI$4,'因子水準表'!$B$4:$KO$4,0))&amp;"",""))</f>
        <v/>
      </c>
      <c r="CR10" s="26">
        <f>IF(AJ$4="","",IFERROR(INDEX('因子水準表'!$B$9:$KO$18,5,MATCH(AJ$4,'因子水準表'!$B$4:$KO$4,0))&amp;"",""))</f>
        <v/>
      </c>
      <c r="CS10" s="26">
        <f>IF(AK$4="","",IFERROR(INDEX('因子水準表'!$B$9:$KO$18,5,MATCH(AK$4,'因子水準表'!$B$4:$KO$4,0))&amp;"",""))</f>
        <v/>
      </c>
      <c r="CT10" s="26">
        <f>IF(AL$4="","",IFERROR(INDEX('因子水準表'!$B$9:$KO$18,5,MATCH(AL$4,'因子水準表'!$B$4:$KO$4,0))&amp;"",""))</f>
        <v/>
      </c>
      <c r="CU10" s="26">
        <f>IF(AM$4="","",IFERROR(INDEX('因子水準表'!$B$9:$KO$18,5,MATCH(AM$4,'因子水準表'!$B$4:$KO$4,0))&amp;"",""))</f>
        <v/>
      </c>
      <c r="CV10" s="26">
        <f>IF(AN$4="","",IFERROR(INDEX('因子水準表'!$B$9:$KO$18,5,MATCH(AN$4,'因子水準表'!$B$4:$KO$4,0))&amp;"",""))</f>
        <v/>
      </c>
      <c r="CW10" s="26">
        <f>IF(AO$4="","",IFERROR(INDEX('因子水準表'!$B$9:$KO$18,5,MATCH(AO$4,'因子水準表'!$B$4:$KO$4,0))&amp;"",""))</f>
        <v/>
      </c>
      <c r="CX10" s="26">
        <f>IF(AP$4="","",IFERROR(INDEX('因子水準表'!$B$9:$KO$18,5,MATCH(AP$4,'因子水準表'!$B$4:$KO$4,0))&amp;"",""))</f>
        <v/>
      </c>
      <c r="CY10" s="26">
        <f>IF(AQ$4="","",IFERROR(INDEX('因子水準表'!$B$9:$KO$18,5,MATCH(AQ$4,'因子水準表'!$B$4:$KO$4,0))&amp;"",""))</f>
        <v/>
      </c>
      <c r="CZ10" s="26">
        <f>IF(AR$4="","",IFERROR(INDEX('因子水準表'!$B$9:$KO$18,5,MATCH(AR$4,'因子水準表'!$B$4:$KO$4,0))&amp;"",""))</f>
        <v/>
      </c>
      <c r="DA10" s="26">
        <f>IF(AS$4="","",IFERROR(INDEX('因子水準表'!$B$9:$KO$18,5,MATCH(AS$4,'因子水準表'!$B$4:$KO$4,0))&amp;"",""))</f>
        <v/>
      </c>
      <c r="DB10" s="26">
        <f>IF(AT$4="","",IFERROR(INDEX('因子水準表'!$B$9:$KO$18,5,MATCH(AT$4,'因子水準表'!$B$4:$KO$4,0))&amp;"",""))</f>
        <v/>
      </c>
      <c r="DC10" s="26">
        <f>IF(AU$4="","",IFERROR(INDEX('因子水準表'!$B$9:$KO$18,5,MATCH(AU$4,'因子水準表'!$B$4:$KO$4,0))&amp;"",""))</f>
        <v/>
      </c>
      <c r="DD10" s="26">
        <f>IF(AV$4="","",IFERROR(INDEX('因子水準表'!$B$9:$KO$18,5,MATCH(AV$4,'因子水準表'!$B$4:$KO$4,0))&amp;"",""))</f>
        <v/>
      </c>
      <c r="DE10" s="26">
        <f>IF(AW$4="","",IFERROR(INDEX('因子水準表'!$B$9:$KO$18,5,MATCH(AW$4,'因子水準表'!$B$4:$KO$4,0))&amp;"",""))</f>
        <v/>
      </c>
      <c r="DF10" s="26">
        <f>IF(AX$4="","",IFERROR(INDEX('因子水準表'!$B$9:$KO$18,5,MATCH(AX$4,'因子水準表'!$B$4:$KO$4,0))&amp;"",""))</f>
        <v/>
      </c>
      <c r="DG10" s="26">
        <f>IF(AY$4="","",IFERROR(INDEX('因子水準表'!$B$9:$KO$18,5,MATCH(AY$4,'因子水準表'!$B$4:$KO$4,0))&amp;"",""))</f>
        <v/>
      </c>
      <c r="DH10" s="26">
        <f>IF(AZ$4="","",IFERROR(INDEX('因子水準表'!$B$9:$KO$18,5,MATCH(AZ$4,'因子水準表'!$B$4:$KO$4,0))&amp;"",""))</f>
        <v/>
      </c>
      <c r="DI10" s="26">
        <f>IF(BA$4="","",IFERROR(INDEX('因子水準表'!$B$9:$KO$18,5,MATCH(BA$4,'因子水準表'!$B$4:$KO$4,0))&amp;"",""))</f>
        <v/>
      </c>
      <c r="DJ10" s="26">
        <f>IF(BB$4="","",IFERROR(INDEX('因子水準表'!$B$9:$KO$18,5,MATCH(BB$4,'因子水準表'!$B$4:$KO$4,0))&amp;"",""))</f>
        <v/>
      </c>
      <c r="DK10" s="26">
        <f>IF(BC$4="","",IFERROR(INDEX('因子水準表'!$B$9:$KO$18,5,MATCH(BC$4,'因子水準表'!$B$4:$KO$4,0))&amp;"",""))</f>
        <v/>
      </c>
      <c r="DL10" s="26">
        <f>IF(BD$4="","",IFERROR(INDEX('因子水準表'!$B$9:$KO$18,5,MATCH(BD$4,'因子水準表'!$B$4:$KO$4,0))&amp;"",""))</f>
        <v/>
      </c>
      <c r="DM10" s="26">
        <f>IF('因子水準表'!B33="","",'因子水準表'!B33)</f>
        <v/>
      </c>
      <c r="DN10" s="26">
        <f>IF('テスト条件'!A9="","",'テスト条件'!A9)</f>
        <v/>
      </c>
    </row>
    <row r="11">
      <c r="A11" s="27" t="n"/>
      <c r="B11" s="27" t="n"/>
      <c r="C11" s="28">
        <f>IF(A11="","",$B$2)</f>
        <v/>
      </c>
      <c r="D11" s="27" t="n"/>
      <c r="E11" s="27" t="n"/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  <c r="AA11" s="27" t="n"/>
      <c r="AB11" s="27" t="n"/>
      <c r="AC11" s="27" t="n"/>
      <c r="AD11" s="27" t="n"/>
      <c r="AE11" s="27" t="n"/>
      <c r="AF11" s="27" t="n"/>
      <c r="AG11" s="27" t="n"/>
      <c r="AH11" s="27" t="n"/>
      <c r="AI11" s="27" t="n"/>
      <c r="AJ11" s="27" t="n"/>
      <c r="AK11" s="27" t="n"/>
      <c r="AL11" s="27" t="n"/>
      <c r="AM11" s="27" t="n"/>
      <c r="AN11" s="27" t="n"/>
      <c r="AO11" s="27" t="n"/>
      <c r="AP11" s="27" t="n"/>
      <c r="AQ11" s="27" t="n"/>
      <c r="AR11" s="27" t="n"/>
      <c r="AS11" s="27" t="n"/>
      <c r="AT11" s="27" t="n"/>
      <c r="AU11" s="27" t="n"/>
      <c r="AV11" s="27" t="n"/>
      <c r="AW11" s="27" t="n"/>
      <c r="AX11" s="27" t="n"/>
      <c r="AY11" s="27" t="n"/>
      <c r="AZ11" s="27" t="n"/>
      <c r="BA11" s="27" t="n"/>
      <c r="BB11" s="27" t="n"/>
      <c r="BC11" s="27" t="n"/>
      <c r="BD11" s="27" t="n"/>
      <c r="BE11" s="27" t="n"/>
      <c r="BF11" s="27" t="n"/>
      <c r="BG11" s="27" t="n"/>
      <c r="BH11" s="27" t="n"/>
      <c r="BI11" s="29" t="n"/>
      <c r="BJ11" s="27" t="n"/>
      <c r="BK11" s="27" t="n"/>
      <c r="BL11" s="27" t="n"/>
      <c r="BM11" s="27" t="n"/>
      <c r="BO11" s="26">
        <f>IF(G$4="","",IFERROR(INDEX('因子水準表'!$B$9:$KO$18,6,MATCH(G$4,'因子水準表'!$B$4:$KO$4,0))&amp;"",""))</f>
        <v/>
      </c>
      <c r="BP11" s="26">
        <f>IF(H$4="","",IFERROR(INDEX('因子水準表'!$B$9:$KO$18,6,MATCH(H$4,'因子水準表'!$B$4:$KO$4,0))&amp;"",""))</f>
        <v/>
      </c>
      <c r="BQ11" s="26">
        <f>IF(I$4="","",IFERROR(INDEX('因子水準表'!$B$9:$KO$18,6,MATCH(I$4,'因子水準表'!$B$4:$KO$4,0))&amp;"",""))</f>
        <v/>
      </c>
      <c r="BR11" s="26">
        <f>IF(J$4="","",IFERROR(INDEX('因子水準表'!$B$9:$KO$18,6,MATCH(J$4,'因子水準表'!$B$4:$KO$4,0))&amp;"",""))</f>
        <v/>
      </c>
      <c r="BS11" s="26">
        <f>IF(K$4="","",IFERROR(INDEX('因子水準表'!$B$9:$KO$18,6,MATCH(K$4,'因子水準表'!$B$4:$KO$4,0))&amp;"",""))</f>
        <v/>
      </c>
      <c r="BT11" s="26">
        <f>IF(L$4="","",IFERROR(INDEX('因子水準表'!$B$9:$KO$18,6,MATCH(L$4,'因子水準表'!$B$4:$KO$4,0))&amp;"",""))</f>
        <v/>
      </c>
      <c r="BU11" s="26">
        <f>IF(M$4="","",IFERROR(INDEX('因子水準表'!$B$9:$KO$18,6,MATCH(M$4,'因子水準表'!$B$4:$KO$4,0))&amp;"",""))</f>
        <v/>
      </c>
      <c r="BV11" s="26">
        <f>IF(N$4="","",IFERROR(INDEX('因子水準表'!$B$9:$KO$18,6,MATCH(N$4,'因子水準表'!$B$4:$KO$4,0))&amp;"",""))</f>
        <v/>
      </c>
      <c r="BW11" s="26">
        <f>IF(O$4="","",IFERROR(INDEX('因子水準表'!$B$9:$KO$18,6,MATCH(O$4,'因子水準表'!$B$4:$KO$4,0))&amp;"",""))</f>
        <v/>
      </c>
      <c r="BX11" s="26">
        <f>IF(P$4="","",IFERROR(INDEX('因子水準表'!$B$9:$KO$18,6,MATCH(P$4,'因子水準表'!$B$4:$KO$4,0))&amp;"",""))</f>
        <v/>
      </c>
      <c r="BY11" s="26">
        <f>IF(Q$4="","",IFERROR(INDEX('因子水準表'!$B$9:$KO$18,6,MATCH(Q$4,'因子水準表'!$B$4:$KO$4,0))&amp;"",""))</f>
        <v/>
      </c>
      <c r="BZ11" s="26">
        <f>IF(R$4="","",IFERROR(INDEX('因子水準表'!$B$9:$KO$18,6,MATCH(R$4,'因子水準表'!$B$4:$KO$4,0))&amp;"",""))</f>
        <v/>
      </c>
      <c r="CA11" s="26">
        <f>IF(S$4="","",IFERROR(INDEX('因子水準表'!$B$9:$KO$18,6,MATCH(S$4,'因子水準表'!$B$4:$KO$4,0))&amp;"",""))</f>
        <v/>
      </c>
      <c r="CB11" s="26">
        <f>IF(T$4="","",IFERROR(INDEX('因子水準表'!$B$9:$KO$18,6,MATCH(T$4,'因子水準表'!$B$4:$KO$4,0))&amp;"",""))</f>
        <v/>
      </c>
      <c r="CC11" s="26">
        <f>IF(U$4="","",IFERROR(INDEX('因子水準表'!$B$9:$KO$18,6,MATCH(U$4,'因子水準表'!$B$4:$KO$4,0))&amp;"",""))</f>
        <v/>
      </c>
      <c r="CD11" s="26">
        <f>IF(V$4="","",IFERROR(INDEX('因子水準表'!$B$9:$KO$18,6,MATCH(V$4,'因子水準表'!$B$4:$KO$4,0))&amp;"",""))</f>
        <v/>
      </c>
      <c r="CE11" s="26">
        <f>IF(W$4="","",IFERROR(INDEX('因子水準表'!$B$9:$KO$18,6,MATCH(W$4,'因子水準表'!$B$4:$KO$4,0))&amp;"",""))</f>
        <v/>
      </c>
      <c r="CF11" s="26">
        <f>IF(X$4="","",IFERROR(INDEX('因子水準表'!$B$9:$KO$18,6,MATCH(X$4,'因子水準表'!$B$4:$KO$4,0))&amp;"",""))</f>
        <v/>
      </c>
      <c r="CG11" s="26">
        <f>IF(Y$4="","",IFERROR(INDEX('因子水準表'!$B$9:$KO$18,6,MATCH(Y$4,'因子水準表'!$B$4:$KO$4,0))&amp;"",""))</f>
        <v/>
      </c>
      <c r="CH11" s="26">
        <f>IF(Z$4="","",IFERROR(INDEX('因子水準表'!$B$9:$KO$18,6,MATCH(Z$4,'因子水準表'!$B$4:$KO$4,0))&amp;"",""))</f>
        <v/>
      </c>
      <c r="CI11" s="26">
        <f>IF(AA$4="","",IFERROR(INDEX('因子水準表'!$B$9:$KO$18,6,MATCH(AA$4,'因子水準表'!$B$4:$KO$4,0))&amp;"",""))</f>
        <v/>
      </c>
      <c r="CJ11" s="26">
        <f>IF(AB$4="","",IFERROR(INDEX('因子水準表'!$B$9:$KO$18,6,MATCH(AB$4,'因子水準表'!$B$4:$KO$4,0))&amp;"",""))</f>
        <v/>
      </c>
      <c r="CK11" s="26">
        <f>IF(AC$4="","",IFERROR(INDEX('因子水準表'!$B$9:$KO$18,6,MATCH(AC$4,'因子水準表'!$B$4:$KO$4,0))&amp;"",""))</f>
        <v/>
      </c>
      <c r="CL11" s="26">
        <f>IF(AD$4="","",IFERROR(INDEX('因子水準表'!$B$9:$KO$18,6,MATCH(AD$4,'因子水準表'!$B$4:$KO$4,0))&amp;"",""))</f>
        <v/>
      </c>
      <c r="CM11" s="26">
        <f>IF(AE$4="","",IFERROR(INDEX('因子水準表'!$B$9:$KO$18,6,MATCH(AE$4,'因子水準表'!$B$4:$KO$4,0))&amp;"",""))</f>
        <v/>
      </c>
      <c r="CN11" s="26">
        <f>IF(AF$4="","",IFERROR(INDEX('因子水準表'!$B$9:$KO$18,6,MATCH(AF$4,'因子水準表'!$B$4:$KO$4,0))&amp;"",""))</f>
        <v/>
      </c>
      <c r="CO11" s="26">
        <f>IF(AG$4="","",IFERROR(INDEX('因子水準表'!$B$9:$KO$18,6,MATCH(AG$4,'因子水準表'!$B$4:$KO$4,0))&amp;"",""))</f>
        <v/>
      </c>
      <c r="CP11" s="26">
        <f>IF(AH$4="","",IFERROR(INDEX('因子水準表'!$B$9:$KO$18,6,MATCH(AH$4,'因子水準表'!$B$4:$KO$4,0))&amp;"",""))</f>
        <v/>
      </c>
      <c r="CQ11" s="26">
        <f>IF(AI$4="","",IFERROR(INDEX('因子水準表'!$B$9:$KO$18,6,MATCH(AI$4,'因子水準表'!$B$4:$KO$4,0))&amp;"",""))</f>
        <v/>
      </c>
      <c r="CR11" s="26">
        <f>IF(AJ$4="","",IFERROR(INDEX('因子水準表'!$B$9:$KO$18,6,MATCH(AJ$4,'因子水準表'!$B$4:$KO$4,0))&amp;"",""))</f>
        <v/>
      </c>
      <c r="CS11" s="26">
        <f>IF(AK$4="","",IFERROR(INDEX('因子水準表'!$B$9:$KO$18,6,MATCH(AK$4,'因子水準表'!$B$4:$KO$4,0))&amp;"",""))</f>
        <v/>
      </c>
      <c r="CT11" s="26">
        <f>IF(AL$4="","",IFERROR(INDEX('因子水準表'!$B$9:$KO$18,6,MATCH(AL$4,'因子水準表'!$B$4:$KO$4,0))&amp;"",""))</f>
        <v/>
      </c>
      <c r="CU11" s="26">
        <f>IF(AM$4="","",IFERROR(INDEX('因子水準表'!$B$9:$KO$18,6,MATCH(AM$4,'因子水準表'!$B$4:$KO$4,0))&amp;"",""))</f>
        <v/>
      </c>
      <c r="CV11" s="26">
        <f>IF(AN$4="","",IFERROR(INDEX('因子水準表'!$B$9:$KO$18,6,MATCH(AN$4,'因子水準表'!$B$4:$KO$4,0))&amp;"",""))</f>
        <v/>
      </c>
      <c r="CW11" s="26">
        <f>IF(AO$4="","",IFERROR(INDEX('因子水準表'!$B$9:$KO$18,6,MATCH(AO$4,'因子水準表'!$B$4:$KO$4,0))&amp;"",""))</f>
        <v/>
      </c>
      <c r="CX11" s="26">
        <f>IF(AP$4="","",IFERROR(INDEX('因子水準表'!$B$9:$KO$18,6,MATCH(AP$4,'因子水準表'!$B$4:$KO$4,0))&amp;"",""))</f>
        <v/>
      </c>
      <c r="CY11" s="26">
        <f>IF(AQ$4="","",IFERROR(INDEX('因子水準表'!$B$9:$KO$18,6,MATCH(AQ$4,'因子水準表'!$B$4:$KO$4,0))&amp;"",""))</f>
        <v/>
      </c>
      <c r="CZ11" s="26">
        <f>IF(AR$4="","",IFERROR(INDEX('因子水準表'!$B$9:$KO$18,6,MATCH(AR$4,'因子水準表'!$B$4:$KO$4,0))&amp;"",""))</f>
        <v/>
      </c>
      <c r="DA11" s="26">
        <f>IF(AS$4="","",IFERROR(INDEX('因子水準表'!$B$9:$KO$18,6,MATCH(AS$4,'因子水準表'!$B$4:$KO$4,0))&amp;"",""))</f>
        <v/>
      </c>
      <c r="DB11" s="26">
        <f>IF(AT$4="","",IFERROR(INDEX('因子水準表'!$B$9:$KO$18,6,MATCH(AT$4,'因子水準表'!$B$4:$KO$4,0))&amp;"",""))</f>
        <v/>
      </c>
      <c r="DC11" s="26">
        <f>IF(AU$4="","",IFERROR(INDEX('因子水準表'!$B$9:$KO$18,6,MATCH(AU$4,'因子水準表'!$B$4:$KO$4,0))&amp;"",""))</f>
        <v/>
      </c>
      <c r="DD11" s="26">
        <f>IF(AV$4="","",IFERROR(INDEX('因子水準表'!$B$9:$KO$18,6,MATCH(AV$4,'因子水準表'!$B$4:$KO$4,0))&amp;"",""))</f>
        <v/>
      </c>
      <c r="DE11" s="26">
        <f>IF(AW$4="","",IFERROR(INDEX('因子水準表'!$B$9:$KO$18,6,MATCH(AW$4,'因子水準表'!$B$4:$KO$4,0))&amp;"",""))</f>
        <v/>
      </c>
      <c r="DF11" s="26">
        <f>IF(AX$4="","",IFERROR(INDEX('因子水準表'!$B$9:$KO$18,6,MATCH(AX$4,'因子水準表'!$B$4:$KO$4,0))&amp;"",""))</f>
        <v/>
      </c>
      <c r="DG11" s="26">
        <f>IF(AY$4="","",IFERROR(INDEX('因子水準表'!$B$9:$KO$18,6,MATCH(AY$4,'因子水準表'!$B$4:$KO$4,0))&amp;"",""))</f>
        <v/>
      </c>
      <c r="DH11" s="26">
        <f>IF(AZ$4="","",IFERROR(INDEX('因子水準表'!$B$9:$KO$18,6,MATCH(AZ$4,'因子水準表'!$B$4:$KO$4,0))&amp;"",""))</f>
        <v/>
      </c>
      <c r="DI11" s="26">
        <f>IF(BA$4="","",IFERROR(INDEX('因子水準表'!$B$9:$KO$18,6,MATCH(BA$4,'因子水準表'!$B$4:$KO$4,0))&amp;"",""))</f>
        <v/>
      </c>
      <c r="DJ11" s="26">
        <f>IF(BB$4="","",IFERROR(INDEX('因子水準表'!$B$9:$KO$18,6,MATCH(BB$4,'因子水準表'!$B$4:$KO$4,0))&amp;"",""))</f>
        <v/>
      </c>
      <c r="DK11" s="26">
        <f>IF(BC$4="","",IFERROR(INDEX('因子水準表'!$B$9:$KO$18,6,MATCH(BC$4,'因子水準表'!$B$4:$KO$4,0))&amp;"",""))</f>
        <v/>
      </c>
      <c r="DL11" s="26">
        <f>IF(BD$4="","",IFERROR(INDEX('因子水準表'!$B$9:$KO$18,6,MATCH(BD$4,'因子水準表'!$B$4:$KO$4,0))&amp;"",""))</f>
        <v/>
      </c>
      <c r="DM11" s="26">
        <f>IF('因子水準表'!B34="","",'因子水準表'!B34)</f>
        <v/>
      </c>
      <c r="DN11" s="26">
        <f>IF('テスト条件'!A10="","",'テスト条件'!A10)</f>
        <v/>
      </c>
    </row>
    <row r="12">
      <c r="A12" s="27" t="n"/>
      <c r="B12" s="27" t="n"/>
      <c r="C12" s="28">
        <f>IF(A12="","",$B$2)</f>
        <v/>
      </c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  <c r="AJ12" s="27" t="n"/>
      <c r="AK12" s="27" t="n"/>
      <c r="AL12" s="27" t="n"/>
      <c r="AM12" s="27" t="n"/>
      <c r="AN12" s="27" t="n"/>
      <c r="AO12" s="27" t="n"/>
      <c r="AP12" s="27" t="n"/>
      <c r="AQ12" s="27" t="n"/>
      <c r="AR12" s="27" t="n"/>
      <c r="AS12" s="27" t="n"/>
      <c r="AT12" s="27" t="n"/>
      <c r="AU12" s="27" t="n"/>
      <c r="AV12" s="27" t="n"/>
      <c r="AW12" s="27" t="n"/>
      <c r="AX12" s="27" t="n"/>
      <c r="AY12" s="27" t="n"/>
      <c r="AZ12" s="27" t="n"/>
      <c r="BA12" s="27" t="n"/>
      <c r="BB12" s="27" t="n"/>
      <c r="BC12" s="27" t="n"/>
      <c r="BD12" s="27" t="n"/>
      <c r="BE12" s="27" t="n"/>
      <c r="BF12" s="27" t="n"/>
      <c r="BG12" s="27" t="n"/>
      <c r="BH12" s="27" t="n"/>
      <c r="BI12" s="29" t="n"/>
      <c r="BJ12" s="27" t="n"/>
      <c r="BK12" s="27" t="n"/>
      <c r="BL12" s="27" t="n"/>
      <c r="BM12" s="27" t="n"/>
      <c r="BO12" s="26">
        <f>IF(G$4="","",IFERROR(INDEX('因子水準表'!$B$9:$KO$18,7,MATCH(G$4,'因子水準表'!$B$4:$KO$4,0))&amp;"",""))</f>
        <v/>
      </c>
      <c r="BP12" s="26">
        <f>IF(H$4="","",IFERROR(INDEX('因子水準表'!$B$9:$KO$18,7,MATCH(H$4,'因子水準表'!$B$4:$KO$4,0))&amp;"",""))</f>
        <v/>
      </c>
      <c r="BQ12" s="26">
        <f>IF(I$4="","",IFERROR(INDEX('因子水準表'!$B$9:$KO$18,7,MATCH(I$4,'因子水準表'!$B$4:$KO$4,0))&amp;"",""))</f>
        <v/>
      </c>
      <c r="BR12" s="26">
        <f>IF(J$4="","",IFERROR(INDEX('因子水準表'!$B$9:$KO$18,7,MATCH(J$4,'因子水準表'!$B$4:$KO$4,0))&amp;"",""))</f>
        <v/>
      </c>
      <c r="BS12" s="26">
        <f>IF(K$4="","",IFERROR(INDEX('因子水準表'!$B$9:$KO$18,7,MATCH(K$4,'因子水準表'!$B$4:$KO$4,0))&amp;"",""))</f>
        <v/>
      </c>
      <c r="BT12" s="26">
        <f>IF(L$4="","",IFERROR(INDEX('因子水準表'!$B$9:$KO$18,7,MATCH(L$4,'因子水準表'!$B$4:$KO$4,0))&amp;"",""))</f>
        <v/>
      </c>
      <c r="BU12" s="26">
        <f>IF(M$4="","",IFERROR(INDEX('因子水準表'!$B$9:$KO$18,7,MATCH(M$4,'因子水準表'!$B$4:$KO$4,0))&amp;"",""))</f>
        <v/>
      </c>
      <c r="BV12" s="26">
        <f>IF(N$4="","",IFERROR(INDEX('因子水準表'!$B$9:$KO$18,7,MATCH(N$4,'因子水準表'!$B$4:$KO$4,0))&amp;"",""))</f>
        <v/>
      </c>
      <c r="BW12" s="26">
        <f>IF(O$4="","",IFERROR(INDEX('因子水準表'!$B$9:$KO$18,7,MATCH(O$4,'因子水準表'!$B$4:$KO$4,0))&amp;"",""))</f>
        <v/>
      </c>
      <c r="BX12" s="26">
        <f>IF(P$4="","",IFERROR(INDEX('因子水準表'!$B$9:$KO$18,7,MATCH(P$4,'因子水準表'!$B$4:$KO$4,0))&amp;"",""))</f>
        <v/>
      </c>
      <c r="BY12" s="26">
        <f>IF(Q$4="","",IFERROR(INDEX('因子水準表'!$B$9:$KO$18,7,MATCH(Q$4,'因子水準表'!$B$4:$KO$4,0))&amp;"",""))</f>
        <v/>
      </c>
      <c r="BZ12" s="26">
        <f>IF(R$4="","",IFERROR(INDEX('因子水準表'!$B$9:$KO$18,7,MATCH(R$4,'因子水準表'!$B$4:$KO$4,0))&amp;"",""))</f>
        <v/>
      </c>
      <c r="CA12" s="26">
        <f>IF(S$4="","",IFERROR(INDEX('因子水準表'!$B$9:$KO$18,7,MATCH(S$4,'因子水準表'!$B$4:$KO$4,0))&amp;"",""))</f>
        <v/>
      </c>
      <c r="CB12" s="26">
        <f>IF(T$4="","",IFERROR(INDEX('因子水準表'!$B$9:$KO$18,7,MATCH(T$4,'因子水準表'!$B$4:$KO$4,0))&amp;"",""))</f>
        <v/>
      </c>
      <c r="CC12" s="26">
        <f>IF(U$4="","",IFERROR(INDEX('因子水準表'!$B$9:$KO$18,7,MATCH(U$4,'因子水準表'!$B$4:$KO$4,0))&amp;"",""))</f>
        <v/>
      </c>
      <c r="CD12" s="26">
        <f>IF(V$4="","",IFERROR(INDEX('因子水準表'!$B$9:$KO$18,7,MATCH(V$4,'因子水準表'!$B$4:$KO$4,0))&amp;"",""))</f>
        <v/>
      </c>
      <c r="CE12" s="26">
        <f>IF(W$4="","",IFERROR(INDEX('因子水準表'!$B$9:$KO$18,7,MATCH(W$4,'因子水準表'!$B$4:$KO$4,0))&amp;"",""))</f>
        <v/>
      </c>
      <c r="CF12" s="26">
        <f>IF(X$4="","",IFERROR(INDEX('因子水準表'!$B$9:$KO$18,7,MATCH(X$4,'因子水準表'!$B$4:$KO$4,0))&amp;"",""))</f>
        <v/>
      </c>
      <c r="CG12" s="26">
        <f>IF(Y$4="","",IFERROR(INDEX('因子水準表'!$B$9:$KO$18,7,MATCH(Y$4,'因子水準表'!$B$4:$KO$4,0))&amp;"",""))</f>
        <v/>
      </c>
      <c r="CH12" s="26">
        <f>IF(Z$4="","",IFERROR(INDEX('因子水準表'!$B$9:$KO$18,7,MATCH(Z$4,'因子水準表'!$B$4:$KO$4,0))&amp;"",""))</f>
        <v/>
      </c>
      <c r="CI12" s="26">
        <f>IF(AA$4="","",IFERROR(INDEX('因子水準表'!$B$9:$KO$18,7,MATCH(AA$4,'因子水準表'!$B$4:$KO$4,0))&amp;"",""))</f>
        <v/>
      </c>
      <c r="CJ12" s="26">
        <f>IF(AB$4="","",IFERROR(INDEX('因子水準表'!$B$9:$KO$18,7,MATCH(AB$4,'因子水準表'!$B$4:$KO$4,0))&amp;"",""))</f>
        <v/>
      </c>
      <c r="CK12" s="26">
        <f>IF(AC$4="","",IFERROR(INDEX('因子水準表'!$B$9:$KO$18,7,MATCH(AC$4,'因子水準表'!$B$4:$KO$4,0))&amp;"",""))</f>
        <v/>
      </c>
      <c r="CL12" s="26">
        <f>IF(AD$4="","",IFERROR(INDEX('因子水準表'!$B$9:$KO$18,7,MATCH(AD$4,'因子水準表'!$B$4:$KO$4,0))&amp;"",""))</f>
        <v/>
      </c>
      <c r="CM12" s="26">
        <f>IF(AE$4="","",IFERROR(INDEX('因子水準表'!$B$9:$KO$18,7,MATCH(AE$4,'因子水準表'!$B$4:$KO$4,0))&amp;"",""))</f>
        <v/>
      </c>
      <c r="CN12" s="26">
        <f>IF(AF$4="","",IFERROR(INDEX('因子水準表'!$B$9:$KO$18,7,MATCH(AF$4,'因子水準表'!$B$4:$KO$4,0))&amp;"",""))</f>
        <v/>
      </c>
      <c r="CO12" s="26">
        <f>IF(AG$4="","",IFERROR(INDEX('因子水準表'!$B$9:$KO$18,7,MATCH(AG$4,'因子水準表'!$B$4:$KO$4,0))&amp;"",""))</f>
        <v/>
      </c>
      <c r="CP12" s="26">
        <f>IF(AH$4="","",IFERROR(INDEX('因子水準表'!$B$9:$KO$18,7,MATCH(AH$4,'因子水準表'!$B$4:$KO$4,0))&amp;"",""))</f>
        <v/>
      </c>
      <c r="CQ12" s="26">
        <f>IF(AI$4="","",IFERROR(INDEX('因子水準表'!$B$9:$KO$18,7,MATCH(AI$4,'因子水準表'!$B$4:$KO$4,0))&amp;"",""))</f>
        <v/>
      </c>
      <c r="CR12" s="26">
        <f>IF(AJ$4="","",IFERROR(INDEX('因子水準表'!$B$9:$KO$18,7,MATCH(AJ$4,'因子水準表'!$B$4:$KO$4,0))&amp;"",""))</f>
        <v/>
      </c>
      <c r="CS12" s="26">
        <f>IF(AK$4="","",IFERROR(INDEX('因子水準表'!$B$9:$KO$18,7,MATCH(AK$4,'因子水準表'!$B$4:$KO$4,0))&amp;"",""))</f>
        <v/>
      </c>
      <c r="CT12" s="26">
        <f>IF(AL$4="","",IFERROR(INDEX('因子水準表'!$B$9:$KO$18,7,MATCH(AL$4,'因子水準表'!$B$4:$KO$4,0))&amp;"",""))</f>
        <v/>
      </c>
      <c r="CU12" s="26">
        <f>IF(AM$4="","",IFERROR(INDEX('因子水準表'!$B$9:$KO$18,7,MATCH(AM$4,'因子水準表'!$B$4:$KO$4,0))&amp;"",""))</f>
        <v/>
      </c>
      <c r="CV12" s="26">
        <f>IF(AN$4="","",IFERROR(INDEX('因子水準表'!$B$9:$KO$18,7,MATCH(AN$4,'因子水準表'!$B$4:$KO$4,0))&amp;"",""))</f>
        <v/>
      </c>
      <c r="CW12" s="26">
        <f>IF(AO$4="","",IFERROR(INDEX('因子水準表'!$B$9:$KO$18,7,MATCH(AO$4,'因子水準表'!$B$4:$KO$4,0))&amp;"",""))</f>
        <v/>
      </c>
      <c r="CX12" s="26">
        <f>IF(AP$4="","",IFERROR(INDEX('因子水準表'!$B$9:$KO$18,7,MATCH(AP$4,'因子水準表'!$B$4:$KO$4,0))&amp;"",""))</f>
        <v/>
      </c>
      <c r="CY12" s="26">
        <f>IF(AQ$4="","",IFERROR(INDEX('因子水準表'!$B$9:$KO$18,7,MATCH(AQ$4,'因子水準表'!$B$4:$KO$4,0))&amp;"",""))</f>
        <v/>
      </c>
      <c r="CZ12" s="26">
        <f>IF(AR$4="","",IFERROR(INDEX('因子水準表'!$B$9:$KO$18,7,MATCH(AR$4,'因子水準表'!$B$4:$KO$4,0))&amp;"",""))</f>
        <v/>
      </c>
      <c r="DA12" s="26">
        <f>IF(AS$4="","",IFERROR(INDEX('因子水準表'!$B$9:$KO$18,7,MATCH(AS$4,'因子水準表'!$B$4:$KO$4,0))&amp;"",""))</f>
        <v/>
      </c>
      <c r="DB12" s="26">
        <f>IF(AT$4="","",IFERROR(INDEX('因子水準表'!$B$9:$KO$18,7,MATCH(AT$4,'因子水準表'!$B$4:$KO$4,0))&amp;"",""))</f>
        <v/>
      </c>
      <c r="DC12" s="26">
        <f>IF(AU$4="","",IFERROR(INDEX('因子水準表'!$B$9:$KO$18,7,MATCH(AU$4,'因子水準表'!$B$4:$KO$4,0))&amp;"",""))</f>
        <v/>
      </c>
      <c r="DD12" s="26">
        <f>IF(AV$4="","",IFERROR(INDEX('因子水準表'!$B$9:$KO$18,7,MATCH(AV$4,'因子水準表'!$B$4:$KO$4,0))&amp;"",""))</f>
        <v/>
      </c>
      <c r="DE12" s="26">
        <f>IF(AW$4="","",IFERROR(INDEX('因子水準表'!$B$9:$KO$18,7,MATCH(AW$4,'因子水準表'!$B$4:$KO$4,0))&amp;"",""))</f>
        <v/>
      </c>
      <c r="DF12" s="26">
        <f>IF(AX$4="","",IFERROR(INDEX('因子水準表'!$B$9:$KO$18,7,MATCH(AX$4,'因子水準表'!$B$4:$KO$4,0))&amp;"",""))</f>
        <v/>
      </c>
      <c r="DG12" s="26">
        <f>IF(AY$4="","",IFERROR(INDEX('因子水準表'!$B$9:$KO$18,7,MATCH(AY$4,'因子水準表'!$B$4:$KO$4,0))&amp;"",""))</f>
        <v/>
      </c>
      <c r="DH12" s="26">
        <f>IF(AZ$4="","",IFERROR(INDEX('因子水準表'!$B$9:$KO$18,7,MATCH(AZ$4,'因子水準表'!$B$4:$KO$4,0))&amp;"",""))</f>
        <v/>
      </c>
      <c r="DI12" s="26">
        <f>IF(BA$4="","",IFERROR(INDEX('因子水準表'!$B$9:$KO$18,7,MATCH(BA$4,'因子水準表'!$B$4:$KO$4,0))&amp;"",""))</f>
        <v/>
      </c>
      <c r="DJ12" s="26">
        <f>IF(BB$4="","",IFERROR(INDEX('因子水準表'!$B$9:$KO$18,7,MATCH(BB$4,'因子水準表'!$B$4:$KO$4,0))&amp;"",""))</f>
        <v/>
      </c>
      <c r="DK12" s="26">
        <f>IF(BC$4="","",IFERROR(INDEX('因子水準表'!$B$9:$KO$18,7,MATCH(BC$4,'因子水準表'!$B$4:$KO$4,0))&amp;"",""))</f>
        <v/>
      </c>
      <c r="DL12" s="26">
        <f>IF(BD$4="","",IFERROR(INDEX('因子水準表'!$B$9:$KO$18,7,MATCH(BD$4,'因子水準表'!$B$4:$KO$4,0))&amp;"",""))</f>
        <v/>
      </c>
      <c r="DM12" s="26">
        <f>IF('因子水準表'!B35="","",'因子水準表'!B35)</f>
        <v/>
      </c>
      <c r="DN12" s="26">
        <f>IF('テスト条件'!A11="","",'テスト条件'!A11)</f>
        <v/>
      </c>
    </row>
    <row r="13">
      <c r="A13" s="27" t="n"/>
      <c r="B13" s="27" t="n"/>
      <c r="C13" s="28">
        <f>IF(A13="","",$B$2)</f>
        <v/>
      </c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  <c r="AA13" s="27" t="n"/>
      <c r="AB13" s="27" t="n"/>
      <c r="AC13" s="27" t="n"/>
      <c r="AD13" s="27" t="n"/>
      <c r="AE13" s="27" t="n"/>
      <c r="AF13" s="27" t="n"/>
      <c r="AG13" s="27" t="n"/>
      <c r="AH13" s="27" t="n"/>
      <c r="AI13" s="27" t="n"/>
      <c r="AJ13" s="27" t="n"/>
      <c r="AK13" s="27" t="n"/>
      <c r="AL13" s="27" t="n"/>
      <c r="AM13" s="27" t="n"/>
      <c r="AN13" s="27" t="n"/>
      <c r="AO13" s="27" t="n"/>
      <c r="AP13" s="27" t="n"/>
      <c r="AQ13" s="27" t="n"/>
      <c r="AR13" s="27" t="n"/>
      <c r="AS13" s="27" t="n"/>
      <c r="AT13" s="27" t="n"/>
      <c r="AU13" s="27" t="n"/>
      <c r="AV13" s="27" t="n"/>
      <c r="AW13" s="27" t="n"/>
      <c r="AX13" s="27" t="n"/>
      <c r="AY13" s="27" t="n"/>
      <c r="AZ13" s="27" t="n"/>
      <c r="BA13" s="27" t="n"/>
      <c r="BB13" s="27" t="n"/>
      <c r="BC13" s="27" t="n"/>
      <c r="BD13" s="27" t="n"/>
      <c r="BE13" s="27" t="n"/>
      <c r="BF13" s="27" t="n"/>
      <c r="BG13" s="27" t="n"/>
      <c r="BH13" s="27" t="n"/>
      <c r="BI13" s="29" t="n"/>
      <c r="BJ13" s="27" t="n"/>
      <c r="BK13" s="27" t="n"/>
      <c r="BL13" s="27" t="n"/>
      <c r="BM13" s="27" t="n"/>
      <c r="BO13" s="26">
        <f>IF(G$4="","",IFERROR(INDEX('因子水準表'!$B$9:$KO$18,8,MATCH(G$4,'因子水準表'!$B$4:$KO$4,0))&amp;"",""))</f>
        <v/>
      </c>
      <c r="BP13" s="26">
        <f>IF(H$4="","",IFERROR(INDEX('因子水準表'!$B$9:$KO$18,8,MATCH(H$4,'因子水準表'!$B$4:$KO$4,0))&amp;"",""))</f>
        <v/>
      </c>
      <c r="BQ13" s="26">
        <f>IF(I$4="","",IFERROR(INDEX('因子水準表'!$B$9:$KO$18,8,MATCH(I$4,'因子水準表'!$B$4:$KO$4,0))&amp;"",""))</f>
        <v/>
      </c>
      <c r="BR13" s="26">
        <f>IF(J$4="","",IFERROR(INDEX('因子水準表'!$B$9:$KO$18,8,MATCH(J$4,'因子水準表'!$B$4:$KO$4,0))&amp;"",""))</f>
        <v/>
      </c>
      <c r="BS13" s="26">
        <f>IF(K$4="","",IFERROR(INDEX('因子水準表'!$B$9:$KO$18,8,MATCH(K$4,'因子水準表'!$B$4:$KO$4,0))&amp;"",""))</f>
        <v/>
      </c>
      <c r="BT13" s="26">
        <f>IF(L$4="","",IFERROR(INDEX('因子水準表'!$B$9:$KO$18,8,MATCH(L$4,'因子水準表'!$B$4:$KO$4,0))&amp;"",""))</f>
        <v/>
      </c>
      <c r="BU13" s="26">
        <f>IF(M$4="","",IFERROR(INDEX('因子水準表'!$B$9:$KO$18,8,MATCH(M$4,'因子水準表'!$B$4:$KO$4,0))&amp;"",""))</f>
        <v/>
      </c>
      <c r="BV13" s="26">
        <f>IF(N$4="","",IFERROR(INDEX('因子水準表'!$B$9:$KO$18,8,MATCH(N$4,'因子水準表'!$B$4:$KO$4,0))&amp;"",""))</f>
        <v/>
      </c>
      <c r="BW13" s="26">
        <f>IF(O$4="","",IFERROR(INDEX('因子水準表'!$B$9:$KO$18,8,MATCH(O$4,'因子水準表'!$B$4:$KO$4,0))&amp;"",""))</f>
        <v/>
      </c>
      <c r="BX13" s="26">
        <f>IF(P$4="","",IFERROR(INDEX('因子水準表'!$B$9:$KO$18,8,MATCH(P$4,'因子水準表'!$B$4:$KO$4,0))&amp;"",""))</f>
        <v/>
      </c>
      <c r="BY13" s="26">
        <f>IF(Q$4="","",IFERROR(INDEX('因子水準表'!$B$9:$KO$18,8,MATCH(Q$4,'因子水準表'!$B$4:$KO$4,0))&amp;"",""))</f>
        <v/>
      </c>
      <c r="BZ13" s="26">
        <f>IF(R$4="","",IFERROR(INDEX('因子水準表'!$B$9:$KO$18,8,MATCH(R$4,'因子水準表'!$B$4:$KO$4,0))&amp;"",""))</f>
        <v/>
      </c>
      <c r="CA13" s="26">
        <f>IF(S$4="","",IFERROR(INDEX('因子水準表'!$B$9:$KO$18,8,MATCH(S$4,'因子水準表'!$B$4:$KO$4,0))&amp;"",""))</f>
        <v/>
      </c>
      <c r="CB13" s="26">
        <f>IF(T$4="","",IFERROR(INDEX('因子水準表'!$B$9:$KO$18,8,MATCH(T$4,'因子水準表'!$B$4:$KO$4,0))&amp;"",""))</f>
        <v/>
      </c>
      <c r="CC13" s="26">
        <f>IF(U$4="","",IFERROR(INDEX('因子水準表'!$B$9:$KO$18,8,MATCH(U$4,'因子水準表'!$B$4:$KO$4,0))&amp;"",""))</f>
        <v/>
      </c>
      <c r="CD13" s="26">
        <f>IF(V$4="","",IFERROR(INDEX('因子水準表'!$B$9:$KO$18,8,MATCH(V$4,'因子水準表'!$B$4:$KO$4,0))&amp;"",""))</f>
        <v/>
      </c>
      <c r="CE13" s="26">
        <f>IF(W$4="","",IFERROR(INDEX('因子水準表'!$B$9:$KO$18,8,MATCH(W$4,'因子水準表'!$B$4:$KO$4,0))&amp;"",""))</f>
        <v/>
      </c>
      <c r="CF13" s="26">
        <f>IF(X$4="","",IFERROR(INDEX('因子水準表'!$B$9:$KO$18,8,MATCH(X$4,'因子水準表'!$B$4:$KO$4,0))&amp;"",""))</f>
        <v/>
      </c>
      <c r="CG13" s="26">
        <f>IF(Y$4="","",IFERROR(INDEX('因子水準表'!$B$9:$KO$18,8,MATCH(Y$4,'因子水準表'!$B$4:$KO$4,0))&amp;"",""))</f>
        <v/>
      </c>
      <c r="CH13" s="26">
        <f>IF(Z$4="","",IFERROR(INDEX('因子水準表'!$B$9:$KO$18,8,MATCH(Z$4,'因子水準表'!$B$4:$KO$4,0))&amp;"",""))</f>
        <v/>
      </c>
      <c r="CI13" s="26">
        <f>IF(AA$4="","",IFERROR(INDEX('因子水準表'!$B$9:$KO$18,8,MATCH(AA$4,'因子水準表'!$B$4:$KO$4,0))&amp;"",""))</f>
        <v/>
      </c>
      <c r="CJ13" s="26">
        <f>IF(AB$4="","",IFERROR(INDEX('因子水準表'!$B$9:$KO$18,8,MATCH(AB$4,'因子水準表'!$B$4:$KO$4,0))&amp;"",""))</f>
        <v/>
      </c>
      <c r="CK13" s="26">
        <f>IF(AC$4="","",IFERROR(INDEX('因子水準表'!$B$9:$KO$18,8,MATCH(AC$4,'因子水準表'!$B$4:$KO$4,0))&amp;"",""))</f>
        <v/>
      </c>
      <c r="CL13" s="26">
        <f>IF(AD$4="","",IFERROR(INDEX('因子水準表'!$B$9:$KO$18,8,MATCH(AD$4,'因子水準表'!$B$4:$KO$4,0))&amp;"",""))</f>
        <v/>
      </c>
      <c r="CM13" s="26">
        <f>IF(AE$4="","",IFERROR(INDEX('因子水準表'!$B$9:$KO$18,8,MATCH(AE$4,'因子水準表'!$B$4:$KO$4,0))&amp;"",""))</f>
        <v/>
      </c>
      <c r="CN13" s="26">
        <f>IF(AF$4="","",IFERROR(INDEX('因子水準表'!$B$9:$KO$18,8,MATCH(AF$4,'因子水準表'!$B$4:$KO$4,0))&amp;"",""))</f>
        <v/>
      </c>
      <c r="CO13" s="26">
        <f>IF(AG$4="","",IFERROR(INDEX('因子水準表'!$B$9:$KO$18,8,MATCH(AG$4,'因子水準表'!$B$4:$KO$4,0))&amp;"",""))</f>
        <v/>
      </c>
      <c r="CP13" s="26">
        <f>IF(AH$4="","",IFERROR(INDEX('因子水準表'!$B$9:$KO$18,8,MATCH(AH$4,'因子水準表'!$B$4:$KO$4,0))&amp;"",""))</f>
        <v/>
      </c>
      <c r="CQ13" s="26">
        <f>IF(AI$4="","",IFERROR(INDEX('因子水準表'!$B$9:$KO$18,8,MATCH(AI$4,'因子水準表'!$B$4:$KO$4,0))&amp;"",""))</f>
        <v/>
      </c>
      <c r="CR13" s="26">
        <f>IF(AJ$4="","",IFERROR(INDEX('因子水準表'!$B$9:$KO$18,8,MATCH(AJ$4,'因子水準表'!$B$4:$KO$4,0))&amp;"",""))</f>
        <v/>
      </c>
      <c r="CS13" s="26">
        <f>IF(AK$4="","",IFERROR(INDEX('因子水準表'!$B$9:$KO$18,8,MATCH(AK$4,'因子水準表'!$B$4:$KO$4,0))&amp;"",""))</f>
        <v/>
      </c>
      <c r="CT13" s="26">
        <f>IF(AL$4="","",IFERROR(INDEX('因子水準表'!$B$9:$KO$18,8,MATCH(AL$4,'因子水準表'!$B$4:$KO$4,0))&amp;"",""))</f>
        <v/>
      </c>
      <c r="CU13" s="26">
        <f>IF(AM$4="","",IFERROR(INDEX('因子水準表'!$B$9:$KO$18,8,MATCH(AM$4,'因子水準表'!$B$4:$KO$4,0))&amp;"",""))</f>
        <v/>
      </c>
      <c r="CV13" s="26">
        <f>IF(AN$4="","",IFERROR(INDEX('因子水準表'!$B$9:$KO$18,8,MATCH(AN$4,'因子水準表'!$B$4:$KO$4,0))&amp;"",""))</f>
        <v/>
      </c>
      <c r="CW13" s="26">
        <f>IF(AO$4="","",IFERROR(INDEX('因子水準表'!$B$9:$KO$18,8,MATCH(AO$4,'因子水準表'!$B$4:$KO$4,0))&amp;"",""))</f>
        <v/>
      </c>
      <c r="CX13" s="26">
        <f>IF(AP$4="","",IFERROR(INDEX('因子水準表'!$B$9:$KO$18,8,MATCH(AP$4,'因子水準表'!$B$4:$KO$4,0))&amp;"",""))</f>
        <v/>
      </c>
      <c r="CY13" s="26">
        <f>IF(AQ$4="","",IFERROR(INDEX('因子水準表'!$B$9:$KO$18,8,MATCH(AQ$4,'因子水準表'!$B$4:$KO$4,0))&amp;"",""))</f>
        <v/>
      </c>
      <c r="CZ13" s="26">
        <f>IF(AR$4="","",IFERROR(INDEX('因子水準表'!$B$9:$KO$18,8,MATCH(AR$4,'因子水準表'!$B$4:$KO$4,0))&amp;"",""))</f>
        <v/>
      </c>
      <c r="DA13" s="26">
        <f>IF(AS$4="","",IFERROR(INDEX('因子水準表'!$B$9:$KO$18,8,MATCH(AS$4,'因子水準表'!$B$4:$KO$4,0))&amp;"",""))</f>
        <v/>
      </c>
      <c r="DB13" s="26">
        <f>IF(AT$4="","",IFERROR(INDEX('因子水準表'!$B$9:$KO$18,8,MATCH(AT$4,'因子水準表'!$B$4:$KO$4,0))&amp;"",""))</f>
        <v/>
      </c>
      <c r="DC13" s="26">
        <f>IF(AU$4="","",IFERROR(INDEX('因子水準表'!$B$9:$KO$18,8,MATCH(AU$4,'因子水準表'!$B$4:$KO$4,0))&amp;"",""))</f>
        <v/>
      </c>
      <c r="DD13" s="26">
        <f>IF(AV$4="","",IFERROR(INDEX('因子水準表'!$B$9:$KO$18,8,MATCH(AV$4,'因子水準表'!$B$4:$KO$4,0))&amp;"",""))</f>
        <v/>
      </c>
      <c r="DE13" s="26">
        <f>IF(AW$4="","",IFERROR(INDEX('因子水準表'!$B$9:$KO$18,8,MATCH(AW$4,'因子水準表'!$B$4:$KO$4,0))&amp;"",""))</f>
        <v/>
      </c>
      <c r="DF13" s="26">
        <f>IF(AX$4="","",IFERROR(INDEX('因子水準表'!$B$9:$KO$18,8,MATCH(AX$4,'因子水準表'!$B$4:$KO$4,0))&amp;"",""))</f>
        <v/>
      </c>
      <c r="DG13" s="26">
        <f>IF(AY$4="","",IFERROR(INDEX('因子水準表'!$B$9:$KO$18,8,MATCH(AY$4,'因子水準表'!$B$4:$KO$4,0))&amp;"",""))</f>
        <v/>
      </c>
      <c r="DH13" s="26">
        <f>IF(AZ$4="","",IFERROR(INDEX('因子水準表'!$B$9:$KO$18,8,MATCH(AZ$4,'因子水準表'!$B$4:$KO$4,0))&amp;"",""))</f>
        <v/>
      </c>
      <c r="DI13" s="26">
        <f>IF(BA$4="","",IFERROR(INDEX('因子水準表'!$B$9:$KO$18,8,MATCH(BA$4,'因子水準表'!$B$4:$KO$4,0))&amp;"",""))</f>
        <v/>
      </c>
      <c r="DJ13" s="26">
        <f>IF(BB$4="","",IFERROR(INDEX('因子水準表'!$B$9:$KO$18,8,MATCH(BB$4,'因子水準表'!$B$4:$KO$4,0))&amp;"",""))</f>
        <v/>
      </c>
      <c r="DK13" s="26">
        <f>IF(BC$4="","",IFERROR(INDEX('因子水準表'!$B$9:$KO$18,8,MATCH(BC$4,'因子水準表'!$B$4:$KO$4,0))&amp;"",""))</f>
        <v/>
      </c>
      <c r="DL13" s="26">
        <f>IF(BD$4="","",IFERROR(INDEX('因子水準表'!$B$9:$KO$18,8,MATCH(BD$4,'因子水準表'!$B$4:$KO$4,0))&amp;"",""))</f>
        <v/>
      </c>
      <c r="DM13" s="26">
        <f>IF('因子水準表'!B36="","",'因子水準表'!B36)</f>
        <v/>
      </c>
      <c r="DN13" s="26">
        <f>IF('テスト条件'!A12="","",'テスト条件'!A12)</f>
        <v/>
      </c>
    </row>
    <row r="14">
      <c r="A14" s="27" t="n"/>
      <c r="B14" s="27" t="n"/>
      <c r="C14" s="28">
        <f>IF(A14="","",$B$2)</f>
        <v/>
      </c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7" t="n"/>
      <c r="AO14" s="27" t="n"/>
      <c r="AP14" s="27" t="n"/>
      <c r="AQ14" s="27" t="n"/>
      <c r="AR14" s="27" t="n"/>
      <c r="AS14" s="27" t="n"/>
      <c r="AT14" s="27" t="n"/>
      <c r="AU14" s="27" t="n"/>
      <c r="AV14" s="27" t="n"/>
      <c r="AW14" s="27" t="n"/>
      <c r="AX14" s="27" t="n"/>
      <c r="AY14" s="27" t="n"/>
      <c r="AZ14" s="27" t="n"/>
      <c r="BA14" s="27" t="n"/>
      <c r="BB14" s="27" t="n"/>
      <c r="BC14" s="27" t="n"/>
      <c r="BD14" s="27" t="n"/>
      <c r="BE14" s="27" t="n"/>
      <c r="BF14" s="27" t="n"/>
      <c r="BG14" s="27" t="n"/>
      <c r="BH14" s="27" t="n"/>
      <c r="BI14" s="29" t="n"/>
      <c r="BJ14" s="27" t="n"/>
      <c r="BK14" s="27" t="n"/>
      <c r="BL14" s="27" t="n"/>
      <c r="BM14" s="27" t="n"/>
      <c r="BO14" s="26">
        <f>IF(G$4="","",IFERROR(INDEX('因子水準表'!$B$9:$KO$18,9,MATCH(G$4,'因子水準表'!$B$4:$KO$4,0))&amp;"",""))</f>
        <v/>
      </c>
      <c r="BP14" s="26">
        <f>IF(H$4="","",IFERROR(INDEX('因子水準表'!$B$9:$KO$18,9,MATCH(H$4,'因子水準表'!$B$4:$KO$4,0))&amp;"",""))</f>
        <v/>
      </c>
      <c r="BQ14" s="26">
        <f>IF(I$4="","",IFERROR(INDEX('因子水準表'!$B$9:$KO$18,9,MATCH(I$4,'因子水準表'!$B$4:$KO$4,0))&amp;"",""))</f>
        <v/>
      </c>
      <c r="BR14" s="26">
        <f>IF(J$4="","",IFERROR(INDEX('因子水準表'!$B$9:$KO$18,9,MATCH(J$4,'因子水準表'!$B$4:$KO$4,0))&amp;"",""))</f>
        <v/>
      </c>
      <c r="BS14" s="26">
        <f>IF(K$4="","",IFERROR(INDEX('因子水準表'!$B$9:$KO$18,9,MATCH(K$4,'因子水準表'!$B$4:$KO$4,0))&amp;"",""))</f>
        <v/>
      </c>
      <c r="BT14" s="26">
        <f>IF(L$4="","",IFERROR(INDEX('因子水準表'!$B$9:$KO$18,9,MATCH(L$4,'因子水準表'!$B$4:$KO$4,0))&amp;"",""))</f>
        <v/>
      </c>
      <c r="BU14" s="26">
        <f>IF(M$4="","",IFERROR(INDEX('因子水準表'!$B$9:$KO$18,9,MATCH(M$4,'因子水準表'!$B$4:$KO$4,0))&amp;"",""))</f>
        <v/>
      </c>
      <c r="BV14" s="26">
        <f>IF(N$4="","",IFERROR(INDEX('因子水準表'!$B$9:$KO$18,9,MATCH(N$4,'因子水準表'!$B$4:$KO$4,0))&amp;"",""))</f>
        <v/>
      </c>
      <c r="BW14" s="26">
        <f>IF(O$4="","",IFERROR(INDEX('因子水準表'!$B$9:$KO$18,9,MATCH(O$4,'因子水準表'!$B$4:$KO$4,0))&amp;"",""))</f>
        <v/>
      </c>
      <c r="BX14" s="26">
        <f>IF(P$4="","",IFERROR(INDEX('因子水準表'!$B$9:$KO$18,9,MATCH(P$4,'因子水準表'!$B$4:$KO$4,0))&amp;"",""))</f>
        <v/>
      </c>
      <c r="BY14" s="26">
        <f>IF(Q$4="","",IFERROR(INDEX('因子水準表'!$B$9:$KO$18,9,MATCH(Q$4,'因子水準表'!$B$4:$KO$4,0))&amp;"",""))</f>
        <v/>
      </c>
      <c r="BZ14" s="26">
        <f>IF(R$4="","",IFERROR(INDEX('因子水準表'!$B$9:$KO$18,9,MATCH(R$4,'因子水準表'!$B$4:$KO$4,0))&amp;"",""))</f>
        <v/>
      </c>
      <c r="CA14" s="26">
        <f>IF(S$4="","",IFERROR(INDEX('因子水準表'!$B$9:$KO$18,9,MATCH(S$4,'因子水準表'!$B$4:$KO$4,0))&amp;"",""))</f>
        <v/>
      </c>
      <c r="CB14" s="26">
        <f>IF(T$4="","",IFERROR(INDEX('因子水準表'!$B$9:$KO$18,9,MATCH(T$4,'因子水準表'!$B$4:$KO$4,0))&amp;"",""))</f>
        <v/>
      </c>
      <c r="CC14" s="26">
        <f>IF(U$4="","",IFERROR(INDEX('因子水準表'!$B$9:$KO$18,9,MATCH(U$4,'因子水準表'!$B$4:$KO$4,0))&amp;"",""))</f>
        <v/>
      </c>
      <c r="CD14" s="26">
        <f>IF(V$4="","",IFERROR(INDEX('因子水準表'!$B$9:$KO$18,9,MATCH(V$4,'因子水準表'!$B$4:$KO$4,0))&amp;"",""))</f>
        <v/>
      </c>
      <c r="CE14" s="26">
        <f>IF(W$4="","",IFERROR(INDEX('因子水準表'!$B$9:$KO$18,9,MATCH(W$4,'因子水準表'!$B$4:$KO$4,0))&amp;"",""))</f>
        <v/>
      </c>
      <c r="CF14" s="26">
        <f>IF(X$4="","",IFERROR(INDEX('因子水準表'!$B$9:$KO$18,9,MATCH(X$4,'因子水準表'!$B$4:$KO$4,0))&amp;"",""))</f>
        <v/>
      </c>
      <c r="CG14" s="26">
        <f>IF(Y$4="","",IFERROR(INDEX('因子水準表'!$B$9:$KO$18,9,MATCH(Y$4,'因子水準表'!$B$4:$KO$4,0))&amp;"",""))</f>
        <v/>
      </c>
      <c r="CH14" s="26">
        <f>IF(Z$4="","",IFERROR(INDEX('因子水準表'!$B$9:$KO$18,9,MATCH(Z$4,'因子水準表'!$B$4:$KO$4,0))&amp;"",""))</f>
        <v/>
      </c>
      <c r="CI14" s="26">
        <f>IF(AA$4="","",IFERROR(INDEX('因子水準表'!$B$9:$KO$18,9,MATCH(AA$4,'因子水準表'!$B$4:$KO$4,0))&amp;"",""))</f>
        <v/>
      </c>
      <c r="CJ14" s="26">
        <f>IF(AB$4="","",IFERROR(INDEX('因子水準表'!$B$9:$KO$18,9,MATCH(AB$4,'因子水準表'!$B$4:$KO$4,0))&amp;"",""))</f>
        <v/>
      </c>
      <c r="CK14" s="26">
        <f>IF(AC$4="","",IFERROR(INDEX('因子水準表'!$B$9:$KO$18,9,MATCH(AC$4,'因子水準表'!$B$4:$KO$4,0))&amp;"",""))</f>
        <v/>
      </c>
      <c r="CL14" s="26">
        <f>IF(AD$4="","",IFERROR(INDEX('因子水準表'!$B$9:$KO$18,9,MATCH(AD$4,'因子水準表'!$B$4:$KO$4,0))&amp;"",""))</f>
        <v/>
      </c>
      <c r="CM14" s="26">
        <f>IF(AE$4="","",IFERROR(INDEX('因子水準表'!$B$9:$KO$18,9,MATCH(AE$4,'因子水準表'!$B$4:$KO$4,0))&amp;"",""))</f>
        <v/>
      </c>
      <c r="CN14" s="26">
        <f>IF(AF$4="","",IFERROR(INDEX('因子水準表'!$B$9:$KO$18,9,MATCH(AF$4,'因子水準表'!$B$4:$KO$4,0))&amp;"",""))</f>
        <v/>
      </c>
      <c r="CO14" s="26">
        <f>IF(AG$4="","",IFERROR(INDEX('因子水準表'!$B$9:$KO$18,9,MATCH(AG$4,'因子水準表'!$B$4:$KO$4,0))&amp;"",""))</f>
        <v/>
      </c>
      <c r="CP14" s="26">
        <f>IF(AH$4="","",IFERROR(INDEX('因子水準表'!$B$9:$KO$18,9,MATCH(AH$4,'因子水準表'!$B$4:$KO$4,0))&amp;"",""))</f>
        <v/>
      </c>
      <c r="CQ14" s="26">
        <f>IF(AI$4="","",IFERROR(INDEX('因子水準表'!$B$9:$KO$18,9,MATCH(AI$4,'因子水準表'!$B$4:$KO$4,0))&amp;"",""))</f>
        <v/>
      </c>
      <c r="CR14" s="26">
        <f>IF(AJ$4="","",IFERROR(INDEX('因子水準表'!$B$9:$KO$18,9,MATCH(AJ$4,'因子水準表'!$B$4:$KO$4,0))&amp;"",""))</f>
        <v/>
      </c>
      <c r="CS14" s="26">
        <f>IF(AK$4="","",IFERROR(INDEX('因子水準表'!$B$9:$KO$18,9,MATCH(AK$4,'因子水準表'!$B$4:$KO$4,0))&amp;"",""))</f>
        <v/>
      </c>
      <c r="CT14" s="26">
        <f>IF(AL$4="","",IFERROR(INDEX('因子水準表'!$B$9:$KO$18,9,MATCH(AL$4,'因子水準表'!$B$4:$KO$4,0))&amp;"",""))</f>
        <v/>
      </c>
      <c r="CU14" s="26">
        <f>IF(AM$4="","",IFERROR(INDEX('因子水準表'!$B$9:$KO$18,9,MATCH(AM$4,'因子水準表'!$B$4:$KO$4,0))&amp;"",""))</f>
        <v/>
      </c>
      <c r="CV14" s="26">
        <f>IF(AN$4="","",IFERROR(INDEX('因子水準表'!$B$9:$KO$18,9,MATCH(AN$4,'因子水準表'!$B$4:$KO$4,0))&amp;"",""))</f>
        <v/>
      </c>
      <c r="CW14" s="26">
        <f>IF(AO$4="","",IFERROR(INDEX('因子水準表'!$B$9:$KO$18,9,MATCH(AO$4,'因子水準表'!$B$4:$KO$4,0))&amp;"",""))</f>
        <v/>
      </c>
      <c r="CX14" s="26">
        <f>IF(AP$4="","",IFERROR(INDEX('因子水準表'!$B$9:$KO$18,9,MATCH(AP$4,'因子水準表'!$B$4:$KO$4,0))&amp;"",""))</f>
        <v/>
      </c>
      <c r="CY14" s="26">
        <f>IF(AQ$4="","",IFERROR(INDEX('因子水準表'!$B$9:$KO$18,9,MATCH(AQ$4,'因子水準表'!$B$4:$KO$4,0))&amp;"",""))</f>
        <v/>
      </c>
      <c r="CZ14" s="26">
        <f>IF(AR$4="","",IFERROR(INDEX('因子水準表'!$B$9:$KO$18,9,MATCH(AR$4,'因子水準表'!$B$4:$KO$4,0))&amp;"",""))</f>
        <v/>
      </c>
      <c r="DA14" s="26">
        <f>IF(AS$4="","",IFERROR(INDEX('因子水準表'!$B$9:$KO$18,9,MATCH(AS$4,'因子水準表'!$B$4:$KO$4,0))&amp;"",""))</f>
        <v/>
      </c>
      <c r="DB14" s="26">
        <f>IF(AT$4="","",IFERROR(INDEX('因子水準表'!$B$9:$KO$18,9,MATCH(AT$4,'因子水準表'!$B$4:$KO$4,0))&amp;"",""))</f>
        <v/>
      </c>
      <c r="DC14" s="26">
        <f>IF(AU$4="","",IFERROR(INDEX('因子水準表'!$B$9:$KO$18,9,MATCH(AU$4,'因子水準表'!$B$4:$KO$4,0))&amp;"",""))</f>
        <v/>
      </c>
      <c r="DD14" s="26">
        <f>IF(AV$4="","",IFERROR(INDEX('因子水準表'!$B$9:$KO$18,9,MATCH(AV$4,'因子水準表'!$B$4:$KO$4,0))&amp;"",""))</f>
        <v/>
      </c>
      <c r="DE14" s="26">
        <f>IF(AW$4="","",IFERROR(INDEX('因子水準表'!$B$9:$KO$18,9,MATCH(AW$4,'因子水準表'!$B$4:$KO$4,0))&amp;"",""))</f>
        <v/>
      </c>
      <c r="DF14" s="26">
        <f>IF(AX$4="","",IFERROR(INDEX('因子水準表'!$B$9:$KO$18,9,MATCH(AX$4,'因子水準表'!$B$4:$KO$4,0))&amp;"",""))</f>
        <v/>
      </c>
      <c r="DG14" s="26">
        <f>IF(AY$4="","",IFERROR(INDEX('因子水準表'!$B$9:$KO$18,9,MATCH(AY$4,'因子水準表'!$B$4:$KO$4,0))&amp;"",""))</f>
        <v/>
      </c>
      <c r="DH14" s="26">
        <f>IF(AZ$4="","",IFERROR(INDEX('因子水準表'!$B$9:$KO$18,9,MATCH(AZ$4,'因子水準表'!$B$4:$KO$4,0))&amp;"",""))</f>
        <v/>
      </c>
      <c r="DI14" s="26">
        <f>IF(BA$4="","",IFERROR(INDEX('因子水準表'!$B$9:$KO$18,9,MATCH(BA$4,'因子水準表'!$B$4:$KO$4,0))&amp;"",""))</f>
        <v/>
      </c>
      <c r="DJ14" s="26">
        <f>IF(BB$4="","",IFERROR(INDEX('因子水準表'!$B$9:$KO$18,9,MATCH(BB$4,'因子水準表'!$B$4:$KO$4,0))&amp;"",""))</f>
        <v/>
      </c>
      <c r="DK14" s="26">
        <f>IF(BC$4="","",IFERROR(INDEX('因子水準表'!$B$9:$KO$18,9,MATCH(BC$4,'因子水準表'!$B$4:$KO$4,0))&amp;"",""))</f>
        <v/>
      </c>
      <c r="DL14" s="26">
        <f>IF(BD$4="","",IFERROR(INDEX('因子水準表'!$B$9:$KO$18,9,MATCH(BD$4,'因子水準表'!$B$4:$KO$4,0))&amp;"",""))</f>
        <v/>
      </c>
      <c r="DM14" s="26">
        <f>IF('因子水準表'!B37="","",'因子水準表'!B37)</f>
        <v/>
      </c>
      <c r="DN14" s="26">
        <f>IF('テスト条件'!A13="","",'テスト条件'!A13)</f>
        <v/>
      </c>
    </row>
    <row r="15">
      <c r="A15" s="27" t="n"/>
      <c r="B15" s="27" t="n"/>
      <c r="C15" s="28">
        <f>IF(A15="","",$B$2)</f>
        <v/>
      </c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  <c r="AI15" s="27" t="n"/>
      <c r="AJ15" s="27" t="n"/>
      <c r="AK15" s="27" t="n"/>
      <c r="AL15" s="27" t="n"/>
      <c r="AM15" s="27" t="n"/>
      <c r="AN15" s="27" t="n"/>
      <c r="AO15" s="27" t="n"/>
      <c r="AP15" s="27" t="n"/>
      <c r="AQ15" s="27" t="n"/>
      <c r="AR15" s="27" t="n"/>
      <c r="AS15" s="27" t="n"/>
      <c r="AT15" s="27" t="n"/>
      <c r="AU15" s="27" t="n"/>
      <c r="AV15" s="27" t="n"/>
      <c r="AW15" s="27" t="n"/>
      <c r="AX15" s="27" t="n"/>
      <c r="AY15" s="27" t="n"/>
      <c r="AZ15" s="27" t="n"/>
      <c r="BA15" s="27" t="n"/>
      <c r="BB15" s="27" t="n"/>
      <c r="BC15" s="27" t="n"/>
      <c r="BD15" s="27" t="n"/>
      <c r="BE15" s="27" t="n"/>
      <c r="BF15" s="27" t="n"/>
      <c r="BG15" s="27" t="n"/>
      <c r="BH15" s="27" t="n"/>
      <c r="BI15" s="29" t="n"/>
      <c r="BJ15" s="27" t="n"/>
      <c r="BK15" s="27" t="n"/>
      <c r="BL15" s="27" t="n"/>
      <c r="BM15" s="27" t="n"/>
      <c r="BO15" s="26">
        <f>IF(G$4="","",IFERROR(INDEX('因子水準表'!$B$9:$KO$18,10,MATCH(G$4,'因子水準表'!$B$4:$KO$4,0))&amp;"",""))</f>
        <v/>
      </c>
      <c r="BP15" s="26">
        <f>IF(H$4="","",IFERROR(INDEX('因子水準表'!$B$9:$KO$18,10,MATCH(H$4,'因子水準表'!$B$4:$KO$4,0))&amp;"",""))</f>
        <v/>
      </c>
      <c r="BQ15" s="26">
        <f>IF(I$4="","",IFERROR(INDEX('因子水準表'!$B$9:$KO$18,10,MATCH(I$4,'因子水準表'!$B$4:$KO$4,0))&amp;"",""))</f>
        <v/>
      </c>
      <c r="BR15" s="26">
        <f>IF(J$4="","",IFERROR(INDEX('因子水準表'!$B$9:$KO$18,10,MATCH(J$4,'因子水準表'!$B$4:$KO$4,0))&amp;"",""))</f>
        <v/>
      </c>
      <c r="BS15" s="26">
        <f>IF(K$4="","",IFERROR(INDEX('因子水準表'!$B$9:$KO$18,10,MATCH(K$4,'因子水準表'!$B$4:$KO$4,0))&amp;"",""))</f>
        <v/>
      </c>
      <c r="BT15" s="26">
        <f>IF(L$4="","",IFERROR(INDEX('因子水準表'!$B$9:$KO$18,10,MATCH(L$4,'因子水準表'!$B$4:$KO$4,0))&amp;"",""))</f>
        <v/>
      </c>
      <c r="BU15" s="26">
        <f>IF(M$4="","",IFERROR(INDEX('因子水準表'!$B$9:$KO$18,10,MATCH(M$4,'因子水準表'!$B$4:$KO$4,0))&amp;"",""))</f>
        <v/>
      </c>
      <c r="BV15" s="26">
        <f>IF(N$4="","",IFERROR(INDEX('因子水準表'!$B$9:$KO$18,10,MATCH(N$4,'因子水準表'!$B$4:$KO$4,0))&amp;"",""))</f>
        <v/>
      </c>
      <c r="BW15" s="26">
        <f>IF(O$4="","",IFERROR(INDEX('因子水準表'!$B$9:$KO$18,10,MATCH(O$4,'因子水準表'!$B$4:$KO$4,0))&amp;"",""))</f>
        <v/>
      </c>
      <c r="BX15" s="26">
        <f>IF(P$4="","",IFERROR(INDEX('因子水準表'!$B$9:$KO$18,10,MATCH(P$4,'因子水準表'!$B$4:$KO$4,0))&amp;"",""))</f>
        <v/>
      </c>
      <c r="BY15" s="26">
        <f>IF(Q$4="","",IFERROR(INDEX('因子水準表'!$B$9:$KO$18,10,MATCH(Q$4,'因子水準表'!$B$4:$KO$4,0))&amp;"",""))</f>
        <v/>
      </c>
      <c r="BZ15" s="26">
        <f>IF(R$4="","",IFERROR(INDEX('因子水準表'!$B$9:$KO$18,10,MATCH(R$4,'因子水準表'!$B$4:$KO$4,0))&amp;"",""))</f>
        <v/>
      </c>
      <c r="CA15" s="26">
        <f>IF(S$4="","",IFERROR(INDEX('因子水準表'!$B$9:$KO$18,10,MATCH(S$4,'因子水準表'!$B$4:$KO$4,0))&amp;"",""))</f>
        <v/>
      </c>
      <c r="CB15" s="26">
        <f>IF(T$4="","",IFERROR(INDEX('因子水準表'!$B$9:$KO$18,10,MATCH(T$4,'因子水準表'!$B$4:$KO$4,0))&amp;"",""))</f>
        <v/>
      </c>
      <c r="CC15" s="26">
        <f>IF(U$4="","",IFERROR(INDEX('因子水準表'!$B$9:$KO$18,10,MATCH(U$4,'因子水準表'!$B$4:$KO$4,0))&amp;"",""))</f>
        <v/>
      </c>
      <c r="CD15" s="26">
        <f>IF(V$4="","",IFERROR(INDEX('因子水準表'!$B$9:$KO$18,10,MATCH(V$4,'因子水準表'!$B$4:$KO$4,0))&amp;"",""))</f>
        <v/>
      </c>
      <c r="CE15" s="26">
        <f>IF(W$4="","",IFERROR(INDEX('因子水準表'!$B$9:$KO$18,10,MATCH(W$4,'因子水準表'!$B$4:$KO$4,0))&amp;"",""))</f>
        <v/>
      </c>
      <c r="CF15" s="26">
        <f>IF(X$4="","",IFERROR(INDEX('因子水準表'!$B$9:$KO$18,10,MATCH(X$4,'因子水準表'!$B$4:$KO$4,0))&amp;"",""))</f>
        <v/>
      </c>
      <c r="CG15" s="26">
        <f>IF(Y$4="","",IFERROR(INDEX('因子水準表'!$B$9:$KO$18,10,MATCH(Y$4,'因子水準表'!$B$4:$KO$4,0))&amp;"",""))</f>
        <v/>
      </c>
      <c r="CH15" s="26">
        <f>IF(Z$4="","",IFERROR(INDEX('因子水準表'!$B$9:$KO$18,10,MATCH(Z$4,'因子水準表'!$B$4:$KO$4,0))&amp;"",""))</f>
        <v/>
      </c>
      <c r="CI15" s="26">
        <f>IF(AA$4="","",IFERROR(INDEX('因子水準表'!$B$9:$KO$18,10,MATCH(AA$4,'因子水準表'!$B$4:$KO$4,0))&amp;"",""))</f>
        <v/>
      </c>
      <c r="CJ15" s="26">
        <f>IF(AB$4="","",IFERROR(INDEX('因子水準表'!$B$9:$KO$18,10,MATCH(AB$4,'因子水準表'!$B$4:$KO$4,0))&amp;"",""))</f>
        <v/>
      </c>
      <c r="CK15" s="26">
        <f>IF(AC$4="","",IFERROR(INDEX('因子水準表'!$B$9:$KO$18,10,MATCH(AC$4,'因子水準表'!$B$4:$KO$4,0))&amp;"",""))</f>
        <v/>
      </c>
      <c r="CL15" s="26">
        <f>IF(AD$4="","",IFERROR(INDEX('因子水準表'!$B$9:$KO$18,10,MATCH(AD$4,'因子水準表'!$B$4:$KO$4,0))&amp;"",""))</f>
        <v/>
      </c>
      <c r="CM15" s="26">
        <f>IF(AE$4="","",IFERROR(INDEX('因子水準表'!$B$9:$KO$18,10,MATCH(AE$4,'因子水準表'!$B$4:$KO$4,0))&amp;"",""))</f>
        <v/>
      </c>
      <c r="CN15" s="26">
        <f>IF(AF$4="","",IFERROR(INDEX('因子水準表'!$B$9:$KO$18,10,MATCH(AF$4,'因子水準表'!$B$4:$KO$4,0))&amp;"",""))</f>
        <v/>
      </c>
      <c r="CO15" s="26">
        <f>IF(AG$4="","",IFERROR(INDEX('因子水準表'!$B$9:$KO$18,10,MATCH(AG$4,'因子水準表'!$B$4:$KO$4,0))&amp;"",""))</f>
        <v/>
      </c>
      <c r="CP15" s="26">
        <f>IF(AH$4="","",IFERROR(INDEX('因子水準表'!$B$9:$KO$18,10,MATCH(AH$4,'因子水準表'!$B$4:$KO$4,0))&amp;"",""))</f>
        <v/>
      </c>
      <c r="CQ15" s="26">
        <f>IF(AI$4="","",IFERROR(INDEX('因子水準表'!$B$9:$KO$18,10,MATCH(AI$4,'因子水準表'!$B$4:$KO$4,0))&amp;"",""))</f>
        <v/>
      </c>
      <c r="CR15" s="26">
        <f>IF(AJ$4="","",IFERROR(INDEX('因子水準表'!$B$9:$KO$18,10,MATCH(AJ$4,'因子水準表'!$B$4:$KO$4,0))&amp;"",""))</f>
        <v/>
      </c>
      <c r="CS15" s="26">
        <f>IF(AK$4="","",IFERROR(INDEX('因子水準表'!$B$9:$KO$18,10,MATCH(AK$4,'因子水準表'!$B$4:$KO$4,0))&amp;"",""))</f>
        <v/>
      </c>
      <c r="CT15" s="26">
        <f>IF(AL$4="","",IFERROR(INDEX('因子水準表'!$B$9:$KO$18,10,MATCH(AL$4,'因子水準表'!$B$4:$KO$4,0))&amp;"",""))</f>
        <v/>
      </c>
      <c r="CU15" s="26">
        <f>IF(AM$4="","",IFERROR(INDEX('因子水準表'!$B$9:$KO$18,10,MATCH(AM$4,'因子水準表'!$B$4:$KO$4,0))&amp;"",""))</f>
        <v/>
      </c>
      <c r="CV15" s="26">
        <f>IF(AN$4="","",IFERROR(INDEX('因子水準表'!$B$9:$KO$18,10,MATCH(AN$4,'因子水準表'!$B$4:$KO$4,0))&amp;"",""))</f>
        <v/>
      </c>
      <c r="CW15" s="26">
        <f>IF(AO$4="","",IFERROR(INDEX('因子水準表'!$B$9:$KO$18,10,MATCH(AO$4,'因子水準表'!$B$4:$KO$4,0))&amp;"",""))</f>
        <v/>
      </c>
      <c r="CX15" s="26">
        <f>IF(AP$4="","",IFERROR(INDEX('因子水準表'!$B$9:$KO$18,10,MATCH(AP$4,'因子水準表'!$B$4:$KO$4,0))&amp;"",""))</f>
        <v/>
      </c>
      <c r="CY15" s="26">
        <f>IF(AQ$4="","",IFERROR(INDEX('因子水準表'!$B$9:$KO$18,10,MATCH(AQ$4,'因子水準表'!$B$4:$KO$4,0))&amp;"",""))</f>
        <v/>
      </c>
      <c r="CZ15" s="26">
        <f>IF(AR$4="","",IFERROR(INDEX('因子水準表'!$B$9:$KO$18,10,MATCH(AR$4,'因子水準表'!$B$4:$KO$4,0))&amp;"",""))</f>
        <v/>
      </c>
      <c r="DA15" s="26">
        <f>IF(AS$4="","",IFERROR(INDEX('因子水準表'!$B$9:$KO$18,10,MATCH(AS$4,'因子水準表'!$B$4:$KO$4,0))&amp;"",""))</f>
        <v/>
      </c>
      <c r="DB15" s="26">
        <f>IF(AT$4="","",IFERROR(INDEX('因子水準表'!$B$9:$KO$18,10,MATCH(AT$4,'因子水準表'!$B$4:$KO$4,0))&amp;"",""))</f>
        <v/>
      </c>
      <c r="DC15" s="26">
        <f>IF(AU$4="","",IFERROR(INDEX('因子水準表'!$B$9:$KO$18,10,MATCH(AU$4,'因子水準表'!$B$4:$KO$4,0))&amp;"",""))</f>
        <v/>
      </c>
      <c r="DD15" s="26">
        <f>IF(AV$4="","",IFERROR(INDEX('因子水準表'!$B$9:$KO$18,10,MATCH(AV$4,'因子水準表'!$B$4:$KO$4,0))&amp;"",""))</f>
        <v/>
      </c>
      <c r="DE15" s="26">
        <f>IF(AW$4="","",IFERROR(INDEX('因子水準表'!$B$9:$KO$18,10,MATCH(AW$4,'因子水準表'!$B$4:$KO$4,0))&amp;"",""))</f>
        <v/>
      </c>
      <c r="DF15" s="26">
        <f>IF(AX$4="","",IFERROR(INDEX('因子水準表'!$B$9:$KO$18,10,MATCH(AX$4,'因子水準表'!$B$4:$KO$4,0))&amp;"",""))</f>
        <v/>
      </c>
      <c r="DG15" s="26">
        <f>IF(AY$4="","",IFERROR(INDEX('因子水準表'!$B$9:$KO$18,10,MATCH(AY$4,'因子水準表'!$B$4:$KO$4,0))&amp;"",""))</f>
        <v/>
      </c>
      <c r="DH15" s="26">
        <f>IF(AZ$4="","",IFERROR(INDEX('因子水準表'!$B$9:$KO$18,10,MATCH(AZ$4,'因子水準表'!$B$4:$KO$4,0))&amp;"",""))</f>
        <v/>
      </c>
      <c r="DI15" s="26">
        <f>IF(BA$4="","",IFERROR(INDEX('因子水準表'!$B$9:$KO$18,10,MATCH(BA$4,'因子水準表'!$B$4:$KO$4,0))&amp;"",""))</f>
        <v/>
      </c>
      <c r="DJ15" s="26">
        <f>IF(BB$4="","",IFERROR(INDEX('因子水準表'!$B$9:$KO$18,10,MATCH(BB$4,'因子水準表'!$B$4:$KO$4,0))&amp;"",""))</f>
        <v/>
      </c>
      <c r="DK15" s="26">
        <f>IF(BC$4="","",IFERROR(INDEX('因子水準表'!$B$9:$KO$18,10,MATCH(BC$4,'因子水準表'!$B$4:$KO$4,0))&amp;"",""))</f>
        <v/>
      </c>
      <c r="DL15" s="26">
        <f>IF(BD$4="","",IFERROR(INDEX('因子水準表'!$B$9:$KO$18,10,MATCH(BD$4,'因子水準表'!$B$4:$KO$4,0))&amp;"",""))</f>
        <v/>
      </c>
      <c r="DM15" s="26">
        <f>IF('因子水準表'!B38="","",'因子水準表'!B38)</f>
        <v/>
      </c>
      <c r="DN15" s="26">
        <f>IF('テスト条件'!A14="","",'テスト条件'!A14)</f>
        <v/>
      </c>
    </row>
    <row r="16">
      <c r="A16" s="27" t="n"/>
      <c r="B16" s="27" t="n"/>
      <c r="C16" s="28">
        <f>IF(A16="","",$B$2)</f>
        <v/>
      </c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  <c r="AA16" s="27" t="n"/>
      <c r="AB16" s="27" t="n"/>
      <c r="AC16" s="27" t="n"/>
      <c r="AD16" s="27" t="n"/>
      <c r="AE16" s="27" t="n"/>
      <c r="AF16" s="27" t="n"/>
      <c r="AG16" s="27" t="n"/>
      <c r="AH16" s="27" t="n"/>
      <c r="AI16" s="27" t="n"/>
      <c r="AJ16" s="27" t="n"/>
      <c r="AK16" s="27" t="n"/>
      <c r="AL16" s="27" t="n"/>
      <c r="AM16" s="27" t="n"/>
      <c r="AN16" s="27" t="n"/>
      <c r="AO16" s="27" t="n"/>
      <c r="AP16" s="27" t="n"/>
      <c r="AQ16" s="27" t="n"/>
      <c r="AR16" s="27" t="n"/>
      <c r="AS16" s="27" t="n"/>
      <c r="AT16" s="27" t="n"/>
      <c r="AU16" s="27" t="n"/>
      <c r="AV16" s="27" t="n"/>
      <c r="AW16" s="27" t="n"/>
      <c r="AX16" s="27" t="n"/>
      <c r="AY16" s="27" t="n"/>
      <c r="AZ16" s="27" t="n"/>
      <c r="BA16" s="27" t="n"/>
      <c r="BB16" s="27" t="n"/>
      <c r="BC16" s="27" t="n"/>
      <c r="BD16" s="27" t="n"/>
      <c r="BE16" s="27" t="n"/>
      <c r="BF16" s="27" t="n"/>
      <c r="BG16" s="27" t="n"/>
      <c r="BH16" s="27" t="n"/>
      <c r="BI16" s="29" t="n"/>
      <c r="BJ16" s="27" t="n"/>
      <c r="BK16" s="27" t="n"/>
      <c r="BL16" s="27" t="n"/>
      <c r="BM16" s="27" t="n"/>
      <c r="DM16" s="26">
        <f>IF('因子水準表'!B39="","",'因子水準表'!B39)</f>
        <v/>
      </c>
      <c r="DN16" s="26">
        <f>IF('テスト条件'!A15="","",'テスト条件'!A15)</f>
        <v/>
      </c>
    </row>
    <row r="17">
      <c r="A17" s="27" t="n"/>
      <c r="B17" s="27" t="n"/>
      <c r="C17" s="28">
        <f>IF(A17="","",$B$2)</f>
        <v/>
      </c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  <c r="AI17" s="27" t="n"/>
      <c r="AJ17" s="27" t="n"/>
      <c r="AK17" s="27" t="n"/>
      <c r="AL17" s="27" t="n"/>
      <c r="AM17" s="27" t="n"/>
      <c r="AN17" s="27" t="n"/>
      <c r="AO17" s="27" t="n"/>
      <c r="AP17" s="27" t="n"/>
      <c r="AQ17" s="27" t="n"/>
      <c r="AR17" s="27" t="n"/>
      <c r="AS17" s="27" t="n"/>
      <c r="AT17" s="27" t="n"/>
      <c r="AU17" s="27" t="n"/>
      <c r="AV17" s="27" t="n"/>
      <c r="AW17" s="27" t="n"/>
      <c r="AX17" s="27" t="n"/>
      <c r="AY17" s="27" t="n"/>
      <c r="AZ17" s="27" t="n"/>
      <c r="BA17" s="27" t="n"/>
      <c r="BB17" s="27" t="n"/>
      <c r="BC17" s="27" t="n"/>
      <c r="BD17" s="27" t="n"/>
      <c r="BE17" s="27" t="n"/>
      <c r="BF17" s="27" t="n"/>
      <c r="BG17" s="27" t="n"/>
      <c r="BH17" s="27" t="n"/>
      <c r="BI17" s="29" t="n"/>
      <c r="BJ17" s="27" t="n"/>
      <c r="BK17" s="27" t="n"/>
      <c r="BL17" s="27" t="n"/>
      <c r="BM17" s="27" t="n"/>
      <c r="DM17" s="26">
        <f>IF('因子水準表'!B40="","",'因子水準表'!B40)</f>
        <v/>
      </c>
      <c r="DN17" s="26">
        <f>IF('テスト条件'!A16="","",'テスト条件'!A16)</f>
        <v/>
      </c>
    </row>
    <row r="18">
      <c r="A18" s="27" t="n"/>
      <c r="B18" s="27" t="n"/>
      <c r="C18" s="28">
        <f>IF(A18="","",$B$2)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  <c r="AJ18" s="27" t="n"/>
      <c r="AK18" s="27" t="n"/>
      <c r="AL18" s="27" t="n"/>
      <c r="AM18" s="27" t="n"/>
      <c r="AN18" s="27" t="n"/>
      <c r="AO18" s="27" t="n"/>
      <c r="AP18" s="27" t="n"/>
      <c r="AQ18" s="27" t="n"/>
      <c r="AR18" s="27" t="n"/>
      <c r="AS18" s="27" t="n"/>
      <c r="AT18" s="27" t="n"/>
      <c r="AU18" s="27" t="n"/>
      <c r="AV18" s="27" t="n"/>
      <c r="AW18" s="27" t="n"/>
      <c r="AX18" s="27" t="n"/>
      <c r="AY18" s="27" t="n"/>
      <c r="AZ18" s="27" t="n"/>
      <c r="BA18" s="27" t="n"/>
      <c r="BB18" s="27" t="n"/>
      <c r="BC18" s="27" t="n"/>
      <c r="BD18" s="27" t="n"/>
      <c r="BE18" s="27" t="n"/>
      <c r="BF18" s="27" t="n"/>
      <c r="BG18" s="27" t="n"/>
      <c r="BH18" s="27" t="n"/>
      <c r="BI18" s="29" t="n"/>
      <c r="BJ18" s="27" t="n"/>
      <c r="BK18" s="27" t="n"/>
      <c r="BL18" s="27" t="n"/>
      <c r="BM18" s="27" t="n"/>
      <c r="DM18" s="26">
        <f>IF('因子水準表'!B41="","",'因子水準表'!B41)</f>
        <v/>
      </c>
      <c r="DN18" s="26">
        <f>IF('テスト条件'!A17="","",'テスト条件'!A17)</f>
        <v/>
      </c>
    </row>
    <row r="19">
      <c r="A19" s="27" t="n"/>
      <c r="B19" s="27" t="n"/>
      <c r="C19" s="28">
        <f>IF(A19="","",$B$2)</f>
        <v/>
      </c>
      <c r="D19" s="27" t="n"/>
      <c r="E19" s="27" t="n"/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  <c r="AA19" s="27" t="n"/>
      <c r="AB19" s="27" t="n"/>
      <c r="AC19" s="27" t="n"/>
      <c r="AD19" s="27" t="n"/>
      <c r="AE19" s="27" t="n"/>
      <c r="AF19" s="27" t="n"/>
      <c r="AG19" s="27" t="n"/>
      <c r="AH19" s="27" t="n"/>
      <c r="AI19" s="27" t="n"/>
      <c r="AJ19" s="27" t="n"/>
      <c r="AK19" s="27" t="n"/>
      <c r="AL19" s="27" t="n"/>
      <c r="AM19" s="27" t="n"/>
      <c r="AN19" s="27" t="n"/>
      <c r="AO19" s="27" t="n"/>
      <c r="AP19" s="27" t="n"/>
      <c r="AQ19" s="27" t="n"/>
      <c r="AR19" s="27" t="n"/>
      <c r="AS19" s="27" t="n"/>
      <c r="AT19" s="27" t="n"/>
      <c r="AU19" s="27" t="n"/>
      <c r="AV19" s="27" t="n"/>
      <c r="AW19" s="27" t="n"/>
      <c r="AX19" s="27" t="n"/>
      <c r="AY19" s="27" t="n"/>
      <c r="AZ19" s="27" t="n"/>
      <c r="BA19" s="27" t="n"/>
      <c r="BB19" s="27" t="n"/>
      <c r="BC19" s="27" t="n"/>
      <c r="BD19" s="27" t="n"/>
      <c r="BE19" s="27" t="n"/>
      <c r="BF19" s="27" t="n"/>
      <c r="BG19" s="27" t="n"/>
      <c r="BH19" s="27" t="n"/>
      <c r="BI19" s="29" t="n"/>
      <c r="BJ19" s="27" t="n"/>
      <c r="BK19" s="27" t="n"/>
      <c r="BL19" s="27" t="n"/>
      <c r="BM19" s="27" t="n"/>
      <c r="DM19" s="26">
        <f>IF('因子水準表'!B42="","",'因子水準表'!B42)</f>
        <v/>
      </c>
      <c r="DN19" s="26">
        <f>IF('テスト条件'!A18="","",'テスト条件'!A18)</f>
        <v/>
      </c>
    </row>
    <row r="20">
      <c r="A20" s="27" t="n"/>
      <c r="B20" s="27" t="n"/>
      <c r="C20" s="28">
        <f>IF(A20="","",$B$2)</f>
        <v/>
      </c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7" t="n"/>
      <c r="AI20" s="27" t="n"/>
      <c r="AJ20" s="27" t="n"/>
      <c r="AK20" s="27" t="n"/>
      <c r="AL20" s="27" t="n"/>
      <c r="AM20" s="27" t="n"/>
      <c r="AN20" s="27" t="n"/>
      <c r="AO20" s="27" t="n"/>
      <c r="AP20" s="27" t="n"/>
      <c r="AQ20" s="27" t="n"/>
      <c r="AR20" s="27" t="n"/>
      <c r="AS20" s="27" t="n"/>
      <c r="AT20" s="27" t="n"/>
      <c r="AU20" s="27" t="n"/>
      <c r="AV20" s="27" t="n"/>
      <c r="AW20" s="27" t="n"/>
      <c r="AX20" s="27" t="n"/>
      <c r="AY20" s="27" t="n"/>
      <c r="AZ20" s="27" t="n"/>
      <c r="BA20" s="27" t="n"/>
      <c r="BB20" s="27" t="n"/>
      <c r="BC20" s="27" t="n"/>
      <c r="BD20" s="27" t="n"/>
      <c r="BE20" s="27" t="n"/>
      <c r="BF20" s="27" t="n"/>
      <c r="BG20" s="27" t="n"/>
      <c r="BH20" s="27" t="n"/>
      <c r="BI20" s="29" t="n"/>
      <c r="BJ20" s="27" t="n"/>
      <c r="BK20" s="27" t="n"/>
      <c r="BL20" s="27" t="n"/>
      <c r="BM20" s="27" t="n"/>
      <c r="DM20" s="26">
        <f>IF('因子水準表'!B43="","",'因子水準表'!B43)</f>
        <v/>
      </c>
      <c r="DN20" s="26">
        <f>IF('テスト条件'!A19="","",'テスト条件'!A19)</f>
        <v/>
      </c>
    </row>
    <row r="21">
      <c r="A21" s="27" t="n"/>
      <c r="B21" s="27" t="n"/>
      <c r="C21" s="28">
        <f>IF(A21="","",$B$2)</f>
        <v/>
      </c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  <c r="AI21" s="27" t="n"/>
      <c r="AJ21" s="27" t="n"/>
      <c r="AK21" s="27" t="n"/>
      <c r="AL21" s="27" t="n"/>
      <c r="AM21" s="27" t="n"/>
      <c r="AN21" s="27" t="n"/>
      <c r="AO21" s="27" t="n"/>
      <c r="AP21" s="27" t="n"/>
      <c r="AQ21" s="27" t="n"/>
      <c r="AR21" s="27" t="n"/>
      <c r="AS21" s="27" t="n"/>
      <c r="AT21" s="27" t="n"/>
      <c r="AU21" s="27" t="n"/>
      <c r="AV21" s="27" t="n"/>
      <c r="AW21" s="27" t="n"/>
      <c r="AX21" s="27" t="n"/>
      <c r="AY21" s="27" t="n"/>
      <c r="AZ21" s="27" t="n"/>
      <c r="BA21" s="27" t="n"/>
      <c r="BB21" s="27" t="n"/>
      <c r="BC21" s="27" t="n"/>
      <c r="BD21" s="27" t="n"/>
      <c r="BE21" s="27" t="n"/>
      <c r="BF21" s="27" t="n"/>
      <c r="BG21" s="27" t="n"/>
      <c r="BH21" s="27" t="n"/>
      <c r="BI21" s="29" t="n"/>
      <c r="BJ21" s="27" t="n"/>
      <c r="BK21" s="27" t="n"/>
      <c r="BL21" s="27" t="n"/>
      <c r="BM21" s="27" t="n"/>
      <c r="DM21" s="26">
        <f>IF('因子水準表'!B44="","",'因子水準表'!B44)</f>
        <v/>
      </c>
      <c r="DN21" s="26">
        <f>IF('テスト条件'!A20="","",'テスト条件'!A20)</f>
        <v/>
      </c>
    </row>
    <row r="22">
      <c r="A22" s="27" t="n"/>
      <c r="B22" s="27" t="n"/>
      <c r="C22" s="28">
        <f>IF(A22="","",$B$2)</f>
        <v/>
      </c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  <c r="AA22" s="27" t="n"/>
      <c r="AB22" s="27" t="n"/>
      <c r="AC22" s="27" t="n"/>
      <c r="AD22" s="27" t="n"/>
      <c r="AE22" s="27" t="n"/>
      <c r="AF22" s="27" t="n"/>
      <c r="AG22" s="27" t="n"/>
      <c r="AH22" s="27" t="n"/>
      <c r="AI22" s="27" t="n"/>
      <c r="AJ22" s="27" t="n"/>
      <c r="AK22" s="27" t="n"/>
      <c r="AL22" s="27" t="n"/>
      <c r="AM22" s="27" t="n"/>
      <c r="AN22" s="27" t="n"/>
      <c r="AO22" s="27" t="n"/>
      <c r="AP22" s="27" t="n"/>
      <c r="AQ22" s="27" t="n"/>
      <c r="AR22" s="27" t="n"/>
      <c r="AS22" s="27" t="n"/>
      <c r="AT22" s="27" t="n"/>
      <c r="AU22" s="27" t="n"/>
      <c r="AV22" s="27" t="n"/>
      <c r="AW22" s="27" t="n"/>
      <c r="AX22" s="27" t="n"/>
      <c r="AY22" s="27" t="n"/>
      <c r="AZ22" s="27" t="n"/>
      <c r="BA22" s="27" t="n"/>
      <c r="BB22" s="27" t="n"/>
      <c r="BC22" s="27" t="n"/>
      <c r="BD22" s="27" t="n"/>
      <c r="BE22" s="27" t="n"/>
      <c r="BF22" s="27" t="n"/>
      <c r="BG22" s="27" t="n"/>
      <c r="BH22" s="27" t="n"/>
      <c r="BI22" s="29" t="n"/>
      <c r="BJ22" s="27" t="n"/>
      <c r="BK22" s="27" t="n"/>
      <c r="BL22" s="27" t="n"/>
      <c r="BM22" s="27" t="n"/>
      <c r="DM22" s="26">
        <f>IF('因子水準表'!B45="","",'因子水準表'!B45)</f>
        <v/>
      </c>
      <c r="DN22" s="26">
        <f>IF('テスト条件'!A21="","",'テスト条件'!A21)</f>
        <v/>
      </c>
    </row>
    <row r="23">
      <c r="A23" s="27" t="n"/>
      <c r="B23" s="27" t="n"/>
      <c r="C23" s="28">
        <f>IF(A23="","",$B$2)</f>
        <v/>
      </c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  <c r="AI23" s="27" t="n"/>
      <c r="AJ23" s="27" t="n"/>
      <c r="AK23" s="27" t="n"/>
      <c r="AL23" s="27" t="n"/>
      <c r="AM23" s="27" t="n"/>
      <c r="AN23" s="27" t="n"/>
      <c r="AO23" s="27" t="n"/>
      <c r="AP23" s="27" t="n"/>
      <c r="AQ23" s="27" t="n"/>
      <c r="AR23" s="27" t="n"/>
      <c r="AS23" s="27" t="n"/>
      <c r="AT23" s="27" t="n"/>
      <c r="AU23" s="27" t="n"/>
      <c r="AV23" s="27" t="n"/>
      <c r="AW23" s="27" t="n"/>
      <c r="AX23" s="27" t="n"/>
      <c r="AY23" s="27" t="n"/>
      <c r="AZ23" s="27" t="n"/>
      <c r="BA23" s="27" t="n"/>
      <c r="BB23" s="27" t="n"/>
      <c r="BC23" s="27" t="n"/>
      <c r="BD23" s="27" t="n"/>
      <c r="BE23" s="27" t="n"/>
      <c r="BF23" s="27" t="n"/>
      <c r="BG23" s="27" t="n"/>
      <c r="BH23" s="27" t="n"/>
      <c r="BI23" s="29" t="n"/>
      <c r="BJ23" s="27" t="n"/>
      <c r="BK23" s="27" t="n"/>
      <c r="BL23" s="27" t="n"/>
      <c r="BM23" s="27" t="n"/>
      <c r="DM23" s="26">
        <f>IF('因子水準表'!B46="","",'因子水準表'!B46)</f>
        <v/>
      </c>
      <c r="DN23" s="26">
        <f>IF('テスト条件'!A22="","",'テスト条件'!A22)</f>
        <v/>
      </c>
    </row>
    <row r="24">
      <c r="A24" s="27" t="n"/>
      <c r="B24" s="27" t="n"/>
      <c r="C24" s="28">
        <f>IF(A24="","",$B$2)</f>
        <v/>
      </c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7" t="n"/>
      <c r="AB24" s="27" t="n"/>
      <c r="AC24" s="27" t="n"/>
      <c r="AD24" s="27" t="n"/>
      <c r="AE24" s="27" t="n"/>
      <c r="AF24" s="27" t="n"/>
      <c r="AG24" s="27" t="n"/>
      <c r="AH24" s="27" t="n"/>
      <c r="AI24" s="27" t="n"/>
      <c r="AJ24" s="27" t="n"/>
      <c r="AK24" s="27" t="n"/>
      <c r="AL24" s="27" t="n"/>
      <c r="AM24" s="27" t="n"/>
      <c r="AN24" s="27" t="n"/>
      <c r="AO24" s="27" t="n"/>
      <c r="AP24" s="27" t="n"/>
      <c r="AQ24" s="27" t="n"/>
      <c r="AR24" s="27" t="n"/>
      <c r="AS24" s="27" t="n"/>
      <c r="AT24" s="27" t="n"/>
      <c r="AU24" s="27" t="n"/>
      <c r="AV24" s="27" t="n"/>
      <c r="AW24" s="27" t="n"/>
      <c r="AX24" s="27" t="n"/>
      <c r="AY24" s="27" t="n"/>
      <c r="AZ24" s="27" t="n"/>
      <c r="BA24" s="27" t="n"/>
      <c r="BB24" s="27" t="n"/>
      <c r="BC24" s="27" t="n"/>
      <c r="BD24" s="27" t="n"/>
      <c r="BE24" s="27" t="n"/>
      <c r="BF24" s="27" t="n"/>
      <c r="BG24" s="27" t="n"/>
      <c r="BH24" s="27" t="n"/>
      <c r="BI24" s="29" t="n"/>
      <c r="BJ24" s="27" t="n"/>
      <c r="BK24" s="27" t="n"/>
      <c r="BL24" s="27" t="n"/>
      <c r="BM24" s="27" t="n"/>
      <c r="DM24" s="26">
        <f>IF('因子水準表'!B47="","",'因子水準表'!B47)</f>
        <v/>
      </c>
      <c r="DN24" s="26">
        <f>IF('テスト条件'!A23="","",'テスト条件'!A23)</f>
        <v/>
      </c>
    </row>
    <row r="25">
      <c r="A25" s="27" t="n"/>
      <c r="B25" s="27" t="n"/>
      <c r="C25" s="28">
        <f>IF(A25="","",$B$2)</f>
        <v/>
      </c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  <c r="AI25" s="27" t="n"/>
      <c r="AJ25" s="27" t="n"/>
      <c r="AK25" s="27" t="n"/>
      <c r="AL25" s="27" t="n"/>
      <c r="AM25" s="27" t="n"/>
      <c r="AN25" s="27" t="n"/>
      <c r="AO25" s="27" t="n"/>
      <c r="AP25" s="27" t="n"/>
      <c r="AQ25" s="27" t="n"/>
      <c r="AR25" s="27" t="n"/>
      <c r="AS25" s="27" t="n"/>
      <c r="AT25" s="27" t="n"/>
      <c r="AU25" s="27" t="n"/>
      <c r="AV25" s="27" t="n"/>
      <c r="AW25" s="27" t="n"/>
      <c r="AX25" s="27" t="n"/>
      <c r="AY25" s="27" t="n"/>
      <c r="AZ25" s="27" t="n"/>
      <c r="BA25" s="27" t="n"/>
      <c r="BB25" s="27" t="n"/>
      <c r="BC25" s="27" t="n"/>
      <c r="BD25" s="27" t="n"/>
      <c r="BE25" s="27" t="n"/>
      <c r="BF25" s="27" t="n"/>
      <c r="BG25" s="27" t="n"/>
      <c r="BH25" s="27" t="n"/>
      <c r="BI25" s="29" t="n"/>
      <c r="BJ25" s="27" t="n"/>
      <c r="BK25" s="27" t="n"/>
      <c r="BL25" s="27" t="n"/>
      <c r="BM25" s="27" t="n"/>
      <c r="DM25" s="26">
        <f>IF('因子水準表'!B48="","",'因子水準表'!B48)</f>
        <v/>
      </c>
      <c r="DN25" s="26">
        <f>IF('テスト条件'!A24="","",'テスト条件'!A24)</f>
        <v/>
      </c>
    </row>
    <row r="26">
      <c r="A26" s="27" t="n"/>
      <c r="B26" s="27" t="n"/>
      <c r="C26" s="28">
        <f>IF(A26="","",$B$2)</f>
        <v/>
      </c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  <c r="AA26" s="27" t="n"/>
      <c r="AB26" s="27" t="n"/>
      <c r="AC26" s="27" t="n"/>
      <c r="AD26" s="27" t="n"/>
      <c r="AE26" s="27" t="n"/>
      <c r="AF26" s="27" t="n"/>
      <c r="AG26" s="27" t="n"/>
      <c r="AH26" s="27" t="n"/>
      <c r="AI26" s="27" t="n"/>
      <c r="AJ26" s="27" t="n"/>
      <c r="AK26" s="27" t="n"/>
      <c r="AL26" s="27" t="n"/>
      <c r="AM26" s="27" t="n"/>
      <c r="AN26" s="27" t="n"/>
      <c r="AO26" s="27" t="n"/>
      <c r="AP26" s="27" t="n"/>
      <c r="AQ26" s="27" t="n"/>
      <c r="AR26" s="27" t="n"/>
      <c r="AS26" s="27" t="n"/>
      <c r="AT26" s="27" t="n"/>
      <c r="AU26" s="27" t="n"/>
      <c r="AV26" s="27" t="n"/>
      <c r="AW26" s="27" t="n"/>
      <c r="AX26" s="27" t="n"/>
      <c r="AY26" s="27" t="n"/>
      <c r="AZ26" s="27" t="n"/>
      <c r="BA26" s="27" t="n"/>
      <c r="BB26" s="27" t="n"/>
      <c r="BC26" s="27" t="n"/>
      <c r="BD26" s="27" t="n"/>
      <c r="BE26" s="27" t="n"/>
      <c r="BF26" s="27" t="n"/>
      <c r="BG26" s="27" t="n"/>
      <c r="BH26" s="27" t="n"/>
      <c r="BI26" s="29" t="n"/>
      <c r="BJ26" s="27" t="n"/>
      <c r="BK26" s="27" t="n"/>
      <c r="BL26" s="27" t="n"/>
      <c r="BM26" s="27" t="n"/>
      <c r="DM26" s="26">
        <f>IF('因子水準表'!B49="","",'因子水準表'!B49)</f>
        <v/>
      </c>
      <c r="DN26" s="26">
        <f>IF('テスト条件'!A25="","",'テスト条件'!A25)</f>
        <v/>
      </c>
    </row>
    <row r="27">
      <c r="A27" s="27" t="n"/>
      <c r="B27" s="27" t="n"/>
      <c r="C27" s="28">
        <f>IF(A27="","",$B$2)</f>
        <v/>
      </c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  <c r="AI27" s="27" t="n"/>
      <c r="AJ27" s="27" t="n"/>
      <c r="AK27" s="27" t="n"/>
      <c r="AL27" s="27" t="n"/>
      <c r="AM27" s="27" t="n"/>
      <c r="AN27" s="27" t="n"/>
      <c r="AO27" s="27" t="n"/>
      <c r="AP27" s="27" t="n"/>
      <c r="AQ27" s="27" t="n"/>
      <c r="AR27" s="27" t="n"/>
      <c r="AS27" s="27" t="n"/>
      <c r="AT27" s="27" t="n"/>
      <c r="AU27" s="27" t="n"/>
      <c r="AV27" s="27" t="n"/>
      <c r="AW27" s="27" t="n"/>
      <c r="AX27" s="27" t="n"/>
      <c r="AY27" s="27" t="n"/>
      <c r="AZ27" s="27" t="n"/>
      <c r="BA27" s="27" t="n"/>
      <c r="BB27" s="27" t="n"/>
      <c r="BC27" s="27" t="n"/>
      <c r="BD27" s="27" t="n"/>
      <c r="BE27" s="27" t="n"/>
      <c r="BF27" s="27" t="n"/>
      <c r="BG27" s="27" t="n"/>
      <c r="BH27" s="27" t="n"/>
      <c r="BI27" s="29" t="n"/>
      <c r="BJ27" s="27" t="n"/>
      <c r="BK27" s="27" t="n"/>
      <c r="BL27" s="27" t="n"/>
      <c r="BM27" s="27" t="n"/>
      <c r="DM27" s="26">
        <f>IF('因子水準表'!B50="","",'因子水準表'!B50)</f>
        <v/>
      </c>
      <c r="DN27" s="26">
        <f>IF('テスト条件'!A26="","",'テスト条件'!A26)</f>
        <v/>
      </c>
    </row>
    <row r="28">
      <c r="A28" s="27" t="n"/>
      <c r="B28" s="27" t="n"/>
      <c r="C28" s="28">
        <f>IF(A28="","",$B$2)</f>
        <v/>
      </c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  <c r="AA28" s="27" t="n"/>
      <c r="AB28" s="27" t="n"/>
      <c r="AC28" s="27" t="n"/>
      <c r="AD28" s="27" t="n"/>
      <c r="AE28" s="27" t="n"/>
      <c r="AF28" s="27" t="n"/>
      <c r="AG28" s="27" t="n"/>
      <c r="AH28" s="27" t="n"/>
      <c r="AI28" s="27" t="n"/>
      <c r="AJ28" s="27" t="n"/>
      <c r="AK28" s="27" t="n"/>
      <c r="AL28" s="27" t="n"/>
      <c r="AM28" s="27" t="n"/>
      <c r="AN28" s="27" t="n"/>
      <c r="AO28" s="27" t="n"/>
      <c r="AP28" s="27" t="n"/>
      <c r="AQ28" s="27" t="n"/>
      <c r="AR28" s="27" t="n"/>
      <c r="AS28" s="27" t="n"/>
      <c r="AT28" s="27" t="n"/>
      <c r="AU28" s="27" t="n"/>
      <c r="AV28" s="27" t="n"/>
      <c r="AW28" s="27" t="n"/>
      <c r="AX28" s="27" t="n"/>
      <c r="AY28" s="27" t="n"/>
      <c r="AZ28" s="27" t="n"/>
      <c r="BA28" s="27" t="n"/>
      <c r="BB28" s="27" t="n"/>
      <c r="BC28" s="27" t="n"/>
      <c r="BD28" s="27" t="n"/>
      <c r="BE28" s="27" t="n"/>
      <c r="BF28" s="27" t="n"/>
      <c r="BG28" s="27" t="n"/>
      <c r="BH28" s="27" t="n"/>
      <c r="BI28" s="29" t="n"/>
      <c r="BJ28" s="27" t="n"/>
      <c r="BK28" s="27" t="n"/>
      <c r="BL28" s="27" t="n"/>
      <c r="BM28" s="27" t="n"/>
      <c r="DM28" s="26">
        <f>IF('因子水準表'!B51="","",'因子水準表'!B51)</f>
        <v/>
      </c>
      <c r="DN28" s="26">
        <f>IF('テスト条件'!A27="","",'テスト条件'!A27)</f>
        <v/>
      </c>
    </row>
    <row r="29">
      <c r="A29" s="27" t="n"/>
      <c r="B29" s="27" t="n"/>
      <c r="C29" s="28">
        <f>IF(A29="","",$B$2)</f>
        <v/>
      </c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  <c r="AI29" s="27" t="n"/>
      <c r="AJ29" s="27" t="n"/>
      <c r="AK29" s="27" t="n"/>
      <c r="AL29" s="27" t="n"/>
      <c r="AM29" s="27" t="n"/>
      <c r="AN29" s="27" t="n"/>
      <c r="AO29" s="27" t="n"/>
      <c r="AP29" s="27" t="n"/>
      <c r="AQ29" s="27" t="n"/>
      <c r="AR29" s="27" t="n"/>
      <c r="AS29" s="27" t="n"/>
      <c r="AT29" s="27" t="n"/>
      <c r="AU29" s="27" t="n"/>
      <c r="AV29" s="27" t="n"/>
      <c r="AW29" s="27" t="n"/>
      <c r="AX29" s="27" t="n"/>
      <c r="AY29" s="27" t="n"/>
      <c r="AZ29" s="27" t="n"/>
      <c r="BA29" s="27" t="n"/>
      <c r="BB29" s="27" t="n"/>
      <c r="BC29" s="27" t="n"/>
      <c r="BD29" s="27" t="n"/>
      <c r="BE29" s="27" t="n"/>
      <c r="BF29" s="27" t="n"/>
      <c r="BG29" s="27" t="n"/>
      <c r="BH29" s="27" t="n"/>
      <c r="BI29" s="29" t="n"/>
      <c r="BJ29" s="27" t="n"/>
      <c r="BK29" s="27" t="n"/>
      <c r="BL29" s="27" t="n"/>
      <c r="BM29" s="27" t="n"/>
      <c r="DM29" s="26">
        <f>IF('因子水準表'!B52="","",'因子水準表'!B52)</f>
        <v/>
      </c>
      <c r="DN29" s="26">
        <f>IF('テスト条件'!A28="","",'テスト条件'!A28)</f>
        <v/>
      </c>
    </row>
    <row r="30">
      <c r="A30" s="27" t="n"/>
      <c r="B30" s="27" t="n"/>
      <c r="C30" s="28">
        <f>IF(A30="","",$B$2)</f>
        <v/>
      </c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7" t="n"/>
      <c r="AF30" s="27" t="n"/>
      <c r="AG30" s="27" t="n"/>
      <c r="AH30" s="27" t="n"/>
      <c r="AI30" s="27" t="n"/>
      <c r="AJ30" s="27" t="n"/>
      <c r="AK30" s="27" t="n"/>
      <c r="AL30" s="27" t="n"/>
      <c r="AM30" s="27" t="n"/>
      <c r="AN30" s="27" t="n"/>
      <c r="AO30" s="27" t="n"/>
      <c r="AP30" s="27" t="n"/>
      <c r="AQ30" s="27" t="n"/>
      <c r="AR30" s="27" t="n"/>
      <c r="AS30" s="27" t="n"/>
      <c r="AT30" s="27" t="n"/>
      <c r="AU30" s="27" t="n"/>
      <c r="AV30" s="27" t="n"/>
      <c r="AW30" s="27" t="n"/>
      <c r="AX30" s="27" t="n"/>
      <c r="AY30" s="27" t="n"/>
      <c r="AZ30" s="27" t="n"/>
      <c r="BA30" s="27" t="n"/>
      <c r="BB30" s="27" t="n"/>
      <c r="BC30" s="27" t="n"/>
      <c r="BD30" s="27" t="n"/>
      <c r="BE30" s="27" t="n"/>
      <c r="BF30" s="27" t="n"/>
      <c r="BG30" s="27" t="n"/>
      <c r="BH30" s="27" t="n"/>
      <c r="BI30" s="29" t="n"/>
      <c r="BJ30" s="27" t="n"/>
      <c r="BK30" s="27" t="n"/>
      <c r="BL30" s="27" t="n"/>
      <c r="BM30" s="27" t="n"/>
      <c r="DM30" s="26">
        <f>IF('因子水準表'!B53="","",'因子水準表'!B53)</f>
        <v/>
      </c>
      <c r="DN30" s="26">
        <f>IF('テスト条件'!A29="","",'テスト条件'!A29)</f>
        <v/>
      </c>
    </row>
    <row r="31">
      <c r="A31" s="27" t="n"/>
      <c r="B31" s="27" t="n"/>
      <c r="C31" s="28">
        <f>IF(A31="","",$B$2)</f>
        <v/>
      </c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27" t="n"/>
      <c r="AJ31" s="27" t="n"/>
      <c r="AK31" s="27" t="n"/>
      <c r="AL31" s="27" t="n"/>
      <c r="AM31" s="27" t="n"/>
      <c r="AN31" s="27" t="n"/>
      <c r="AO31" s="27" t="n"/>
      <c r="AP31" s="27" t="n"/>
      <c r="AQ31" s="27" t="n"/>
      <c r="AR31" s="27" t="n"/>
      <c r="AS31" s="27" t="n"/>
      <c r="AT31" s="27" t="n"/>
      <c r="AU31" s="27" t="n"/>
      <c r="AV31" s="27" t="n"/>
      <c r="AW31" s="27" t="n"/>
      <c r="AX31" s="27" t="n"/>
      <c r="AY31" s="27" t="n"/>
      <c r="AZ31" s="27" t="n"/>
      <c r="BA31" s="27" t="n"/>
      <c r="BB31" s="27" t="n"/>
      <c r="BC31" s="27" t="n"/>
      <c r="BD31" s="27" t="n"/>
      <c r="BE31" s="27" t="n"/>
      <c r="BF31" s="27" t="n"/>
      <c r="BG31" s="27" t="n"/>
      <c r="BH31" s="27" t="n"/>
      <c r="BI31" s="29" t="n"/>
      <c r="BJ31" s="27" t="n"/>
      <c r="BK31" s="27" t="n"/>
      <c r="BL31" s="27" t="n"/>
      <c r="BM31" s="27" t="n"/>
      <c r="DM31" s="26">
        <f>IF('因子水準表'!B54="","",'因子水準表'!B54)</f>
        <v/>
      </c>
      <c r="DN31" s="26">
        <f>IF('テスト条件'!A30="","",'テスト条件'!A30)</f>
        <v/>
      </c>
    </row>
    <row r="32">
      <c r="A32" s="27" t="n"/>
      <c r="B32" s="27" t="n"/>
      <c r="C32" s="28">
        <f>IF(A32="","",$B$2)</f>
        <v/>
      </c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27" t="n"/>
      <c r="AJ32" s="27" t="n"/>
      <c r="AK32" s="27" t="n"/>
      <c r="AL32" s="27" t="n"/>
      <c r="AM32" s="27" t="n"/>
      <c r="AN32" s="27" t="n"/>
      <c r="AO32" s="27" t="n"/>
      <c r="AP32" s="27" t="n"/>
      <c r="AQ32" s="27" t="n"/>
      <c r="AR32" s="27" t="n"/>
      <c r="AS32" s="27" t="n"/>
      <c r="AT32" s="27" t="n"/>
      <c r="AU32" s="27" t="n"/>
      <c r="AV32" s="27" t="n"/>
      <c r="AW32" s="27" t="n"/>
      <c r="AX32" s="27" t="n"/>
      <c r="AY32" s="27" t="n"/>
      <c r="AZ32" s="27" t="n"/>
      <c r="BA32" s="27" t="n"/>
      <c r="BB32" s="27" t="n"/>
      <c r="BC32" s="27" t="n"/>
      <c r="BD32" s="27" t="n"/>
      <c r="BE32" s="27" t="n"/>
      <c r="BF32" s="27" t="n"/>
      <c r="BG32" s="27" t="n"/>
      <c r="BH32" s="27" t="n"/>
      <c r="BI32" s="29" t="n"/>
      <c r="BJ32" s="27" t="n"/>
      <c r="BK32" s="27" t="n"/>
      <c r="BL32" s="27" t="n"/>
      <c r="BM32" s="27" t="n"/>
      <c r="DM32" s="26">
        <f>IF('因子水準表'!B55="","",'因子水準表'!B55)</f>
        <v/>
      </c>
      <c r="DN32" s="26">
        <f>IF('テスト条件'!A31="","",'テスト条件'!A31)</f>
        <v/>
      </c>
    </row>
    <row r="33">
      <c r="A33" s="27" t="n"/>
      <c r="B33" s="27" t="n"/>
      <c r="C33" s="28">
        <f>IF(A33="","",$B$2)</f>
        <v/>
      </c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  <c r="AJ33" s="27" t="n"/>
      <c r="AK33" s="27" t="n"/>
      <c r="AL33" s="27" t="n"/>
      <c r="AM33" s="27" t="n"/>
      <c r="AN33" s="27" t="n"/>
      <c r="AO33" s="27" t="n"/>
      <c r="AP33" s="27" t="n"/>
      <c r="AQ33" s="27" t="n"/>
      <c r="AR33" s="27" t="n"/>
      <c r="AS33" s="27" t="n"/>
      <c r="AT33" s="27" t="n"/>
      <c r="AU33" s="27" t="n"/>
      <c r="AV33" s="27" t="n"/>
      <c r="AW33" s="27" t="n"/>
      <c r="AX33" s="27" t="n"/>
      <c r="AY33" s="27" t="n"/>
      <c r="AZ33" s="27" t="n"/>
      <c r="BA33" s="27" t="n"/>
      <c r="BB33" s="27" t="n"/>
      <c r="BC33" s="27" t="n"/>
      <c r="BD33" s="27" t="n"/>
      <c r="BE33" s="27" t="n"/>
      <c r="BF33" s="27" t="n"/>
      <c r="BG33" s="27" t="n"/>
      <c r="BH33" s="27" t="n"/>
      <c r="BI33" s="29" t="n"/>
      <c r="BJ33" s="27" t="n"/>
      <c r="BK33" s="27" t="n"/>
      <c r="BL33" s="27" t="n"/>
      <c r="BM33" s="27" t="n"/>
      <c r="DM33" s="26">
        <f>IF('因子水準表'!B56="","",'因子水準表'!B56)</f>
        <v/>
      </c>
      <c r="DN33" s="26">
        <f>IF('テスト条件'!A32="","",'テスト条件'!A32)</f>
        <v/>
      </c>
    </row>
    <row r="34">
      <c r="A34" s="27" t="n"/>
      <c r="B34" s="27" t="n"/>
      <c r="C34" s="28">
        <f>IF(A34="","",$B$2)</f>
        <v/>
      </c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  <c r="AJ34" s="27" t="n"/>
      <c r="AK34" s="27" t="n"/>
      <c r="AL34" s="27" t="n"/>
      <c r="AM34" s="27" t="n"/>
      <c r="AN34" s="27" t="n"/>
      <c r="AO34" s="27" t="n"/>
      <c r="AP34" s="27" t="n"/>
      <c r="AQ34" s="27" t="n"/>
      <c r="AR34" s="27" t="n"/>
      <c r="AS34" s="27" t="n"/>
      <c r="AT34" s="27" t="n"/>
      <c r="AU34" s="27" t="n"/>
      <c r="AV34" s="27" t="n"/>
      <c r="AW34" s="27" t="n"/>
      <c r="AX34" s="27" t="n"/>
      <c r="AY34" s="27" t="n"/>
      <c r="AZ34" s="27" t="n"/>
      <c r="BA34" s="27" t="n"/>
      <c r="BB34" s="27" t="n"/>
      <c r="BC34" s="27" t="n"/>
      <c r="BD34" s="27" t="n"/>
      <c r="BE34" s="27" t="n"/>
      <c r="BF34" s="27" t="n"/>
      <c r="BG34" s="27" t="n"/>
      <c r="BH34" s="27" t="n"/>
      <c r="BI34" s="29" t="n"/>
      <c r="BJ34" s="27" t="n"/>
      <c r="BK34" s="27" t="n"/>
      <c r="BL34" s="27" t="n"/>
      <c r="BM34" s="27" t="n"/>
      <c r="DM34" s="26">
        <f>IF('因子水準表'!B57="","",'因子水準表'!B57)</f>
        <v/>
      </c>
      <c r="DN34" s="26">
        <f>IF('テスト条件'!A33="","",'テスト条件'!A33)</f>
        <v/>
      </c>
    </row>
    <row r="35">
      <c r="A35" s="27" t="n"/>
      <c r="B35" s="27" t="n"/>
      <c r="C35" s="28">
        <f>IF(A35="","",$B$2)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27" t="n"/>
      <c r="AJ35" s="27" t="n"/>
      <c r="AK35" s="27" t="n"/>
      <c r="AL35" s="27" t="n"/>
      <c r="AM35" s="27" t="n"/>
      <c r="AN35" s="27" t="n"/>
      <c r="AO35" s="27" t="n"/>
      <c r="AP35" s="27" t="n"/>
      <c r="AQ35" s="27" t="n"/>
      <c r="AR35" s="27" t="n"/>
      <c r="AS35" s="27" t="n"/>
      <c r="AT35" s="27" t="n"/>
      <c r="AU35" s="27" t="n"/>
      <c r="AV35" s="27" t="n"/>
      <c r="AW35" s="27" t="n"/>
      <c r="AX35" s="27" t="n"/>
      <c r="AY35" s="27" t="n"/>
      <c r="AZ35" s="27" t="n"/>
      <c r="BA35" s="27" t="n"/>
      <c r="BB35" s="27" t="n"/>
      <c r="BC35" s="27" t="n"/>
      <c r="BD35" s="27" t="n"/>
      <c r="BE35" s="27" t="n"/>
      <c r="BF35" s="27" t="n"/>
      <c r="BG35" s="27" t="n"/>
      <c r="BH35" s="27" t="n"/>
      <c r="BI35" s="29" t="n"/>
      <c r="BJ35" s="27" t="n"/>
      <c r="BK35" s="27" t="n"/>
      <c r="BL35" s="27" t="n"/>
      <c r="BM35" s="27" t="n"/>
      <c r="DM35" s="26">
        <f>IF('因子水準表'!B58="","",'因子水準表'!B58)</f>
        <v/>
      </c>
      <c r="DN35" s="26">
        <f>IF('テスト条件'!A34="","",'テスト条件'!A34)</f>
        <v/>
      </c>
    </row>
    <row r="36">
      <c r="A36" s="27" t="n"/>
      <c r="B36" s="27" t="n"/>
      <c r="C36" s="28">
        <f>IF(A36="","",$B$2)</f>
        <v/>
      </c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27" t="n"/>
      <c r="AJ36" s="27" t="n"/>
      <c r="AK36" s="27" t="n"/>
      <c r="AL36" s="27" t="n"/>
      <c r="AM36" s="27" t="n"/>
      <c r="AN36" s="27" t="n"/>
      <c r="AO36" s="27" t="n"/>
      <c r="AP36" s="27" t="n"/>
      <c r="AQ36" s="27" t="n"/>
      <c r="AR36" s="27" t="n"/>
      <c r="AS36" s="27" t="n"/>
      <c r="AT36" s="27" t="n"/>
      <c r="AU36" s="27" t="n"/>
      <c r="AV36" s="27" t="n"/>
      <c r="AW36" s="27" t="n"/>
      <c r="AX36" s="27" t="n"/>
      <c r="AY36" s="27" t="n"/>
      <c r="AZ36" s="27" t="n"/>
      <c r="BA36" s="27" t="n"/>
      <c r="BB36" s="27" t="n"/>
      <c r="BC36" s="27" t="n"/>
      <c r="BD36" s="27" t="n"/>
      <c r="BE36" s="27" t="n"/>
      <c r="BF36" s="27" t="n"/>
      <c r="BG36" s="27" t="n"/>
      <c r="BH36" s="27" t="n"/>
      <c r="BI36" s="29" t="n"/>
      <c r="BJ36" s="27" t="n"/>
      <c r="BK36" s="27" t="n"/>
      <c r="BL36" s="27" t="n"/>
      <c r="BM36" s="27" t="n"/>
      <c r="DN36" s="26">
        <f>IF('テスト条件'!A35="","",'テスト条件'!A35)</f>
        <v/>
      </c>
    </row>
    <row r="37">
      <c r="A37" s="27" t="n"/>
      <c r="B37" s="27" t="n"/>
      <c r="C37" s="28">
        <f>IF(A37="","",$B$2)</f>
        <v/>
      </c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27" t="n"/>
      <c r="AJ37" s="27" t="n"/>
      <c r="AK37" s="27" t="n"/>
      <c r="AL37" s="27" t="n"/>
      <c r="AM37" s="27" t="n"/>
      <c r="AN37" s="27" t="n"/>
      <c r="AO37" s="27" t="n"/>
      <c r="AP37" s="27" t="n"/>
      <c r="AQ37" s="27" t="n"/>
      <c r="AR37" s="27" t="n"/>
      <c r="AS37" s="27" t="n"/>
      <c r="AT37" s="27" t="n"/>
      <c r="AU37" s="27" t="n"/>
      <c r="AV37" s="27" t="n"/>
      <c r="AW37" s="27" t="n"/>
      <c r="AX37" s="27" t="n"/>
      <c r="AY37" s="27" t="n"/>
      <c r="AZ37" s="27" t="n"/>
      <c r="BA37" s="27" t="n"/>
      <c r="BB37" s="27" t="n"/>
      <c r="BC37" s="27" t="n"/>
      <c r="BD37" s="27" t="n"/>
      <c r="BE37" s="27" t="n"/>
      <c r="BF37" s="27" t="n"/>
      <c r="BG37" s="27" t="n"/>
      <c r="BH37" s="27" t="n"/>
      <c r="BI37" s="29" t="n"/>
      <c r="BJ37" s="27" t="n"/>
      <c r="BK37" s="27" t="n"/>
      <c r="BL37" s="27" t="n"/>
      <c r="BM37" s="27" t="n"/>
      <c r="DN37" s="26">
        <f>IF('テスト条件'!A36="","",'テスト条件'!A36)</f>
        <v/>
      </c>
    </row>
    <row r="38">
      <c r="A38" s="27" t="n"/>
      <c r="B38" s="27" t="n"/>
      <c r="C38" s="28">
        <f>IF(A38="","",$B$2)</f>
        <v/>
      </c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27" t="n"/>
      <c r="AJ38" s="27" t="n"/>
      <c r="AK38" s="27" t="n"/>
      <c r="AL38" s="27" t="n"/>
      <c r="AM38" s="27" t="n"/>
      <c r="AN38" s="27" t="n"/>
      <c r="AO38" s="27" t="n"/>
      <c r="AP38" s="27" t="n"/>
      <c r="AQ38" s="27" t="n"/>
      <c r="AR38" s="27" t="n"/>
      <c r="AS38" s="27" t="n"/>
      <c r="AT38" s="27" t="n"/>
      <c r="AU38" s="27" t="n"/>
      <c r="AV38" s="27" t="n"/>
      <c r="AW38" s="27" t="n"/>
      <c r="AX38" s="27" t="n"/>
      <c r="AY38" s="27" t="n"/>
      <c r="AZ38" s="27" t="n"/>
      <c r="BA38" s="27" t="n"/>
      <c r="BB38" s="27" t="n"/>
      <c r="BC38" s="27" t="n"/>
      <c r="BD38" s="27" t="n"/>
      <c r="BE38" s="27" t="n"/>
      <c r="BF38" s="27" t="n"/>
      <c r="BG38" s="27" t="n"/>
      <c r="BH38" s="27" t="n"/>
      <c r="BI38" s="29" t="n"/>
      <c r="BJ38" s="27" t="n"/>
      <c r="BK38" s="27" t="n"/>
      <c r="BL38" s="27" t="n"/>
      <c r="BM38" s="27" t="n"/>
      <c r="DN38" s="26">
        <f>IF('テスト条件'!A37="","",'テスト条件'!A37)</f>
        <v/>
      </c>
    </row>
    <row r="39">
      <c r="A39" s="27" t="n"/>
      <c r="B39" s="27" t="n"/>
      <c r="C39" s="28">
        <f>IF(A39="","",$B$2)</f>
        <v/>
      </c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27" t="n"/>
      <c r="AJ39" s="27" t="n"/>
      <c r="AK39" s="27" t="n"/>
      <c r="AL39" s="27" t="n"/>
      <c r="AM39" s="27" t="n"/>
      <c r="AN39" s="27" t="n"/>
      <c r="AO39" s="27" t="n"/>
      <c r="AP39" s="27" t="n"/>
      <c r="AQ39" s="27" t="n"/>
      <c r="AR39" s="27" t="n"/>
      <c r="AS39" s="27" t="n"/>
      <c r="AT39" s="27" t="n"/>
      <c r="AU39" s="27" t="n"/>
      <c r="AV39" s="27" t="n"/>
      <c r="AW39" s="27" t="n"/>
      <c r="AX39" s="27" t="n"/>
      <c r="AY39" s="27" t="n"/>
      <c r="AZ39" s="27" t="n"/>
      <c r="BA39" s="27" t="n"/>
      <c r="BB39" s="27" t="n"/>
      <c r="BC39" s="27" t="n"/>
      <c r="BD39" s="27" t="n"/>
      <c r="BE39" s="27" t="n"/>
      <c r="BF39" s="27" t="n"/>
      <c r="BG39" s="27" t="n"/>
      <c r="BH39" s="27" t="n"/>
      <c r="BI39" s="29" t="n"/>
      <c r="BJ39" s="27" t="n"/>
      <c r="BK39" s="27" t="n"/>
      <c r="BL39" s="27" t="n"/>
      <c r="BM39" s="27" t="n"/>
      <c r="DN39" s="26">
        <f>IF('テスト条件'!A38="","",'テスト条件'!A38)</f>
        <v/>
      </c>
    </row>
    <row r="40">
      <c r="A40" s="27" t="n"/>
      <c r="B40" s="27" t="n"/>
      <c r="C40" s="28">
        <f>IF(A40="","",$B$2)</f>
        <v/>
      </c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7" t="n"/>
      <c r="AJ40" s="27" t="n"/>
      <c r="AK40" s="27" t="n"/>
      <c r="AL40" s="27" t="n"/>
      <c r="AM40" s="27" t="n"/>
      <c r="AN40" s="27" t="n"/>
      <c r="AO40" s="27" t="n"/>
      <c r="AP40" s="27" t="n"/>
      <c r="AQ40" s="27" t="n"/>
      <c r="AR40" s="27" t="n"/>
      <c r="AS40" s="27" t="n"/>
      <c r="AT40" s="27" t="n"/>
      <c r="AU40" s="27" t="n"/>
      <c r="AV40" s="27" t="n"/>
      <c r="AW40" s="27" t="n"/>
      <c r="AX40" s="27" t="n"/>
      <c r="AY40" s="27" t="n"/>
      <c r="AZ40" s="27" t="n"/>
      <c r="BA40" s="27" t="n"/>
      <c r="BB40" s="27" t="n"/>
      <c r="BC40" s="27" t="n"/>
      <c r="BD40" s="27" t="n"/>
      <c r="BE40" s="27" t="n"/>
      <c r="BF40" s="27" t="n"/>
      <c r="BG40" s="27" t="n"/>
      <c r="BH40" s="27" t="n"/>
      <c r="BI40" s="29" t="n"/>
      <c r="BJ40" s="27" t="n"/>
      <c r="BK40" s="27" t="n"/>
      <c r="BL40" s="27" t="n"/>
      <c r="BM40" s="27" t="n"/>
      <c r="DN40" s="26">
        <f>IF('テスト条件'!A39="","",'テスト条件'!A39)</f>
        <v/>
      </c>
    </row>
    <row r="41">
      <c r="A41" s="27" t="n"/>
      <c r="B41" s="27" t="n"/>
      <c r="C41" s="28">
        <f>IF(A41="","",$B$2)</f>
        <v/>
      </c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27" t="n"/>
      <c r="AJ41" s="27" t="n"/>
      <c r="AK41" s="27" t="n"/>
      <c r="AL41" s="27" t="n"/>
      <c r="AM41" s="27" t="n"/>
      <c r="AN41" s="27" t="n"/>
      <c r="AO41" s="27" t="n"/>
      <c r="AP41" s="27" t="n"/>
      <c r="AQ41" s="27" t="n"/>
      <c r="AR41" s="27" t="n"/>
      <c r="AS41" s="27" t="n"/>
      <c r="AT41" s="27" t="n"/>
      <c r="AU41" s="27" t="n"/>
      <c r="AV41" s="27" t="n"/>
      <c r="AW41" s="27" t="n"/>
      <c r="AX41" s="27" t="n"/>
      <c r="AY41" s="27" t="n"/>
      <c r="AZ41" s="27" t="n"/>
      <c r="BA41" s="27" t="n"/>
      <c r="BB41" s="27" t="n"/>
      <c r="BC41" s="27" t="n"/>
      <c r="BD41" s="27" t="n"/>
      <c r="BE41" s="27" t="n"/>
      <c r="BF41" s="27" t="n"/>
      <c r="BG41" s="27" t="n"/>
      <c r="BH41" s="27" t="n"/>
      <c r="BI41" s="29" t="n"/>
      <c r="BJ41" s="27" t="n"/>
      <c r="BK41" s="27" t="n"/>
      <c r="BL41" s="27" t="n"/>
      <c r="BM41" s="27" t="n"/>
      <c r="DN41" s="26">
        <f>IF('テスト条件'!A40="","",'テスト条件'!A40)</f>
        <v/>
      </c>
    </row>
    <row r="42">
      <c r="A42" s="27" t="n"/>
      <c r="B42" s="27" t="n"/>
      <c r="C42" s="28">
        <f>IF(A42="","",$B$2)</f>
        <v/>
      </c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27" t="n"/>
      <c r="AJ42" s="27" t="n"/>
      <c r="AK42" s="27" t="n"/>
      <c r="AL42" s="27" t="n"/>
      <c r="AM42" s="27" t="n"/>
      <c r="AN42" s="27" t="n"/>
      <c r="AO42" s="27" t="n"/>
      <c r="AP42" s="27" t="n"/>
      <c r="AQ42" s="27" t="n"/>
      <c r="AR42" s="27" t="n"/>
      <c r="AS42" s="27" t="n"/>
      <c r="AT42" s="27" t="n"/>
      <c r="AU42" s="27" t="n"/>
      <c r="AV42" s="27" t="n"/>
      <c r="AW42" s="27" t="n"/>
      <c r="AX42" s="27" t="n"/>
      <c r="AY42" s="27" t="n"/>
      <c r="AZ42" s="27" t="n"/>
      <c r="BA42" s="27" t="n"/>
      <c r="BB42" s="27" t="n"/>
      <c r="BC42" s="27" t="n"/>
      <c r="BD42" s="27" t="n"/>
      <c r="BE42" s="27" t="n"/>
      <c r="BF42" s="27" t="n"/>
      <c r="BG42" s="27" t="n"/>
      <c r="BH42" s="27" t="n"/>
      <c r="BI42" s="29" t="n"/>
      <c r="BJ42" s="27" t="n"/>
      <c r="BK42" s="27" t="n"/>
      <c r="BL42" s="27" t="n"/>
      <c r="BM42" s="27" t="n"/>
      <c r="DN42" s="26">
        <f>IF('テスト条件'!A41="","",'テスト条件'!A41)</f>
        <v/>
      </c>
    </row>
    <row r="43">
      <c r="A43" s="27" t="n"/>
      <c r="B43" s="27" t="n"/>
      <c r="C43" s="28">
        <f>IF(A43="","",$B$2)</f>
        <v/>
      </c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27" t="n"/>
      <c r="AJ43" s="27" t="n"/>
      <c r="AK43" s="27" t="n"/>
      <c r="AL43" s="27" t="n"/>
      <c r="AM43" s="27" t="n"/>
      <c r="AN43" s="27" t="n"/>
      <c r="AO43" s="27" t="n"/>
      <c r="AP43" s="27" t="n"/>
      <c r="AQ43" s="27" t="n"/>
      <c r="AR43" s="27" t="n"/>
      <c r="AS43" s="27" t="n"/>
      <c r="AT43" s="27" t="n"/>
      <c r="AU43" s="27" t="n"/>
      <c r="AV43" s="27" t="n"/>
      <c r="AW43" s="27" t="n"/>
      <c r="AX43" s="27" t="n"/>
      <c r="AY43" s="27" t="n"/>
      <c r="AZ43" s="27" t="n"/>
      <c r="BA43" s="27" t="n"/>
      <c r="BB43" s="27" t="n"/>
      <c r="BC43" s="27" t="n"/>
      <c r="BD43" s="27" t="n"/>
      <c r="BE43" s="27" t="n"/>
      <c r="BF43" s="27" t="n"/>
      <c r="BG43" s="27" t="n"/>
      <c r="BH43" s="27" t="n"/>
      <c r="BI43" s="29" t="n"/>
      <c r="BJ43" s="27" t="n"/>
      <c r="BK43" s="27" t="n"/>
      <c r="BL43" s="27" t="n"/>
      <c r="BM43" s="27" t="n"/>
      <c r="DN43" s="26">
        <f>IF('テスト条件'!A42="","",'テスト条件'!A42)</f>
        <v/>
      </c>
    </row>
    <row r="44">
      <c r="A44" s="27" t="n"/>
      <c r="B44" s="27" t="n"/>
      <c r="C44" s="28">
        <f>IF(A44="","",$B$2)</f>
        <v/>
      </c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  <c r="AJ44" s="27" t="n"/>
      <c r="AK44" s="27" t="n"/>
      <c r="AL44" s="27" t="n"/>
      <c r="AM44" s="27" t="n"/>
      <c r="AN44" s="27" t="n"/>
      <c r="AO44" s="27" t="n"/>
      <c r="AP44" s="27" t="n"/>
      <c r="AQ44" s="27" t="n"/>
      <c r="AR44" s="27" t="n"/>
      <c r="AS44" s="27" t="n"/>
      <c r="AT44" s="27" t="n"/>
      <c r="AU44" s="27" t="n"/>
      <c r="AV44" s="27" t="n"/>
      <c r="AW44" s="27" t="n"/>
      <c r="AX44" s="27" t="n"/>
      <c r="AY44" s="27" t="n"/>
      <c r="AZ44" s="27" t="n"/>
      <c r="BA44" s="27" t="n"/>
      <c r="BB44" s="27" t="n"/>
      <c r="BC44" s="27" t="n"/>
      <c r="BD44" s="27" t="n"/>
      <c r="BE44" s="27" t="n"/>
      <c r="BF44" s="27" t="n"/>
      <c r="BG44" s="27" t="n"/>
      <c r="BH44" s="27" t="n"/>
      <c r="BI44" s="29" t="n"/>
      <c r="BJ44" s="27" t="n"/>
      <c r="BK44" s="27" t="n"/>
      <c r="BL44" s="27" t="n"/>
      <c r="BM44" s="27" t="n"/>
      <c r="DN44" s="26">
        <f>IF('テスト条件'!A43="","",'テスト条件'!A43)</f>
        <v/>
      </c>
    </row>
    <row r="45">
      <c r="A45" s="27" t="n"/>
      <c r="B45" s="27" t="n"/>
      <c r="C45" s="28">
        <f>IF(A45="","",$B$2)</f>
        <v/>
      </c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27" t="n"/>
      <c r="AJ45" s="27" t="n"/>
      <c r="AK45" s="27" t="n"/>
      <c r="AL45" s="27" t="n"/>
      <c r="AM45" s="27" t="n"/>
      <c r="AN45" s="27" t="n"/>
      <c r="AO45" s="27" t="n"/>
      <c r="AP45" s="27" t="n"/>
      <c r="AQ45" s="27" t="n"/>
      <c r="AR45" s="27" t="n"/>
      <c r="AS45" s="27" t="n"/>
      <c r="AT45" s="27" t="n"/>
      <c r="AU45" s="27" t="n"/>
      <c r="AV45" s="27" t="n"/>
      <c r="AW45" s="27" t="n"/>
      <c r="AX45" s="27" t="n"/>
      <c r="AY45" s="27" t="n"/>
      <c r="AZ45" s="27" t="n"/>
      <c r="BA45" s="27" t="n"/>
      <c r="BB45" s="27" t="n"/>
      <c r="BC45" s="27" t="n"/>
      <c r="BD45" s="27" t="n"/>
      <c r="BE45" s="27" t="n"/>
      <c r="BF45" s="27" t="n"/>
      <c r="BG45" s="27" t="n"/>
      <c r="BH45" s="27" t="n"/>
      <c r="BI45" s="29" t="n"/>
      <c r="BJ45" s="27" t="n"/>
      <c r="BK45" s="27" t="n"/>
      <c r="BL45" s="27" t="n"/>
      <c r="BM45" s="27" t="n"/>
      <c r="DN45" s="26">
        <f>IF('テスト条件'!A44="","",'テスト条件'!A44)</f>
        <v/>
      </c>
    </row>
    <row r="46">
      <c r="A46" s="27" t="n"/>
      <c r="B46" s="27" t="n"/>
      <c r="C46" s="28">
        <f>IF(A46="","",$B$2)</f>
        <v/>
      </c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  <c r="AJ46" s="27" t="n"/>
      <c r="AK46" s="27" t="n"/>
      <c r="AL46" s="27" t="n"/>
      <c r="AM46" s="27" t="n"/>
      <c r="AN46" s="27" t="n"/>
      <c r="AO46" s="27" t="n"/>
      <c r="AP46" s="27" t="n"/>
      <c r="AQ46" s="27" t="n"/>
      <c r="AR46" s="27" t="n"/>
      <c r="AS46" s="27" t="n"/>
      <c r="AT46" s="27" t="n"/>
      <c r="AU46" s="27" t="n"/>
      <c r="AV46" s="27" t="n"/>
      <c r="AW46" s="27" t="n"/>
      <c r="AX46" s="27" t="n"/>
      <c r="AY46" s="27" t="n"/>
      <c r="AZ46" s="27" t="n"/>
      <c r="BA46" s="27" t="n"/>
      <c r="BB46" s="27" t="n"/>
      <c r="BC46" s="27" t="n"/>
      <c r="BD46" s="27" t="n"/>
      <c r="BE46" s="27" t="n"/>
      <c r="BF46" s="27" t="n"/>
      <c r="BG46" s="27" t="n"/>
      <c r="BH46" s="27" t="n"/>
      <c r="BI46" s="29" t="n"/>
      <c r="BJ46" s="27" t="n"/>
      <c r="BK46" s="27" t="n"/>
      <c r="BL46" s="27" t="n"/>
      <c r="BM46" s="27" t="n"/>
      <c r="DN46" s="26">
        <f>IF('テスト条件'!A45="","",'テスト条件'!A45)</f>
        <v/>
      </c>
    </row>
    <row r="47">
      <c r="A47" s="27" t="n"/>
      <c r="B47" s="27" t="n"/>
      <c r="C47" s="28">
        <f>IF(A47="","",$B$2)</f>
        <v/>
      </c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  <c r="AJ47" s="27" t="n"/>
      <c r="AK47" s="27" t="n"/>
      <c r="AL47" s="27" t="n"/>
      <c r="AM47" s="27" t="n"/>
      <c r="AN47" s="27" t="n"/>
      <c r="AO47" s="27" t="n"/>
      <c r="AP47" s="27" t="n"/>
      <c r="AQ47" s="27" t="n"/>
      <c r="AR47" s="27" t="n"/>
      <c r="AS47" s="27" t="n"/>
      <c r="AT47" s="27" t="n"/>
      <c r="AU47" s="27" t="n"/>
      <c r="AV47" s="27" t="n"/>
      <c r="AW47" s="27" t="n"/>
      <c r="AX47" s="27" t="n"/>
      <c r="AY47" s="27" t="n"/>
      <c r="AZ47" s="27" t="n"/>
      <c r="BA47" s="27" t="n"/>
      <c r="BB47" s="27" t="n"/>
      <c r="BC47" s="27" t="n"/>
      <c r="BD47" s="27" t="n"/>
      <c r="BE47" s="27" t="n"/>
      <c r="BF47" s="27" t="n"/>
      <c r="BG47" s="27" t="n"/>
      <c r="BH47" s="27" t="n"/>
      <c r="BI47" s="29" t="n"/>
      <c r="BJ47" s="27" t="n"/>
      <c r="BK47" s="27" t="n"/>
      <c r="BL47" s="27" t="n"/>
      <c r="BM47" s="27" t="n"/>
      <c r="DN47" s="26">
        <f>IF('テスト条件'!A46="","",'テスト条件'!A46)</f>
        <v/>
      </c>
    </row>
    <row r="48">
      <c r="A48" s="27" t="n"/>
      <c r="B48" s="27" t="n"/>
      <c r="C48" s="28">
        <f>IF(A48="","",$B$2)</f>
        <v/>
      </c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27" t="n"/>
      <c r="AJ48" s="27" t="n"/>
      <c r="AK48" s="27" t="n"/>
      <c r="AL48" s="27" t="n"/>
      <c r="AM48" s="27" t="n"/>
      <c r="AN48" s="27" t="n"/>
      <c r="AO48" s="27" t="n"/>
      <c r="AP48" s="27" t="n"/>
      <c r="AQ48" s="27" t="n"/>
      <c r="AR48" s="27" t="n"/>
      <c r="AS48" s="27" t="n"/>
      <c r="AT48" s="27" t="n"/>
      <c r="AU48" s="27" t="n"/>
      <c r="AV48" s="27" t="n"/>
      <c r="AW48" s="27" t="n"/>
      <c r="AX48" s="27" t="n"/>
      <c r="AY48" s="27" t="n"/>
      <c r="AZ48" s="27" t="n"/>
      <c r="BA48" s="27" t="n"/>
      <c r="BB48" s="27" t="n"/>
      <c r="BC48" s="27" t="n"/>
      <c r="BD48" s="27" t="n"/>
      <c r="BE48" s="27" t="n"/>
      <c r="BF48" s="27" t="n"/>
      <c r="BG48" s="27" t="n"/>
      <c r="BH48" s="27" t="n"/>
      <c r="BI48" s="29" t="n"/>
      <c r="BJ48" s="27" t="n"/>
      <c r="BK48" s="27" t="n"/>
      <c r="BL48" s="27" t="n"/>
      <c r="BM48" s="27" t="n"/>
      <c r="DN48" s="26">
        <f>IF('テスト条件'!A47="","",'テスト条件'!A47)</f>
        <v/>
      </c>
    </row>
    <row r="49">
      <c r="A49" s="27" t="n"/>
      <c r="B49" s="27" t="n"/>
      <c r="C49" s="28">
        <f>IF(A49="","",$B$2)</f>
        <v/>
      </c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27" t="n"/>
      <c r="AJ49" s="27" t="n"/>
      <c r="AK49" s="27" t="n"/>
      <c r="AL49" s="27" t="n"/>
      <c r="AM49" s="27" t="n"/>
      <c r="AN49" s="27" t="n"/>
      <c r="AO49" s="27" t="n"/>
      <c r="AP49" s="27" t="n"/>
      <c r="AQ49" s="27" t="n"/>
      <c r="AR49" s="27" t="n"/>
      <c r="AS49" s="27" t="n"/>
      <c r="AT49" s="27" t="n"/>
      <c r="AU49" s="27" t="n"/>
      <c r="AV49" s="27" t="n"/>
      <c r="AW49" s="27" t="n"/>
      <c r="AX49" s="27" t="n"/>
      <c r="AY49" s="27" t="n"/>
      <c r="AZ49" s="27" t="n"/>
      <c r="BA49" s="27" t="n"/>
      <c r="BB49" s="27" t="n"/>
      <c r="BC49" s="27" t="n"/>
      <c r="BD49" s="27" t="n"/>
      <c r="BE49" s="27" t="n"/>
      <c r="BF49" s="27" t="n"/>
      <c r="BG49" s="27" t="n"/>
      <c r="BH49" s="27" t="n"/>
      <c r="BI49" s="29" t="n"/>
      <c r="BJ49" s="27" t="n"/>
      <c r="BK49" s="27" t="n"/>
      <c r="BL49" s="27" t="n"/>
      <c r="BM49" s="27" t="n"/>
      <c r="DN49" s="26">
        <f>IF('テスト条件'!A48="","",'テスト条件'!A48)</f>
        <v/>
      </c>
    </row>
    <row r="50">
      <c r="A50" s="27" t="n"/>
      <c r="B50" s="27" t="n"/>
      <c r="C50" s="28">
        <f>IF(A50="","",$B$2)</f>
        <v/>
      </c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27" t="n"/>
      <c r="AJ50" s="27" t="n"/>
      <c r="AK50" s="27" t="n"/>
      <c r="AL50" s="27" t="n"/>
      <c r="AM50" s="27" t="n"/>
      <c r="AN50" s="27" t="n"/>
      <c r="AO50" s="27" t="n"/>
      <c r="AP50" s="27" t="n"/>
      <c r="AQ50" s="27" t="n"/>
      <c r="AR50" s="27" t="n"/>
      <c r="AS50" s="27" t="n"/>
      <c r="AT50" s="27" t="n"/>
      <c r="AU50" s="27" t="n"/>
      <c r="AV50" s="27" t="n"/>
      <c r="AW50" s="27" t="n"/>
      <c r="AX50" s="27" t="n"/>
      <c r="AY50" s="27" t="n"/>
      <c r="AZ50" s="27" t="n"/>
      <c r="BA50" s="27" t="n"/>
      <c r="BB50" s="27" t="n"/>
      <c r="BC50" s="27" t="n"/>
      <c r="BD50" s="27" t="n"/>
      <c r="BE50" s="27" t="n"/>
      <c r="BF50" s="27" t="n"/>
      <c r="BG50" s="27" t="n"/>
      <c r="BH50" s="27" t="n"/>
      <c r="BI50" s="29" t="n"/>
      <c r="BJ50" s="27" t="n"/>
      <c r="BK50" s="27" t="n"/>
      <c r="BL50" s="27" t="n"/>
      <c r="BM50" s="27" t="n"/>
      <c r="DN50" s="26">
        <f>IF('テスト条件'!A49="","",'テスト条件'!A49)</f>
        <v/>
      </c>
    </row>
    <row r="51">
      <c r="A51" s="27" t="n"/>
      <c r="B51" s="27" t="n"/>
      <c r="C51" s="28">
        <f>IF(A51="","",$B$2)</f>
        <v/>
      </c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27" t="n"/>
      <c r="AJ51" s="27" t="n"/>
      <c r="AK51" s="27" t="n"/>
      <c r="AL51" s="27" t="n"/>
      <c r="AM51" s="27" t="n"/>
      <c r="AN51" s="27" t="n"/>
      <c r="AO51" s="27" t="n"/>
      <c r="AP51" s="27" t="n"/>
      <c r="AQ51" s="27" t="n"/>
      <c r="AR51" s="27" t="n"/>
      <c r="AS51" s="27" t="n"/>
      <c r="AT51" s="27" t="n"/>
      <c r="AU51" s="27" t="n"/>
      <c r="AV51" s="27" t="n"/>
      <c r="AW51" s="27" t="n"/>
      <c r="AX51" s="27" t="n"/>
      <c r="AY51" s="27" t="n"/>
      <c r="AZ51" s="27" t="n"/>
      <c r="BA51" s="27" t="n"/>
      <c r="BB51" s="27" t="n"/>
      <c r="BC51" s="27" t="n"/>
      <c r="BD51" s="27" t="n"/>
      <c r="BE51" s="27" t="n"/>
      <c r="BF51" s="27" t="n"/>
      <c r="BG51" s="27" t="n"/>
      <c r="BH51" s="27" t="n"/>
      <c r="BI51" s="29" t="n"/>
      <c r="BJ51" s="27" t="n"/>
      <c r="BK51" s="27" t="n"/>
      <c r="BL51" s="27" t="n"/>
      <c r="BM51" s="27" t="n"/>
      <c r="DN51" s="26">
        <f>IF('テスト条件'!A50="","",'テスト条件'!A50)</f>
        <v/>
      </c>
    </row>
    <row r="52">
      <c r="A52" s="27" t="n"/>
      <c r="B52" s="27" t="n"/>
      <c r="C52" s="28">
        <f>IF(A52="","",$B$2)</f>
        <v/>
      </c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27" t="n"/>
      <c r="AJ52" s="27" t="n"/>
      <c r="AK52" s="27" t="n"/>
      <c r="AL52" s="27" t="n"/>
      <c r="AM52" s="27" t="n"/>
      <c r="AN52" s="27" t="n"/>
      <c r="AO52" s="27" t="n"/>
      <c r="AP52" s="27" t="n"/>
      <c r="AQ52" s="27" t="n"/>
      <c r="AR52" s="27" t="n"/>
      <c r="AS52" s="27" t="n"/>
      <c r="AT52" s="27" t="n"/>
      <c r="AU52" s="27" t="n"/>
      <c r="AV52" s="27" t="n"/>
      <c r="AW52" s="27" t="n"/>
      <c r="AX52" s="27" t="n"/>
      <c r="AY52" s="27" t="n"/>
      <c r="AZ52" s="27" t="n"/>
      <c r="BA52" s="27" t="n"/>
      <c r="BB52" s="27" t="n"/>
      <c r="BC52" s="27" t="n"/>
      <c r="BD52" s="27" t="n"/>
      <c r="BE52" s="27" t="n"/>
      <c r="BF52" s="27" t="n"/>
      <c r="BG52" s="27" t="n"/>
      <c r="BH52" s="27" t="n"/>
      <c r="BI52" s="29" t="n"/>
      <c r="BJ52" s="27" t="n"/>
      <c r="BK52" s="27" t="n"/>
      <c r="BL52" s="27" t="n"/>
      <c r="BM52" s="27" t="n"/>
      <c r="DN52" s="26">
        <f>IF('テスト条件'!A51="","",'テスト条件'!A51)</f>
        <v/>
      </c>
    </row>
    <row r="53">
      <c r="A53" s="27" t="n"/>
      <c r="B53" s="27" t="n"/>
      <c r="C53" s="28">
        <f>IF(A53="","",$B$2)</f>
        <v/>
      </c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27" t="n"/>
      <c r="AJ53" s="27" t="n"/>
      <c r="AK53" s="27" t="n"/>
      <c r="AL53" s="27" t="n"/>
      <c r="AM53" s="27" t="n"/>
      <c r="AN53" s="27" t="n"/>
      <c r="AO53" s="27" t="n"/>
      <c r="AP53" s="27" t="n"/>
      <c r="AQ53" s="27" t="n"/>
      <c r="AR53" s="27" t="n"/>
      <c r="AS53" s="27" t="n"/>
      <c r="AT53" s="27" t="n"/>
      <c r="AU53" s="27" t="n"/>
      <c r="AV53" s="27" t="n"/>
      <c r="AW53" s="27" t="n"/>
      <c r="AX53" s="27" t="n"/>
      <c r="AY53" s="27" t="n"/>
      <c r="AZ53" s="27" t="n"/>
      <c r="BA53" s="27" t="n"/>
      <c r="BB53" s="27" t="n"/>
      <c r="BC53" s="27" t="n"/>
      <c r="BD53" s="27" t="n"/>
      <c r="BE53" s="27" t="n"/>
      <c r="BF53" s="27" t="n"/>
      <c r="BG53" s="27" t="n"/>
      <c r="BH53" s="27" t="n"/>
      <c r="BI53" s="29" t="n"/>
      <c r="BJ53" s="27" t="n"/>
      <c r="BK53" s="27" t="n"/>
      <c r="BL53" s="27" t="n"/>
      <c r="BM53" s="27" t="n"/>
      <c r="DN53" s="26">
        <f>IF('テスト条件'!A52="","",'テスト条件'!A52)</f>
        <v/>
      </c>
    </row>
    <row r="54">
      <c r="A54" s="27" t="n"/>
      <c r="B54" s="27" t="n"/>
      <c r="C54" s="28">
        <f>IF(A54="","",$B$2)</f>
        <v/>
      </c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27" t="n"/>
      <c r="AJ54" s="27" t="n"/>
      <c r="AK54" s="27" t="n"/>
      <c r="AL54" s="27" t="n"/>
      <c r="AM54" s="27" t="n"/>
      <c r="AN54" s="27" t="n"/>
      <c r="AO54" s="27" t="n"/>
      <c r="AP54" s="27" t="n"/>
      <c r="AQ54" s="27" t="n"/>
      <c r="AR54" s="27" t="n"/>
      <c r="AS54" s="27" t="n"/>
      <c r="AT54" s="27" t="n"/>
      <c r="AU54" s="27" t="n"/>
      <c r="AV54" s="27" t="n"/>
      <c r="AW54" s="27" t="n"/>
      <c r="AX54" s="27" t="n"/>
      <c r="AY54" s="27" t="n"/>
      <c r="AZ54" s="27" t="n"/>
      <c r="BA54" s="27" t="n"/>
      <c r="BB54" s="27" t="n"/>
      <c r="BC54" s="27" t="n"/>
      <c r="BD54" s="27" t="n"/>
      <c r="BE54" s="27" t="n"/>
      <c r="BF54" s="27" t="n"/>
      <c r="BG54" s="27" t="n"/>
      <c r="BH54" s="27" t="n"/>
      <c r="BI54" s="29" t="n"/>
      <c r="BJ54" s="27" t="n"/>
      <c r="BK54" s="27" t="n"/>
      <c r="BL54" s="27" t="n"/>
      <c r="BM54" s="27" t="n"/>
      <c r="DN54" s="26">
        <f>IF('テスト条件'!A53="","",'テスト条件'!A53)</f>
        <v/>
      </c>
    </row>
    <row r="55">
      <c r="A55" s="27" t="n"/>
      <c r="B55" s="27" t="n"/>
      <c r="C55" s="28">
        <f>IF(A55="","",$B$2)</f>
        <v/>
      </c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27" t="n"/>
      <c r="AJ55" s="27" t="n"/>
      <c r="AK55" s="27" t="n"/>
      <c r="AL55" s="27" t="n"/>
      <c r="AM55" s="27" t="n"/>
      <c r="AN55" s="27" t="n"/>
      <c r="AO55" s="27" t="n"/>
      <c r="AP55" s="27" t="n"/>
      <c r="AQ55" s="27" t="n"/>
      <c r="AR55" s="27" t="n"/>
      <c r="AS55" s="27" t="n"/>
      <c r="AT55" s="27" t="n"/>
      <c r="AU55" s="27" t="n"/>
      <c r="AV55" s="27" t="n"/>
      <c r="AW55" s="27" t="n"/>
      <c r="AX55" s="27" t="n"/>
      <c r="AY55" s="27" t="n"/>
      <c r="AZ55" s="27" t="n"/>
      <c r="BA55" s="27" t="n"/>
      <c r="BB55" s="27" t="n"/>
      <c r="BC55" s="27" t="n"/>
      <c r="BD55" s="27" t="n"/>
      <c r="BE55" s="27" t="n"/>
      <c r="BF55" s="27" t="n"/>
      <c r="BG55" s="27" t="n"/>
      <c r="BH55" s="27" t="n"/>
      <c r="BI55" s="29" t="n"/>
      <c r="BJ55" s="27" t="n"/>
      <c r="BK55" s="27" t="n"/>
      <c r="BL55" s="27" t="n"/>
      <c r="BM55" s="27" t="n"/>
      <c r="DN55" s="26">
        <f>IF('テスト条件'!A54="","",'テスト条件'!A54)</f>
        <v/>
      </c>
    </row>
    <row r="56">
      <c r="A56" s="27" t="n"/>
      <c r="B56" s="27" t="n"/>
      <c r="C56" s="28">
        <f>IF(A56="","",$B$2)</f>
        <v/>
      </c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  <c r="AJ56" s="27" t="n"/>
      <c r="AK56" s="27" t="n"/>
      <c r="AL56" s="27" t="n"/>
      <c r="AM56" s="27" t="n"/>
      <c r="AN56" s="27" t="n"/>
      <c r="AO56" s="27" t="n"/>
      <c r="AP56" s="27" t="n"/>
      <c r="AQ56" s="27" t="n"/>
      <c r="AR56" s="27" t="n"/>
      <c r="AS56" s="27" t="n"/>
      <c r="AT56" s="27" t="n"/>
      <c r="AU56" s="27" t="n"/>
      <c r="AV56" s="27" t="n"/>
      <c r="AW56" s="27" t="n"/>
      <c r="AX56" s="27" t="n"/>
      <c r="AY56" s="27" t="n"/>
      <c r="AZ56" s="27" t="n"/>
      <c r="BA56" s="27" t="n"/>
      <c r="BB56" s="27" t="n"/>
      <c r="BC56" s="27" t="n"/>
      <c r="BD56" s="27" t="n"/>
      <c r="BE56" s="27" t="n"/>
      <c r="BF56" s="27" t="n"/>
      <c r="BG56" s="27" t="n"/>
      <c r="BH56" s="27" t="n"/>
      <c r="BI56" s="29" t="n"/>
      <c r="BJ56" s="27" t="n"/>
      <c r="BK56" s="27" t="n"/>
      <c r="BL56" s="27" t="n"/>
      <c r="BM56" s="27" t="n"/>
      <c r="DN56" s="26">
        <f>IF('テスト条件'!A55="","",'テスト条件'!A55)</f>
        <v/>
      </c>
    </row>
    <row r="57">
      <c r="A57" s="27" t="n"/>
      <c r="B57" s="27" t="n"/>
      <c r="C57" s="28">
        <f>IF(A57="","",$B$2)</f>
        <v/>
      </c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  <c r="AA57" s="27" t="n"/>
      <c r="AB57" s="27" t="n"/>
      <c r="AC57" s="27" t="n"/>
      <c r="AD57" s="27" t="n"/>
      <c r="AE57" s="27" t="n"/>
      <c r="AF57" s="27" t="n"/>
      <c r="AG57" s="27" t="n"/>
      <c r="AH57" s="27" t="n"/>
      <c r="AI57" s="27" t="n"/>
      <c r="AJ57" s="27" t="n"/>
      <c r="AK57" s="27" t="n"/>
      <c r="AL57" s="27" t="n"/>
      <c r="AM57" s="27" t="n"/>
      <c r="AN57" s="27" t="n"/>
      <c r="AO57" s="27" t="n"/>
      <c r="AP57" s="27" t="n"/>
      <c r="AQ57" s="27" t="n"/>
      <c r="AR57" s="27" t="n"/>
      <c r="AS57" s="27" t="n"/>
      <c r="AT57" s="27" t="n"/>
      <c r="AU57" s="27" t="n"/>
      <c r="AV57" s="27" t="n"/>
      <c r="AW57" s="27" t="n"/>
      <c r="AX57" s="27" t="n"/>
      <c r="AY57" s="27" t="n"/>
      <c r="AZ57" s="27" t="n"/>
      <c r="BA57" s="27" t="n"/>
      <c r="BB57" s="27" t="n"/>
      <c r="BC57" s="27" t="n"/>
      <c r="BD57" s="27" t="n"/>
      <c r="BE57" s="27" t="n"/>
      <c r="BF57" s="27" t="n"/>
      <c r="BG57" s="27" t="n"/>
      <c r="BH57" s="27" t="n"/>
      <c r="BI57" s="29" t="n"/>
      <c r="BJ57" s="27" t="n"/>
      <c r="BK57" s="27" t="n"/>
      <c r="BL57" s="27" t="n"/>
      <c r="BM57" s="27" t="n"/>
      <c r="DN57" s="26">
        <f>IF('テスト条件'!A56="","",'テスト条件'!A56)</f>
        <v/>
      </c>
    </row>
    <row r="58">
      <c r="A58" s="27" t="n"/>
      <c r="B58" s="27" t="n"/>
      <c r="C58" s="28">
        <f>IF(A58="","",$B$2)</f>
        <v/>
      </c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27" t="n"/>
      <c r="AJ58" s="27" t="n"/>
      <c r="AK58" s="27" t="n"/>
      <c r="AL58" s="27" t="n"/>
      <c r="AM58" s="27" t="n"/>
      <c r="AN58" s="27" t="n"/>
      <c r="AO58" s="27" t="n"/>
      <c r="AP58" s="27" t="n"/>
      <c r="AQ58" s="27" t="n"/>
      <c r="AR58" s="27" t="n"/>
      <c r="AS58" s="27" t="n"/>
      <c r="AT58" s="27" t="n"/>
      <c r="AU58" s="27" t="n"/>
      <c r="AV58" s="27" t="n"/>
      <c r="AW58" s="27" t="n"/>
      <c r="AX58" s="27" t="n"/>
      <c r="AY58" s="27" t="n"/>
      <c r="AZ58" s="27" t="n"/>
      <c r="BA58" s="27" t="n"/>
      <c r="BB58" s="27" t="n"/>
      <c r="BC58" s="27" t="n"/>
      <c r="BD58" s="27" t="n"/>
      <c r="BE58" s="27" t="n"/>
      <c r="BF58" s="27" t="n"/>
      <c r="BG58" s="27" t="n"/>
      <c r="BH58" s="27" t="n"/>
      <c r="BI58" s="29" t="n"/>
      <c r="BJ58" s="27" t="n"/>
      <c r="BK58" s="27" t="n"/>
      <c r="BL58" s="27" t="n"/>
      <c r="BM58" s="27" t="n"/>
      <c r="DN58" s="26">
        <f>IF('テスト条件'!A57="","",'テスト条件'!A57)</f>
        <v/>
      </c>
    </row>
    <row r="59">
      <c r="A59" s="27" t="n"/>
      <c r="B59" s="27" t="n"/>
      <c r="C59" s="28">
        <f>IF(A59="","",$B$2)</f>
        <v/>
      </c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27" t="n"/>
      <c r="AJ59" s="27" t="n"/>
      <c r="AK59" s="27" t="n"/>
      <c r="AL59" s="27" t="n"/>
      <c r="AM59" s="27" t="n"/>
      <c r="AN59" s="27" t="n"/>
      <c r="AO59" s="27" t="n"/>
      <c r="AP59" s="27" t="n"/>
      <c r="AQ59" s="27" t="n"/>
      <c r="AR59" s="27" t="n"/>
      <c r="AS59" s="27" t="n"/>
      <c r="AT59" s="27" t="n"/>
      <c r="AU59" s="27" t="n"/>
      <c r="AV59" s="27" t="n"/>
      <c r="AW59" s="27" t="n"/>
      <c r="AX59" s="27" t="n"/>
      <c r="AY59" s="27" t="n"/>
      <c r="AZ59" s="27" t="n"/>
      <c r="BA59" s="27" t="n"/>
      <c r="BB59" s="27" t="n"/>
      <c r="BC59" s="27" t="n"/>
      <c r="BD59" s="27" t="n"/>
      <c r="BE59" s="27" t="n"/>
      <c r="BF59" s="27" t="n"/>
      <c r="BG59" s="27" t="n"/>
      <c r="BH59" s="27" t="n"/>
      <c r="BI59" s="29" t="n"/>
      <c r="BJ59" s="27" t="n"/>
      <c r="BK59" s="27" t="n"/>
      <c r="BL59" s="27" t="n"/>
      <c r="BM59" s="27" t="n"/>
      <c r="DN59" s="26">
        <f>IF('テスト条件'!A58="","",'テスト条件'!A58)</f>
        <v/>
      </c>
    </row>
    <row r="60">
      <c r="A60" s="27" t="n"/>
      <c r="B60" s="27" t="n"/>
      <c r="C60" s="28">
        <f>IF(A60="","",$B$2)</f>
        <v/>
      </c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27" t="n"/>
      <c r="AJ60" s="27" t="n"/>
      <c r="AK60" s="27" t="n"/>
      <c r="AL60" s="27" t="n"/>
      <c r="AM60" s="27" t="n"/>
      <c r="AN60" s="27" t="n"/>
      <c r="AO60" s="27" t="n"/>
      <c r="AP60" s="27" t="n"/>
      <c r="AQ60" s="27" t="n"/>
      <c r="AR60" s="27" t="n"/>
      <c r="AS60" s="27" t="n"/>
      <c r="AT60" s="27" t="n"/>
      <c r="AU60" s="27" t="n"/>
      <c r="AV60" s="27" t="n"/>
      <c r="AW60" s="27" t="n"/>
      <c r="AX60" s="27" t="n"/>
      <c r="AY60" s="27" t="n"/>
      <c r="AZ60" s="27" t="n"/>
      <c r="BA60" s="27" t="n"/>
      <c r="BB60" s="27" t="n"/>
      <c r="BC60" s="27" t="n"/>
      <c r="BD60" s="27" t="n"/>
      <c r="BE60" s="27" t="n"/>
      <c r="BF60" s="27" t="n"/>
      <c r="BG60" s="27" t="n"/>
      <c r="BH60" s="27" t="n"/>
      <c r="BI60" s="29" t="n"/>
      <c r="BJ60" s="27" t="n"/>
      <c r="BK60" s="27" t="n"/>
      <c r="BL60" s="27" t="n"/>
      <c r="BM60" s="27" t="n"/>
      <c r="DN60" s="26">
        <f>IF('テスト条件'!A59="","",'テスト条件'!A59)</f>
        <v/>
      </c>
    </row>
    <row r="61">
      <c r="A61" s="27" t="n"/>
      <c r="B61" s="27" t="n"/>
      <c r="C61" s="28">
        <f>IF(A61="","",$B$2)</f>
        <v/>
      </c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27" t="n"/>
      <c r="AJ61" s="27" t="n"/>
      <c r="AK61" s="27" t="n"/>
      <c r="AL61" s="27" t="n"/>
      <c r="AM61" s="27" t="n"/>
      <c r="AN61" s="27" t="n"/>
      <c r="AO61" s="27" t="n"/>
      <c r="AP61" s="27" t="n"/>
      <c r="AQ61" s="27" t="n"/>
      <c r="AR61" s="27" t="n"/>
      <c r="AS61" s="27" t="n"/>
      <c r="AT61" s="27" t="n"/>
      <c r="AU61" s="27" t="n"/>
      <c r="AV61" s="27" t="n"/>
      <c r="AW61" s="27" t="n"/>
      <c r="AX61" s="27" t="n"/>
      <c r="AY61" s="27" t="n"/>
      <c r="AZ61" s="27" t="n"/>
      <c r="BA61" s="27" t="n"/>
      <c r="BB61" s="27" t="n"/>
      <c r="BC61" s="27" t="n"/>
      <c r="BD61" s="27" t="n"/>
      <c r="BE61" s="27" t="n"/>
      <c r="BF61" s="27" t="n"/>
      <c r="BG61" s="27" t="n"/>
      <c r="BH61" s="27" t="n"/>
      <c r="BI61" s="29" t="n"/>
      <c r="BJ61" s="27" t="n"/>
      <c r="BK61" s="27" t="n"/>
      <c r="BL61" s="27" t="n"/>
      <c r="BM61" s="27" t="n"/>
      <c r="DN61" s="26">
        <f>IF('テスト条件'!A60="","",'テスト条件'!A60)</f>
        <v/>
      </c>
    </row>
    <row r="62">
      <c r="A62" s="27" t="n"/>
      <c r="B62" s="27" t="n"/>
      <c r="C62" s="28">
        <f>IF(A62="","",$B$2)</f>
        <v/>
      </c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27" t="n"/>
      <c r="AJ62" s="27" t="n"/>
      <c r="AK62" s="27" t="n"/>
      <c r="AL62" s="27" t="n"/>
      <c r="AM62" s="27" t="n"/>
      <c r="AN62" s="27" t="n"/>
      <c r="AO62" s="27" t="n"/>
      <c r="AP62" s="27" t="n"/>
      <c r="AQ62" s="27" t="n"/>
      <c r="AR62" s="27" t="n"/>
      <c r="AS62" s="27" t="n"/>
      <c r="AT62" s="27" t="n"/>
      <c r="AU62" s="27" t="n"/>
      <c r="AV62" s="27" t="n"/>
      <c r="AW62" s="27" t="n"/>
      <c r="AX62" s="27" t="n"/>
      <c r="AY62" s="27" t="n"/>
      <c r="AZ62" s="27" t="n"/>
      <c r="BA62" s="27" t="n"/>
      <c r="BB62" s="27" t="n"/>
      <c r="BC62" s="27" t="n"/>
      <c r="BD62" s="27" t="n"/>
      <c r="BE62" s="27" t="n"/>
      <c r="BF62" s="27" t="n"/>
      <c r="BG62" s="27" t="n"/>
      <c r="BH62" s="27" t="n"/>
      <c r="BI62" s="29" t="n"/>
      <c r="BJ62" s="27" t="n"/>
      <c r="BK62" s="27" t="n"/>
      <c r="BL62" s="27" t="n"/>
      <c r="BM62" s="27" t="n"/>
      <c r="DN62" s="26">
        <f>IF('テスト条件'!A61="","",'テスト条件'!A61)</f>
        <v/>
      </c>
    </row>
    <row r="63">
      <c r="A63" s="27" t="n"/>
      <c r="B63" s="27" t="n"/>
      <c r="C63" s="28">
        <f>IF(A63="","",$B$2)</f>
        <v/>
      </c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  <c r="AA63" s="27" t="n"/>
      <c r="AB63" s="27" t="n"/>
      <c r="AC63" s="27" t="n"/>
      <c r="AD63" s="27" t="n"/>
      <c r="AE63" s="27" t="n"/>
      <c r="AF63" s="27" t="n"/>
      <c r="AG63" s="27" t="n"/>
      <c r="AH63" s="27" t="n"/>
      <c r="AI63" s="27" t="n"/>
      <c r="AJ63" s="27" t="n"/>
      <c r="AK63" s="27" t="n"/>
      <c r="AL63" s="27" t="n"/>
      <c r="AM63" s="27" t="n"/>
      <c r="AN63" s="27" t="n"/>
      <c r="AO63" s="27" t="n"/>
      <c r="AP63" s="27" t="n"/>
      <c r="AQ63" s="27" t="n"/>
      <c r="AR63" s="27" t="n"/>
      <c r="AS63" s="27" t="n"/>
      <c r="AT63" s="27" t="n"/>
      <c r="AU63" s="27" t="n"/>
      <c r="AV63" s="27" t="n"/>
      <c r="AW63" s="27" t="n"/>
      <c r="AX63" s="27" t="n"/>
      <c r="AY63" s="27" t="n"/>
      <c r="AZ63" s="27" t="n"/>
      <c r="BA63" s="27" t="n"/>
      <c r="BB63" s="27" t="n"/>
      <c r="BC63" s="27" t="n"/>
      <c r="BD63" s="27" t="n"/>
      <c r="BE63" s="27" t="n"/>
      <c r="BF63" s="27" t="n"/>
      <c r="BG63" s="27" t="n"/>
      <c r="BH63" s="27" t="n"/>
      <c r="BI63" s="29" t="n"/>
      <c r="BJ63" s="27" t="n"/>
      <c r="BK63" s="27" t="n"/>
      <c r="BL63" s="27" t="n"/>
      <c r="BM63" s="27" t="n"/>
      <c r="DN63" s="26">
        <f>IF('テスト条件'!A62="","",'テスト条件'!A62)</f>
        <v/>
      </c>
    </row>
    <row r="64">
      <c r="A64" s="27" t="n"/>
      <c r="B64" s="27" t="n"/>
      <c r="C64" s="28">
        <f>IF(A64="","",$B$2)</f>
        <v/>
      </c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27" t="n"/>
      <c r="AJ64" s="27" t="n"/>
      <c r="AK64" s="27" t="n"/>
      <c r="AL64" s="27" t="n"/>
      <c r="AM64" s="27" t="n"/>
      <c r="AN64" s="27" t="n"/>
      <c r="AO64" s="27" t="n"/>
      <c r="AP64" s="27" t="n"/>
      <c r="AQ64" s="27" t="n"/>
      <c r="AR64" s="27" t="n"/>
      <c r="AS64" s="27" t="n"/>
      <c r="AT64" s="27" t="n"/>
      <c r="AU64" s="27" t="n"/>
      <c r="AV64" s="27" t="n"/>
      <c r="AW64" s="27" t="n"/>
      <c r="AX64" s="27" t="n"/>
      <c r="AY64" s="27" t="n"/>
      <c r="AZ64" s="27" t="n"/>
      <c r="BA64" s="27" t="n"/>
      <c r="BB64" s="27" t="n"/>
      <c r="BC64" s="27" t="n"/>
      <c r="BD64" s="27" t="n"/>
      <c r="BE64" s="27" t="n"/>
      <c r="BF64" s="27" t="n"/>
      <c r="BG64" s="27" t="n"/>
      <c r="BH64" s="27" t="n"/>
      <c r="BI64" s="29" t="n"/>
      <c r="BJ64" s="27" t="n"/>
      <c r="BK64" s="27" t="n"/>
      <c r="BL64" s="27" t="n"/>
      <c r="BM64" s="27" t="n"/>
      <c r="DN64" s="26">
        <f>IF('テスト条件'!A63="","",'テスト条件'!A63)</f>
        <v/>
      </c>
    </row>
    <row r="65">
      <c r="A65" s="27" t="n"/>
      <c r="B65" s="27" t="n"/>
      <c r="C65" s="28">
        <f>IF(A65="","",$B$2)</f>
        <v/>
      </c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27" t="n"/>
      <c r="AJ65" s="27" t="n"/>
      <c r="AK65" s="27" t="n"/>
      <c r="AL65" s="27" t="n"/>
      <c r="AM65" s="27" t="n"/>
      <c r="AN65" s="27" t="n"/>
      <c r="AO65" s="27" t="n"/>
      <c r="AP65" s="27" t="n"/>
      <c r="AQ65" s="27" t="n"/>
      <c r="AR65" s="27" t="n"/>
      <c r="AS65" s="27" t="n"/>
      <c r="AT65" s="27" t="n"/>
      <c r="AU65" s="27" t="n"/>
      <c r="AV65" s="27" t="n"/>
      <c r="AW65" s="27" t="n"/>
      <c r="AX65" s="27" t="n"/>
      <c r="AY65" s="27" t="n"/>
      <c r="AZ65" s="27" t="n"/>
      <c r="BA65" s="27" t="n"/>
      <c r="BB65" s="27" t="n"/>
      <c r="BC65" s="27" t="n"/>
      <c r="BD65" s="27" t="n"/>
      <c r="BE65" s="27" t="n"/>
      <c r="BF65" s="27" t="n"/>
      <c r="BG65" s="27" t="n"/>
      <c r="BH65" s="27" t="n"/>
      <c r="BI65" s="29" t="n"/>
      <c r="BJ65" s="27" t="n"/>
      <c r="BK65" s="27" t="n"/>
      <c r="BL65" s="27" t="n"/>
      <c r="BM65" s="27" t="n"/>
      <c r="DN65" s="26">
        <f>IF('テスト条件'!A64="","",'テスト条件'!A64)</f>
        <v/>
      </c>
    </row>
    <row r="66">
      <c r="A66" s="27" t="n"/>
      <c r="B66" s="27" t="n"/>
      <c r="C66" s="28">
        <f>IF(A66="","",$B$2)</f>
        <v/>
      </c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27" t="n"/>
      <c r="AJ66" s="27" t="n"/>
      <c r="AK66" s="27" t="n"/>
      <c r="AL66" s="27" t="n"/>
      <c r="AM66" s="27" t="n"/>
      <c r="AN66" s="27" t="n"/>
      <c r="AO66" s="27" t="n"/>
      <c r="AP66" s="27" t="n"/>
      <c r="AQ66" s="27" t="n"/>
      <c r="AR66" s="27" t="n"/>
      <c r="AS66" s="27" t="n"/>
      <c r="AT66" s="27" t="n"/>
      <c r="AU66" s="27" t="n"/>
      <c r="AV66" s="27" t="n"/>
      <c r="AW66" s="27" t="n"/>
      <c r="AX66" s="27" t="n"/>
      <c r="AY66" s="27" t="n"/>
      <c r="AZ66" s="27" t="n"/>
      <c r="BA66" s="27" t="n"/>
      <c r="BB66" s="27" t="n"/>
      <c r="BC66" s="27" t="n"/>
      <c r="BD66" s="27" t="n"/>
      <c r="BE66" s="27" t="n"/>
      <c r="BF66" s="27" t="n"/>
      <c r="BG66" s="27" t="n"/>
      <c r="BH66" s="27" t="n"/>
      <c r="BI66" s="29" t="n"/>
      <c r="BJ66" s="27" t="n"/>
      <c r="BK66" s="27" t="n"/>
      <c r="BL66" s="27" t="n"/>
      <c r="BM66" s="27" t="n"/>
      <c r="DN66" s="26">
        <f>IF('テスト条件'!A65="","",'テスト条件'!A65)</f>
        <v/>
      </c>
    </row>
    <row r="67">
      <c r="A67" s="27" t="n"/>
      <c r="B67" s="27" t="n"/>
      <c r="C67" s="28">
        <f>IF(A67="","",$B$2)</f>
        <v/>
      </c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  <c r="AA67" s="27" t="n"/>
      <c r="AB67" s="27" t="n"/>
      <c r="AC67" s="27" t="n"/>
      <c r="AD67" s="27" t="n"/>
      <c r="AE67" s="27" t="n"/>
      <c r="AF67" s="27" t="n"/>
      <c r="AG67" s="27" t="n"/>
      <c r="AH67" s="27" t="n"/>
      <c r="AI67" s="27" t="n"/>
      <c r="AJ67" s="27" t="n"/>
      <c r="AK67" s="27" t="n"/>
      <c r="AL67" s="27" t="n"/>
      <c r="AM67" s="27" t="n"/>
      <c r="AN67" s="27" t="n"/>
      <c r="AO67" s="27" t="n"/>
      <c r="AP67" s="27" t="n"/>
      <c r="AQ67" s="27" t="n"/>
      <c r="AR67" s="27" t="n"/>
      <c r="AS67" s="27" t="n"/>
      <c r="AT67" s="27" t="n"/>
      <c r="AU67" s="27" t="n"/>
      <c r="AV67" s="27" t="n"/>
      <c r="AW67" s="27" t="n"/>
      <c r="AX67" s="27" t="n"/>
      <c r="AY67" s="27" t="n"/>
      <c r="AZ67" s="27" t="n"/>
      <c r="BA67" s="27" t="n"/>
      <c r="BB67" s="27" t="n"/>
      <c r="BC67" s="27" t="n"/>
      <c r="BD67" s="27" t="n"/>
      <c r="BE67" s="27" t="n"/>
      <c r="BF67" s="27" t="n"/>
      <c r="BG67" s="27" t="n"/>
      <c r="BH67" s="27" t="n"/>
      <c r="BI67" s="29" t="n"/>
      <c r="BJ67" s="27" t="n"/>
      <c r="BK67" s="27" t="n"/>
      <c r="BL67" s="27" t="n"/>
      <c r="BM67" s="27" t="n"/>
      <c r="DN67" s="26">
        <f>IF('テスト条件'!A66="","",'テスト条件'!A66)</f>
        <v/>
      </c>
    </row>
    <row r="68">
      <c r="A68" s="27" t="n"/>
      <c r="B68" s="27" t="n"/>
      <c r="C68" s="28">
        <f>IF(A68="","",$B$2)</f>
        <v/>
      </c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  <c r="AA68" s="27" t="n"/>
      <c r="AB68" s="27" t="n"/>
      <c r="AC68" s="27" t="n"/>
      <c r="AD68" s="27" t="n"/>
      <c r="AE68" s="27" t="n"/>
      <c r="AF68" s="27" t="n"/>
      <c r="AG68" s="27" t="n"/>
      <c r="AH68" s="27" t="n"/>
      <c r="AI68" s="27" t="n"/>
      <c r="AJ68" s="27" t="n"/>
      <c r="AK68" s="27" t="n"/>
      <c r="AL68" s="27" t="n"/>
      <c r="AM68" s="27" t="n"/>
      <c r="AN68" s="27" t="n"/>
      <c r="AO68" s="27" t="n"/>
      <c r="AP68" s="27" t="n"/>
      <c r="AQ68" s="27" t="n"/>
      <c r="AR68" s="27" t="n"/>
      <c r="AS68" s="27" t="n"/>
      <c r="AT68" s="27" t="n"/>
      <c r="AU68" s="27" t="n"/>
      <c r="AV68" s="27" t="n"/>
      <c r="AW68" s="27" t="n"/>
      <c r="AX68" s="27" t="n"/>
      <c r="AY68" s="27" t="n"/>
      <c r="AZ68" s="27" t="n"/>
      <c r="BA68" s="27" t="n"/>
      <c r="BB68" s="27" t="n"/>
      <c r="BC68" s="27" t="n"/>
      <c r="BD68" s="27" t="n"/>
      <c r="BE68" s="27" t="n"/>
      <c r="BF68" s="27" t="n"/>
      <c r="BG68" s="27" t="n"/>
      <c r="BH68" s="27" t="n"/>
      <c r="BI68" s="29" t="n"/>
      <c r="BJ68" s="27" t="n"/>
      <c r="BK68" s="27" t="n"/>
      <c r="BL68" s="27" t="n"/>
      <c r="BM68" s="27" t="n"/>
      <c r="DN68" s="26">
        <f>IF('テスト条件'!A67="","",'テスト条件'!A67)</f>
        <v/>
      </c>
    </row>
    <row r="69">
      <c r="A69" s="27" t="n"/>
      <c r="B69" s="27" t="n"/>
      <c r="C69" s="28">
        <f>IF(A69="","",$B$2)</f>
        <v/>
      </c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  <c r="AA69" s="27" t="n"/>
      <c r="AB69" s="27" t="n"/>
      <c r="AC69" s="27" t="n"/>
      <c r="AD69" s="27" t="n"/>
      <c r="AE69" s="27" t="n"/>
      <c r="AF69" s="27" t="n"/>
      <c r="AG69" s="27" t="n"/>
      <c r="AH69" s="27" t="n"/>
      <c r="AI69" s="27" t="n"/>
      <c r="AJ69" s="27" t="n"/>
      <c r="AK69" s="27" t="n"/>
      <c r="AL69" s="27" t="n"/>
      <c r="AM69" s="27" t="n"/>
      <c r="AN69" s="27" t="n"/>
      <c r="AO69" s="27" t="n"/>
      <c r="AP69" s="27" t="n"/>
      <c r="AQ69" s="27" t="n"/>
      <c r="AR69" s="27" t="n"/>
      <c r="AS69" s="27" t="n"/>
      <c r="AT69" s="27" t="n"/>
      <c r="AU69" s="27" t="n"/>
      <c r="AV69" s="27" t="n"/>
      <c r="AW69" s="27" t="n"/>
      <c r="AX69" s="27" t="n"/>
      <c r="AY69" s="27" t="n"/>
      <c r="AZ69" s="27" t="n"/>
      <c r="BA69" s="27" t="n"/>
      <c r="BB69" s="27" t="n"/>
      <c r="BC69" s="27" t="n"/>
      <c r="BD69" s="27" t="n"/>
      <c r="BE69" s="27" t="n"/>
      <c r="BF69" s="27" t="n"/>
      <c r="BG69" s="27" t="n"/>
      <c r="BH69" s="27" t="n"/>
      <c r="BI69" s="29" t="n"/>
      <c r="BJ69" s="27" t="n"/>
      <c r="BK69" s="27" t="n"/>
      <c r="BL69" s="27" t="n"/>
      <c r="BM69" s="27" t="n"/>
      <c r="DN69" s="26">
        <f>IF('テスト条件'!A68="","",'テスト条件'!A68)</f>
        <v/>
      </c>
    </row>
    <row r="70">
      <c r="A70" s="27" t="n"/>
      <c r="B70" s="27" t="n"/>
      <c r="C70" s="28">
        <f>IF(A70="","",$B$2)</f>
        <v/>
      </c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  <c r="AA70" s="27" t="n"/>
      <c r="AB70" s="27" t="n"/>
      <c r="AC70" s="27" t="n"/>
      <c r="AD70" s="27" t="n"/>
      <c r="AE70" s="27" t="n"/>
      <c r="AF70" s="27" t="n"/>
      <c r="AG70" s="27" t="n"/>
      <c r="AH70" s="27" t="n"/>
      <c r="AI70" s="27" t="n"/>
      <c r="AJ70" s="27" t="n"/>
      <c r="AK70" s="27" t="n"/>
      <c r="AL70" s="27" t="n"/>
      <c r="AM70" s="27" t="n"/>
      <c r="AN70" s="27" t="n"/>
      <c r="AO70" s="27" t="n"/>
      <c r="AP70" s="27" t="n"/>
      <c r="AQ70" s="27" t="n"/>
      <c r="AR70" s="27" t="n"/>
      <c r="AS70" s="27" t="n"/>
      <c r="AT70" s="27" t="n"/>
      <c r="AU70" s="27" t="n"/>
      <c r="AV70" s="27" t="n"/>
      <c r="AW70" s="27" t="n"/>
      <c r="AX70" s="27" t="n"/>
      <c r="AY70" s="27" t="n"/>
      <c r="AZ70" s="27" t="n"/>
      <c r="BA70" s="27" t="n"/>
      <c r="BB70" s="27" t="n"/>
      <c r="BC70" s="27" t="n"/>
      <c r="BD70" s="27" t="n"/>
      <c r="BE70" s="27" t="n"/>
      <c r="BF70" s="27" t="n"/>
      <c r="BG70" s="27" t="n"/>
      <c r="BH70" s="27" t="n"/>
      <c r="BI70" s="29" t="n"/>
      <c r="BJ70" s="27" t="n"/>
      <c r="BK70" s="27" t="n"/>
      <c r="BL70" s="27" t="n"/>
      <c r="BM70" s="27" t="n"/>
      <c r="DN70" s="26">
        <f>IF('テスト条件'!A69="","",'テスト条件'!A69)</f>
        <v/>
      </c>
    </row>
    <row r="71">
      <c r="A71" s="27" t="n"/>
      <c r="B71" s="27" t="n"/>
      <c r="C71" s="28">
        <f>IF(A71="","",$B$2)</f>
        <v/>
      </c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  <c r="AA71" s="27" t="n"/>
      <c r="AB71" s="27" t="n"/>
      <c r="AC71" s="27" t="n"/>
      <c r="AD71" s="27" t="n"/>
      <c r="AE71" s="27" t="n"/>
      <c r="AF71" s="27" t="n"/>
      <c r="AG71" s="27" t="n"/>
      <c r="AH71" s="27" t="n"/>
      <c r="AI71" s="27" t="n"/>
      <c r="AJ71" s="27" t="n"/>
      <c r="AK71" s="27" t="n"/>
      <c r="AL71" s="27" t="n"/>
      <c r="AM71" s="27" t="n"/>
      <c r="AN71" s="27" t="n"/>
      <c r="AO71" s="27" t="n"/>
      <c r="AP71" s="27" t="n"/>
      <c r="AQ71" s="27" t="n"/>
      <c r="AR71" s="27" t="n"/>
      <c r="AS71" s="27" t="n"/>
      <c r="AT71" s="27" t="n"/>
      <c r="AU71" s="27" t="n"/>
      <c r="AV71" s="27" t="n"/>
      <c r="AW71" s="27" t="n"/>
      <c r="AX71" s="27" t="n"/>
      <c r="AY71" s="27" t="n"/>
      <c r="AZ71" s="27" t="n"/>
      <c r="BA71" s="27" t="n"/>
      <c r="BB71" s="27" t="n"/>
      <c r="BC71" s="27" t="n"/>
      <c r="BD71" s="27" t="n"/>
      <c r="BE71" s="27" t="n"/>
      <c r="BF71" s="27" t="n"/>
      <c r="BG71" s="27" t="n"/>
      <c r="BH71" s="27" t="n"/>
      <c r="BI71" s="29" t="n"/>
      <c r="BJ71" s="27" t="n"/>
      <c r="BK71" s="27" t="n"/>
      <c r="BL71" s="27" t="n"/>
      <c r="BM71" s="27" t="n"/>
      <c r="DN71" s="26">
        <f>IF('テスト条件'!A70="","",'テスト条件'!A70)</f>
        <v/>
      </c>
    </row>
    <row r="72">
      <c r="A72" s="27" t="n"/>
      <c r="B72" s="27" t="n"/>
      <c r="C72" s="28">
        <f>IF(A72="","",$B$2)</f>
        <v/>
      </c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  <c r="AA72" s="27" t="n"/>
      <c r="AB72" s="27" t="n"/>
      <c r="AC72" s="27" t="n"/>
      <c r="AD72" s="27" t="n"/>
      <c r="AE72" s="27" t="n"/>
      <c r="AF72" s="27" t="n"/>
      <c r="AG72" s="27" t="n"/>
      <c r="AH72" s="27" t="n"/>
      <c r="AI72" s="27" t="n"/>
      <c r="AJ72" s="27" t="n"/>
      <c r="AK72" s="27" t="n"/>
      <c r="AL72" s="27" t="n"/>
      <c r="AM72" s="27" t="n"/>
      <c r="AN72" s="27" t="n"/>
      <c r="AO72" s="27" t="n"/>
      <c r="AP72" s="27" t="n"/>
      <c r="AQ72" s="27" t="n"/>
      <c r="AR72" s="27" t="n"/>
      <c r="AS72" s="27" t="n"/>
      <c r="AT72" s="27" t="n"/>
      <c r="AU72" s="27" t="n"/>
      <c r="AV72" s="27" t="n"/>
      <c r="AW72" s="27" t="n"/>
      <c r="AX72" s="27" t="n"/>
      <c r="AY72" s="27" t="n"/>
      <c r="AZ72" s="27" t="n"/>
      <c r="BA72" s="27" t="n"/>
      <c r="BB72" s="27" t="n"/>
      <c r="BC72" s="27" t="n"/>
      <c r="BD72" s="27" t="n"/>
      <c r="BE72" s="27" t="n"/>
      <c r="BF72" s="27" t="n"/>
      <c r="BG72" s="27" t="n"/>
      <c r="BH72" s="27" t="n"/>
      <c r="BI72" s="29" t="n"/>
      <c r="BJ72" s="27" t="n"/>
      <c r="BK72" s="27" t="n"/>
      <c r="BL72" s="27" t="n"/>
      <c r="BM72" s="27" t="n"/>
      <c r="DN72" s="26">
        <f>IF('テスト条件'!A71="","",'テスト条件'!A71)</f>
        <v/>
      </c>
    </row>
    <row r="73">
      <c r="A73" s="27" t="n"/>
      <c r="B73" s="27" t="n"/>
      <c r="C73" s="28">
        <f>IF(A73="","",$B$2)</f>
        <v/>
      </c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  <c r="AA73" s="27" t="n"/>
      <c r="AB73" s="27" t="n"/>
      <c r="AC73" s="27" t="n"/>
      <c r="AD73" s="27" t="n"/>
      <c r="AE73" s="27" t="n"/>
      <c r="AF73" s="27" t="n"/>
      <c r="AG73" s="27" t="n"/>
      <c r="AH73" s="27" t="n"/>
      <c r="AI73" s="27" t="n"/>
      <c r="AJ73" s="27" t="n"/>
      <c r="AK73" s="27" t="n"/>
      <c r="AL73" s="27" t="n"/>
      <c r="AM73" s="27" t="n"/>
      <c r="AN73" s="27" t="n"/>
      <c r="AO73" s="27" t="n"/>
      <c r="AP73" s="27" t="n"/>
      <c r="AQ73" s="27" t="n"/>
      <c r="AR73" s="27" t="n"/>
      <c r="AS73" s="27" t="n"/>
      <c r="AT73" s="27" t="n"/>
      <c r="AU73" s="27" t="n"/>
      <c r="AV73" s="27" t="n"/>
      <c r="AW73" s="27" t="n"/>
      <c r="AX73" s="27" t="n"/>
      <c r="AY73" s="27" t="n"/>
      <c r="AZ73" s="27" t="n"/>
      <c r="BA73" s="27" t="n"/>
      <c r="BB73" s="27" t="n"/>
      <c r="BC73" s="27" t="n"/>
      <c r="BD73" s="27" t="n"/>
      <c r="BE73" s="27" t="n"/>
      <c r="BF73" s="27" t="n"/>
      <c r="BG73" s="27" t="n"/>
      <c r="BH73" s="27" t="n"/>
      <c r="BI73" s="29" t="n"/>
      <c r="BJ73" s="27" t="n"/>
      <c r="BK73" s="27" t="n"/>
      <c r="BL73" s="27" t="n"/>
      <c r="BM73" s="27" t="n"/>
      <c r="DN73" s="26">
        <f>IF('テスト条件'!A72="","",'テスト条件'!A72)</f>
        <v/>
      </c>
    </row>
    <row r="74">
      <c r="A74" s="27" t="n"/>
      <c r="B74" s="27" t="n"/>
      <c r="C74" s="28">
        <f>IF(A74="","",$B$2)</f>
        <v/>
      </c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  <c r="AA74" s="27" t="n"/>
      <c r="AB74" s="27" t="n"/>
      <c r="AC74" s="27" t="n"/>
      <c r="AD74" s="27" t="n"/>
      <c r="AE74" s="27" t="n"/>
      <c r="AF74" s="27" t="n"/>
      <c r="AG74" s="27" t="n"/>
      <c r="AH74" s="27" t="n"/>
      <c r="AI74" s="27" t="n"/>
      <c r="AJ74" s="27" t="n"/>
      <c r="AK74" s="27" t="n"/>
      <c r="AL74" s="27" t="n"/>
      <c r="AM74" s="27" t="n"/>
      <c r="AN74" s="27" t="n"/>
      <c r="AO74" s="27" t="n"/>
      <c r="AP74" s="27" t="n"/>
      <c r="AQ74" s="27" t="n"/>
      <c r="AR74" s="27" t="n"/>
      <c r="AS74" s="27" t="n"/>
      <c r="AT74" s="27" t="n"/>
      <c r="AU74" s="27" t="n"/>
      <c r="AV74" s="27" t="n"/>
      <c r="AW74" s="27" t="n"/>
      <c r="AX74" s="27" t="n"/>
      <c r="AY74" s="27" t="n"/>
      <c r="AZ74" s="27" t="n"/>
      <c r="BA74" s="27" t="n"/>
      <c r="BB74" s="27" t="n"/>
      <c r="BC74" s="27" t="n"/>
      <c r="BD74" s="27" t="n"/>
      <c r="BE74" s="27" t="n"/>
      <c r="BF74" s="27" t="n"/>
      <c r="BG74" s="27" t="n"/>
      <c r="BH74" s="27" t="n"/>
      <c r="BI74" s="29" t="n"/>
      <c r="BJ74" s="27" t="n"/>
      <c r="BK74" s="27" t="n"/>
      <c r="BL74" s="27" t="n"/>
      <c r="BM74" s="27" t="n"/>
      <c r="DN74" s="26">
        <f>IF('テスト条件'!A73="","",'テスト条件'!A73)</f>
        <v/>
      </c>
    </row>
    <row r="75">
      <c r="A75" s="27" t="n"/>
      <c r="B75" s="27" t="n"/>
      <c r="C75" s="28">
        <f>IF(A75="","",$B$2)</f>
        <v/>
      </c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  <c r="AA75" s="27" t="n"/>
      <c r="AB75" s="27" t="n"/>
      <c r="AC75" s="27" t="n"/>
      <c r="AD75" s="27" t="n"/>
      <c r="AE75" s="27" t="n"/>
      <c r="AF75" s="27" t="n"/>
      <c r="AG75" s="27" t="n"/>
      <c r="AH75" s="27" t="n"/>
      <c r="AI75" s="27" t="n"/>
      <c r="AJ75" s="27" t="n"/>
      <c r="AK75" s="27" t="n"/>
      <c r="AL75" s="27" t="n"/>
      <c r="AM75" s="27" t="n"/>
      <c r="AN75" s="27" t="n"/>
      <c r="AO75" s="27" t="n"/>
      <c r="AP75" s="27" t="n"/>
      <c r="AQ75" s="27" t="n"/>
      <c r="AR75" s="27" t="n"/>
      <c r="AS75" s="27" t="n"/>
      <c r="AT75" s="27" t="n"/>
      <c r="AU75" s="27" t="n"/>
      <c r="AV75" s="27" t="n"/>
      <c r="AW75" s="27" t="n"/>
      <c r="AX75" s="27" t="n"/>
      <c r="AY75" s="27" t="n"/>
      <c r="AZ75" s="27" t="n"/>
      <c r="BA75" s="27" t="n"/>
      <c r="BB75" s="27" t="n"/>
      <c r="BC75" s="27" t="n"/>
      <c r="BD75" s="27" t="n"/>
      <c r="BE75" s="27" t="n"/>
      <c r="BF75" s="27" t="n"/>
      <c r="BG75" s="27" t="n"/>
      <c r="BH75" s="27" t="n"/>
      <c r="BI75" s="29" t="n"/>
      <c r="BJ75" s="27" t="n"/>
      <c r="BK75" s="27" t="n"/>
      <c r="BL75" s="27" t="n"/>
      <c r="BM75" s="27" t="n"/>
      <c r="DN75" s="26">
        <f>IF('テスト条件'!A74="","",'テスト条件'!A74)</f>
        <v/>
      </c>
    </row>
    <row r="76">
      <c r="A76" s="27" t="n"/>
      <c r="B76" s="27" t="n"/>
      <c r="C76" s="28">
        <f>IF(A76="","",$B$2)</f>
        <v/>
      </c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  <c r="AA76" s="27" t="n"/>
      <c r="AB76" s="27" t="n"/>
      <c r="AC76" s="27" t="n"/>
      <c r="AD76" s="27" t="n"/>
      <c r="AE76" s="27" t="n"/>
      <c r="AF76" s="27" t="n"/>
      <c r="AG76" s="27" t="n"/>
      <c r="AH76" s="27" t="n"/>
      <c r="AI76" s="27" t="n"/>
      <c r="AJ76" s="27" t="n"/>
      <c r="AK76" s="27" t="n"/>
      <c r="AL76" s="27" t="n"/>
      <c r="AM76" s="27" t="n"/>
      <c r="AN76" s="27" t="n"/>
      <c r="AO76" s="27" t="n"/>
      <c r="AP76" s="27" t="n"/>
      <c r="AQ76" s="27" t="n"/>
      <c r="AR76" s="27" t="n"/>
      <c r="AS76" s="27" t="n"/>
      <c r="AT76" s="27" t="n"/>
      <c r="AU76" s="27" t="n"/>
      <c r="AV76" s="27" t="n"/>
      <c r="AW76" s="27" t="n"/>
      <c r="AX76" s="27" t="n"/>
      <c r="AY76" s="27" t="n"/>
      <c r="AZ76" s="27" t="n"/>
      <c r="BA76" s="27" t="n"/>
      <c r="BB76" s="27" t="n"/>
      <c r="BC76" s="27" t="n"/>
      <c r="BD76" s="27" t="n"/>
      <c r="BE76" s="27" t="n"/>
      <c r="BF76" s="27" t="n"/>
      <c r="BG76" s="27" t="n"/>
      <c r="BH76" s="27" t="n"/>
      <c r="BI76" s="29" t="n"/>
      <c r="BJ76" s="27" t="n"/>
      <c r="BK76" s="27" t="n"/>
      <c r="BL76" s="27" t="n"/>
      <c r="BM76" s="27" t="n"/>
      <c r="DN76" s="26">
        <f>IF('テスト条件'!A75="","",'テスト条件'!A75)</f>
        <v/>
      </c>
    </row>
    <row r="77">
      <c r="A77" s="27" t="n"/>
      <c r="B77" s="27" t="n"/>
      <c r="C77" s="28">
        <f>IF(A77="","",$B$2)</f>
        <v/>
      </c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  <c r="AA77" s="27" t="n"/>
      <c r="AB77" s="27" t="n"/>
      <c r="AC77" s="27" t="n"/>
      <c r="AD77" s="27" t="n"/>
      <c r="AE77" s="27" t="n"/>
      <c r="AF77" s="27" t="n"/>
      <c r="AG77" s="27" t="n"/>
      <c r="AH77" s="27" t="n"/>
      <c r="AI77" s="27" t="n"/>
      <c r="AJ77" s="27" t="n"/>
      <c r="AK77" s="27" t="n"/>
      <c r="AL77" s="27" t="n"/>
      <c r="AM77" s="27" t="n"/>
      <c r="AN77" s="27" t="n"/>
      <c r="AO77" s="27" t="n"/>
      <c r="AP77" s="27" t="n"/>
      <c r="AQ77" s="27" t="n"/>
      <c r="AR77" s="27" t="n"/>
      <c r="AS77" s="27" t="n"/>
      <c r="AT77" s="27" t="n"/>
      <c r="AU77" s="27" t="n"/>
      <c r="AV77" s="27" t="n"/>
      <c r="AW77" s="27" t="n"/>
      <c r="AX77" s="27" t="n"/>
      <c r="AY77" s="27" t="n"/>
      <c r="AZ77" s="27" t="n"/>
      <c r="BA77" s="27" t="n"/>
      <c r="BB77" s="27" t="n"/>
      <c r="BC77" s="27" t="n"/>
      <c r="BD77" s="27" t="n"/>
      <c r="BE77" s="27" t="n"/>
      <c r="BF77" s="27" t="n"/>
      <c r="BG77" s="27" t="n"/>
      <c r="BH77" s="27" t="n"/>
      <c r="BI77" s="29" t="n"/>
      <c r="BJ77" s="27" t="n"/>
      <c r="BK77" s="27" t="n"/>
      <c r="BL77" s="27" t="n"/>
      <c r="BM77" s="27" t="n"/>
      <c r="DN77" s="26">
        <f>IF('テスト条件'!A76="","",'テスト条件'!A76)</f>
        <v/>
      </c>
    </row>
    <row r="78">
      <c r="A78" s="27" t="n"/>
      <c r="B78" s="27" t="n"/>
      <c r="C78" s="28">
        <f>IF(A78="","",$B$2)</f>
        <v/>
      </c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  <c r="AA78" s="27" t="n"/>
      <c r="AB78" s="27" t="n"/>
      <c r="AC78" s="27" t="n"/>
      <c r="AD78" s="27" t="n"/>
      <c r="AE78" s="27" t="n"/>
      <c r="AF78" s="27" t="n"/>
      <c r="AG78" s="27" t="n"/>
      <c r="AH78" s="27" t="n"/>
      <c r="AI78" s="27" t="n"/>
      <c r="AJ78" s="27" t="n"/>
      <c r="AK78" s="27" t="n"/>
      <c r="AL78" s="27" t="n"/>
      <c r="AM78" s="27" t="n"/>
      <c r="AN78" s="27" t="n"/>
      <c r="AO78" s="27" t="n"/>
      <c r="AP78" s="27" t="n"/>
      <c r="AQ78" s="27" t="n"/>
      <c r="AR78" s="27" t="n"/>
      <c r="AS78" s="27" t="n"/>
      <c r="AT78" s="27" t="n"/>
      <c r="AU78" s="27" t="n"/>
      <c r="AV78" s="27" t="n"/>
      <c r="AW78" s="27" t="n"/>
      <c r="AX78" s="27" t="n"/>
      <c r="AY78" s="27" t="n"/>
      <c r="AZ78" s="27" t="n"/>
      <c r="BA78" s="27" t="n"/>
      <c r="BB78" s="27" t="n"/>
      <c r="BC78" s="27" t="n"/>
      <c r="BD78" s="27" t="n"/>
      <c r="BE78" s="27" t="n"/>
      <c r="BF78" s="27" t="n"/>
      <c r="BG78" s="27" t="n"/>
      <c r="BH78" s="27" t="n"/>
      <c r="BI78" s="29" t="n"/>
      <c r="BJ78" s="27" t="n"/>
      <c r="BK78" s="27" t="n"/>
      <c r="BL78" s="27" t="n"/>
      <c r="BM78" s="27" t="n"/>
      <c r="DN78" s="26">
        <f>IF('テスト条件'!A77="","",'テスト条件'!A77)</f>
        <v/>
      </c>
    </row>
    <row r="79">
      <c r="A79" s="27" t="n"/>
      <c r="B79" s="27" t="n"/>
      <c r="C79" s="28">
        <f>IF(A79="","",$B$2)</f>
        <v/>
      </c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  <c r="AA79" s="27" t="n"/>
      <c r="AB79" s="27" t="n"/>
      <c r="AC79" s="27" t="n"/>
      <c r="AD79" s="27" t="n"/>
      <c r="AE79" s="27" t="n"/>
      <c r="AF79" s="27" t="n"/>
      <c r="AG79" s="27" t="n"/>
      <c r="AH79" s="27" t="n"/>
      <c r="AI79" s="27" t="n"/>
      <c r="AJ79" s="27" t="n"/>
      <c r="AK79" s="27" t="n"/>
      <c r="AL79" s="27" t="n"/>
      <c r="AM79" s="27" t="n"/>
      <c r="AN79" s="27" t="n"/>
      <c r="AO79" s="27" t="n"/>
      <c r="AP79" s="27" t="n"/>
      <c r="AQ79" s="27" t="n"/>
      <c r="AR79" s="27" t="n"/>
      <c r="AS79" s="27" t="n"/>
      <c r="AT79" s="27" t="n"/>
      <c r="AU79" s="27" t="n"/>
      <c r="AV79" s="27" t="n"/>
      <c r="AW79" s="27" t="n"/>
      <c r="AX79" s="27" t="n"/>
      <c r="AY79" s="27" t="n"/>
      <c r="AZ79" s="27" t="n"/>
      <c r="BA79" s="27" t="n"/>
      <c r="BB79" s="27" t="n"/>
      <c r="BC79" s="27" t="n"/>
      <c r="BD79" s="27" t="n"/>
      <c r="BE79" s="27" t="n"/>
      <c r="BF79" s="27" t="n"/>
      <c r="BG79" s="27" t="n"/>
      <c r="BH79" s="27" t="n"/>
      <c r="BI79" s="29" t="n"/>
      <c r="BJ79" s="27" t="n"/>
      <c r="BK79" s="27" t="n"/>
      <c r="BL79" s="27" t="n"/>
      <c r="BM79" s="27" t="n"/>
      <c r="DN79" s="26">
        <f>IF('テスト条件'!A78="","",'テスト条件'!A78)</f>
        <v/>
      </c>
    </row>
    <row r="80">
      <c r="A80" s="27" t="n"/>
      <c r="B80" s="27" t="n"/>
      <c r="C80" s="28">
        <f>IF(A80="","",$B$2)</f>
        <v/>
      </c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27" t="n"/>
      <c r="AJ80" s="27" t="n"/>
      <c r="AK80" s="27" t="n"/>
      <c r="AL80" s="27" t="n"/>
      <c r="AM80" s="27" t="n"/>
      <c r="AN80" s="27" t="n"/>
      <c r="AO80" s="27" t="n"/>
      <c r="AP80" s="27" t="n"/>
      <c r="AQ80" s="27" t="n"/>
      <c r="AR80" s="27" t="n"/>
      <c r="AS80" s="27" t="n"/>
      <c r="AT80" s="27" t="n"/>
      <c r="AU80" s="27" t="n"/>
      <c r="AV80" s="27" t="n"/>
      <c r="AW80" s="27" t="n"/>
      <c r="AX80" s="27" t="n"/>
      <c r="AY80" s="27" t="n"/>
      <c r="AZ80" s="27" t="n"/>
      <c r="BA80" s="27" t="n"/>
      <c r="BB80" s="27" t="n"/>
      <c r="BC80" s="27" t="n"/>
      <c r="BD80" s="27" t="n"/>
      <c r="BE80" s="27" t="n"/>
      <c r="BF80" s="27" t="n"/>
      <c r="BG80" s="27" t="n"/>
      <c r="BH80" s="27" t="n"/>
      <c r="BI80" s="29" t="n"/>
      <c r="BJ80" s="27" t="n"/>
      <c r="BK80" s="27" t="n"/>
      <c r="BL80" s="27" t="n"/>
      <c r="BM80" s="27" t="n"/>
      <c r="DN80" s="26">
        <f>IF('テスト条件'!A79="","",'テスト条件'!A79)</f>
        <v/>
      </c>
    </row>
    <row r="81">
      <c r="A81" s="27" t="n"/>
      <c r="B81" s="27" t="n"/>
      <c r="C81" s="28">
        <f>IF(A81="","",$B$2)</f>
        <v/>
      </c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  <c r="AA81" s="27" t="n"/>
      <c r="AB81" s="27" t="n"/>
      <c r="AC81" s="27" t="n"/>
      <c r="AD81" s="27" t="n"/>
      <c r="AE81" s="27" t="n"/>
      <c r="AF81" s="27" t="n"/>
      <c r="AG81" s="27" t="n"/>
      <c r="AH81" s="27" t="n"/>
      <c r="AI81" s="27" t="n"/>
      <c r="AJ81" s="27" t="n"/>
      <c r="AK81" s="27" t="n"/>
      <c r="AL81" s="27" t="n"/>
      <c r="AM81" s="27" t="n"/>
      <c r="AN81" s="27" t="n"/>
      <c r="AO81" s="27" t="n"/>
      <c r="AP81" s="27" t="n"/>
      <c r="AQ81" s="27" t="n"/>
      <c r="AR81" s="27" t="n"/>
      <c r="AS81" s="27" t="n"/>
      <c r="AT81" s="27" t="n"/>
      <c r="AU81" s="27" t="n"/>
      <c r="AV81" s="27" t="n"/>
      <c r="AW81" s="27" t="n"/>
      <c r="AX81" s="27" t="n"/>
      <c r="AY81" s="27" t="n"/>
      <c r="AZ81" s="27" t="n"/>
      <c r="BA81" s="27" t="n"/>
      <c r="BB81" s="27" t="n"/>
      <c r="BC81" s="27" t="n"/>
      <c r="BD81" s="27" t="n"/>
      <c r="BE81" s="27" t="n"/>
      <c r="BF81" s="27" t="n"/>
      <c r="BG81" s="27" t="n"/>
      <c r="BH81" s="27" t="n"/>
      <c r="BI81" s="29" t="n"/>
      <c r="BJ81" s="27" t="n"/>
      <c r="BK81" s="27" t="n"/>
      <c r="BL81" s="27" t="n"/>
      <c r="BM81" s="27" t="n"/>
      <c r="DN81" s="26">
        <f>IF('テスト条件'!A80="","",'テスト条件'!A80)</f>
        <v/>
      </c>
    </row>
    <row r="82">
      <c r="A82" s="27" t="n"/>
      <c r="B82" s="27" t="n"/>
      <c r="C82" s="28">
        <f>IF(A82="","",$B$2)</f>
        <v/>
      </c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  <c r="AA82" s="27" t="n"/>
      <c r="AB82" s="27" t="n"/>
      <c r="AC82" s="27" t="n"/>
      <c r="AD82" s="27" t="n"/>
      <c r="AE82" s="27" t="n"/>
      <c r="AF82" s="27" t="n"/>
      <c r="AG82" s="27" t="n"/>
      <c r="AH82" s="27" t="n"/>
      <c r="AI82" s="27" t="n"/>
      <c r="AJ82" s="27" t="n"/>
      <c r="AK82" s="27" t="n"/>
      <c r="AL82" s="27" t="n"/>
      <c r="AM82" s="27" t="n"/>
      <c r="AN82" s="27" t="n"/>
      <c r="AO82" s="27" t="n"/>
      <c r="AP82" s="27" t="n"/>
      <c r="AQ82" s="27" t="n"/>
      <c r="AR82" s="27" t="n"/>
      <c r="AS82" s="27" t="n"/>
      <c r="AT82" s="27" t="n"/>
      <c r="AU82" s="27" t="n"/>
      <c r="AV82" s="27" t="n"/>
      <c r="AW82" s="27" t="n"/>
      <c r="AX82" s="27" t="n"/>
      <c r="AY82" s="27" t="n"/>
      <c r="AZ82" s="27" t="n"/>
      <c r="BA82" s="27" t="n"/>
      <c r="BB82" s="27" t="n"/>
      <c r="BC82" s="27" t="n"/>
      <c r="BD82" s="27" t="n"/>
      <c r="BE82" s="27" t="n"/>
      <c r="BF82" s="27" t="n"/>
      <c r="BG82" s="27" t="n"/>
      <c r="BH82" s="27" t="n"/>
      <c r="BI82" s="29" t="n"/>
      <c r="BJ82" s="27" t="n"/>
      <c r="BK82" s="27" t="n"/>
      <c r="BL82" s="27" t="n"/>
      <c r="BM82" s="27" t="n"/>
      <c r="DN82" s="26">
        <f>IF('テスト条件'!A81="","",'テスト条件'!A81)</f>
        <v/>
      </c>
    </row>
    <row r="83">
      <c r="A83" s="27" t="n"/>
      <c r="B83" s="27" t="n"/>
      <c r="C83" s="28">
        <f>IF(A83="","",$B$2)</f>
        <v/>
      </c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  <c r="AA83" s="27" t="n"/>
      <c r="AB83" s="27" t="n"/>
      <c r="AC83" s="27" t="n"/>
      <c r="AD83" s="27" t="n"/>
      <c r="AE83" s="27" t="n"/>
      <c r="AF83" s="27" t="n"/>
      <c r="AG83" s="27" t="n"/>
      <c r="AH83" s="27" t="n"/>
      <c r="AI83" s="27" t="n"/>
      <c r="AJ83" s="27" t="n"/>
      <c r="AK83" s="27" t="n"/>
      <c r="AL83" s="27" t="n"/>
      <c r="AM83" s="27" t="n"/>
      <c r="AN83" s="27" t="n"/>
      <c r="AO83" s="27" t="n"/>
      <c r="AP83" s="27" t="n"/>
      <c r="AQ83" s="27" t="n"/>
      <c r="AR83" s="27" t="n"/>
      <c r="AS83" s="27" t="n"/>
      <c r="AT83" s="27" t="n"/>
      <c r="AU83" s="27" t="n"/>
      <c r="AV83" s="27" t="n"/>
      <c r="AW83" s="27" t="n"/>
      <c r="AX83" s="27" t="n"/>
      <c r="AY83" s="27" t="n"/>
      <c r="AZ83" s="27" t="n"/>
      <c r="BA83" s="27" t="n"/>
      <c r="BB83" s="27" t="n"/>
      <c r="BC83" s="27" t="n"/>
      <c r="BD83" s="27" t="n"/>
      <c r="BE83" s="27" t="n"/>
      <c r="BF83" s="27" t="n"/>
      <c r="BG83" s="27" t="n"/>
      <c r="BH83" s="27" t="n"/>
      <c r="BI83" s="29" t="n"/>
      <c r="BJ83" s="27" t="n"/>
      <c r="BK83" s="27" t="n"/>
      <c r="BL83" s="27" t="n"/>
      <c r="BM83" s="27" t="n"/>
      <c r="DN83" s="26">
        <f>IF('テスト条件'!A82="","",'テスト条件'!A82)</f>
        <v/>
      </c>
    </row>
    <row r="84">
      <c r="A84" s="27" t="n"/>
      <c r="B84" s="27" t="n"/>
      <c r="C84" s="28">
        <f>IF(A84="","",$B$2)</f>
        <v/>
      </c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  <c r="AA84" s="27" t="n"/>
      <c r="AB84" s="27" t="n"/>
      <c r="AC84" s="27" t="n"/>
      <c r="AD84" s="27" t="n"/>
      <c r="AE84" s="27" t="n"/>
      <c r="AF84" s="27" t="n"/>
      <c r="AG84" s="27" t="n"/>
      <c r="AH84" s="27" t="n"/>
      <c r="AI84" s="27" t="n"/>
      <c r="AJ84" s="27" t="n"/>
      <c r="AK84" s="27" t="n"/>
      <c r="AL84" s="27" t="n"/>
      <c r="AM84" s="27" t="n"/>
      <c r="AN84" s="27" t="n"/>
      <c r="AO84" s="27" t="n"/>
      <c r="AP84" s="27" t="n"/>
      <c r="AQ84" s="27" t="n"/>
      <c r="AR84" s="27" t="n"/>
      <c r="AS84" s="27" t="n"/>
      <c r="AT84" s="27" t="n"/>
      <c r="AU84" s="27" t="n"/>
      <c r="AV84" s="27" t="n"/>
      <c r="AW84" s="27" t="n"/>
      <c r="AX84" s="27" t="n"/>
      <c r="AY84" s="27" t="n"/>
      <c r="AZ84" s="27" t="n"/>
      <c r="BA84" s="27" t="n"/>
      <c r="BB84" s="27" t="n"/>
      <c r="BC84" s="27" t="n"/>
      <c r="BD84" s="27" t="n"/>
      <c r="BE84" s="27" t="n"/>
      <c r="BF84" s="27" t="n"/>
      <c r="BG84" s="27" t="n"/>
      <c r="BH84" s="27" t="n"/>
      <c r="BI84" s="29" t="n"/>
      <c r="BJ84" s="27" t="n"/>
      <c r="BK84" s="27" t="n"/>
      <c r="BL84" s="27" t="n"/>
      <c r="BM84" s="27" t="n"/>
      <c r="DN84" s="26">
        <f>IF('テスト条件'!A83="","",'テスト条件'!A83)</f>
        <v/>
      </c>
    </row>
    <row r="85">
      <c r="A85" s="27" t="n"/>
      <c r="B85" s="27" t="n"/>
      <c r="C85" s="28">
        <f>IF(A85="","",$B$2)</f>
        <v/>
      </c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  <c r="AA85" s="27" t="n"/>
      <c r="AB85" s="27" t="n"/>
      <c r="AC85" s="27" t="n"/>
      <c r="AD85" s="27" t="n"/>
      <c r="AE85" s="27" t="n"/>
      <c r="AF85" s="27" t="n"/>
      <c r="AG85" s="27" t="n"/>
      <c r="AH85" s="27" t="n"/>
      <c r="AI85" s="27" t="n"/>
      <c r="AJ85" s="27" t="n"/>
      <c r="AK85" s="27" t="n"/>
      <c r="AL85" s="27" t="n"/>
      <c r="AM85" s="27" t="n"/>
      <c r="AN85" s="27" t="n"/>
      <c r="AO85" s="27" t="n"/>
      <c r="AP85" s="27" t="n"/>
      <c r="AQ85" s="27" t="n"/>
      <c r="AR85" s="27" t="n"/>
      <c r="AS85" s="27" t="n"/>
      <c r="AT85" s="27" t="n"/>
      <c r="AU85" s="27" t="n"/>
      <c r="AV85" s="27" t="n"/>
      <c r="AW85" s="27" t="n"/>
      <c r="AX85" s="27" t="n"/>
      <c r="AY85" s="27" t="n"/>
      <c r="AZ85" s="27" t="n"/>
      <c r="BA85" s="27" t="n"/>
      <c r="BB85" s="27" t="n"/>
      <c r="BC85" s="27" t="n"/>
      <c r="BD85" s="27" t="n"/>
      <c r="BE85" s="27" t="n"/>
      <c r="BF85" s="27" t="n"/>
      <c r="BG85" s="27" t="n"/>
      <c r="BH85" s="27" t="n"/>
      <c r="BI85" s="29" t="n"/>
      <c r="BJ85" s="27" t="n"/>
      <c r="BK85" s="27" t="n"/>
      <c r="BL85" s="27" t="n"/>
      <c r="BM85" s="27" t="n"/>
      <c r="DN85" s="26">
        <f>IF('テスト条件'!A84="","",'テスト条件'!A84)</f>
        <v/>
      </c>
    </row>
    <row r="86">
      <c r="A86" s="27" t="n"/>
      <c r="B86" s="27" t="n"/>
      <c r="C86" s="28">
        <f>IF(A86="","",$B$2)</f>
        <v/>
      </c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27" t="n"/>
      <c r="AJ86" s="27" t="n"/>
      <c r="AK86" s="27" t="n"/>
      <c r="AL86" s="27" t="n"/>
      <c r="AM86" s="27" t="n"/>
      <c r="AN86" s="27" t="n"/>
      <c r="AO86" s="27" t="n"/>
      <c r="AP86" s="27" t="n"/>
      <c r="AQ86" s="27" t="n"/>
      <c r="AR86" s="27" t="n"/>
      <c r="AS86" s="27" t="n"/>
      <c r="AT86" s="27" t="n"/>
      <c r="AU86" s="27" t="n"/>
      <c r="AV86" s="27" t="n"/>
      <c r="AW86" s="27" t="n"/>
      <c r="AX86" s="27" t="n"/>
      <c r="AY86" s="27" t="n"/>
      <c r="AZ86" s="27" t="n"/>
      <c r="BA86" s="27" t="n"/>
      <c r="BB86" s="27" t="n"/>
      <c r="BC86" s="27" t="n"/>
      <c r="BD86" s="27" t="n"/>
      <c r="BE86" s="27" t="n"/>
      <c r="BF86" s="27" t="n"/>
      <c r="BG86" s="27" t="n"/>
      <c r="BH86" s="27" t="n"/>
      <c r="BI86" s="29" t="n"/>
      <c r="BJ86" s="27" t="n"/>
      <c r="BK86" s="27" t="n"/>
      <c r="BL86" s="27" t="n"/>
      <c r="BM86" s="27" t="n"/>
      <c r="DN86" s="26">
        <f>IF('テスト条件'!A85="","",'テスト条件'!A85)</f>
        <v/>
      </c>
    </row>
    <row r="87">
      <c r="A87" s="27" t="n"/>
      <c r="B87" s="27" t="n"/>
      <c r="C87" s="28">
        <f>IF(A87="","",$B$2)</f>
        <v/>
      </c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  <c r="AA87" s="27" t="n"/>
      <c r="AB87" s="27" t="n"/>
      <c r="AC87" s="27" t="n"/>
      <c r="AD87" s="27" t="n"/>
      <c r="AE87" s="27" t="n"/>
      <c r="AF87" s="27" t="n"/>
      <c r="AG87" s="27" t="n"/>
      <c r="AH87" s="27" t="n"/>
      <c r="AI87" s="27" t="n"/>
      <c r="AJ87" s="27" t="n"/>
      <c r="AK87" s="27" t="n"/>
      <c r="AL87" s="27" t="n"/>
      <c r="AM87" s="27" t="n"/>
      <c r="AN87" s="27" t="n"/>
      <c r="AO87" s="27" t="n"/>
      <c r="AP87" s="27" t="n"/>
      <c r="AQ87" s="27" t="n"/>
      <c r="AR87" s="27" t="n"/>
      <c r="AS87" s="27" t="n"/>
      <c r="AT87" s="27" t="n"/>
      <c r="AU87" s="27" t="n"/>
      <c r="AV87" s="27" t="n"/>
      <c r="AW87" s="27" t="n"/>
      <c r="AX87" s="27" t="n"/>
      <c r="AY87" s="27" t="n"/>
      <c r="AZ87" s="27" t="n"/>
      <c r="BA87" s="27" t="n"/>
      <c r="BB87" s="27" t="n"/>
      <c r="BC87" s="27" t="n"/>
      <c r="BD87" s="27" t="n"/>
      <c r="BE87" s="27" t="n"/>
      <c r="BF87" s="27" t="n"/>
      <c r="BG87" s="27" t="n"/>
      <c r="BH87" s="27" t="n"/>
      <c r="BI87" s="29" t="n"/>
      <c r="BJ87" s="27" t="n"/>
      <c r="BK87" s="27" t="n"/>
      <c r="BL87" s="27" t="n"/>
      <c r="BM87" s="27" t="n"/>
      <c r="DN87" s="26">
        <f>IF('テスト条件'!A86="","",'テスト条件'!A86)</f>
        <v/>
      </c>
    </row>
    <row r="88">
      <c r="A88" s="27" t="n"/>
      <c r="B88" s="27" t="n"/>
      <c r="C88" s="28">
        <f>IF(A88="","",$B$2)</f>
        <v/>
      </c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  <c r="AA88" s="27" t="n"/>
      <c r="AB88" s="27" t="n"/>
      <c r="AC88" s="27" t="n"/>
      <c r="AD88" s="27" t="n"/>
      <c r="AE88" s="27" t="n"/>
      <c r="AF88" s="27" t="n"/>
      <c r="AG88" s="27" t="n"/>
      <c r="AH88" s="27" t="n"/>
      <c r="AI88" s="27" t="n"/>
      <c r="AJ88" s="27" t="n"/>
      <c r="AK88" s="27" t="n"/>
      <c r="AL88" s="27" t="n"/>
      <c r="AM88" s="27" t="n"/>
      <c r="AN88" s="27" t="n"/>
      <c r="AO88" s="27" t="n"/>
      <c r="AP88" s="27" t="n"/>
      <c r="AQ88" s="27" t="n"/>
      <c r="AR88" s="27" t="n"/>
      <c r="AS88" s="27" t="n"/>
      <c r="AT88" s="27" t="n"/>
      <c r="AU88" s="27" t="n"/>
      <c r="AV88" s="27" t="n"/>
      <c r="AW88" s="27" t="n"/>
      <c r="AX88" s="27" t="n"/>
      <c r="AY88" s="27" t="n"/>
      <c r="AZ88" s="27" t="n"/>
      <c r="BA88" s="27" t="n"/>
      <c r="BB88" s="27" t="n"/>
      <c r="BC88" s="27" t="n"/>
      <c r="BD88" s="27" t="n"/>
      <c r="BE88" s="27" t="n"/>
      <c r="BF88" s="27" t="n"/>
      <c r="BG88" s="27" t="n"/>
      <c r="BH88" s="27" t="n"/>
      <c r="BI88" s="29" t="n"/>
      <c r="BJ88" s="27" t="n"/>
      <c r="BK88" s="27" t="n"/>
      <c r="BL88" s="27" t="n"/>
      <c r="BM88" s="27" t="n"/>
      <c r="DN88" s="26">
        <f>IF('テスト条件'!A87="","",'テスト条件'!A87)</f>
        <v/>
      </c>
    </row>
    <row r="89">
      <c r="A89" s="27" t="n"/>
      <c r="B89" s="27" t="n"/>
      <c r="C89" s="28">
        <f>IF(A89="","",$B$2)</f>
        <v/>
      </c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27" t="n"/>
      <c r="AJ89" s="27" t="n"/>
      <c r="AK89" s="27" t="n"/>
      <c r="AL89" s="27" t="n"/>
      <c r="AM89" s="27" t="n"/>
      <c r="AN89" s="27" t="n"/>
      <c r="AO89" s="27" t="n"/>
      <c r="AP89" s="27" t="n"/>
      <c r="AQ89" s="27" t="n"/>
      <c r="AR89" s="27" t="n"/>
      <c r="AS89" s="27" t="n"/>
      <c r="AT89" s="27" t="n"/>
      <c r="AU89" s="27" t="n"/>
      <c r="AV89" s="27" t="n"/>
      <c r="AW89" s="27" t="n"/>
      <c r="AX89" s="27" t="n"/>
      <c r="AY89" s="27" t="n"/>
      <c r="AZ89" s="27" t="n"/>
      <c r="BA89" s="27" t="n"/>
      <c r="BB89" s="27" t="n"/>
      <c r="BC89" s="27" t="n"/>
      <c r="BD89" s="27" t="n"/>
      <c r="BE89" s="27" t="n"/>
      <c r="BF89" s="27" t="n"/>
      <c r="BG89" s="27" t="n"/>
      <c r="BH89" s="27" t="n"/>
      <c r="BI89" s="29" t="n"/>
      <c r="BJ89" s="27" t="n"/>
      <c r="BK89" s="27" t="n"/>
      <c r="BL89" s="27" t="n"/>
      <c r="BM89" s="27" t="n"/>
      <c r="DN89" s="26">
        <f>IF('テスト条件'!A88="","",'テスト条件'!A88)</f>
        <v/>
      </c>
    </row>
    <row r="90">
      <c r="A90" s="27" t="n"/>
      <c r="B90" s="27" t="n"/>
      <c r="C90" s="28">
        <f>IF(A90="","",$B$2)</f>
        <v/>
      </c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  <c r="AA90" s="27" t="n"/>
      <c r="AB90" s="27" t="n"/>
      <c r="AC90" s="27" t="n"/>
      <c r="AD90" s="27" t="n"/>
      <c r="AE90" s="27" t="n"/>
      <c r="AF90" s="27" t="n"/>
      <c r="AG90" s="27" t="n"/>
      <c r="AH90" s="27" t="n"/>
      <c r="AI90" s="27" t="n"/>
      <c r="AJ90" s="27" t="n"/>
      <c r="AK90" s="27" t="n"/>
      <c r="AL90" s="27" t="n"/>
      <c r="AM90" s="27" t="n"/>
      <c r="AN90" s="27" t="n"/>
      <c r="AO90" s="27" t="n"/>
      <c r="AP90" s="27" t="n"/>
      <c r="AQ90" s="27" t="n"/>
      <c r="AR90" s="27" t="n"/>
      <c r="AS90" s="27" t="n"/>
      <c r="AT90" s="27" t="n"/>
      <c r="AU90" s="27" t="n"/>
      <c r="AV90" s="27" t="n"/>
      <c r="AW90" s="27" t="n"/>
      <c r="AX90" s="27" t="n"/>
      <c r="AY90" s="27" t="n"/>
      <c r="AZ90" s="27" t="n"/>
      <c r="BA90" s="27" t="n"/>
      <c r="BB90" s="27" t="n"/>
      <c r="BC90" s="27" t="n"/>
      <c r="BD90" s="27" t="n"/>
      <c r="BE90" s="27" t="n"/>
      <c r="BF90" s="27" t="n"/>
      <c r="BG90" s="27" t="n"/>
      <c r="BH90" s="27" t="n"/>
      <c r="BI90" s="29" t="n"/>
      <c r="BJ90" s="27" t="n"/>
      <c r="BK90" s="27" t="n"/>
      <c r="BL90" s="27" t="n"/>
      <c r="BM90" s="27" t="n"/>
      <c r="DN90" s="26">
        <f>IF('テスト条件'!A89="","",'テスト条件'!A89)</f>
        <v/>
      </c>
    </row>
    <row r="91">
      <c r="A91" s="27" t="n"/>
      <c r="B91" s="27" t="n"/>
      <c r="C91" s="28">
        <f>IF(A91="","",$B$2)</f>
        <v/>
      </c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  <c r="AA91" s="27" t="n"/>
      <c r="AB91" s="27" t="n"/>
      <c r="AC91" s="27" t="n"/>
      <c r="AD91" s="27" t="n"/>
      <c r="AE91" s="27" t="n"/>
      <c r="AF91" s="27" t="n"/>
      <c r="AG91" s="27" t="n"/>
      <c r="AH91" s="27" t="n"/>
      <c r="AI91" s="27" t="n"/>
      <c r="AJ91" s="27" t="n"/>
      <c r="AK91" s="27" t="n"/>
      <c r="AL91" s="27" t="n"/>
      <c r="AM91" s="27" t="n"/>
      <c r="AN91" s="27" t="n"/>
      <c r="AO91" s="27" t="n"/>
      <c r="AP91" s="27" t="n"/>
      <c r="AQ91" s="27" t="n"/>
      <c r="AR91" s="27" t="n"/>
      <c r="AS91" s="27" t="n"/>
      <c r="AT91" s="27" t="n"/>
      <c r="AU91" s="27" t="n"/>
      <c r="AV91" s="27" t="n"/>
      <c r="AW91" s="27" t="n"/>
      <c r="AX91" s="27" t="n"/>
      <c r="AY91" s="27" t="n"/>
      <c r="AZ91" s="27" t="n"/>
      <c r="BA91" s="27" t="n"/>
      <c r="BB91" s="27" t="n"/>
      <c r="BC91" s="27" t="n"/>
      <c r="BD91" s="27" t="n"/>
      <c r="BE91" s="27" t="n"/>
      <c r="BF91" s="27" t="n"/>
      <c r="BG91" s="27" t="n"/>
      <c r="BH91" s="27" t="n"/>
      <c r="BI91" s="29" t="n"/>
      <c r="BJ91" s="27" t="n"/>
      <c r="BK91" s="27" t="n"/>
      <c r="BL91" s="27" t="n"/>
      <c r="BM91" s="27" t="n"/>
      <c r="DN91" s="26">
        <f>IF('テスト条件'!A90="","",'テスト条件'!A90)</f>
        <v/>
      </c>
    </row>
    <row r="92">
      <c r="A92" s="27" t="n"/>
      <c r="B92" s="27" t="n"/>
      <c r="C92" s="28">
        <f>IF(A92="","",$B$2)</f>
        <v/>
      </c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  <c r="AA92" s="27" t="n"/>
      <c r="AB92" s="27" t="n"/>
      <c r="AC92" s="27" t="n"/>
      <c r="AD92" s="27" t="n"/>
      <c r="AE92" s="27" t="n"/>
      <c r="AF92" s="27" t="n"/>
      <c r="AG92" s="27" t="n"/>
      <c r="AH92" s="27" t="n"/>
      <c r="AI92" s="27" t="n"/>
      <c r="AJ92" s="27" t="n"/>
      <c r="AK92" s="27" t="n"/>
      <c r="AL92" s="27" t="n"/>
      <c r="AM92" s="27" t="n"/>
      <c r="AN92" s="27" t="n"/>
      <c r="AO92" s="27" t="n"/>
      <c r="AP92" s="27" t="n"/>
      <c r="AQ92" s="27" t="n"/>
      <c r="AR92" s="27" t="n"/>
      <c r="AS92" s="27" t="n"/>
      <c r="AT92" s="27" t="n"/>
      <c r="AU92" s="27" t="n"/>
      <c r="AV92" s="27" t="n"/>
      <c r="AW92" s="27" t="n"/>
      <c r="AX92" s="27" t="n"/>
      <c r="AY92" s="27" t="n"/>
      <c r="AZ92" s="27" t="n"/>
      <c r="BA92" s="27" t="n"/>
      <c r="BB92" s="27" t="n"/>
      <c r="BC92" s="27" t="n"/>
      <c r="BD92" s="27" t="n"/>
      <c r="BE92" s="27" t="n"/>
      <c r="BF92" s="27" t="n"/>
      <c r="BG92" s="27" t="n"/>
      <c r="BH92" s="27" t="n"/>
      <c r="BI92" s="29" t="n"/>
      <c r="BJ92" s="27" t="n"/>
      <c r="BK92" s="27" t="n"/>
      <c r="BL92" s="27" t="n"/>
      <c r="BM92" s="27" t="n"/>
      <c r="DN92" s="26">
        <f>IF('テスト条件'!A91="","",'テスト条件'!A91)</f>
        <v/>
      </c>
    </row>
    <row r="93">
      <c r="A93" s="27" t="n"/>
      <c r="B93" s="27" t="n"/>
      <c r="C93" s="28">
        <f>IF(A93="","",$B$2)</f>
        <v/>
      </c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7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9" t="n"/>
      <c r="BJ93" s="27" t="n"/>
      <c r="BK93" s="27" t="n"/>
      <c r="BL93" s="27" t="n"/>
      <c r="BM93" s="27" t="n"/>
      <c r="DN93" s="26">
        <f>IF('テスト条件'!A92="","",'テスト条件'!A92)</f>
        <v/>
      </c>
    </row>
    <row r="94">
      <c r="A94" s="27" t="n"/>
      <c r="B94" s="27" t="n"/>
      <c r="C94" s="28">
        <f>IF(A94="","",$B$2)</f>
        <v/>
      </c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7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9" t="n"/>
      <c r="BJ94" s="27" t="n"/>
      <c r="BK94" s="27" t="n"/>
      <c r="BL94" s="27" t="n"/>
      <c r="BM94" s="27" t="n"/>
      <c r="DN94" s="26">
        <f>IF('テスト条件'!A93="","",'テスト条件'!A93)</f>
        <v/>
      </c>
    </row>
    <row r="95">
      <c r="A95" s="27" t="n"/>
      <c r="B95" s="27" t="n"/>
      <c r="C95" s="28">
        <f>IF(A95="","",$B$2)</f>
        <v/>
      </c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7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9" t="n"/>
      <c r="BJ95" s="27" t="n"/>
      <c r="BK95" s="27" t="n"/>
      <c r="BL95" s="27" t="n"/>
      <c r="BM95" s="27" t="n"/>
      <c r="DN95" s="26">
        <f>IF('テスト条件'!A94="","",'テスト条件'!A94)</f>
        <v/>
      </c>
    </row>
    <row r="96">
      <c r="A96" s="27" t="n"/>
      <c r="B96" s="27" t="n"/>
      <c r="C96" s="28">
        <f>IF(A96="","",$B$2)</f>
        <v/>
      </c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7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9" t="n"/>
      <c r="BJ96" s="27" t="n"/>
      <c r="BK96" s="27" t="n"/>
      <c r="BL96" s="27" t="n"/>
      <c r="BM96" s="27" t="n"/>
      <c r="DN96" s="26">
        <f>IF('テスト条件'!A95="","",'テスト条件'!A95)</f>
        <v/>
      </c>
    </row>
    <row r="97">
      <c r="A97" s="27" t="n"/>
      <c r="B97" s="27" t="n"/>
      <c r="C97" s="28">
        <f>IF(A97="","",$B$2)</f>
        <v/>
      </c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7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9" t="n"/>
      <c r="BJ97" s="27" t="n"/>
      <c r="BK97" s="27" t="n"/>
      <c r="BL97" s="27" t="n"/>
      <c r="BM97" s="27" t="n"/>
      <c r="DN97" s="26">
        <f>IF('テスト条件'!A96="","",'テスト条件'!A96)</f>
        <v/>
      </c>
    </row>
    <row r="98">
      <c r="A98" s="27" t="n"/>
      <c r="B98" s="27" t="n"/>
      <c r="C98" s="28">
        <f>IF(A98="","",$B$2)</f>
        <v/>
      </c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  <c r="AA98" s="27" t="n"/>
      <c r="AB98" s="27" t="n"/>
      <c r="AC98" s="27" t="n"/>
      <c r="AD98" s="27" t="n"/>
      <c r="AE98" s="27" t="n"/>
      <c r="AF98" s="27" t="n"/>
      <c r="AG98" s="27" t="n"/>
      <c r="AH98" s="27" t="n"/>
      <c r="AI98" s="27" t="n"/>
      <c r="AJ98" s="27" t="n"/>
      <c r="AK98" s="27" t="n"/>
      <c r="AL98" s="27" t="n"/>
      <c r="AM98" s="27" t="n"/>
      <c r="AN98" s="27" t="n"/>
      <c r="AO98" s="27" t="n"/>
      <c r="AP98" s="27" t="n"/>
      <c r="AQ98" s="27" t="n"/>
      <c r="AR98" s="27" t="n"/>
      <c r="AS98" s="27" t="n"/>
      <c r="AT98" s="27" t="n"/>
      <c r="AU98" s="27" t="n"/>
      <c r="AV98" s="27" t="n"/>
      <c r="AW98" s="27" t="n"/>
      <c r="AX98" s="27" t="n"/>
      <c r="AY98" s="27" t="n"/>
      <c r="AZ98" s="27" t="n"/>
      <c r="BA98" s="27" t="n"/>
      <c r="BB98" s="27" t="n"/>
      <c r="BC98" s="27" t="n"/>
      <c r="BD98" s="27" t="n"/>
      <c r="BE98" s="27" t="n"/>
      <c r="BF98" s="27" t="n"/>
      <c r="BG98" s="27" t="n"/>
      <c r="BH98" s="27" t="n"/>
      <c r="BI98" s="29" t="n"/>
      <c r="BJ98" s="27" t="n"/>
      <c r="BK98" s="27" t="n"/>
      <c r="BL98" s="27" t="n"/>
      <c r="BM98" s="27" t="n"/>
      <c r="DN98" s="26">
        <f>IF('テスト条件'!A97="","",'テスト条件'!A97)</f>
        <v/>
      </c>
    </row>
    <row r="99">
      <c r="A99" s="27" t="n"/>
      <c r="B99" s="27" t="n"/>
      <c r="C99" s="28">
        <f>IF(A99="","",$B$2)</f>
        <v/>
      </c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  <c r="AA99" s="27" t="n"/>
      <c r="AB99" s="27" t="n"/>
      <c r="AC99" s="27" t="n"/>
      <c r="AD99" s="27" t="n"/>
      <c r="AE99" s="27" t="n"/>
      <c r="AF99" s="27" t="n"/>
      <c r="AG99" s="27" t="n"/>
      <c r="AH99" s="27" t="n"/>
      <c r="AI99" s="27" t="n"/>
      <c r="AJ99" s="27" t="n"/>
      <c r="AK99" s="27" t="n"/>
      <c r="AL99" s="27" t="n"/>
      <c r="AM99" s="27" t="n"/>
      <c r="AN99" s="27" t="n"/>
      <c r="AO99" s="27" t="n"/>
      <c r="AP99" s="27" t="n"/>
      <c r="AQ99" s="27" t="n"/>
      <c r="AR99" s="27" t="n"/>
      <c r="AS99" s="27" t="n"/>
      <c r="AT99" s="27" t="n"/>
      <c r="AU99" s="27" t="n"/>
      <c r="AV99" s="27" t="n"/>
      <c r="AW99" s="27" t="n"/>
      <c r="AX99" s="27" t="n"/>
      <c r="AY99" s="27" t="n"/>
      <c r="AZ99" s="27" t="n"/>
      <c r="BA99" s="27" t="n"/>
      <c r="BB99" s="27" t="n"/>
      <c r="BC99" s="27" t="n"/>
      <c r="BD99" s="27" t="n"/>
      <c r="BE99" s="27" t="n"/>
      <c r="BF99" s="27" t="n"/>
      <c r="BG99" s="27" t="n"/>
      <c r="BH99" s="27" t="n"/>
      <c r="BI99" s="29" t="n"/>
      <c r="BJ99" s="27" t="n"/>
      <c r="BK99" s="27" t="n"/>
      <c r="BL99" s="27" t="n"/>
      <c r="BM99" s="27" t="n"/>
      <c r="DN99" s="26">
        <f>IF('テスト条件'!A98="","",'テスト条件'!A98)</f>
        <v/>
      </c>
    </row>
    <row r="100">
      <c r="A100" s="27" t="n"/>
      <c r="B100" s="27" t="n"/>
      <c r="C100" s="28">
        <f>IF(A100="","",$B$2)</f>
        <v/>
      </c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  <c r="AA100" s="27" t="n"/>
      <c r="AB100" s="27" t="n"/>
      <c r="AC100" s="27" t="n"/>
      <c r="AD100" s="27" t="n"/>
      <c r="AE100" s="27" t="n"/>
      <c r="AF100" s="27" t="n"/>
      <c r="AG100" s="27" t="n"/>
      <c r="AH100" s="27" t="n"/>
      <c r="AI100" s="27" t="n"/>
      <c r="AJ100" s="27" t="n"/>
      <c r="AK100" s="27" t="n"/>
      <c r="AL100" s="27" t="n"/>
      <c r="AM100" s="27" t="n"/>
      <c r="AN100" s="27" t="n"/>
      <c r="AO100" s="27" t="n"/>
      <c r="AP100" s="27" t="n"/>
      <c r="AQ100" s="27" t="n"/>
      <c r="AR100" s="27" t="n"/>
      <c r="AS100" s="27" t="n"/>
      <c r="AT100" s="27" t="n"/>
      <c r="AU100" s="27" t="n"/>
      <c r="AV100" s="27" t="n"/>
      <c r="AW100" s="27" t="n"/>
      <c r="AX100" s="27" t="n"/>
      <c r="AY100" s="27" t="n"/>
      <c r="AZ100" s="27" t="n"/>
      <c r="BA100" s="27" t="n"/>
      <c r="BB100" s="27" t="n"/>
      <c r="BC100" s="27" t="n"/>
      <c r="BD100" s="27" t="n"/>
      <c r="BE100" s="27" t="n"/>
      <c r="BF100" s="27" t="n"/>
      <c r="BG100" s="27" t="n"/>
      <c r="BH100" s="27" t="n"/>
      <c r="BI100" s="29" t="n"/>
      <c r="BJ100" s="27" t="n"/>
      <c r="BK100" s="27" t="n"/>
      <c r="BL100" s="27" t="n"/>
      <c r="BM100" s="27" t="n"/>
      <c r="DN100" s="26">
        <f>IF('テスト条件'!A99="","",'テスト条件'!A99)</f>
        <v/>
      </c>
    </row>
    <row r="101">
      <c r="A101" s="27" t="n"/>
      <c r="B101" s="27" t="n"/>
      <c r="C101" s="28">
        <f>IF(A101="","",$B$2)</f>
        <v/>
      </c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  <c r="AA101" s="27" t="n"/>
      <c r="AB101" s="27" t="n"/>
      <c r="AC101" s="27" t="n"/>
      <c r="AD101" s="27" t="n"/>
      <c r="AE101" s="27" t="n"/>
      <c r="AF101" s="27" t="n"/>
      <c r="AG101" s="27" t="n"/>
      <c r="AH101" s="27" t="n"/>
      <c r="AI101" s="27" t="n"/>
      <c r="AJ101" s="27" t="n"/>
      <c r="AK101" s="27" t="n"/>
      <c r="AL101" s="27" t="n"/>
      <c r="AM101" s="27" t="n"/>
      <c r="AN101" s="27" t="n"/>
      <c r="AO101" s="27" t="n"/>
      <c r="AP101" s="27" t="n"/>
      <c r="AQ101" s="27" t="n"/>
      <c r="AR101" s="27" t="n"/>
      <c r="AS101" s="27" t="n"/>
      <c r="AT101" s="27" t="n"/>
      <c r="AU101" s="27" t="n"/>
      <c r="AV101" s="27" t="n"/>
      <c r="AW101" s="27" t="n"/>
      <c r="AX101" s="27" t="n"/>
      <c r="AY101" s="27" t="n"/>
      <c r="AZ101" s="27" t="n"/>
      <c r="BA101" s="27" t="n"/>
      <c r="BB101" s="27" t="n"/>
      <c r="BC101" s="27" t="n"/>
      <c r="BD101" s="27" t="n"/>
      <c r="BE101" s="27" t="n"/>
      <c r="BF101" s="27" t="n"/>
      <c r="BG101" s="27" t="n"/>
      <c r="BH101" s="27" t="n"/>
      <c r="BI101" s="29" t="n"/>
      <c r="BJ101" s="27" t="n"/>
      <c r="BK101" s="27" t="n"/>
      <c r="BL101" s="27" t="n"/>
      <c r="BM101" s="27" t="n"/>
      <c r="DN101" s="26">
        <f>IF('テスト条件'!A100="","",'テスト条件'!A100)</f>
        <v/>
      </c>
    </row>
    <row r="102">
      <c r="A102" s="27" t="n"/>
      <c r="B102" s="27" t="n"/>
      <c r="C102" s="28">
        <f>IF(A102="","",$B$2)</f>
        <v/>
      </c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  <c r="AA102" s="27" t="n"/>
      <c r="AB102" s="27" t="n"/>
      <c r="AC102" s="27" t="n"/>
      <c r="AD102" s="27" t="n"/>
      <c r="AE102" s="27" t="n"/>
      <c r="AF102" s="27" t="n"/>
      <c r="AG102" s="27" t="n"/>
      <c r="AH102" s="27" t="n"/>
      <c r="AI102" s="27" t="n"/>
      <c r="AJ102" s="27" t="n"/>
      <c r="AK102" s="27" t="n"/>
      <c r="AL102" s="27" t="n"/>
      <c r="AM102" s="27" t="n"/>
      <c r="AN102" s="27" t="n"/>
      <c r="AO102" s="27" t="n"/>
      <c r="AP102" s="27" t="n"/>
      <c r="AQ102" s="27" t="n"/>
      <c r="AR102" s="27" t="n"/>
      <c r="AS102" s="27" t="n"/>
      <c r="AT102" s="27" t="n"/>
      <c r="AU102" s="27" t="n"/>
      <c r="AV102" s="27" t="n"/>
      <c r="AW102" s="27" t="n"/>
      <c r="AX102" s="27" t="n"/>
      <c r="AY102" s="27" t="n"/>
      <c r="AZ102" s="27" t="n"/>
      <c r="BA102" s="27" t="n"/>
      <c r="BB102" s="27" t="n"/>
      <c r="BC102" s="27" t="n"/>
      <c r="BD102" s="27" t="n"/>
      <c r="BE102" s="27" t="n"/>
      <c r="BF102" s="27" t="n"/>
      <c r="BG102" s="27" t="n"/>
      <c r="BH102" s="27" t="n"/>
      <c r="BI102" s="29" t="n"/>
      <c r="BJ102" s="27" t="n"/>
      <c r="BK102" s="27" t="n"/>
      <c r="BL102" s="27" t="n"/>
      <c r="BM102" s="27" t="n"/>
      <c r="DN102" s="26">
        <f>IF('テスト条件'!A101="","",'テスト条件'!A101)</f>
        <v/>
      </c>
    </row>
    <row r="103">
      <c r="A103" s="27" t="n"/>
      <c r="B103" s="27" t="n"/>
      <c r="C103" s="28">
        <f>IF(A103="","",$B$2)</f>
        <v/>
      </c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  <c r="AA103" s="27" t="n"/>
      <c r="AB103" s="27" t="n"/>
      <c r="AC103" s="27" t="n"/>
      <c r="AD103" s="27" t="n"/>
      <c r="AE103" s="27" t="n"/>
      <c r="AF103" s="27" t="n"/>
      <c r="AG103" s="27" t="n"/>
      <c r="AH103" s="27" t="n"/>
      <c r="AI103" s="27" t="n"/>
      <c r="AJ103" s="27" t="n"/>
      <c r="AK103" s="27" t="n"/>
      <c r="AL103" s="27" t="n"/>
      <c r="AM103" s="27" t="n"/>
      <c r="AN103" s="27" t="n"/>
      <c r="AO103" s="27" t="n"/>
      <c r="AP103" s="27" t="n"/>
      <c r="AQ103" s="27" t="n"/>
      <c r="AR103" s="27" t="n"/>
      <c r="AS103" s="27" t="n"/>
      <c r="AT103" s="27" t="n"/>
      <c r="AU103" s="27" t="n"/>
      <c r="AV103" s="27" t="n"/>
      <c r="AW103" s="27" t="n"/>
      <c r="AX103" s="27" t="n"/>
      <c r="AY103" s="27" t="n"/>
      <c r="AZ103" s="27" t="n"/>
      <c r="BA103" s="27" t="n"/>
      <c r="BB103" s="27" t="n"/>
      <c r="BC103" s="27" t="n"/>
      <c r="BD103" s="27" t="n"/>
      <c r="BE103" s="27" t="n"/>
      <c r="BF103" s="27" t="n"/>
      <c r="BG103" s="27" t="n"/>
      <c r="BH103" s="27" t="n"/>
      <c r="BI103" s="29" t="n"/>
      <c r="BJ103" s="27" t="n"/>
      <c r="BK103" s="27" t="n"/>
      <c r="BL103" s="27" t="n"/>
      <c r="BM103" s="27" t="n"/>
      <c r="DN103" s="26">
        <f>IF('テスト条件'!A102="","",'テスト条件'!A102)</f>
        <v/>
      </c>
    </row>
    <row r="104">
      <c r="A104" s="27" t="n"/>
      <c r="B104" s="27" t="n"/>
      <c r="C104" s="28">
        <f>IF(A104="","",$B$2)</f>
        <v/>
      </c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  <c r="AA104" s="27" t="n"/>
      <c r="AB104" s="27" t="n"/>
      <c r="AC104" s="27" t="n"/>
      <c r="AD104" s="27" t="n"/>
      <c r="AE104" s="27" t="n"/>
      <c r="AF104" s="27" t="n"/>
      <c r="AG104" s="27" t="n"/>
      <c r="AH104" s="27" t="n"/>
      <c r="AI104" s="27" t="n"/>
      <c r="AJ104" s="27" t="n"/>
      <c r="AK104" s="27" t="n"/>
      <c r="AL104" s="27" t="n"/>
      <c r="AM104" s="27" t="n"/>
      <c r="AN104" s="27" t="n"/>
      <c r="AO104" s="27" t="n"/>
      <c r="AP104" s="27" t="n"/>
      <c r="AQ104" s="27" t="n"/>
      <c r="AR104" s="27" t="n"/>
      <c r="AS104" s="27" t="n"/>
      <c r="AT104" s="27" t="n"/>
      <c r="AU104" s="27" t="n"/>
      <c r="AV104" s="27" t="n"/>
      <c r="AW104" s="27" t="n"/>
      <c r="AX104" s="27" t="n"/>
      <c r="AY104" s="27" t="n"/>
      <c r="AZ104" s="27" t="n"/>
      <c r="BA104" s="27" t="n"/>
      <c r="BB104" s="27" t="n"/>
      <c r="BC104" s="27" t="n"/>
      <c r="BD104" s="27" t="n"/>
      <c r="BE104" s="27" t="n"/>
      <c r="BF104" s="27" t="n"/>
      <c r="BG104" s="27" t="n"/>
      <c r="BH104" s="27" t="n"/>
      <c r="BI104" s="29" t="n"/>
      <c r="BJ104" s="27" t="n"/>
      <c r="BK104" s="27" t="n"/>
      <c r="BL104" s="27" t="n"/>
      <c r="BM104" s="27" t="n"/>
      <c r="DN104" s="26">
        <f>IF('テスト条件'!A103="","",'テスト条件'!A103)</f>
        <v/>
      </c>
    </row>
    <row r="105">
      <c r="A105" s="27" t="n"/>
      <c r="B105" s="27" t="n"/>
      <c r="C105" s="28">
        <f>IF(A105="","",$B$2)</f>
        <v/>
      </c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  <c r="AA105" s="27" t="n"/>
      <c r="AB105" s="27" t="n"/>
      <c r="AC105" s="27" t="n"/>
      <c r="AD105" s="27" t="n"/>
      <c r="AE105" s="27" t="n"/>
      <c r="AF105" s="27" t="n"/>
      <c r="AG105" s="27" t="n"/>
      <c r="AH105" s="27" t="n"/>
      <c r="AI105" s="27" t="n"/>
      <c r="AJ105" s="27" t="n"/>
      <c r="AK105" s="27" t="n"/>
      <c r="AL105" s="27" t="n"/>
      <c r="AM105" s="27" t="n"/>
      <c r="AN105" s="27" t="n"/>
      <c r="AO105" s="27" t="n"/>
      <c r="AP105" s="27" t="n"/>
      <c r="AQ105" s="27" t="n"/>
      <c r="AR105" s="27" t="n"/>
      <c r="AS105" s="27" t="n"/>
      <c r="AT105" s="27" t="n"/>
      <c r="AU105" s="27" t="n"/>
      <c r="AV105" s="27" t="n"/>
      <c r="AW105" s="27" t="n"/>
      <c r="AX105" s="27" t="n"/>
      <c r="AY105" s="27" t="n"/>
      <c r="AZ105" s="27" t="n"/>
      <c r="BA105" s="27" t="n"/>
      <c r="BB105" s="27" t="n"/>
      <c r="BC105" s="27" t="n"/>
      <c r="BD105" s="27" t="n"/>
      <c r="BE105" s="27" t="n"/>
      <c r="BF105" s="27" t="n"/>
      <c r="BG105" s="27" t="n"/>
      <c r="BH105" s="27" t="n"/>
      <c r="BI105" s="29" t="n"/>
      <c r="BJ105" s="27" t="n"/>
      <c r="BK105" s="27" t="n"/>
      <c r="BL105" s="27" t="n"/>
      <c r="BM105" s="27" t="n"/>
      <c r="DN105" s="26">
        <f>IF('テスト条件'!A104="","",'テスト条件'!A104)</f>
        <v/>
      </c>
    </row>
    <row r="106">
      <c r="A106" s="27" t="n"/>
      <c r="B106" s="27" t="n"/>
      <c r="C106" s="28">
        <f>IF(A106="","",$B$2)</f>
        <v/>
      </c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  <c r="AA106" s="27" t="n"/>
      <c r="AB106" s="27" t="n"/>
      <c r="AC106" s="27" t="n"/>
      <c r="AD106" s="27" t="n"/>
      <c r="AE106" s="27" t="n"/>
      <c r="AF106" s="27" t="n"/>
      <c r="AG106" s="27" t="n"/>
      <c r="AH106" s="27" t="n"/>
      <c r="AI106" s="27" t="n"/>
      <c r="AJ106" s="27" t="n"/>
      <c r="AK106" s="27" t="n"/>
      <c r="AL106" s="27" t="n"/>
      <c r="AM106" s="27" t="n"/>
      <c r="AN106" s="27" t="n"/>
      <c r="AO106" s="27" t="n"/>
      <c r="AP106" s="27" t="n"/>
      <c r="AQ106" s="27" t="n"/>
      <c r="AR106" s="27" t="n"/>
      <c r="AS106" s="27" t="n"/>
      <c r="AT106" s="27" t="n"/>
      <c r="AU106" s="27" t="n"/>
      <c r="AV106" s="27" t="n"/>
      <c r="AW106" s="27" t="n"/>
      <c r="AX106" s="27" t="n"/>
      <c r="AY106" s="27" t="n"/>
      <c r="AZ106" s="27" t="n"/>
      <c r="BA106" s="27" t="n"/>
      <c r="BB106" s="27" t="n"/>
      <c r="BC106" s="27" t="n"/>
      <c r="BD106" s="27" t="n"/>
      <c r="BE106" s="27" t="n"/>
      <c r="BF106" s="27" t="n"/>
      <c r="BG106" s="27" t="n"/>
      <c r="BH106" s="27" t="n"/>
      <c r="BI106" s="29" t="n"/>
      <c r="BJ106" s="27" t="n"/>
      <c r="BK106" s="27" t="n"/>
      <c r="BL106" s="27" t="n"/>
      <c r="BM106" s="27" t="n"/>
    </row>
    <row r="107">
      <c r="A107" s="27" t="n"/>
      <c r="B107" s="27" t="n"/>
      <c r="C107" s="28">
        <f>IF(A107="","",$B$2)</f>
        <v/>
      </c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  <c r="AA107" s="27" t="n"/>
      <c r="AB107" s="27" t="n"/>
      <c r="AC107" s="27" t="n"/>
      <c r="AD107" s="27" t="n"/>
      <c r="AE107" s="27" t="n"/>
      <c r="AF107" s="27" t="n"/>
      <c r="AG107" s="27" t="n"/>
      <c r="AH107" s="27" t="n"/>
      <c r="AI107" s="27" t="n"/>
      <c r="AJ107" s="27" t="n"/>
      <c r="AK107" s="27" t="n"/>
      <c r="AL107" s="27" t="n"/>
      <c r="AM107" s="27" t="n"/>
      <c r="AN107" s="27" t="n"/>
      <c r="AO107" s="27" t="n"/>
      <c r="AP107" s="27" t="n"/>
      <c r="AQ107" s="27" t="n"/>
      <c r="AR107" s="27" t="n"/>
      <c r="AS107" s="27" t="n"/>
      <c r="AT107" s="27" t="n"/>
      <c r="AU107" s="27" t="n"/>
      <c r="AV107" s="27" t="n"/>
      <c r="AW107" s="27" t="n"/>
      <c r="AX107" s="27" t="n"/>
      <c r="AY107" s="27" t="n"/>
      <c r="AZ107" s="27" t="n"/>
      <c r="BA107" s="27" t="n"/>
      <c r="BB107" s="27" t="n"/>
      <c r="BC107" s="27" t="n"/>
      <c r="BD107" s="27" t="n"/>
      <c r="BE107" s="27" t="n"/>
      <c r="BF107" s="27" t="n"/>
      <c r="BG107" s="27" t="n"/>
      <c r="BH107" s="27" t="n"/>
      <c r="BI107" s="29" t="n"/>
      <c r="BJ107" s="27" t="n"/>
      <c r="BK107" s="27" t="n"/>
      <c r="BL107" s="27" t="n"/>
      <c r="BM107" s="27" t="n"/>
    </row>
    <row r="108">
      <c r="A108" s="27" t="n"/>
      <c r="B108" s="27" t="n"/>
      <c r="C108" s="28">
        <f>IF(A108="","",$B$2)</f>
        <v/>
      </c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  <c r="AA108" s="27" t="n"/>
      <c r="AB108" s="27" t="n"/>
      <c r="AC108" s="27" t="n"/>
      <c r="AD108" s="27" t="n"/>
      <c r="AE108" s="27" t="n"/>
      <c r="AF108" s="27" t="n"/>
      <c r="AG108" s="27" t="n"/>
      <c r="AH108" s="27" t="n"/>
      <c r="AI108" s="27" t="n"/>
      <c r="AJ108" s="27" t="n"/>
      <c r="AK108" s="27" t="n"/>
      <c r="AL108" s="27" t="n"/>
      <c r="AM108" s="27" t="n"/>
      <c r="AN108" s="27" t="n"/>
      <c r="AO108" s="27" t="n"/>
      <c r="AP108" s="27" t="n"/>
      <c r="AQ108" s="27" t="n"/>
      <c r="AR108" s="27" t="n"/>
      <c r="AS108" s="27" t="n"/>
      <c r="AT108" s="27" t="n"/>
      <c r="AU108" s="27" t="n"/>
      <c r="AV108" s="27" t="n"/>
      <c r="AW108" s="27" t="n"/>
      <c r="AX108" s="27" t="n"/>
      <c r="AY108" s="27" t="n"/>
      <c r="AZ108" s="27" t="n"/>
      <c r="BA108" s="27" t="n"/>
      <c r="BB108" s="27" t="n"/>
      <c r="BC108" s="27" t="n"/>
      <c r="BD108" s="27" t="n"/>
      <c r="BE108" s="27" t="n"/>
      <c r="BF108" s="27" t="n"/>
      <c r="BG108" s="27" t="n"/>
      <c r="BH108" s="27" t="n"/>
      <c r="BI108" s="29" t="n"/>
      <c r="BJ108" s="27" t="n"/>
      <c r="BK108" s="27" t="n"/>
      <c r="BL108" s="27" t="n"/>
      <c r="BM108" s="27" t="n"/>
    </row>
    <row r="109">
      <c r="A109" s="27" t="n"/>
      <c r="B109" s="27" t="n"/>
      <c r="C109" s="28">
        <f>IF(A109="","",$B$2)</f>
        <v/>
      </c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  <c r="AA109" s="27" t="n"/>
      <c r="AB109" s="27" t="n"/>
      <c r="AC109" s="27" t="n"/>
      <c r="AD109" s="27" t="n"/>
      <c r="AE109" s="27" t="n"/>
      <c r="AF109" s="27" t="n"/>
      <c r="AG109" s="27" t="n"/>
      <c r="AH109" s="27" t="n"/>
      <c r="AI109" s="27" t="n"/>
      <c r="AJ109" s="27" t="n"/>
      <c r="AK109" s="27" t="n"/>
      <c r="AL109" s="27" t="n"/>
      <c r="AM109" s="27" t="n"/>
      <c r="AN109" s="27" t="n"/>
      <c r="AO109" s="27" t="n"/>
      <c r="AP109" s="27" t="n"/>
      <c r="AQ109" s="27" t="n"/>
      <c r="AR109" s="27" t="n"/>
      <c r="AS109" s="27" t="n"/>
      <c r="AT109" s="27" t="n"/>
      <c r="AU109" s="27" t="n"/>
      <c r="AV109" s="27" t="n"/>
      <c r="AW109" s="27" t="n"/>
      <c r="AX109" s="27" t="n"/>
      <c r="AY109" s="27" t="n"/>
      <c r="AZ109" s="27" t="n"/>
      <c r="BA109" s="27" t="n"/>
      <c r="BB109" s="27" t="n"/>
      <c r="BC109" s="27" t="n"/>
      <c r="BD109" s="27" t="n"/>
      <c r="BE109" s="27" t="n"/>
      <c r="BF109" s="27" t="n"/>
      <c r="BG109" s="27" t="n"/>
      <c r="BH109" s="27" t="n"/>
      <c r="BI109" s="29" t="n"/>
      <c r="BJ109" s="27" t="n"/>
      <c r="BK109" s="27" t="n"/>
      <c r="BL109" s="27" t="n"/>
      <c r="BM109" s="27" t="n"/>
    </row>
    <row r="110">
      <c r="A110" s="27" t="n"/>
      <c r="B110" s="27" t="n"/>
      <c r="C110" s="28">
        <f>IF(A110="","",$B$2)</f>
        <v/>
      </c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  <c r="AA110" s="27" t="n"/>
      <c r="AB110" s="27" t="n"/>
      <c r="AC110" s="27" t="n"/>
      <c r="AD110" s="27" t="n"/>
      <c r="AE110" s="27" t="n"/>
      <c r="AF110" s="27" t="n"/>
      <c r="AG110" s="27" t="n"/>
      <c r="AH110" s="27" t="n"/>
      <c r="AI110" s="27" t="n"/>
      <c r="AJ110" s="27" t="n"/>
      <c r="AK110" s="27" t="n"/>
      <c r="AL110" s="27" t="n"/>
      <c r="AM110" s="27" t="n"/>
      <c r="AN110" s="27" t="n"/>
      <c r="AO110" s="27" t="n"/>
      <c r="AP110" s="27" t="n"/>
      <c r="AQ110" s="27" t="n"/>
      <c r="AR110" s="27" t="n"/>
      <c r="AS110" s="27" t="n"/>
      <c r="AT110" s="27" t="n"/>
      <c r="AU110" s="27" t="n"/>
      <c r="AV110" s="27" t="n"/>
      <c r="AW110" s="27" t="n"/>
      <c r="AX110" s="27" t="n"/>
      <c r="AY110" s="27" t="n"/>
      <c r="AZ110" s="27" t="n"/>
      <c r="BA110" s="27" t="n"/>
      <c r="BB110" s="27" t="n"/>
      <c r="BC110" s="27" t="n"/>
      <c r="BD110" s="27" t="n"/>
      <c r="BE110" s="27" t="n"/>
      <c r="BF110" s="27" t="n"/>
      <c r="BG110" s="27" t="n"/>
      <c r="BH110" s="27" t="n"/>
      <c r="BI110" s="29" t="n"/>
      <c r="BJ110" s="27" t="n"/>
      <c r="BK110" s="27" t="n"/>
      <c r="BL110" s="27" t="n"/>
      <c r="BM110" s="27" t="n"/>
    </row>
    <row r="111">
      <c r="A111" s="27" t="n"/>
      <c r="B111" s="27" t="n"/>
      <c r="C111" s="28">
        <f>IF(A111="","",$B$2)</f>
        <v/>
      </c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  <c r="AA111" s="27" t="n"/>
      <c r="AB111" s="27" t="n"/>
      <c r="AC111" s="27" t="n"/>
      <c r="AD111" s="27" t="n"/>
      <c r="AE111" s="27" t="n"/>
      <c r="AF111" s="27" t="n"/>
      <c r="AG111" s="27" t="n"/>
      <c r="AH111" s="27" t="n"/>
      <c r="AI111" s="27" t="n"/>
      <c r="AJ111" s="27" t="n"/>
      <c r="AK111" s="27" t="n"/>
      <c r="AL111" s="27" t="n"/>
      <c r="AM111" s="27" t="n"/>
      <c r="AN111" s="27" t="n"/>
      <c r="AO111" s="27" t="n"/>
      <c r="AP111" s="27" t="n"/>
      <c r="AQ111" s="27" t="n"/>
      <c r="AR111" s="27" t="n"/>
      <c r="AS111" s="27" t="n"/>
      <c r="AT111" s="27" t="n"/>
      <c r="AU111" s="27" t="n"/>
      <c r="AV111" s="27" t="n"/>
      <c r="AW111" s="27" t="n"/>
      <c r="AX111" s="27" t="n"/>
      <c r="AY111" s="27" t="n"/>
      <c r="AZ111" s="27" t="n"/>
      <c r="BA111" s="27" t="n"/>
      <c r="BB111" s="27" t="n"/>
      <c r="BC111" s="27" t="n"/>
      <c r="BD111" s="27" t="n"/>
      <c r="BE111" s="27" t="n"/>
      <c r="BF111" s="27" t="n"/>
      <c r="BG111" s="27" t="n"/>
      <c r="BH111" s="27" t="n"/>
      <c r="BI111" s="29" t="n"/>
      <c r="BJ111" s="27" t="n"/>
      <c r="BK111" s="27" t="n"/>
      <c r="BL111" s="27" t="n"/>
      <c r="BM111" s="27" t="n"/>
    </row>
    <row r="112">
      <c r="A112" s="27" t="n"/>
      <c r="B112" s="27" t="n"/>
      <c r="C112" s="28">
        <f>IF(A112="","",$B$2)</f>
        <v/>
      </c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  <c r="AA112" s="27" t="n"/>
      <c r="AB112" s="27" t="n"/>
      <c r="AC112" s="27" t="n"/>
      <c r="AD112" s="27" t="n"/>
      <c r="AE112" s="27" t="n"/>
      <c r="AF112" s="27" t="n"/>
      <c r="AG112" s="27" t="n"/>
      <c r="AH112" s="27" t="n"/>
      <c r="AI112" s="27" t="n"/>
      <c r="AJ112" s="27" t="n"/>
      <c r="AK112" s="27" t="n"/>
      <c r="AL112" s="27" t="n"/>
      <c r="AM112" s="27" t="n"/>
      <c r="AN112" s="27" t="n"/>
      <c r="AO112" s="27" t="n"/>
      <c r="AP112" s="27" t="n"/>
      <c r="AQ112" s="27" t="n"/>
      <c r="AR112" s="27" t="n"/>
      <c r="AS112" s="27" t="n"/>
      <c r="AT112" s="27" t="n"/>
      <c r="AU112" s="27" t="n"/>
      <c r="AV112" s="27" t="n"/>
      <c r="AW112" s="27" t="n"/>
      <c r="AX112" s="27" t="n"/>
      <c r="AY112" s="27" t="n"/>
      <c r="AZ112" s="27" t="n"/>
      <c r="BA112" s="27" t="n"/>
      <c r="BB112" s="27" t="n"/>
      <c r="BC112" s="27" t="n"/>
      <c r="BD112" s="27" t="n"/>
      <c r="BE112" s="27" t="n"/>
      <c r="BF112" s="27" t="n"/>
      <c r="BG112" s="27" t="n"/>
      <c r="BH112" s="27" t="n"/>
      <c r="BI112" s="29" t="n"/>
      <c r="BJ112" s="27" t="n"/>
      <c r="BK112" s="27" t="n"/>
      <c r="BL112" s="27" t="n"/>
      <c r="BM112" s="27" t="n"/>
    </row>
    <row r="113">
      <c r="A113" s="27" t="n"/>
      <c r="B113" s="27" t="n"/>
      <c r="C113" s="28">
        <f>IF(A113="","",$B$2)</f>
        <v/>
      </c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  <c r="AA113" s="27" t="n"/>
      <c r="AB113" s="27" t="n"/>
      <c r="AC113" s="27" t="n"/>
      <c r="AD113" s="27" t="n"/>
      <c r="AE113" s="27" t="n"/>
      <c r="AF113" s="27" t="n"/>
      <c r="AG113" s="27" t="n"/>
      <c r="AH113" s="27" t="n"/>
      <c r="AI113" s="27" t="n"/>
      <c r="AJ113" s="27" t="n"/>
      <c r="AK113" s="27" t="n"/>
      <c r="AL113" s="27" t="n"/>
      <c r="AM113" s="27" t="n"/>
      <c r="AN113" s="27" t="n"/>
      <c r="AO113" s="27" t="n"/>
      <c r="AP113" s="27" t="n"/>
      <c r="AQ113" s="27" t="n"/>
      <c r="AR113" s="27" t="n"/>
      <c r="AS113" s="27" t="n"/>
      <c r="AT113" s="27" t="n"/>
      <c r="AU113" s="27" t="n"/>
      <c r="AV113" s="27" t="n"/>
      <c r="AW113" s="27" t="n"/>
      <c r="AX113" s="27" t="n"/>
      <c r="AY113" s="27" t="n"/>
      <c r="AZ113" s="27" t="n"/>
      <c r="BA113" s="27" t="n"/>
      <c r="BB113" s="27" t="n"/>
      <c r="BC113" s="27" t="n"/>
      <c r="BD113" s="27" t="n"/>
      <c r="BE113" s="27" t="n"/>
      <c r="BF113" s="27" t="n"/>
      <c r="BG113" s="27" t="n"/>
      <c r="BH113" s="27" t="n"/>
      <c r="BI113" s="29" t="n"/>
      <c r="BJ113" s="27" t="n"/>
      <c r="BK113" s="27" t="n"/>
      <c r="BL113" s="27" t="n"/>
      <c r="BM113" s="27" t="n"/>
    </row>
    <row r="114">
      <c r="A114" s="27" t="n"/>
      <c r="B114" s="27" t="n"/>
      <c r="C114" s="28">
        <f>IF(A114="","",$B$2)</f>
        <v/>
      </c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  <c r="AA114" s="27" t="n"/>
      <c r="AB114" s="27" t="n"/>
      <c r="AC114" s="27" t="n"/>
      <c r="AD114" s="27" t="n"/>
      <c r="AE114" s="27" t="n"/>
      <c r="AF114" s="27" t="n"/>
      <c r="AG114" s="27" t="n"/>
      <c r="AH114" s="27" t="n"/>
      <c r="AI114" s="27" t="n"/>
      <c r="AJ114" s="27" t="n"/>
      <c r="AK114" s="27" t="n"/>
      <c r="AL114" s="27" t="n"/>
      <c r="AM114" s="27" t="n"/>
      <c r="AN114" s="27" t="n"/>
      <c r="AO114" s="27" t="n"/>
      <c r="AP114" s="27" t="n"/>
      <c r="AQ114" s="27" t="n"/>
      <c r="AR114" s="27" t="n"/>
      <c r="AS114" s="27" t="n"/>
      <c r="AT114" s="27" t="n"/>
      <c r="AU114" s="27" t="n"/>
      <c r="AV114" s="27" t="n"/>
      <c r="AW114" s="27" t="n"/>
      <c r="AX114" s="27" t="n"/>
      <c r="AY114" s="27" t="n"/>
      <c r="AZ114" s="27" t="n"/>
      <c r="BA114" s="27" t="n"/>
      <c r="BB114" s="27" t="n"/>
      <c r="BC114" s="27" t="n"/>
      <c r="BD114" s="27" t="n"/>
      <c r="BE114" s="27" t="n"/>
      <c r="BF114" s="27" t="n"/>
      <c r="BG114" s="27" t="n"/>
      <c r="BH114" s="27" t="n"/>
      <c r="BI114" s="29" t="n"/>
      <c r="BJ114" s="27" t="n"/>
      <c r="BK114" s="27" t="n"/>
      <c r="BL114" s="27" t="n"/>
      <c r="BM114" s="27" t="n"/>
    </row>
    <row r="115">
      <c r="A115" s="27" t="n"/>
      <c r="B115" s="27" t="n"/>
      <c r="C115" s="28">
        <f>IF(A115="","",$B$2)</f>
        <v/>
      </c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  <c r="AA115" s="27" t="n"/>
      <c r="AB115" s="27" t="n"/>
      <c r="AC115" s="27" t="n"/>
      <c r="AD115" s="27" t="n"/>
      <c r="AE115" s="27" t="n"/>
      <c r="AF115" s="27" t="n"/>
      <c r="AG115" s="27" t="n"/>
      <c r="AH115" s="27" t="n"/>
      <c r="AI115" s="27" t="n"/>
      <c r="AJ115" s="27" t="n"/>
      <c r="AK115" s="27" t="n"/>
      <c r="AL115" s="27" t="n"/>
      <c r="AM115" s="27" t="n"/>
      <c r="AN115" s="27" t="n"/>
      <c r="AO115" s="27" t="n"/>
      <c r="AP115" s="27" t="n"/>
      <c r="AQ115" s="27" t="n"/>
      <c r="AR115" s="27" t="n"/>
      <c r="AS115" s="27" t="n"/>
      <c r="AT115" s="27" t="n"/>
      <c r="AU115" s="27" t="n"/>
      <c r="AV115" s="27" t="n"/>
      <c r="AW115" s="27" t="n"/>
      <c r="AX115" s="27" t="n"/>
      <c r="AY115" s="27" t="n"/>
      <c r="AZ115" s="27" t="n"/>
      <c r="BA115" s="27" t="n"/>
      <c r="BB115" s="27" t="n"/>
      <c r="BC115" s="27" t="n"/>
      <c r="BD115" s="27" t="n"/>
      <c r="BE115" s="27" t="n"/>
      <c r="BF115" s="27" t="n"/>
      <c r="BG115" s="27" t="n"/>
      <c r="BH115" s="27" t="n"/>
      <c r="BI115" s="29" t="n"/>
      <c r="BJ115" s="27" t="n"/>
      <c r="BK115" s="27" t="n"/>
      <c r="BL115" s="27" t="n"/>
      <c r="BM115" s="27" t="n"/>
    </row>
    <row r="116">
      <c r="A116" s="27" t="n"/>
      <c r="B116" s="27" t="n"/>
      <c r="C116" s="28">
        <f>IF(A116="","",$B$2)</f>
        <v/>
      </c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  <c r="AA116" s="27" t="n"/>
      <c r="AB116" s="27" t="n"/>
      <c r="AC116" s="27" t="n"/>
      <c r="AD116" s="27" t="n"/>
      <c r="AE116" s="27" t="n"/>
      <c r="AF116" s="27" t="n"/>
      <c r="AG116" s="27" t="n"/>
      <c r="AH116" s="27" t="n"/>
      <c r="AI116" s="27" t="n"/>
      <c r="AJ116" s="27" t="n"/>
      <c r="AK116" s="27" t="n"/>
      <c r="AL116" s="27" t="n"/>
      <c r="AM116" s="27" t="n"/>
      <c r="AN116" s="27" t="n"/>
      <c r="AO116" s="27" t="n"/>
      <c r="AP116" s="27" t="n"/>
      <c r="AQ116" s="27" t="n"/>
      <c r="AR116" s="27" t="n"/>
      <c r="AS116" s="27" t="n"/>
      <c r="AT116" s="27" t="n"/>
      <c r="AU116" s="27" t="n"/>
      <c r="AV116" s="27" t="n"/>
      <c r="AW116" s="27" t="n"/>
      <c r="AX116" s="27" t="n"/>
      <c r="AY116" s="27" t="n"/>
      <c r="AZ116" s="27" t="n"/>
      <c r="BA116" s="27" t="n"/>
      <c r="BB116" s="27" t="n"/>
      <c r="BC116" s="27" t="n"/>
      <c r="BD116" s="27" t="n"/>
      <c r="BE116" s="27" t="n"/>
      <c r="BF116" s="27" t="n"/>
      <c r="BG116" s="27" t="n"/>
      <c r="BH116" s="27" t="n"/>
      <c r="BI116" s="29" t="n"/>
      <c r="BJ116" s="27" t="n"/>
      <c r="BK116" s="27" t="n"/>
      <c r="BL116" s="27" t="n"/>
      <c r="BM116" s="27" t="n"/>
    </row>
    <row r="117">
      <c r="A117" s="27" t="n"/>
      <c r="B117" s="27" t="n"/>
      <c r="C117" s="28">
        <f>IF(A117="","",$B$2)</f>
        <v/>
      </c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  <c r="AA117" s="27" t="n"/>
      <c r="AB117" s="27" t="n"/>
      <c r="AC117" s="27" t="n"/>
      <c r="AD117" s="27" t="n"/>
      <c r="AE117" s="27" t="n"/>
      <c r="AF117" s="27" t="n"/>
      <c r="AG117" s="27" t="n"/>
      <c r="AH117" s="27" t="n"/>
      <c r="AI117" s="27" t="n"/>
      <c r="AJ117" s="27" t="n"/>
      <c r="AK117" s="27" t="n"/>
      <c r="AL117" s="27" t="n"/>
      <c r="AM117" s="27" t="n"/>
      <c r="AN117" s="27" t="n"/>
      <c r="AO117" s="27" t="n"/>
      <c r="AP117" s="27" t="n"/>
      <c r="AQ117" s="27" t="n"/>
      <c r="AR117" s="27" t="n"/>
      <c r="AS117" s="27" t="n"/>
      <c r="AT117" s="27" t="n"/>
      <c r="AU117" s="27" t="n"/>
      <c r="AV117" s="27" t="n"/>
      <c r="AW117" s="27" t="n"/>
      <c r="AX117" s="27" t="n"/>
      <c r="AY117" s="27" t="n"/>
      <c r="AZ117" s="27" t="n"/>
      <c r="BA117" s="27" t="n"/>
      <c r="BB117" s="27" t="n"/>
      <c r="BC117" s="27" t="n"/>
      <c r="BD117" s="27" t="n"/>
      <c r="BE117" s="27" t="n"/>
      <c r="BF117" s="27" t="n"/>
      <c r="BG117" s="27" t="n"/>
      <c r="BH117" s="27" t="n"/>
      <c r="BI117" s="29" t="n"/>
      <c r="BJ117" s="27" t="n"/>
      <c r="BK117" s="27" t="n"/>
      <c r="BL117" s="27" t="n"/>
      <c r="BM117" s="27" t="n"/>
    </row>
    <row r="118">
      <c r="A118" s="27" t="n"/>
      <c r="B118" s="27" t="n"/>
      <c r="C118" s="28">
        <f>IF(A118="","",$B$2)</f>
        <v/>
      </c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  <c r="AA118" s="27" t="n"/>
      <c r="AB118" s="27" t="n"/>
      <c r="AC118" s="27" t="n"/>
      <c r="AD118" s="27" t="n"/>
      <c r="AE118" s="27" t="n"/>
      <c r="AF118" s="27" t="n"/>
      <c r="AG118" s="27" t="n"/>
      <c r="AH118" s="27" t="n"/>
      <c r="AI118" s="27" t="n"/>
      <c r="AJ118" s="27" t="n"/>
      <c r="AK118" s="27" t="n"/>
      <c r="AL118" s="27" t="n"/>
      <c r="AM118" s="27" t="n"/>
      <c r="AN118" s="27" t="n"/>
      <c r="AO118" s="27" t="n"/>
      <c r="AP118" s="27" t="n"/>
      <c r="AQ118" s="27" t="n"/>
      <c r="AR118" s="27" t="n"/>
      <c r="AS118" s="27" t="n"/>
      <c r="AT118" s="27" t="n"/>
      <c r="AU118" s="27" t="n"/>
      <c r="AV118" s="27" t="n"/>
      <c r="AW118" s="27" t="n"/>
      <c r="AX118" s="27" t="n"/>
      <c r="AY118" s="27" t="n"/>
      <c r="AZ118" s="27" t="n"/>
      <c r="BA118" s="27" t="n"/>
      <c r="BB118" s="27" t="n"/>
      <c r="BC118" s="27" t="n"/>
      <c r="BD118" s="27" t="n"/>
      <c r="BE118" s="27" t="n"/>
      <c r="BF118" s="27" t="n"/>
      <c r="BG118" s="27" t="n"/>
      <c r="BH118" s="27" t="n"/>
      <c r="BI118" s="29" t="n"/>
      <c r="BJ118" s="27" t="n"/>
      <c r="BK118" s="27" t="n"/>
      <c r="BL118" s="27" t="n"/>
      <c r="BM118" s="27" t="n"/>
    </row>
    <row r="119">
      <c r="A119" s="27" t="n"/>
      <c r="B119" s="27" t="n"/>
      <c r="C119" s="28">
        <f>IF(A119="","",$B$2)</f>
        <v/>
      </c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  <c r="AA119" s="27" t="n"/>
      <c r="AB119" s="27" t="n"/>
      <c r="AC119" s="27" t="n"/>
      <c r="AD119" s="27" t="n"/>
      <c r="AE119" s="27" t="n"/>
      <c r="AF119" s="27" t="n"/>
      <c r="AG119" s="27" t="n"/>
      <c r="AH119" s="27" t="n"/>
      <c r="AI119" s="27" t="n"/>
      <c r="AJ119" s="27" t="n"/>
      <c r="AK119" s="27" t="n"/>
      <c r="AL119" s="27" t="n"/>
      <c r="AM119" s="27" t="n"/>
      <c r="AN119" s="27" t="n"/>
      <c r="AO119" s="27" t="n"/>
      <c r="AP119" s="27" t="n"/>
      <c r="AQ119" s="27" t="n"/>
      <c r="AR119" s="27" t="n"/>
      <c r="AS119" s="27" t="n"/>
      <c r="AT119" s="27" t="n"/>
      <c r="AU119" s="27" t="n"/>
      <c r="AV119" s="27" t="n"/>
      <c r="AW119" s="27" t="n"/>
      <c r="AX119" s="27" t="n"/>
      <c r="AY119" s="27" t="n"/>
      <c r="AZ119" s="27" t="n"/>
      <c r="BA119" s="27" t="n"/>
      <c r="BB119" s="27" t="n"/>
      <c r="BC119" s="27" t="n"/>
      <c r="BD119" s="27" t="n"/>
      <c r="BE119" s="27" t="n"/>
      <c r="BF119" s="27" t="n"/>
      <c r="BG119" s="27" t="n"/>
      <c r="BH119" s="27" t="n"/>
      <c r="BI119" s="29" t="n"/>
      <c r="BJ119" s="27" t="n"/>
      <c r="BK119" s="27" t="n"/>
      <c r="BL119" s="27" t="n"/>
      <c r="BM119" s="27" t="n"/>
    </row>
    <row r="120">
      <c r="A120" s="27" t="n"/>
      <c r="B120" s="27" t="n"/>
      <c r="C120" s="28">
        <f>IF(A120="","",$B$2)</f>
        <v/>
      </c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  <c r="AA120" s="27" t="n"/>
      <c r="AB120" s="27" t="n"/>
      <c r="AC120" s="27" t="n"/>
      <c r="AD120" s="27" t="n"/>
      <c r="AE120" s="27" t="n"/>
      <c r="AF120" s="27" t="n"/>
      <c r="AG120" s="27" t="n"/>
      <c r="AH120" s="27" t="n"/>
      <c r="AI120" s="27" t="n"/>
      <c r="AJ120" s="27" t="n"/>
      <c r="AK120" s="27" t="n"/>
      <c r="AL120" s="27" t="n"/>
      <c r="AM120" s="27" t="n"/>
      <c r="AN120" s="27" t="n"/>
      <c r="AO120" s="27" t="n"/>
      <c r="AP120" s="27" t="n"/>
      <c r="AQ120" s="27" t="n"/>
      <c r="AR120" s="27" t="n"/>
      <c r="AS120" s="27" t="n"/>
      <c r="AT120" s="27" t="n"/>
      <c r="AU120" s="27" t="n"/>
      <c r="AV120" s="27" t="n"/>
      <c r="AW120" s="27" t="n"/>
      <c r="AX120" s="27" t="n"/>
      <c r="AY120" s="27" t="n"/>
      <c r="AZ120" s="27" t="n"/>
      <c r="BA120" s="27" t="n"/>
      <c r="BB120" s="27" t="n"/>
      <c r="BC120" s="27" t="n"/>
      <c r="BD120" s="27" t="n"/>
      <c r="BE120" s="27" t="n"/>
      <c r="BF120" s="27" t="n"/>
      <c r="BG120" s="27" t="n"/>
      <c r="BH120" s="27" t="n"/>
      <c r="BI120" s="29" t="n"/>
      <c r="BJ120" s="27" t="n"/>
      <c r="BK120" s="27" t="n"/>
      <c r="BL120" s="27" t="n"/>
      <c r="BM120" s="27" t="n"/>
    </row>
    <row r="121">
      <c r="A121" s="27" t="n"/>
      <c r="B121" s="27" t="n"/>
      <c r="C121" s="28">
        <f>IF(A121="","",$B$2)</f>
        <v/>
      </c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  <c r="AA121" s="27" t="n"/>
      <c r="AB121" s="27" t="n"/>
      <c r="AC121" s="27" t="n"/>
      <c r="AD121" s="27" t="n"/>
      <c r="AE121" s="27" t="n"/>
      <c r="AF121" s="27" t="n"/>
      <c r="AG121" s="27" t="n"/>
      <c r="AH121" s="27" t="n"/>
      <c r="AI121" s="27" t="n"/>
      <c r="AJ121" s="27" t="n"/>
      <c r="AK121" s="27" t="n"/>
      <c r="AL121" s="27" t="n"/>
      <c r="AM121" s="27" t="n"/>
      <c r="AN121" s="27" t="n"/>
      <c r="AO121" s="27" t="n"/>
      <c r="AP121" s="27" t="n"/>
      <c r="AQ121" s="27" t="n"/>
      <c r="AR121" s="27" t="n"/>
      <c r="AS121" s="27" t="n"/>
      <c r="AT121" s="27" t="n"/>
      <c r="AU121" s="27" t="n"/>
      <c r="AV121" s="27" t="n"/>
      <c r="AW121" s="27" t="n"/>
      <c r="AX121" s="27" t="n"/>
      <c r="AY121" s="27" t="n"/>
      <c r="AZ121" s="27" t="n"/>
      <c r="BA121" s="27" t="n"/>
      <c r="BB121" s="27" t="n"/>
      <c r="BC121" s="27" t="n"/>
      <c r="BD121" s="27" t="n"/>
      <c r="BE121" s="27" t="n"/>
      <c r="BF121" s="27" t="n"/>
      <c r="BG121" s="27" t="n"/>
      <c r="BH121" s="27" t="n"/>
      <c r="BI121" s="29" t="n"/>
      <c r="BJ121" s="27" t="n"/>
      <c r="BK121" s="27" t="n"/>
      <c r="BL121" s="27" t="n"/>
      <c r="BM121" s="27" t="n"/>
    </row>
    <row r="122">
      <c r="A122" s="27" t="n"/>
      <c r="B122" s="27" t="n"/>
      <c r="C122" s="28">
        <f>IF(A122="","",$B$2)</f>
        <v/>
      </c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  <c r="AA122" s="27" t="n"/>
      <c r="AB122" s="27" t="n"/>
      <c r="AC122" s="27" t="n"/>
      <c r="AD122" s="27" t="n"/>
      <c r="AE122" s="27" t="n"/>
      <c r="AF122" s="27" t="n"/>
      <c r="AG122" s="27" t="n"/>
      <c r="AH122" s="27" t="n"/>
      <c r="AI122" s="27" t="n"/>
      <c r="AJ122" s="27" t="n"/>
      <c r="AK122" s="27" t="n"/>
      <c r="AL122" s="27" t="n"/>
      <c r="AM122" s="27" t="n"/>
      <c r="AN122" s="27" t="n"/>
      <c r="AO122" s="27" t="n"/>
      <c r="AP122" s="27" t="n"/>
      <c r="AQ122" s="27" t="n"/>
      <c r="AR122" s="27" t="n"/>
      <c r="AS122" s="27" t="n"/>
      <c r="AT122" s="27" t="n"/>
      <c r="AU122" s="27" t="n"/>
      <c r="AV122" s="27" t="n"/>
      <c r="AW122" s="27" t="n"/>
      <c r="AX122" s="27" t="n"/>
      <c r="AY122" s="27" t="n"/>
      <c r="AZ122" s="27" t="n"/>
      <c r="BA122" s="27" t="n"/>
      <c r="BB122" s="27" t="n"/>
      <c r="BC122" s="27" t="n"/>
      <c r="BD122" s="27" t="n"/>
      <c r="BE122" s="27" t="n"/>
      <c r="BF122" s="27" t="n"/>
      <c r="BG122" s="27" t="n"/>
      <c r="BH122" s="27" t="n"/>
      <c r="BI122" s="29" t="n"/>
      <c r="BJ122" s="27" t="n"/>
      <c r="BK122" s="27" t="n"/>
      <c r="BL122" s="27" t="n"/>
      <c r="BM122" s="27" t="n"/>
    </row>
    <row r="123">
      <c r="A123" s="27" t="n"/>
      <c r="B123" s="27" t="n"/>
      <c r="C123" s="28">
        <f>IF(A123="","",$B$2)</f>
        <v/>
      </c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  <c r="AA123" s="27" t="n"/>
      <c r="AB123" s="27" t="n"/>
      <c r="AC123" s="27" t="n"/>
      <c r="AD123" s="27" t="n"/>
      <c r="AE123" s="27" t="n"/>
      <c r="AF123" s="27" t="n"/>
      <c r="AG123" s="27" t="n"/>
      <c r="AH123" s="27" t="n"/>
      <c r="AI123" s="27" t="n"/>
      <c r="AJ123" s="27" t="n"/>
      <c r="AK123" s="27" t="n"/>
      <c r="AL123" s="27" t="n"/>
      <c r="AM123" s="27" t="n"/>
      <c r="AN123" s="27" t="n"/>
      <c r="AO123" s="27" t="n"/>
      <c r="AP123" s="27" t="n"/>
      <c r="AQ123" s="27" t="n"/>
      <c r="AR123" s="27" t="n"/>
      <c r="AS123" s="27" t="n"/>
      <c r="AT123" s="27" t="n"/>
      <c r="AU123" s="27" t="n"/>
      <c r="AV123" s="27" t="n"/>
      <c r="AW123" s="27" t="n"/>
      <c r="AX123" s="27" t="n"/>
      <c r="AY123" s="27" t="n"/>
      <c r="AZ123" s="27" t="n"/>
      <c r="BA123" s="27" t="n"/>
      <c r="BB123" s="27" t="n"/>
      <c r="BC123" s="27" t="n"/>
      <c r="BD123" s="27" t="n"/>
      <c r="BE123" s="27" t="n"/>
      <c r="BF123" s="27" t="n"/>
      <c r="BG123" s="27" t="n"/>
      <c r="BH123" s="27" t="n"/>
      <c r="BI123" s="29" t="n"/>
      <c r="BJ123" s="27" t="n"/>
      <c r="BK123" s="27" t="n"/>
      <c r="BL123" s="27" t="n"/>
      <c r="BM123" s="27" t="n"/>
    </row>
    <row r="124">
      <c r="A124" s="27" t="n"/>
      <c r="B124" s="27" t="n"/>
      <c r="C124" s="28">
        <f>IF(A124="","",$B$2)</f>
        <v/>
      </c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  <c r="AA124" s="27" t="n"/>
      <c r="AB124" s="27" t="n"/>
      <c r="AC124" s="27" t="n"/>
      <c r="AD124" s="27" t="n"/>
      <c r="AE124" s="27" t="n"/>
      <c r="AF124" s="27" t="n"/>
      <c r="AG124" s="27" t="n"/>
      <c r="AH124" s="27" t="n"/>
      <c r="AI124" s="27" t="n"/>
      <c r="AJ124" s="27" t="n"/>
      <c r="AK124" s="27" t="n"/>
      <c r="AL124" s="27" t="n"/>
      <c r="AM124" s="27" t="n"/>
      <c r="AN124" s="27" t="n"/>
      <c r="AO124" s="27" t="n"/>
      <c r="AP124" s="27" t="n"/>
      <c r="AQ124" s="27" t="n"/>
      <c r="AR124" s="27" t="n"/>
      <c r="AS124" s="27" t="n"/>
      <c r="AT124" s="27" t="n"/>
      <c r="AU124" s="27" t="n"/>
      <c r="AV124" s="27" t="n"/>
      <c r="AW124" s="27" t="n"/>
      <c r="AX124" s="27" t="n"/>
      <c r="AY124" s="27" t="n"/>
      <c r="AZ124" s="27" t="n"/>
      <c r="BA124" s="27" t="n"/>
      <c r="BB124" s="27" t="n"/>
      <c r="BC124" s="27" t="n"/>
      <c r="BD124" s="27" t="n"/>
      <c r="BE124" s="27" t="n"/>
      <c r="BF124" s="27" t="n"/>
      <c r="BG124" s="27" t="n"/>
      <c r="BH124" s="27" t="n"/>
      <c r="BI124" s="29" t="n"/>
      <c r="BJ124" s="27" t="n"/>
      <c r="BK124" s="27" t="n"/>
      <c r="BL124" s="27" t="n"/>
      <c r="BM124" s="27" t="n"/>
    </row>
    <row r="125">
      <c r="A125" s="27" t="n"/>
      <c r="B125" s="27" t="n"/>
      <c r="C125" s="28">
        <f>IF(A125="","",$B$2)</f>
        <v/>
      </c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  <c r="AA125" s="27" t="n"/>
      <c r="AB125" s="27" t="n"/>
      <c r="AC125" s="27" t="n"/>
      <c r="AD125" s="27" t="n"/>
      <c r="AE125" s="27" t="n"/>
      <c r="AF125" s="27" t="n"/>
      <c r="AG125" s="27" t="n"/>
      <c r="AH125" s="27" t="n"/>
      <c r="AI125" s="27" t="n"/>
      <c r="AJ125" s="27" t="n"/>
      <c r="AK125" s="27" t="n"/>
      <c r="AL125" s="27" t="n"/>
      <c r="AM125" s="27" t="n"/>
      <c r="AN125" s="27" t="n"/>
      <c r="AO125" s="27" t="n"/>
      <c r="AP125" s="27" t="n"/>
      <c r="AQ125" s="27" t="n"/>
      <c r="AR125" s="27" t="n"/>
      <c r="AS125" s="27" t="n"/>
      <c r="AT125" s="27" t="n"/>
      <c r="AU125" s="27" t="n"/>
      <c r="AV125" s="27" t="n"/>
      <c r="AW125" s="27" t="n"/>
      <c r="AX125" s="27" t="n"/>
      <c r="AY125" s="27" t="n"/>
      <c r="AZ125" s="27" t="n"/>
      <c r="BA125" s="27" t="n"/>
      <c r="BB125" s="27" t="n"/>
      <c r="BC125" s="27" t="n"/>
      <c r="BD125" s="27" t="n"/>
      <c r="BE125" s="27" t="n"/>
      <c r="BF125" s="27" t="n"/>
      <c r="BG125" s="27" t="n"/>
      <c r="BH125" s="27" t="n"/>
      <c r="BI125" s="29" t="n"/>
      <c r="BJ125" s="27" t="n"/>
      <c r="BK125" s="27" t="n"/>
      <c r="BL125" s="27" t="n"/>
      <c r="BM125" s="27" t="n"/>
    </row>
    <row r="126">
      <c r="A126" s="27" t="n"/>
      <c r="B126" s="27" t="n"/>
      <c r="C126" s="28">
        <f>IF(A126="","",$B$2)</f>
        <v/>
      </c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  <c r="AA126" s="27" t="n"/>
      <c r="AB126" s="27" t="n"/>
      <c r="AC126" s="27" t="n"/>
      <c r="AD126" s="27" t="n"/>
      <c r="AE126" s="27" t="n"/>
      <c r="AF126" s="27" t="n"/>
      <c r="AG126" s="27" t="n"/>
      <c r="AH126" s="27" t="n"/>
      <c r="AI126" s="27" t="n"/>
      <c r="AJ126" s="27" t="n"/>
      <c r="AK126" s="27" t="n"/>
      <c r="AL126" s="27" t="n"/>
      <c r="AM126" s="27" t="n"/>
      <c r="AN126" s="27" t="n"/>
      <c r="AO126" s="27" t="n"/>
      <c r="AP126" s="27" t="n"/>
      <c r="AQ126" s="27" t="n"/>
      <c r="AR126" s="27" t="n"/>
      <c r="AS126" s="27" t="n"/>
      <c r="AT126" s="27" t="n"/>
      <c r="AU126" s="27" t="n"/>
      <c r="AV126" s="27" t="n"/>
      <c r="AW126" s="27" t="n"/>
      <c r="AX126" s="27" t="n"/>
      <c r="AY126" s="27" t="n"/>
      <c r="AZ126" s="27" t="n"/>
      <c r="BA126" s="27" t="n"/>
      <c r="BB126" s="27" t="n"/>
      <c r="BC126" s="27" t="n"/>
      <c r="BD126" s="27" t="n"/>
      <c r="BE126" s="27" t="n"/>
      <c r="BF126" s="27" t="n"/>
      <c r="BG126" s="27" t="n"/>
      <c r="BH126" s="27" t="n"/>
      <c r="BI126" s="29" t="n"/>
      <c r="BJ126" s="27" t="n"/>
      <c r="BK126" s="27" t="n"/>
      <c r="BL126" s="27" t="n"/>
      <c r="BM126" s="27" t="n"/>
    </row>
    <row r="127">
      <c r="A127" s="27" t="n"/>
      <c r="B127" s="27" t="n"/>
      <c r="C127" s="28">
        <f>IF(A127="","",$B$2)</f>
        <v/>
      </c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  <c r="AA127" s="27" t="n"/>
      <c r="AB127" s="27" t="n"/>
      <c r="AC127" s="27" t="n"/>
      <c r="AD127" s="27" t="n"/>
      <c r="AE127" s="27" t="n"/>
      <c r="AF127" s="27" t="n"/>
      <c r="AG127" s="27" t="n"/>
      <c r="AH127" s="27" t="n"/>
      <c r="AI127" s="27" t="n"/>
      <c r="AJ127" s="27" t="n"/>
      <c r="AK127" s="27" t="n"/>
      <c r="AL127" s="27" t="n"/>
      <c r="AM127" s="27" t="n"/>
      <c r="AN127" s="27" t="n"/>
      <c r="AO127" s="27" t="n"/>
      <c r="AP127" s="27" t="n"/>
      <c r="AQ127" s="27" t="n"/>
      <c r="AR127" s="27" t="n"/>
      <c r="AS127" s="27" t="n"/>
      <c r="AT127" s="27" t="n"/>
      <c r="AU127" s="27" t="n"/>
      <c r="AV127" s="27" t="n"/>
      <c r="AW127" s="27" t="n"/>
      <c r="AX127" s="27" t="n"/>
      <c r="AY127" s="27" t="n"/>
      <c r="AZ127" s="27" t="n"/>
      <c r="BA127" s="27" t="n"/>
      <c r="BB127" s="27" t="n"/>
      <c r="BC127" s="27" t="n"/>
      <c r="BD127" s="27" t="n"/>
      <c r="BE127" s="27" t="n"/>
      <c r="BF127" s="27" t="n"/>
      <c r="BG127" s="27" t="n"/>
      <c r="BH127" s="27" t="n"/>
      <c r="BI127" s="29" t="n"/>
      <c r="BJ127" s="27" t="n"/>
      <c r="BK127" s="27" t="n"/>
      <c r="BL127" s="27" t="n"/>
      <c r="BM127" s="27" t="n"/>
    </row>
    <row r="128">
      <c r="A128" s="27" t="n"/>
      <c r="B128" s="27" t="n"/>
      <c r="C128" s="28">
        <f>IF(A128="","",$B$2)</f>
        <v/>
      </c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  <c r="AA128" s="27" t="n"/>
      <c r="AB128" s="27" t="n"/>
      <c r="AC128" s="27" t="n"/>
      <c r="AD128" s="27" t="n"/>
      <c r="AE128" s="27" t="n"/>
      <c r="AF128" s="27" t="n"/>
      <c r="AG128" s="27" t="n"/>
      <c r="AH128" s="27" t="n"/>
      <c r="AI128" s="27" t="n"/>
      <c r="AJ128" s="27" t="n"/>
      <c r="AK128" s="27" t="n"/>
      <c r="AL128" s="27" t="n"/>
      <c r="AM128" s="27" t="n"/>
      <c r="AN128" s="27" t="n"/>
      <c r="AO128" s="27" t="n"/>
      <c r="AP128" s="27" t="n"/>
      <c r="AQ128" s="27" t="n"/>
      <c r="AR128" s="27" t="n"/>
      <c r="AS128" s="27" t="n"/>
      <c r="AT128" s="27" t="n"/>
      <c r="AU128" s="27" t="n"/>
      <c r="AV128" s="27" t="n"/>
      <c r="AW128" s="27" t="n"/>
      <c r="AX128" s="27" t="n"/>
      <c r="AY128" s="27" t="n"/>
      <c r="AZ128" s="27" t="n"/>
      <c r="BA128" s="27" t="n"/>
      <c r="BB128" s="27" t="n"/>
      <c r="BC128" s="27" t="n"/>
      <c r="BD128" s="27" t="n"/>
      <c r="BE128" s="27" t="n"/>
      <c r="BF128" s="27" t="n"/>
      <c r="BG128" s="27" t="n"/>
      <c r="BH128" s="27" t="n"/>
      <c r="BI128" s="29" t="n"/>
      <c r="BJ128" s="27" t="n"/>
      <c r="BK128" s="27" t="n"/>
      <c r="BL128" s="27" t="n"/>
      <c r="BM128" s="27" t="n"/>
    </row>
    <row r="129">
      <c r="A129" s="27" t="n"/>
      <c r="B129" s="27" t="n"/>
      <c r="C129" s="28">
        <f>IF(A129="","",$B$2)</f>
        <v/>
      </c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  <c r="AA129" s="27" t="n"/>
      <c r="AB129" s="27" t="n"/>
      <c r="AC129" s="27" t="n"/>
      <c r="AD129" s="27" t="n"/>
      <c r="AE129" s="27" t="n"/>
      <c r="AF129" s="27" t="n"/>
      <c r="AG129" s="27" t="n"/>
      <c r="AH129" s="27" t="n"/>
      <c r="AI129" s="27" t="n"/>
      <c r="AJ129" s="27" t="n"/>
      <c r="AK129" s="27" t="n"/>
      <c r="AL129" s="27" t="n"/>
      <c r="AM129" s="27" t="n"/>
      <c r="AN129" s="27" t="n"/>
      <c r="AO129" s="27" t="n"/>
      <c r="AP129" s="27" t="n"/>
      <c r="AQ129" s="27" t="n"/>
      <c r="AR129" s="27" t="n"/>
      <c r="AS129" s="27" t="n"/>
      <c r="AT129" s="27" t="n"/>
      <c r="AU129" s="27" t="n"/>
      <c r="AV129" s="27" t="n"/>
      <c r="AW129" s="27" t="n"/>
      <c r="AX129" s="27" t="n"/>
      <c r="AY129" s="27" t="n"/>
      <c r="AZ129" s="27" t="n"/>
      <c r="BA129" s="27" t="n"/>
      <c r="BB129" s="27" t="n"/>
      <c r="BC129" s="27" t="n"/>
      <c r="BD129" s="27" t="n"/>
      <c r="BE129" s="27" t="n"/>
      <c r="BF129" s="27" t="n"/>
      <c r="BG129" s="27" t="n"/>
      <c r="BH129" s="27" t="n"/>
      <c r="BI129" s="29" t="n"/>
      <c r="BJ129" s="27" t="n"/>
      <c r="BK129" s="27" t="n"/>
      <c r="BL129" s="27" t="n"/>
      <c r="BM129" s="27" t="n"/>
    </row>
    <row r="130">
      <c r="A130" s="27" t="n"/>
      <c r="B130" s="27" t="n"/>
      <c r="C130" s="28">
        <f>IF(A130="","",$B$2)</f>
        <v/>
      </c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  <c r="AA130" s="27" t="n"/>
      <c r="AB130" s="27" t="n"/>
      <c r="AC130" s="27" t="n"/>
      <c r="AD130" s="27" t="n"/>
      <c r="AE130" s="27" t="n"/>
      <c r="AF130" s="27" t="n"/>
      <c r="AG130" s="27" t="n"/>
      <c r="AH130" s="27" t="n"/>
      <c r="AI130" s="27" t="n"/>
      <c r="AJ130" s="27" t="n"/>
      <c r="AK130" s="27" t="n"/>
      <c r="AL130" s="27" t="n"/>
      <c r="AM130" s="27" t="n"/>
      <c r="AN130" s="27" t="n"/>
      <c r="AO130" s="27" t="n"/>
      <c r="AP130" s="27" t="n"/>
      <c r="AQ130" s="27" t="n"/>
      <c r="AR130" s="27" t="n"/>
      <c r="AS130" s="27" t="n"/>
      <c r="AT130" s="27" t="n"/>
      <c r="AU130" s="27" t="n"/>
      <c r="AV130" s="27" t="n"/>
      <c r="AW130" s="27" t="n"/>
      <c r="AX130" s="27" t="n"/>
      <c r="AY130" s="27" t="n"/>
      <c r="AZ130" s="27" t="n"/>
      <c r="BA130" s="27" t="n"/>
      <c r="BB130" s="27" t="n"/>
      <c r="BC130" s="27" t="n"/>
      <c r="BD130" s="27" t="n"/>
      <c r="BE130" s="27" t="n"/>
      <c r="BF130" s="27" t="n"/>
      <c r="BG130" s="27" t="n"/>
      <c r="BH130" s="27" t="n"/>
      <c r="BI130" s="29" t="n"/>
      <c r="BJ130" s="27" t="n"/>
      <c r="BK130" s="27" t="n"/>
      <c r="BL130" s="27" t="n"/>
      <c r="BM130" s="27" t="n"/>
    </row>
    <row r="131">
      <c r="A131" s="27" t="n"/>
      <c r="B131" s="27" t="n"/>
      <c r="C131" s="28">
        <f>IF(A131="","",$B$2)</f>
        <v/>
      </c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  <c r="AA131" s="27" t="n"/>
      <c r="AB131" s="27" t="n"/>
      <c r="AC131" s="27" t="n"/>
      <c r="AD131" s="27" t="n"/>
      <c r="AE131" s="27" t="n"/>
      <c r="AF131" s="27" t="n"/>
      <c r="AG131" s="27" t="n"/>
      <c r="AH131" s="27" t="n"/>
      <c r="AI131" s="27" t="n"/>
      <c r="AJ131" s="27" t="n"/>
      <c r="AK131" s="27" t="n"/>
      <c r="AL131" s="27" t="n"/>
      <c r="AM131" s="27" t="n"/>
      <c r="AN131" s="27" t="n"/>
      <c r="AO131" s="27" t="n"/>
      <c r="AP131" s="27" t="n"/>
      <c r="AQ131" s="27" t="n"/>
      <c r="AR131" s="27" t="n"/>
      <c r="AS131" s="27" t="n"/>
      <c r="AT131" s="27" t="n"/>
      <c r="AU131" s="27" t="n"/>
      <c r="AV131" s="27" t="n"/>
      <c r="AW131" s="27" t="n"/>
      <c r="AX131" s="27" t="n"/>
      <c r="AY131" s="27" t="n"/>
      <c r="AZ131" s="27" t="n"/>
      <c r="BA131" s="27" t="n"/>
      <c r="BB131" s="27" t="n"/>
      <c r="BC131" s="27" t="n"/>
      <c r="BD131" s="27" t="n"/>
      <c r="BE131" s="27" t="n"/>
      <c r="BF131" s="27" t="n"/>
      <c r="BG131" s="27" t="n"/>
      <c r="BH131" s="27" t="n"/>
      <c r="BI131" s="29" t="n"/>
      <c r="BJ131" s="27" t="n"/>
      <c r="BK131" s="27" t="n"/>
      <c r="BL131" s="27" t="n"/>
      <c r="BM131" s="27" t="n"/>
    </row>
    <row r="132">
      <c r="A132" s="27" t="n"/>
      <c r="B132" s="27" t="n"/>
      <c r="C132" s="28">
        <f>IF(A132="","",$B$2)</f>
        <v/>
      </c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  <c r="AA132" s="27" t="n"/>
      <c r="AB132" s="27" t="n"/>
      <c r="AC132" s="27" t="n"/>
      <c r="AD132" s="27" t="n"/>
      <c r="AE132" s="27" t="n"/>
      <c r="AF132" s="27" t="n"/>
      <c r="AG132" s="27" t="n"/>
      <c r="AH132" s="27" t="n"/>
      <c r="AI132" s="27" t="n"/>
      <c r="AJ132" s="27" t="n"/>
      <c r="AK132" s="27" t="n"/>
      <c r="AL132" s="27" t="n"/>
      <c r="AM132" s="27" t="n"/>
      <c r="AN132" s="27" t="n"/>
      <c r="AO132" s="27" t="n"/>
      <c r="AP132" s="27" t="n"/>
      <c r="AQ132" s="27" t="n"/>
      <c r="AR132" s="27" t="n"/>
      <c r="AS132" s="27" t="n"/>
      <c r="AT132" s="27" t="n"/>
      <c r="AU132" s="27" t="n"/>
      <c r="AV132" s="27" t="n"/>
      <c r="AW132" s="27" t="n"/>
      <c r="AX132" s="27" t="n"/>
      <c r="AY132" s="27" t="n"/>
      <c r="AZ132" s="27" t="n"/>
      <c r="BA132" s="27" t="n"/>
      <c r="BB132" s="27" t="n"/>
      <c r="BC132" s="27" t="n"/>
      <c r="BD132" s="27" t="n"/>
      <c r="BE132" s="27" t="n"/>
      <c r="BF132" s="27" t="n"/>
      <c r="BG132" s="27" t="n"/>
      <c r="BH132" s="27" t="n"/>
      <c r="BI132" s="29" t="n"/>
      <c r="BJ132" s="27" t="n"/>
      <c r="BK132" s="27" t="n"/>
      <c r="BL132" s="27" t="n"/>
      <c r="BM132" s="27" t="n"/>
    </row>
    <row r="133">
      <c r="A133" s="27" t="n"/>
      <c r="B133" s="27" t="n"/>
      <c r="C133" s="28">
        <f>IF(A133="","",$B$2)</f>
        <v/>
      </c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  <c r="AA133" s="27" t="n"/>
      <c r="AB133" s="27" t="n"/>
      <c r="AC133" s="27" t="n"/>
      <c r="AD133" s="27" t="n"/>
      <c r="AE133" s="27" t="n"/>
      <c r="AF133" s="27" t="n"/>
      <c r="AG133" s="27" t="n"/>
      <c r="AH133" s="27" t="n"/>
      <c r="AI133" s="27" t="n"/>
      <c r="AJ133" s="27" t="n"/>
      <c r="AK133" s="27" t="n"/>
      <c r="AL133" s="27" t="n"/>
      <c r="AM133" s="27" t="n"/>
      <c r="AN133" s="27" t="n"/>
      <c r="AO133" s="27" t="n"/>
      <c r="AP133" s="27" t="n"/>
      <c r="AQ133" s="27" t="n"/>
      <c r="AR133" s="27" t="n"/>
      <c r="AS133" s="27" t="n"/>
      <c r="AT133" s="27" t="n"/>
      <c r="AU133" s="27" t="n"/>
      <c r="AV133" s="27" t="n"/>
      <c r="AW133" s="27" t="n"/>
      <c r="AX133" s="27" t="n"/>
      <c r="AY133" s="27" t="n"/>
      <c r="AZ133" s="27" t="n"/>
      <c r="BA133" s="27" t="n"/>
      <c r="BB133" s="27" t="n"/>
      <c r="BC133" s="27" t="n"/>
      <c r="BD133" s="27" t="n"/>
      <c r="BE133" s="27" t="n"/>
      <c r="BF133" s="27" t="n"/>
      <c r="BG133" s="27" t="n"/>
      <c r="BH133" s="27" t="n"/>
      <c r="BI133" s="29" t="n"/>
      <c r="BJ133" s="27" t="n"/>
      <c r="BK133" s="27" t="n"/>
      <c r="BL133" s="27" t="n"/>
      <c r="BM133" s="27" t="n"/>
    </row>
    <row r="134">
      <c r="A134" s="27" t="n"/>
      <c r="B134" s="27" t="n"/>
      <c r="C134" s="28">
        <f>IF(A134="","",$B$2)</f>
        <v/>
      </c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  <c r="AA134" s="27" t="n"/>
      <c r="AB134" s="27" t="n"/>
      <c r="AC134" s="27" t="n"/>
      <c r="AD134" s="27" t="n"/>
      <c r="AE134" s="27" t="n"/>
      <c r="AF134" s="27" t="n"/>
      <c r="AG134" s="27" t="n"/>
      <c r="AH134" s="27" t="n"/>
      <c r="AI134" s="27" t="n"/>
      <c r="AJ134" s="27" t="n"/>
      <c r="AK134" s="27" t="n"/>
      <c r="AL134" s="27" t="n"/>
      <c r="AM134" s="27" t="n"/>
      <c r="AN134" s="27" t="n"/>
      <c r="AO134" s="27" t="n"/>
      <c r="AP134" s="27" t="n"/>
      <c r="AQ134" s="27" t="n"/>
      <c r="AR134" s="27" t="n"/>
      <c r="AS134" s="27" t="n"/>
      <c r="AT134" s="27" t="n"/>
      <c r="AU134" s="27" t="n"/>
      <c r="AV134" s="27" t="n"/>
      <c r="AW134" s="27" t="n"/>
      <c r="AX134" s="27" t="n"/>
      <c r="AY134" s="27" t="n"/>
      <c r="AZ134" s="27" t="n"/>
      <c r="BA134" s="27" t="n"/>
      <c r="BB134" s="27" t="n"/>
      <c r="BC134" s="27" t="n"/>
      <c r="BD134" s="27" t="n"/>
      <c r="BE134" s="27" t="n"/>
      <c r="BF134" s="27" t="n"/>
      <c r="BG134" s="27" t="n"/>
      <c r="BH134" s="27" t="n"/>
      <c r="BI134" s="29" t="n"/>
      <c r="BJ134" s="27" t="n"/>
      <c r="BK134" s="27" t="n"/>
      <c r="BL134" s="27" t="n"/>
      <c r="BM134" s="27" t="n"/>
    </row>
    <row r="135">
      <c r="A135" s="27" t="n"/>
      <c r="B135" s="27" t="n"/>
      <c r="C135" s="28">
        <f>IF(A135="","",$B$2)</f>
        <v/>
      </c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  <c r="AA135" s="27" t="n"/>
      <c r="AB135" s="27" t="n"/>
      <c r="AC135" s="27" t="n"/>
      <c r="AD135" s="27" t="n"/>
      <c r="AE135" s="27" t="n"/>
      <c r="AF135" s="27" t="n"/>
      <c r="AG135" s="27" t="n"/>
      <c r="AH135" s="27" t="n"/>
      <c r="AI135" s="27" t="n"/>
      <c r="AJ135" s="27" t="n"/>
      <c r="AK135" s="27" t="n"/>
      <c r="AL135" s="27" t="n"/>
      <c r="AM135" s="27" t="n"/>
      <c r="AN135" s="27" t="n"/>
      <c r="AO135" s="27" t="n"/>
      <c r="AP135" s="27" t="n"/>
      <c r="AQ135" s="27" t="n"/>
      <c r="AR135" s="27" t="n"/>
      <c r="AS135" s="27" t="n"/>
      <c r="AT135" s="27" t="n"/>
      <c r="AU135" s="27" t="n"/>
      <c r="AV135" s="27" t="n"/>
      <c r="AW135" s="27" t="n"/>
      <c r="AX135" s="27" t="n"/>
      <c r="AY135" s="27" t="n"/>
      <c r="AZ135" s="27" t="n"/>
      <c r="BA135" s="27" t="n"/>
      <c r="BB135" s="27" t="n"/>
      <c r="BC135" s="27" t="n"/>
      <c r="BD135" s="27" t="n"/>
      <c r="BE135" s="27" t="n"/>
      <c r="BF135" s="27" t="n"/>
      <c r="BG135" s="27" t="n"/>
      <c r="BH135" s="27" t="n"/>
      <c r="BI135" s="29" t="n"/>
      <c r="BJ135" s="27" t="n"/>
      <c r="BK135" s="27" t="n"/>
      <c r="BL135" s="27" t="n"/>
      <c r="BM135" s="27" t="n"/>
    </row>
    <row r="136">
      <c r="A136" s="27" t="n"/>
      <c r="B136" s="27" t="n"/>
      <c r="C136" s="28">
        <f>IF(A136="","",$B$2)</f>
        <v/>
      </c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  <c r="AA136" s="27" t="n"/>
      <c r="AB136" s="27" t="n"/>
      <c r="AC136" s="27" t="n"/>
      <c r="AD136" s="27" t="n"/>
      <c r="AE136" s="27" t="n"/>
      <c r="AF136" s="27" t="n"/>
      <c r="AG136" s="27" t="n"/>
      <c r="AH136" s="27" t="n"/>
      <c r="AI136" s="27" t="n"/>
      <c r="AJ136" s="27" t="n"/>
      <c r="AK136" s="27" t="n"/>
      <c r="AL136" s="27" t="n"/>
      <c r="AM136" s="27" t="n"/>
      <c r="AN136" s="27" t="n"/>
      <c r="AO136" s="27" t="n"/>
      <c r="AP136" s="27" t="n"/>
      <c r="AQ136" s="27" t="n"/>
      <c r="AR136" s="27" t="n"/>
      <c r="AS136" s="27" t="n"/>
      <c r="AT136" s="27" t="n"/>
      <c r="AU136" s="27" t="n"/>
      <c r="AV136" s="27" t="n"/>
      <c r="AW136" s="27" t="n"/>
      <c r="AX136" s="27" t="n"/>
      <c r="AY136" s="27" t="n"/>
      <c r="AZ136" s="27" t="n"/>
      <c r="BA136" s="27" t="n"/>
      <c r="BB136" s="27" t="n"/>
      <c r="BC136" s="27" t="n"/>
      <c r="BD136" s="27" t="n"/>
      <c r="BE136" s="27" t="n"/>
      <c r="BF136" s="27" t="n"/>
      <c r="BG136" s="27" t="n"/>
      <c r="BH136" s="27" t="n"/>
      <c r="BI136" s="29" t="n"/>
      <c r="BJ136" s="27" t="n"/>
      <c r="BK136" s="27" t="n"/>
      <c r="BL136" s="27" t="n"/>
      <c r="BM136" s="27" t="n"/>
    </row>
    <row r="137">
      <c r="A137" s="27" t="n"/>
      <c r="B137" s="27" t="n"/>
      <c r="C137" s="28">
        <f>IF(A137="","",$B$2)</f>
        <v/>
      </c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  <c r="AA137" s="27" t="n"/>
      <c r="AB137" s="27" t="n"/>
      <c r="AC137" s="27" t="n"/>
      <c r="AD137" s="27" t="n"/>
      <c r="AE137" s="27" t="n"/>
      <c r="AF137" s="27" t="n"/>
      <c r="AG137" s="27" t="n"/>
      <c r="AH137" s="27" t="n"/>
      <c r="AI137" s="27" t="n"/>
      <c r="AJ137" s="27" t="n"/>
      <c r="AK137" s="27" t="n"/>
      <c r="AL137" s="27" t="n"/>
      <c r="AM137" s="27" t="n"/>
      <c r="AN137" s="27" t="n"/>
      <c r="AO137" s="27" t="n"/>
      <c r="AP137" s="27" t="n"/>
      <c r="AQ137" s="27" t="n"/>
      <c r="AR137" s="27" t="n"/>
      <c r="AS137" s="27" t="n"/>
      <c r="AT137" s="27" t="n"/>
      <c r="AU137" s="27" t="n"/>
      <c r="AV137" s="27" t="n"/>
      <c r="AW137" s="27" t="n"/>
      <c r="AX137" s="27" t="n"/>
      <c r="AY137" s="27" t="n"/>
      <c r="AZ137" s="27" t="n"/>
      <c r="BA137" s="27" t="n"/>
      <c r="BB137" s="27" t="n"/>
      <c r="BC137" s="27" t="n"/>
      <c r="BD137" s="27" t="n"/>
      <c r="BE137" s="27" t="n"/>
      <c r="BF137" s="27" t="n"/>
      <c r="BG137" s="27" t="n"/>
      <c r="BH137" s="27" t="n"/>
      <c r="BI137" s="29" t="n"/>
      <c r="BJ137" s="27" t="n"/>
      <c r="BK137" s="27" t="n"/>
      <c r="BL137" s="27" t="n"/>
      <c r="BM137" s="27" t="n"/>
    </row>
    <row r="138">
      <c r="A138" s="27" t="n"/>
      <c r="B138" s="27" t="n"/>
      <c r="C138" s="28">
        <f>IF(A138="","",$B$2)</f>
        <v/>
      </c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  <c r="AA138" s="27" t="n"/>
      <c r="AB138" s="27" t="n"/>
      <c r="AC138" s="27" t="n"/>
      <c r="AD138" s="27" t="n"/>
      <c r="AE138" s="27" t="n"/>
      <c r="AF138" s="27" t="n"/>
      <c r="AG138" s="27" t="n"/>
      <c r="AH138" s="27" t="n"/>
      <c r="AI138" s="27" t="n"/>
      <c r="AJ138" s="27" t="n"/>
      <c r="AK138" s="27" t="n"/>
      <c r="AL138" s="27" t="n"/>
      <c r="AM138" s="27" t="n"/>
      <c r="AN138" s="27" t="n"/>
      <c r="AO138" s="27" t="n"/>
      <c r="AP138" s="27" t="n"/>
      <c r="AQ138" s="27" t="n"/>
      <c r="AR138" s="27" t="n"/>
      <c r="AS138" s="27" t="n"/>
      <c r="AT138" s="27" t="n"/>
      <c r="AU138" s="27" t="n"/>
      <c r="AV138" s="27" t="n"/>
      <c r="AW138" s="27" t="n"/>
      <c r="AX138" s="27" t="n"/>
      <c r="AY138" s="27" t="n"/>
      <c r="AZ138" s="27" t="n"/>
      <c r="BA138" s="27" t="n"/>
      <c r="BB138" s="27" t="n"/>
      <c r="BC138" s="27" t="n"/>
      <c r="BD138" s="27" t="n"/>
      <c r="BE138" s="27" t="n"/>
      <c r="BF138" s="27" t="n"/>
      <c r="BG138" s="27" t="n"/>
      <c r="BH138" s="27" t="n"/>
      <c r="BI138" s="29" t="n"/>
      <c r="BJ138" s="27" t="n"/>
      <c r="BK138" s="27" t="n"/>
      <c r="BL138" s="27" t="n"/>
      <c r="BM138" s="27" t="n"/>
    </row>
    <row r="139">
      <c r="A139" s="27" t="n"/>
      <c r="B139" s="27" t="n"/>
      <c r="C139" s="28">
        <f>IF(A139="","",$B$2)</f>
        <v/>
      </c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  <c r="AA139" s="27" t="n"/>
      <c r="AB139" s="27" t="n"/>
      <c r="AC139" s="27" t="n"/>
      <c r="AD139" s="27" t="n"/>
      <c r="AE139" s="27" t="n"/>
      <c r="AF139" s="27" t="n"/>
      <c r="AG139" s="27" t="n"/>
      <c r="AH139" s="27" t="n"/>
      <c r="AI139" s="27" t="n"/>
      <c r="AJ139" s="27" t="n"/>
      <c r="AK139" s="27" t="n"/>
      <c r="AL139" s="27" t="n"/>
      <c r="AM139" s="27" t="n"/>
      <c r="AN139" s="27" t="n"/>
      <c r="AO139" s="27" t="n"/>
      <c r="AP139" s="27" t="n"/>
      <c r="AQ139" s="27" t="n"/>
      <c r="AR139" s="27" t="n"/>
      <c r="AS139" s="27" t="n"/>
      <c r="AT139" s="27" t="n"/>
      <c r="AU139" s="27" t="n"/>
      <c r="AV139" s="27" t="n"/>
      <c r="AW139" s="27" t="n"/>
      <c r="AX139" s="27" t="n"/>
      <c r="AY139" s="27" t="n"/>
      <c r="AZ139" s="27" t="n"/>
      <c r="BA139" s="27" t="n"/>
      <c r="BB139" s="27" t="n"/>
      <c r="BC139" s="27" t="n"/>
      <c r="BD139" s="27" t="n"/>
      <c r="BE139" s="27" t="n"/>
      <c r="BF139" s="27" t="n"/>
      <c r="BG139" s="27" t="n"/>
      <c r="BH139" s="27" t="n"/>
      <c r="BI139" s="29" t="n"/>
      <c r="BJ139" s="27" t="n"/>
      <c r="BK139" s="27" t="n"/>
      <c r="BL139" s="27" t="n"/>
      <c r="BM139" s="27" t="n"/>
    </row>
    <row r="140">
      <c r="A140" s="27" t="n"/>
      <c r="B140" s="27" t="n"/>
      <c r="C140" s="28">
        <f>IF(A140="","",$B$2)</f>
        <v/>
      </c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  <c r="AA140" s="27" t="n"/>
      <c r="AB140" s="27" t="n"/>
      <c r="AC140" s="27" t="n"/>
      <c r="AD140" s="27" t="n"/>
      <c r="AE140" s="27" t="n"/>
      <c r="AF140" s="27" t="n"/>
      <c r="AG140" s="27" t="n"/>
      <c r="AH140" s="27" t="n"/>
      <c r="AI140" s="27" t="n"/>
      <c r="AJ140" s="27" t="n"/>
      <c r="AK140" s="27" t="n"/>
      <c r="AL140" s="27" t="n"/>
      <c r="AM140" s="27" t="n"/>
      <c r="AN140" s="27" t="n"/>
      <c r="AO140" s="27" t="n"/>
      <c r="AP140" s="27" t="n"/>
      <c r="AQ140" s="27" t="n"/>
      <c r="AR140" s="27" t="n"/>
      <c r="AS140" s="27" t="n"/>
      <c r="AT140" s="27" t="n"/>
      <c r="AU140" s="27" t="n"/>
      <c r="AV140" s="27" t="n"/>
      <c r="AW140" s="27" t="n"/>
      <c r="AX140" s="27" t="n"/>
      <c r="AY140" s="27" t="n"/>
      <c r="AZ140" s="27" t="n"/>
      <c r="BA140" s="27" t="n"/>
      <c r="BB140" s="27" t="n"/>
      <c r="BC140" s="27" t="n"/>
      <c r="BD140" s="27" t="n"/>
      <c r="BE140" s="27" t="n"/>
      <c r="BF140" s="27" t="n"/>
      <c r="BG140" s="27" t="n"/>
      <c r="BH140" s="27" t="n"/>
      <c r="BI140" s="29" t="n"/>
      <c r="BJ140" s="27" t="n"/>
      <c r="BK140" s="27" t="n"/>
      <c r="BL140" s="27" t="n"/>
      <c r="BM140" s="27" t="n"/>
    </row>
    <row r="141">
      <c r="A141" s="27" t="n"/>
      <c r="B141" s="27" t="n"/>
      <c r="C141" s="28">
        <f>IF(A141="","",$B$2)</f>
        <v/>
      </c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  <c r="AA141" s="27" t="n"/>
      <c r="AB141" s="27" t="n"/>
      <c r="AC141" s="27" t="n"/>
      <c r="AD141" s="27" t="n"/>
      <c r="AE141" s="27" t="n"/>
      <c r="AF141" s="27" t="n"/>
      <c r="AG141" s="27" t="n"/>
      <c r="AH141" s="27" t="n"/>
      <c r="AI141" s="27" t="n"/>
      <c r="AJ141" s="27" t="n"/>
      <c r="AK141" s="27" t="n"/>
      <c r="AL141" s="27" t="n"/>
      <c r="AM141" s="27" t="n"/>
      <c r="AN141" s="27" t="n"/>
      <c r="AO141" s="27" t="n"/>
      <c r="AP141" s="27" t="n"/>
      <c r="AQ141" s="27" t="n"/>
      <c r="AR141" s="27" t="n"/>
      <c r="AS141" s="27" t="n"/>
      <c r="AT141" s="27" t="n"/>
      <c r="AU141" s="27" t="n"/>
      <c r="AV141" s="27" t="n"/>
      <c r="AW141" s="27" t="n"/>
      <c r="AX141" s="27" t="n"/>
      <c r="AY141" s="27" t="n"/>
      <c r="AZ141" s="27" t="n"/>
      <c r="BA141" s="27" t="n"/>
      <c r="BB141" s="27" t="n"/>
      <c r="BC141" s="27" t="n"/>
      <c r="BD141" s="27" t="n"/>
      <c r="BE141" s="27" t="n"/>
      <c r="BF141" s="27" t="n"/>
      <c r="BG141" s="27" t="n"/>
      <c r="BH141" s="27" t="n"/>
      <c r="BI141" s="29" t="n"/>
      <c r="BJ141" s="27" t="n"/>
      <c r="BK141" s="27" t="n"/>
      <c r="BL141" s="27" t="n"/>
      <c r="BM141" s="27" t="n"/>
    </row>
    <row r="142">
      <c r="A142" s="27" t="n"/>
      <c r="B142" s="27" t="n"/>
      <c r="C142" s="28">
        <f>IF(A142="","",$B$2)</f>
        <v/>
      </c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  <c r="AA142" s="27" t="n"/>
      <c r="AB142" s="27" t="n"/>
      <c r="AC142" s="27" t="n"/>
      <c r="AD142" s="27" t="n"/>
      <c r="AE142" s="27" t="n"/>
      <c r="AF142" s="27" t="n"/>
      <c r="AG142" s="27" t="n"/>
      <c r="AH142" s="27" t="n"/>
      <c r="AI142" s="27" t="n"/>
      <c r="AJ142" s="27" t="n"/>
      <c r="AK142" s="27" t="n"/>
      <c r="AL142" s="27" t="n"/>
      <c r="AM142" s="27" t="n"/>
      <c r="AN142" s="27" t="n"/>
      <c r="AO142" s="27" t="n"/>
      <c r="AP142" s="27" t="n"/>
      <c r="AQ142" s="27" t="n"/>
      <c r="AR142" s="27" t="n"/>
      <c r="AS142" s="27" t="n"/>
      <c r="AT142" s="27" t="n"/>
      <c r="AU142" s="27" t="n"/>
      <c r="AV142" s="27" t="n"/>
      <c r="AW142" s="27" t="n"/>
      <c r="AX142" s="27" t="n"/>
      <c r="AY142" s="27" t="n"/>
      <c r="AZ142" s="27" t="n"/>
      <c r="BA142" s="27" t="n"/>
      <c r="BB142" s="27" t="n"/>
      <c r="BC142" s="27" t="n"/>
      <c r="BD142" s="27" t="n"/>
      <c r="BE142" s="27" t="n"/>
      <c r="BF142" s="27" t="n"/>
      <c r="BG142" s="27" t="n"/>
      <c r="BH142" s="27" t="n"/>
      <c r="BI142" s="29" t="n"/>
      <c r="BJ142" s="27" t="n"/>
      <c r="BK142" s="27" t="n"/>
      <c r="BL142" s="27" t="n"/>
      <c r="BM142" s="27" t="n"/>
    </row>
    <row r="143">
      <c r="A143" s="27" t="n"/>
      <c r="B143" s="27" t="n"/>
      <c r="C143" s="28">
        <f>IF(A143="","",$B$2)</f>
        <v/>
      </c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  <c r="AA143" s="27" t="n"/>
      <c r="AB143" s="27" t="n"/>
      <c r="AC143" s="27" t="n"/>
      <c r="AD143" s="27" t="n"/>
      <c r="AE143" s="27" t="n"/>
      <c r="AF143" s="27" t="n"/>
      <c r="AG143" s="27" t="n"/>
      <c r="AH143" s="27" t="n"/>
      <c r="AI143" s="27" t="n"/>
      <c r="AJ143" s="27" t="n"/>
      <c r="AK143" s="27" t="n"/>
      <c r="AL143" s="27" t="n"/>
      <c r="AM143" s="27" t="n"/>
      <c r="AN143" s="27" t="n"/>
      <c r="AO143" s="27" t="n"/>
      <c r="AP143" s="27" t="n"/>
      <c r="AQ143" s="27" t="n"/>
      <c r="AR143" s="27" t="n"/>
      <c r="AS143" s="27" t="n"/>
      <c r="AT143" s="27" t="n"/>
      <c r="AU143" s="27" t="n"/>
      <c r="AV143" s="27" t="n"/>
      <c r="AW143" s="27" t="n"/>
      <c r="AX143" s="27" t="n"/>
      <c r="AY143" s="27" t="n"/>
      <c r="AZ143" s="27" t="n"/>
      <c r="BA143" s="27" t="n"/>
      <c r="BB143" s="27" t="n"/>
      <c r="BC143" s="27" t="n"/>
      <c r="BD143" s="27" t="n"/>
      <c r="BE143" s="27" t="n"/>
      <c r="BF143" s="27" t="n"/>
      <c r="BG143" s="27" t="n"/>
      <c r="BH143" s="27" t="n"/>
      <c r="BI143" s="29" t="n"/>
      <c r="BJ143" s="27" t="n"/>
      <c r="BK143" s="27" t="n"/>
      <c r="BL143" s="27" t="n"/>
      <c r="BM143" s="27" t="n"/>
    </row>
    <row r="144">
      <c r="A144" s="27" t="n"/>
      <c r="B144" s="27" t="n"/>
      <c r="C144" s="28">
        <f>IF(A144="","",$B$2)</f>
        <v/>
      </c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  <c r="AA144" s="27" t="n"/>
      <c r="AB144" s="27" t="n"/>
      <c r="AC144" s="27" t="n"/>
      <c r="AD144" s="27" t="n"/>
      <c r="AE144" s="27" t="n"/>
      <c r="AF144" s="27" t="n"/>
      <c r="AG144" s="27" t="n"/>
      <c r="AH144" s="27" t="n"/>
      <c r="AI144" s="27" t="n"/>
      <c r="AJ144" s="27" t="n"/>
      <c r="AK144" s="27" t="n"/>
      <c r="AL144" s="27" t="n"/>
      <c r="AM144" s="27" t="n"/>
      <c r="AN144" s="27" t="n"/>
      <c r="AO144" s="27" t="n"/>
      <c r="AP144" s="27" t="n"/>
      <c r="AQ144" s="27" t="n"/>
      <c r="AR144" s="27" t="n"/>
      <c r="AS144" s="27" t="n"/>
      <c r="AT144" s="27" t="n"/>
      <c r="AU144" s="27" t="n"/>
      <c r="AV144" s="27" t="n"/>
      <c r="AW144" s="27" t="n"/>
      <c r="AX144" s="27" t="n"/>
      <c r="AY144" s="27" t="n"/>
      <c r="AZ144" s="27" t="n"/>
      <c r="BA144" s="27" t="n"/>
      <c r="BB144" s="27" t="n"/>
      <c r="BC144" s="27" t="n"/>
      <c r="BD144" s="27" t="n"/>
      <c r="BE144" s="27" t="n"/>
      <c r="BF144" s="27" t="n"/>
      <c r="BG144" s="27" t="n"/>
      <c r="BH144" s="27" t="n"/>
      <c r="BI144" s="29" t="n"/>
      <c r="BJ144" s="27" t="n"/>
      <c r="BK144" s="27" t="n"/>
      <c r="BL144" s="27" t="n"/>
      <c r="BM144" s="27" t="n"/>
    </row>
    <row r="145">
      <c r="A145" s="27" t="n"/>
      <c r="B145" s="27" t="n"/>
      <c r="C145" s="28">
        <f>IF(A145="","",$B$2)</f>
        <v/>
      </c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  <c r="AA145" s="27" t="n"/>
      <c r="AB145" s="27" t="n"/>
      <c r="AC145" s="27" t="n"/>
      <c r="AD145" s="27" t="n"/>
      <c r="AE145" s="27" t="n"/>
      <c r="AF145" s="27" t="n"/>
      <c r="AG145" s="27" t="n"/>
      <c r="AH145" s="27" t="n"/>
      <c r="AI145" s="27" t="n"/>
      <c r="AJ145" s="27" t="n"/>
      <c r="AK145" s="27" t="n"/>
      <c r="AL145" s="27" t="n"/>
      <c r="AM145" s="27" t="n"/>
      <c r="AN145" s="27" t="n"/>
      <c r="AO145" s="27" t="n"/>
      <c r="AP145" s="27" t="n"/>
      <c r="AQ145" s="27" t="n"/>
      <c r="AR145" s="27" t="n"/>
      <c r="AS145" s="27" t="n"/>
      <c r="AT145" s="27" t="n"/>
      <c r="AU145" s="27" t="n"/>
      <c r="AV145" s="27" t="n"/>
      <c r="AW145" s="27" t="n"/>
      <c r="AX145" s="27" t="n"/>
      <c r="AY145" s="27" t="n"/>
      <c r="AZ145" s="27" t="n"/>
      <c r="BA145" s="27" t="n"/>
      <c r="BB145" s="27" t="n"/>
      <c r="BC145" s="27" t="n"/>
      <c r="BD145" s="27" t="n"/>
      <c r="BE145" s="27" t="n"/>
      <c r="BF145" s="27" t="n"/>
      <c r="BG145" s="27" t="n"/>
      <c r="BH145" s="27" t="n"/>
      <c r="BI145" s="29" t="n"/>
      <c r="BJ145" s="27" t="n"/>
      <c r="BK145" s="27" t="n"/>
      <c r="BL145" s="27" t="n"/>
      <c r="BM145" s="27" t="n"/>
    </row>
    <row r="146">
      <c r="A146" s="27" t="n"/>
      <c r="B146" s="27" t="n"/>
      <c r="C146" s="28">
        <f>IF(A146="","",$B$2)</f>
        <v/>
      </c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  <c r="AA146" s="27" t="n"/>
      <c r="AB146" s="27" t="n"/>
      <c r="AC146" s="27" t="n"/>
      <c r="AD146" s="27" t="n"/>
      <c r="AE146" s="27" t="n"/>
      <c r="AF146" s="27" t="n"/>
      <c r="AG146" s="27" t="n"/>
      <c r="AH146" s="27" t="n"/>
      <c r="AI146" s="27" t="n"/>
      <c r="AJ146" s="27" t="n"/>
      <c r="AK146" s="27" t="n"/>
      <c r="AL146" s="27" t="n"/>
      <c r="AM146" s="27" t="n"/>
      <c r="AN146" s="27" t="n"/>
      <c r="AO146" s="27" t="n"/>
      <c r="AP146" s="27" t="n"/>
      <c r="AQ146" s="27" t="n"/>
      <c r="AR146" s="27" t="n"/>
      <c r="AS146" s="27" t="n"/>
      <c r="AT146" s="27" t="n"/>
      <c r="AU146" s="27" t="n"/>
      <c r="AV146" s="27" t="n"/>
      <c r="AW146" s="27" t="n"/>
      <c r="AX146" s="27" t="n"/>
      <c r="AY146" s="27" t="n"/>
      <c r="AZ146" s="27" t="n"/>
      <c r="BA146" s="27" t="n"/>
      <c r="BB146" s="27" t="n"/>
      <c r="BC146" s="27" t="n"/>
      <c r="BD146" s="27" t="n"/>
      <c r="BE146" s="27" t="n"/>
      <c r="BF146" s="27" t="n"/>
      <c r="BG146" s="27" t="n"/>
      <c r="BH146" s="27" t="n"/>
      <c r="BI146" s="29" t="n"/>
      <c r="BJ146" s="27" t="n"/>
      <c r="BK146" s="27" t="n"/>
      <c r="BL146" s="27" t="n"/>
      <c r="BM146" s="27" t="n"/>
    </row>
    <row r="147">
      <c r="A147" s="27" t="n"/>
      <c r="B147" s="27" t="n"/>
      <c r="C147" s="28">
        <f>IF(A147="","",$B$2)</f>
        <v/>
      </c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  <c r="AA147" s="27" t="n"/>
      <c r="AB147" s="27" t="n"/>
      <c r="AC147" s="27" t="n"/>
      <c r="AD147" s="27" t="n"/>
      <c r="AE147" s="27" t="n"/>
      <c r="AF147" s="27" t="n"/>
      <c r="AG147" s="27" t="n"/>
      <c r="AH147" s="27" t="n"/>
      <c r="AI147" s="27" t="n"/>
      <c r="AJ147" s="27" t="n"/>
      <c r="AK147" s="27" t="n"/>
      <c r="AL147" s="27" t="n"/>
      <c r="AM147" s="27" t="n"/>
      <c r="AN147" s="27" t="n"/>
      <c r="AO147" s="27" t="n"/>
      <c r="AP147" s="27" t="n"/>
      <c r="AQ147" s="27" t="n"/>
      <c r="AR147" s="27" t="n"/>
      <c r="AS147" s="27" t="n"/>
      <c r="AT147" s="27" t="n"/>
      <c r="AU147" s="27" t="n"/>
      <c r="AV147" s="27" t="n"/>
      <c r="AW147" s="27" t="n"/>
      <c r="AX147" s="27" t="n"/>
      <c r="AY147" s="27" t="n"/>
      <c r="AZ147" s="27" t="n"/>
      <c r="BA147" s="27" t="n"/>
      <c r="BB147" s="27" t="n"/>
      <c r="BC147" s="27" t="n"/>
      <c r="BD147" s="27" t="n"/>
      <c r="BE147" s="27" t="n"/>
      <c r="BF147" s="27" t="n"/>
      <c r="BG147" s="27" t="n"/>
      <c r="BH147" s="27" t="n"/>
      <c r="BI147" s="29" t="n"/>
      <c r="BJ147" s="27" t="n"/>
      <c r="BK147" s="27" t="n"/>
      <c r="BL147" s="27" t="n"/>
      <c r="BM147" s="27" t="n"/>
    </row>
    <row r="148">
      <c r="A148" s="27" t="n"/>
      <c r="B148" s="27" t="n"/>
      <c r="C148" s="28">
        <f>IF(A148="","",$B$2)</f>
        <v/>
      </c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  <c r="AA148" s="27" t="n"/>
      <c r="AB148" s="27" t="n"/>
      <c r="AC148" s="27" t="n"/>
      <c r="AD148" s="27" t="n"/>
      <c r="AE148" s="27" t="n"/>
      <c r="AF148" s="27" t="n"/>
      <c r="AG148" s="27" t="n"/>
      <c r="AH148" s="27" t="n"/>
      <c r="AI148" s="27" t="n"/>
      <c r="AJ148" s="27" t="n"/>
      <c r="AK148" s="27" t="n"/>
      <c r="AL148" s="27" t="n"/>
      <c r="AM148" s="27" t="n"/>
      <c r="AN148" s="27" t="n"/>
      <c r="AO148" s="27" t="n"/>
      <c r="AP148" s="27" t="n"/>
      <c r="AQ148" s="27" t="n"/>
      <c r="AR148" s="27" t="n"/>
      <c r="AS148" s="27" t="n"/>
      <c r="AT148" s="27" t="n"/>
      <c r="AU148" s="27" t="n"/>
      <c r="AV148" s="27" t="n"/>
      <c r="AW148" s="27" t="n"/>
      <c r="AX148" s="27" t="n"/>
      <c r="AY148" s="27" t="n"/>
      <c r="AZ148" s="27" t="n"/>
      <c r="BA148" s="27" t="n"/>
      <c r="BB148" s="27" t="n"/>
      <c r="BC148" s="27" t="n"/>
      <c r="BD148" s="27" t="n"/>
      <c r="BE148" s="27" t="n"/>
      <c r="BF148" s="27" t="n"/>
      <c r="BG148" s="27" t="n"/>
      <c r="BH148" s="27" t="n"/>
      <c r="BI148" s="29" t="n"/>
      <c r="BJ148" s="27" t="n"/>
      <c r="BK148" s="27" t="n"/>
      <c r="BL148" s="27" t="n"/>
      <c r="BM148" s="27" t="n"/>
    </row>
    <row r="149">
      <c r="A149" s="27" t="n"/>
      <c r="B149" s="27" t="n"/>
      <c r="C149" s="28">
        <f>IF(A149="","",$B$2)</f>
        <v/>
      </c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  <c r="AA149" s="27" t="n"/>
      <c r="AB149" s="27" t="n"/>
      <c r="AC149" s="27" t="n"/>
      <c r="AD149" s="27" t="n"/>
      <c r="AE149" s="27" t="n"/>
      <c r="AF149" s="27" t="n"/>
      <c r="AG149" s="27" t="n"/>
      <c r="AH149" s="27" t="n"/>
      <c r="AI149" s="27" t="n"/>
      <c r="AJ149" s="27" t="n"/>
      <c r="AK149" s="27" t="n"/>
      <c r="AL149" s="27" t="n"/>
      <c r="AM149" s="27" t="n"/>
      <c r="AN149" s="27" t="n"/>
      <c r="AO149" s="27" t="n"/>
      <c r="AP149" s="27" t="n"/>
      <c r="AQ149" s="27" t="n"/>
      <c r="AR149" s="27" t="n"/>
      <c r="AS149" s="27" t="n"/>
      <c r="AT149" s="27" t="n"/>
      <c r="AU149" s="27" t="n"/>
      <c r="AV149" s="27" t="n"/>
      <c r="AW149" s="27" t="n"/>
      <c r="AX149" s="27" t="n"/>
      <c r="AY149" s="27" t="n"/>
      <c r="AZ149" s="27" t="n"/>
      <c r="BA149" s="27" t="n"/>
      <c r="BB149" s="27" t="n"/>
      <c r="BC149" s="27" t="n"/>
      <c r="BD149" s="27" t="n"/>
      <c r="BE149" s="27" t="n"/>
      <c r="BF149" s="27" t="n"/>
      <c r="BG149" s="27" t="n"/>
      <c r="BH149" s="27" t="n"/>
      <c r="BI149" s="29" t="n"/>
      <c r="BJ149" s="27" t="n"/>
      <c r="BK149" s="27" t="n"/>
      <c r="BL149" s="27" t="n"/>
      <c r="BM149" s="27" t="n"/>
    </row>
    <row r="150">
      <c r="A150" s="27" t="n"/>
      <c r="B150" s="27" t="n"/>
      <c r="C150" s="28">
        <f>IF(A150="","",$B$2)</f>
        <v/>
      </c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  <c r="AA150" s="27" t="n"/>
      <c r="AB150" s="27" t="n"/>
      <c r="AC150" s="27" t="n"/>
      <c r="AD150" s="27" t="n"/>
      <c r="AE150" s="27" t="n"/>
      <c r="AF150" s="27" t="n"/>
      <c r="AG150" s="27" t="n"/>
      <c r="AH150" s="27" t="n"/>
      <c r="AI150" s="27" t="n"/>
      <c r="AJ150" s="27" t="n"/>
      <c r="AK150" s="27" t="n"/>
      <c r="AL150" s="27" t="n"/>
      <c r="AM150" s="27" t="n"/>
      <c r="AN150" s="27" t="n"/>
      <c r="AO150" s="27" t="n"/>
      <c r="AP150" s="27" t="n"/>
      <c r="AQ150" s="27" t="n"/>
      <c r="AR150" s="27" t="n"/>
      <c r="AS150" s="27" t="n"/>
      <c r="AT150" s="27" t="n"/>
      <c r="AU150" s="27" t="n"/>
      <c r="AV150" s="27" t="n"/>
      <c r="AW150" s="27" t="n"/>
      <c r="AX150" s="27" t="n"/>
      <c r="AY150" s="27" t="n"/>
      <c r="AZ150" s="27" t="n"/>
      <c r="BA150" s="27" t="n"/>
      <c r="BB150" s="27" t="n"/>
      <c r="BC150" s="27" t="n"/>
      <c r="BD150" s="27" t="n"/>
      <c r="BE150" s="27" t="n"/>
      <c r="BF150" s="27" t="n"/>
      <c r="BG150" s="27" t="n"/>
      <c r="BH150" s="27" t="n"/>
      <c r="BI150" s="29" t="n"/>
      <c r="BJ150" s="27" t="n"/>
      <c r="BK150" s="27" t="n"/>
      <c r="BL150" s="27" t="n"/>
      <c r="BM150" s="27" t="n"/>
    </row>
    <row r="151">
      <c r="A151" s="27" t="n"/>
      <c r="B151" s="27" t="n"/>
      <c r="C151" s="28">
        <f>IF(A151="","",$B$2)</f>
        <v/>
      </c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  <c r="AA151" s="27" t="n"/>
      <c r="AB151" s="27" t="n"/>
      <c r="AC151" s="27" t="n"/>
      <c r="AD151" s="27" t="n"/>
      <c r="AE151" s="27" t="n"/>
      <c r="AF151" s="27" t="n"/>
      <c r="AG151" s="27" t="n"/>
      <c r="AH151" s="27" t="n"/>
      <c r="AI151" s="27" t="n"/>
      <c r="AJ151" s="27" t="n"/>
      <c r="AK151" s="27" t="n"/>
      <c r="AL151" s="27" t="n"/>
      <c r="AM151" s="27" t="n"/>
      <c r="AN151" s="27" t="n"/>
      <c r="AO151" s="27" t="n"/>
      <c r="AP151" s="27" t="n"/>
      <c r="AQ151" s="27" t="n"/>
      <c r="AR151" s="27" t="n"/>
      <c r="AS151" s="27" t="n"/>
      <c r="AT151" s="27" t="n"/>
      <c r="AU151" s="27" t="n"/>
      <c r="AV151" s="27" t="n"/>
      <c r="AW151" s="27" t="n"/>
      <c r="AX151" s="27" t="n"/>
      <c r="AY151" s="27" t="n"/>
      <c r="AZ151" s="27" t="n"/>
      <c r="BA151" s="27" t="n"/>
      <c r="BB151" s="27" t="n"/>
      <c r="BC151" s="27" t="n"/>
      <c r="BD151" s="27" t="n"/>
      <c r="BE151" s="27" t="n"/>
      <c r="BF151" s="27" t="n"/>
      <c r="BG151" s="27" t="n"/>
      <c r="BH151" s="27" t="n"/>
      <c r="BI151" s="29" t="n"/>
      <c r="BJ151" s="27" t="n"/>
      <c r="BK151" s="27" t="n"/>
      <c r="BL151" s="27" t="n"/>
      <c r="BM151" s="27" t="n"/>
    </row>
    <row r="152">
      <c r="A152" s="27" t="n"/>
      <c r="B152" s="27" t="n"/>
      <c r="C152" s="28">
        <f>IF(A152="","",$B$2)</f>
        <v/>
      </c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  <c r="AA152" s="27" t="n"/>
      <c r="AB152" s="27" t="n"/>
      <c r="AC152" s="27" t="n"/>
      <c r="AD152" s="27" t="n"/>
      <c r="AE152" s="27" t="n"/>
      <c r="AF152" s="27" t="n"/>
      <c r="AG152" s="27" t="n"/>
      <c r="AH152" s="27" t="n"/>
      <c r="AI152" s="27" t="n"/>
      <c r="AJ152" s="27" t="n"/>
      <c r="AK152" s="27" t="n"/>
      <c r="AL152" s="27" t="n"/>
      <c r="AM152" s="27" t="n"/>
      <c r="AN152" s="27" t="n"/>
      <c r="AO152" s="27" t="n"/>
      <c r="AP152" s="27" t="n"/>
      <c r="AQ152" s="27" t="n"/>
      <c r="AR152" s="27" t="n"/>
      <c r="AS152" s="27" t="n"/>
      <c r="AT152" s="27" t="n"/>
      <c r="AU152" s="27" t="n"/>
      <c r="AV152" s="27" t="n"/>
      <c r="AW152" s="27" t="n"/>
      <c r="AX152" s="27" t="n"/>
      <c r="AY152" s="27" t="n"/>
      <c r="AZ152" s="27" t="n"/>
      <c r="BA152" s="27" t="n"/>
      <c r="BB152" s="27" t="n"/>
      <c r="BC152" s="27" t="n"/>
      <c r="BD152" s="27" t="n"/>
      <c r="BE152" s="27" t="n"/>
      <c r="BF152" s="27" t="n"/>
      <c r="BG152" s="27" t="n"/>
      <c r="BH152" s="27" t="n"/>
      <c r="BI152" s="29" t="n"/>
      <c r="BJ152" s="27" t="n"/>
      <c r="BK152" s="27" t="n"/>
      <c r="BL152" s="27" t="n"/>
      <c r="BM152" s="27" t="n"/>
    </row>
    <row r="153">
      <c r="A153" s="27" t="n"/>
      <c r="B153" s="27" t="n"/>
      <c r="C153" s="28">
        <f>IF(A153="","",$B$2)</f>
        <v/>
      </c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  <c r="AA153" s="27" t="n"/>
      <c r="AB153" s="27" t="n"/>
      <c r="AC153" s="27" t="n"/>
      <c r="AD153" s="27" t="n"/>
      <c r="AE153" s="27" t="n"/>
      <c r="AF153" s="27" t="n"/>
      <c r="AG153" s="27" t="n"/>
      <c r="AH153" s="27" t="n"/>
      <c r="AI153" s="27" t="n"/>
      <c r="AJ153" s="27" t="n"/>
      <c r="AK153" s="27" t="n"/>
      <c r="AL153" s="27" t="n"/>
      <c r="AM153" s="27" t="n"/>
      <c r="AN153" s="27" t="n"/>
      <c r="AO153" s="27" t="n"/>
      <c r="AP153" s="27" t="n"/>
      <c r="AQ153" s="27" t="n"/>
      <c r="AR153" s="27" t="n"/>
      <c r="AS153" s="27" t="n"/>
      <c r="AT153" s="27" t="n"/>
      <c r="AU153" s="27" t="n"/>
      <c r="AV153" s="27" t="n"/>
      <c r="AW153" s="27" t="n"/>
      <c r="AX153" s="27" t="n"/>
      <c r="AY153" s="27" t="n"/>
      <c r="AZ153" s="27" t="n"/>
      <c r="BA153" s="27" t="n"/>
      <c r="BB153" s="27" t="n"/>
      <c r="BC153" s="27" t="n"/>
      <c r="BD153" s="27" t="n"/>
      <c r="BE153" s="27" t="n"/>
      <c r="BF153" s="27" t="n"/>
      <c r="BG153" s="27" t="n"/>
      <c r="BH153" s="27" t="n"/>
      <c r="BI153" s="29" t="n"/>
      <c r="BJ153" s="27" t="n"/>
      <c r="BK153" s="27" t="n"/>
      <c r="BL153" s="27" t="n"/>
      <c r="BM153" s="27" t="n"/>
    </row>
    <row r="154">
      <c r="A154" s="27" t="n"/>
      <c r="B154" s="27" t="n"/>
      <c r="C154" s="28">
        <f>IF(A154="","",$B$2)</f>
        <v/>
      </c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  <c r="AA154" s="27" t="n"/>
      <c r="AB154" s="27" t="n"/>
      <c r="AC154" s="27" t="n"/>
      <c r="AD154" s="27" t="n"/>
      <c r="AE154" s="27" t="n"/>
      <c r="AF154" s="27" t="n"/>
      <c r="AG154" s="27" t="n"/>
      <c r="AH154" s="27" t="n"/>
      <c r="AI154" s="27" t="n"/>
      <c r="AJ154" s="27" t="n"/>
      <c r="AK154" s="27" t="n"/>
      <c r="AL154" s="27" t="n"/>
      <c r="AM154" s="27" t="n"/>
      <c r="AN154" s="27" t="n"/>
      <c r="AO154" s="27" t="n"/>
      <c r="AP154" s="27" t="n"/>
      <c r="AQ154" s="27" t="n"/>
      <c r="AR154" s="27" t="n"/>
      <c r="AS154" s="27" t="n"/>
      <c r="AT154" s="27" t="n"/>
      <c r="AU154" s="27" t="n"/>
      <c r="AV154" s="27" t="n"/>
      <c r="AW154" s="27" t="n"/>
      <c r="AX154" s="27" t="n"/>
      <c r="AY154" s="27" t="n"/>
      <c r="AZ154" s="27" t="n"/>
      <c r="BA154" s="27" t="n"/>
      <c r="BB154" s="27" t="n"/>
      <c r="BC154" s="27" t="n"/>
      <c r="BD154" s="27" t="n"/>
      <c r="BE154" s="27" t="n"/>
      <c r="BF154" s="27" t="n"/>
      <c r="BG154" s="27" t="n"/>
      <c r="BH154" s="27" t="n"/>
      <c r="BI154" s="29" t="n"/>
      <c r="BJ154" s="27" t="n"/>
      <c r="BK154" s="27" t="n"/>
      <c r="BL154" s="27" t="n"/>
      <c r="BM154" s="27" t="n"/>
    </row>
    <row r="155">
      <c r="A155" s="27" t="n"/>
      <c r="B155" s="27" t="n"/>
      <c r="C155" s="28">
        <f>IF(A155="","",$B$2)</f>
        <v/>
      </c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  <c r="AA155" s="27" t="n"/>
      <c r="AB155" s="27" t="n"/>
      <c r="AC155" s="27" t="n"/>
      <c r="AD155" s="27" t="n"/>
      <c r="AE155" s="27" t="n"/>
      <c r="AF155" s="27" t="n"/>
      <c r="AG155" s="27" t="n"/>
      <c r="AH155" s="27" t="n"/>
      <c r="AI155" s="27" t="n"/>
      <c r="AJ155" s="27" t="n"/>
      <c r="AK155" s="27" t="n"/>
      <c r="AL155" s="27" t="n"/>
      <c r="AM155" s="27" t="n"/>
      <c r="AN155" s="27" t="n"/>
      <c r="AO155" s="27" t="n"/>
      <c r="AP155" s="27" t="n"/>
      <c r="AQ155" s="27" t="n"/>
      <c r="AR155" s="27" t="n"/>
      <c r="AS155" s="27" t="n"/>
      <c r="AT155" s="27" t="n"/>
      <c r="AU155" s="27" t="n"/>
      <c r="AV155" s="27" t="n"/>
      <c r="AW155" s="27" t="n"/>
      <c r="AX155" s="27" t="n"/>
      <c r="AY155" s="27" t="n"/>
      <c r="AZ155" s="27" t="n"/>
      <c r="BA155" s="27" t="n"/>
      <c r="BB155" s="27" t="n"/>
      <c r="BC155" s="27" t="n"/>
      <c r="BD155" s="27" t="n"/>
      <c r="BE155" s="27" t="n"/>
      <c r="BF155" s="27" t="n"/>
      <c r="BG155" s="27" t="n"/>
      <c r="BH155" s="27" t="n"/>
      <c r="BI155" s="29" t="n"/>
      <c r="BJ155" s="27" t="n"/>
      <c r="BK155" s="27" t="n"/>
      <c r="BL155" s="27" t="n"/>
      <c r="BM155" s="27" t="n"/>
    </row>
    <row r="156">
      <c r="A156" s="27" t="n"/>
      <c r="B156" s="27" t="n"/>
      <c r="C156" s="28">
        <f>IF(A156="","",$B$2)</f>
        <v/>
      </c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  <c r="AA156" s="27" t="n"/>
      <c r="AB156" s="27" t="n"/>
      <c r="AC156" s="27" t="n"/>
      <c r="AD156" s="27" t="n"/>
      <c r="AE156" s="27" t="n"/>
      <c r="AF156" s="27" t="n"/>
      <c r="AG156" s="27" t="n"/>
      <c r="AH156" s="27" t="n"/>
      <c r="AI156" s="27" t="n"/>
      <c r="AJ156" s="27" t="n"/>
      <c r="AK156" s="27" t="n"/>
      <c r="AL156" s="27" t="n"/>
      <c r="AM156" s="27" t="n"/>
      <c r="AN156" s="27" t="n"/>
      <c r="AO156" s="27" t="n"/>
      <c r="AP156" s="27" t="n"/>
      <c r="AQ156" s="27" t="n"/>
      <c r="AR156" s="27" t="n"/>
      <c r="AS156" s="27" t="n"/>
      <c r="AT156" s="27" t="n"/>
      <c r="AU156" s="27" t="n"/>
      <c r="AV156" s="27" t="n"/>
      <c r="AW156" s="27" t="n"/>
      <c r="AX156" s="27" t="n"/>
      <c r="AY156" s="27" t="n"/>
      <c r="AZ156" s="27" t="n"/>
      <c r="BA156" s="27" t="n"/>
      <c r="BB156" s="27" t="n"/>
      <c r="BC156" s="27" t="n"/>
      <c r="BD156" s="27" t="n"/>
      <c r="BE156" s="27" t="n"/>
      <c r="BF156" s="27" t="n"/>
      <c r="BG156" s="27" t="n"/>
      <c r="BH156" s="27" t="n"/>
      <c r="BI156" s="29" t="n"/>
      <c r="BJ156" s="27" t="n"/>
      <c r="BK156" s="27" t="n"/>
      <c r="BL156" s="27" t="n"/>
      <c r="BM156" s="27" t="n"/>
    </row>
    <row r="157">
      <c r="A157" s="27" t="n"/>
      <c r="B157" s="27" t="n"/>
      <c r="C157" s="28">
        <f>IF(A157="","",$B$2)</f>
        <v/>
      </c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  <c r="AA157" s="27" t="n"/>
      <c r="AB157" s="27" t="n"/>
      <c r="AC157" s="27" t="n"/>
      <c r="AD157" s="27" t="n"/>
      <c r="AE157" s="27" t="n"/>
      <c r="AF157" s="27" t="n"/>
      <c r="AG157" s="27" t="n"/>
      <c r="AH157" s="27" t="n"/>
      <c r="AI157" s="27" t="n"/>
      <c r="AJ157" s="27" t="n"/>
      <c r="AK157" s="27" t="n"/>
      <c r="AL157" s="27" t="n"/>
      <c r="AM157" s="27" t="n"/>
      <c r="AN157" s="27" t="n"/>
      <c r="AO157" s="27" t="n"/>
      <c r="AP157" s="27" t="n"/>
      <c r="AQ157" s="27" t="n"/>
      <c r="AR157" s="27" t="n"/>
      <c r="AS157" s="27" t="n"/>
      <c r="AT157" s="27" t="n"/>
      <c r="AU157" s="27" t="n"/>
      <c r="AV157" s="27" t="n"/>
      <c r="AW157" s="27" t="n"/>
      <c r="AX157" s="27" t="n"/>
      <c r="AY157" s="27" t="n"/>
      <c r="AZ157" s="27" t="n"/>
      <c r="BA157" s="27" t="n"/>
      <c r="BB157" s="27" t="n"/>
      <c r="BC157" s="27" t="n"/>
      <c r="BD157" s="27" t="n"/>
      <c r="BE157" s="27" t="n"/>
      <c r="BF157" s="27" t="n"/>
      <c r="BG157" s="27" t="n"/>
      <c r="BH157" s="27" t="n"/>
      <c r="BI157" s="29" t="n"/>
      <c r="BJ157" s="27" t="n"/>
      <c r="BK157" s="27" t="n"/>
      <c r="BL157" s="27" t="n"/>
      <c r="BM157" s="27" t="n"/>
    </row>
    <row r="158">
      <c r="A158" s="27" t="n"/>
      <c r="B158" s="27" t="n"/>
      <c r="C158" s="28">
        <f>IF(A158="","",$B$2)</f>
        <v/>
      </c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  <c r="AA158" s="27" t="n"/>
      <c r="AB158" s="27" t="n"/>
      <c r="AC158" s="27" t="n"/>
      <c r="AD158" s="27" t="n"/>
      <c r="AE158" s="27" t="n"/>
      <c r="AF158" s="27" t="n"/>
      <c r="AG158" s="27" t="n"/>
      <c r="AH158" s="27" t="n"/>
      <c r="AI158" s="27" t="n"/>
      <c r="AJ158" s="27" t="n"/>
      <c r="AK158" s="27" t="n"/>
      <c r="AL158" s="27" t="n"/>
      <c r="AM158" s="27" t="n"/>
      <c r="AN158" s="27" t="n"/>
      <c r="AO158" s="27" t="n"/>
      <c r="AP158" s="27" t="n"/>
      <c r="AQ158" s="27" t="n"/>
      <c r="AR158" s="27" t="n"/>
      <c r="AS158" s="27" t="n"/>
      <c r="AT158" s="27" t="n"/>
      <c r="AU158" s="27" t="n"/>
      <c r="AV158" s="27" t="n"/>
      <c r="AW158" s="27" t="n"/>
      <c r="AX158" s="27" t="n"/>
      <c r="AY158" s="27" t="n"/>
      <c r="AZ158" s="27" t="n"/>
      <c r="BA158" s="27" t="n"/>
      <c r="BB158" s="27" t="n"/>
      <c r="BC158" s="27" t="n"/>
      <c r="BD158" s="27" t="n"/>
      <c r="BE158" s="27" t="n"/>
      <c r="BF158" s="27" t="n"/>
      <c r="BG158" s="27" t="n"/>
      <c r="BH158" s="27" t="n"/>
      <c r="BI158" s="29" t="n"/>
      <c r="BJ158" s="27" t="n"/>
      <c r="BK158" s="27" t="n"/>
      <c r="BL158" s="27" t="n"/>
      <c r="BM158" s="27" t="n"/>
    </row>
    <row r="159">
      <c r="A159" s="27" t="n"/>
      <c r="B159" s="27" t="n"/>
      <c r="C159" s="28">
        <f>IF(A159="","",$B$2)</f>
        <v/>
      </c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  <c r="AA159" s="27" t="n"/>
      <c r="AB159" s="27" t="n"/>
      <c r="AC159" s="27" t="n"/>
      <c r="AD159" s="27" t="n"/>
      <c r="AE159" s="27" t="n"/>
      <c r="AF159" s="27" t="n"/>
      <c r="AG159" s="27" t="n"/>
      <c r="AH159" s="27" t="n"/>
      <c r="AI159" s="27" t="n"/>
      <c r="AJ159" s="27" t="n"/>
      <c r="AK159" s="27" t="n"/>
      <c r="AL159" s="27" t="n"/>
      <c r="AM159" s="27" t="n"/>
      <c r="AN159" s="27" t="n"/>
      <c r="AO159" s="27" t="n"/>
      <c r="AP159" s="27" t="n"/>
      <c r="AQ159" s="27" t="n"/>
      <c r="AR159" s="27" t="n"/>
      <c r="AS159" s="27" t="n"/>
      <c r="AT159" s="27" t="n"/>
      <c r="AU159" s="27" t="n"/>
      <c r="AV159" s="27" t="n"/>
      <c r="AW159" s="27" t="n"/>
      <c r="AX159" s="27" t="n"/>
      <c r="AY159" s="27" t="n"/>
      <c r="AZ159" s="27" t="n"/>
      <c r="BA159" s="27" t="n"/>
      <c r="BB159" s="27" t="n"/>
      <c r="BC159" s="27" t="n"/>
      <c r="BD159" s="27" t="n"/>
      <c r="BE159" s="27" t="n"/>
      <c r="BF159" s="27" t="n"/>
      <c r="BG159" s="27" t="n"/>
      <c r="BH159" s="27" t="n"/>
      <c r="BI159" s="29" t="n"/>
      <c r="BJ159" s="27" t="n"/>
      <c r="BK159" s="27" t="n"/>
      <c r="BL159" s="27" t="n"/>
      <c r="BM159" s="27" t="n"/>
    </row>
    <row r="160">
      <c r="A160" s="27" t="n"/>
      <c r="B160" s="27" t="n"/>
      <c r="C160" s="28">
        <f>IF(A160="","",$B$2)</f>
        <v/>
      </c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  <c r="AA160" s="27" t="n"/>
      <c r="AB160" s="27" t="n"/>
      <c r="AC160" s="27" t="n"/>
      <c r="AD160" s="27" t="n"/>
      <c r="AE160" s="27" t="n"/>
      <c r="AF160" s="27" t="n"/>
      <c r="AG160" s="27" t="n"/>
      <c r="AH160" s="27" t="n"/>
      <c r="AI160" s="27" t="n"/>
      <c r="AJ160" s="27" t="n"/>
      <c r="AK160" s="27" t="n"/>
      <c r="AL160" s="27" t="n"/>
      <c r="AM160" s="27" t="n"/>
      <c r="AN160" s="27" t="n"/>
      <c r="AO160" s="27" t="n"/>
      <c r="AP160" s="27" t="n"/>
      <c r="AQ160" s="27" t="n"/>
      <c r="AR160" s="27" t="n"/>
      <c r="AS160" s="27" t="n"/>
      <c r="AT160" s="27" t="n"/>
      <c r="AU160" s="27" t="n"/>
      <c r="AV160" s="27" t="n"/>
      <c r="AW160" s="27" t="n"/>
      <c r="AX160" s="27" t="n"/>
      <c r="AY160" s="27" t="n"/>
      <c r="AZ160" s="27" t="n"/>
      <c r="BA160" s="27" t="n"/>
      <c r="BB160" s="27" t="n"/>
      <c r="BC160" s="27" t="n"/>
      <c r="BD160" s="27" t="n"/>
      <c r="BE160" s="27" t="n"/>
      <c r="BF160" s="27" t="n"/>
      <c r="BG160" s="27" t="n"/>
      <c r="BH160" s="27" t="n"/>
      <c r="BI160" s="29" t="n"/>
      <c r="BJ160" s="27" t="n"/>
      <c r="BK160" s="27" t="n"/>
      <c r="BL160" s="27" t="n"/>
      <c r="BM160" s="27" t="n"/>
    </row>
    <row r="161">
      <c r="A161" s="27" t="n"/>
      <c r="B161" s="27" t="n"/>
      <c r="C161" s="28">
        <f>IF(A161="","",$B$2)</f>
        <v/>
      </c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  <c r="AA161" s="27" t="n"/>
      <c r="AB161" s="27" t="n"/>
      <c r="AC161" s="27" t="n"/>
      <c r="AD161" s="27" t="n"/>
      <c r="AE161" s="27" t="n"/>
      <c r="AF161" s="27" t="n"/>
      <c r="AG161" s="27" t="n"/>
      <c r="AH161" s="27" t="n"/>
      <c r="AI161" s="27" t="n"/>
      <c r="AJ161" s="27" t="n"/>
      <c r="AK161" s="27" t="n"/>
      <c r="AL161" s="27" t="n"/>
      <c r="AM161" s="27" t="n"/>
      <c r="AN161" s="27" t="n"/>
      <c r="AO161" s="27" t="n"/>
      <c r="AP161" s="27" t="n"/>
      <c r="AQ161" s="27" t="n"/>
      <c r="AR161" s="27" t="n"/>
      <c r="AS161" s="27" t="n"/>
      <c r="AT161" s="27" t="n"/>
      <c r="AU161" s="27" t="n"/>
      <c r="AV161" s="27" t="n"/>
      <c r="AW161" s="27" t="n"/>
      <c r="AX161" s="27" t="n"/>
      <c r="AY161" s="27" t="n"/>
      <c r="AZ161" s="27" t="n"/>
      <c r="BA161" s="27" t="n"/>
      <c r="BB161" s="27" t="n"/>
      <c r="BC161" s="27" t="n"/>
      <c r="BD161" s="27" t="n"/>
      <c r="BE161" s="27" t="n"/>
      <c r="BF161" s="27" t="n"/>
      <c r="BG161" s="27" t="n"/>
      <c r="BH161" s="27" t="n"/>
      <c r="BI161" s="29" t="n"/>
      <c r="BJ161" s="27" t="n"/>
      <c r="BK161" s="27" t="n"/>
      <c r="BL161" s="27" t="n"/>
      <c r="BM161" s="27" t="n"/>
    </row>
    <row r="162">
      <c r="A162" s="27" t="n"/>
      <c r="B162" s="27" t="n"/>
      <c r="C162" s="28">
        <f>IF(A162="","",$B$2)</f>
        <v/>
      </c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  <c r="AA162" s="27" t="n"/>
      <c r="AB162" s="27" t="n"/>
      <c r="AC162" s="27" t="n"/>
      <c r="AD162" s="27" t="n"/>
      <c r="AE162" s="27" t="n"/>
      <c r="AF162" s="27" t="n"/>
      <c r="AG162" s="27" t="n"/>
      <c r="AH162" s="27" t="n"/>
      <c r="AI162" s="27" t="n"/>
      <c r="AJ162" s="27" t="n"/>
      <c r="AK162" s="27" t="n"/>
      <c r="AL162" s="27" t="n"/>
      <c r="AM162" s="27" t="n"/>
      <c r="AN162" s="27" t="n"/>
      <c r="AO162" s="27" t="n"/>
      <c r="AP162" s="27" t="n"/>
      <c r="AQ162" s="27" t="n"/>
      <c r="AR162" s="27" t="n"/>
      <c r="AS162" s="27" t="n"/>
      <c r="AT162" s="27" t="n"/>
      <c r="AU162" s="27" t="n"/>
      <c r="AV162" s="27" t="n"/>
      <c r="AW162" s="27" t="n"/>
      <c r="AX162" s="27" t="n"/>
      <c r="AY162" s="27" t="n"/>
      <c r="AZ162" s="27" t="n"/>
      <c r="BA162" s="27" t="n"/>
      <c r="BB162" s="27" t="n"/>
      <c r="BC162" s="27" t="n"/>
      <c r="BD162" s="27" t="n"/>
      <c r="BE162" s="27" t="n"/>
      <c r="BF162" s="27" t="n"/>
      <c r="BG162" s="27" t="n"/>
      <c r="BH162" s="27" t="n"/>
      <c r="BI162" s="29" t="n"/>
      <c r="BJ162" s="27" t="n"/>
      <c r="BK162" s="27" t="n"/>
      <c r="BL162" s="27" t="n"/>
      <c r="BM162" s="27" t="n"/>
    </row>
    <row r="163">
      <c r="A163" s="27" t="n"/>
      <c r="B163" s="27" t="n"/>
      <c r="C163" s="28">
        <f>IF(A163="","",$B$2)</f>
        <v/>
      </c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  <c r="AA163" s="27" t="n"/>
      <c r="AB163" s="27" t="n"/>
      <c r="AC163" s="27" t="n"/>
      <c r="AD163" s="27" t="n"/>
      <c r="AE163" s="27" t="n"/>
      <c r="AF163" s="27" t="n"/>
      <c r="AG163" s="27" t="n"/>
      <c r="AH163" s="27" t="n"/>
      <c r="AI163" s="27" t="n"/>
      <c r="AJ163" s="27" t="n"/>
      <c r="AK163" s="27" t="n"/>
      <c r="AL163" s="27" t="n"/>
      <c r="AM163" s="27" t="n"/>
      <c r="AN163" s="27" t="n"/>
      <c r="AO163" s="27" t="n"/>
      <c r="AP163" s="27" t="n"/>
      <c r="AQ163" s="27" t="n"/>
      <c r="AR163" s="27" t="n"/>
      <c r="AS163" s="27" t="n"/>
      <c r="AT163" s="27" t="n"/>
      <c r="AU163" s="27" t="n"/>
      <c r="AV163" s="27" t="n"/>
      <c r="AW163" s="27" t="n"/>
      <c r="AX163" s="27" t="n"/>
      <c r="AY163" s="27" t="n"/>
      <c r="AZ163" s="27" t="n"/>
      <c r="BA163" s="27" t="n"/>
      <c r="BB163" s="27" t="n"/>
      <c r="BC163" s="27" t="n"/>
      <c r="BD163" s="27" t="n"/>
      <c r="BE163" s="27" t="n"/>
      <c r="BF163" s="27" t="n"/>
      <c r="BG163" s="27" t="n"/>
      <c r="BH163" s="27" t="n"/>
      <c r="BI163" s="29" t="n"/>
      <c r="BJ163" s="27" t="n"/>
      <c r="BK163" s="27" t="n"/>
      <c r="BL163" s="27" t="n"/>
      <c r="BM163" s="27" t="n"/>
    </row>
    <row r="164">
      <c r="A164" s="27" t="n"/>
      <c r="B164" s="27" t="n"/>
      <c r="C164" s="28">
        <f>IF(A164="","",$B$2)</f>
        <v/>
      </c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  <c r="AA164" s="27" t="n"/>
      <c r="AB164" s="27" t="n"/>
      <c r="AC164" s="27" t="n"/>
      <c r="AD164" s="27" t="n"/>
      <c r="AE164" s="27" t="n"/>
      <c r="AF164" s="27" t="n"/>
      <c r="AG164" s="27" t="n"/>
      <c r="AH164" s="27" t="n"/>
      <c r="AI164" s="27" t="n"/>
      <c r="AJ164" s="27" t="n"/>
      <c r="AK164" s="27" t="n"/>
      <c r="AL164" s="27" t="n"/>
      <c r="AM164" s="27" t="n"/>
      <c r="AN164" s="27" t="n"/>
      <c r="AO164" s="27" t="n"/>
      <c r="AP164" s="27" t="n"/>
      <c r="AQ164" s="27" t="n"/>
      <c r="AR164" s="27" t="n"/>
      <c r="AS164" s="27" t="n"/>
      <c r="AT164" s="27" t="n"/>
      <c r="AU164" s="27" t="n"/>
      <c r="AV164" s="27" t="n"/>
      <c r="AW164" s="27" t="n"/>
      <c r="AX164" s="27" t="n"/>
      <c r="AY164" s="27" t="n"/>
      <c r="AZ164" s="27" t="n"/>
      <c r="BA164" s="27" t="n"/>
      <c r="BB164" s="27" t="n"/>
      <c r="BC164" s="27" t="n"/>
      <c r="BD164" s="27" t="n"/>
      <c r="BE164" s="27" t="n"/>
      <c r="BF164" s="27" t="n"/>
      <c r="BG164" s="27" t="n"/>
      <c r="BH164" s="27" t="n"/>
      <c r="BI164" s="29" t="n"/>
      <c r="BJ164" s="27" t="n"/>
      <c r="BK164" s="27" t="n"/>
      <c r="BL164" s="27" t="n"/>
      <c r="BM164" s="27" t="n"/>
    </row>
    <row r="165">
      <c r="A165" s="27" t="n"/>
      <c r="B165" s="27" t="n"/>
      <c r="C165" s="28">
        <f>IF(A165="","",$B$2)</f>
        <v/>
      </c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  <c r="AA165" s="27" t="n"/>
      <c r="AB165" s="27" t="n"/>
      <c r="AC165" s="27" t="n"/>
      <c r="AD165" s="27" t="n"/>
      <c r="AE165" s="27" t="n"/>
      <c r="AF165" s="27" t="n"/>
      <c r="AG165" s="27" t="n"/>
      <c r="AH165" s="27" t="n"/>
      <c r="AI165" s="27" t="n"/>
      <c r="AJ165" s="27" t="n"/>
      <c r="AK165" s="27" t="n"/>
      <c r="AL165" s="27" t="n"/>
      <c r="AM165" s="27" t="n"/>
      <c r="AN165" s="27" t="n"/>
      <c r="AO165" s="27" t="n"/>
      <c r="AP165" s="27" t="n"/>
      <c r="AQ165" s="27" t="n"/>
      <c r="AR165" s="27" t="n"/>
      <c r="AS165" s="27" t="n"/>
      <c r="AT165" s="27" t="n"/>
      <c r="AU165" s="27" t="n"/>
      <c r="AV165" s="27" t="n"/>
      <c r="AW165" s="27" t="n"/>
      <c r="AX165" s="27" t="n"/>
      <c r="AY165" s="27" t="n"/>
      <c r="AZ165" s="27" t="n"/>
      <c r="BA165" s="27" t="n"/>
      <c r="BB165" s="27" t="n"/>
      <c r="BC165" s="27" t="n"/>
      <c r="BD165" s="27" t="n"/>
      <c r="BE165" s="27" t="n"/>
      <c r="BF165" s="27" t="n"/>
      <c r="BG165" s="27" t="n"/>
      <c r="BH165" s="27" t="n"/>
      <c r="BI165" s="29" t="n"/>
      <c r="BJ165" s="27" t="n"/>
      <c r="BK165" s="27" t="n"/>
      <c r="BL165" s="27" t="n"/>
      <c r="BM165" s="27" t="n"/>
    </row>
    <row r="166">
      <c r="A166" s="27" t="n"/>
      <c r="B166" s="27" t="n"/>
      <c r="C166" s="28">
        <f>IF(A166="","",$B$2)</f>
        <v/>
      </c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  <c r="AA166" s="27" t="n"/>
      <c r="AB166" s="27" t="n"/>
      <c r="AC166" s="27" t="n"/>
      <c r="AD166" s="27" t="n"/>
      <c r="AE166" s="27" t="n"/>
      <c r="AF166" s="27" t="n"/>
      <c r="AG166" s="27" t="n"/>
      <c r="AH166" s="27" t="n"/>
      <c r="AI166" s="27" t="n"/>
      <c r="AJ166" s="27" t="n"/>
      <c r="AK166" s="27" t="n"/>
      <c r="AL166" s="27" t="n"/>
      <c r="AM166" s="27" t="n"/>
      <c r="AN166" s="27" t="n"/>
      <c r="AO166" s="27" t="n"/>
      <c r="AP166" s="27" t="n"/>
      <c r="AQ166" s="27" t="n"/>
      <c r="AR166" s="27" t="n"/>
      <c r="AS166" s="27" t="n"/>
      <c r="AT166" s="27" t="n"/>
      <c r="AU166" s="27" t="n"/>
      <c r="AV166" s="27" t="n"/>
      <c r="AW166" s="27" t="n"/>
      <c r="AX166" s="27" t="n"/>
      <c r="AY166" s="27" t="n"/>
      <c r="AZ166" s="27" t="n"/>
      <c r="BA166" s="27" t="n"/>
      <c r="BB166" s="27" t="n"/>
      <c r="BC166" s="27" t="n"/>
      <c r="BD166" s="27" t="n"/>
      <c r="BE166" s="27" t="n"/>
      <c r="BF166" s="27" t="n"/>
      <c r="BG166" s="27" t="n"/>
      <c r="BH166" s="27" t="n"/>
      <c r="BI166" s="29" t="n"/>
      <c r="BJ166" s="27" t="n"/>
      <c r="BK166" s="27" t="n"/>
      <c r="BL166" s="27" t="n"/>
      <c r="BM166" s="27" t="n"/>
    </row>
    <row r="167">
      <c r="A167" s="27" t="n"/>
      <c r="B167" s="27" t="n"/>
      <c r="C167" s="28">
        <f>IF(A167="","",$B$2)</f>
        <v/>
      </c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  <c r="AA167" s="27" t="n"/>
      <c r="AB167" s="27" t="n"/>
      <c r="AC167" s="27" t="n"/>
      <c r="AD167" s="27" t="n"/>
      <c r="AE167" s="27" t="n"/>
      <c r="AF167" s="27" t="n"/>
      <c r="AG167" s="27" t="n"/>
      <c r="AH167" s="27" t="n"/>
      <c r="AI167" s="27" t="n"/>
      <c r="AJ167" s="27" t="n"/>
      <c r="AK167" s="27" t="n"/>
      <c r="AL167" s="27" t="n"/>
      <c r="AM167" s="27" t="n"/>
      <c r="AN167" s="27" t="n"/>
      <c r="AO167" s="27" t="n"/>
      <c r="AP167" s="27" t="n"/>
      <c r="AQ167" s="27" t="n"/>
      <c r="AR167" s="27" t="n"/>
      <c r="AS167" s="27" t="n"/>
      <c r="AT167" s="27" t="n"/>
      <c r="AU167" s="27" t="n"/>
      <c r="AV167" s="27" t="n"/>
      <c r="AW167" s="27" t="n"/>
      <c r="AX167" s="27" t="n"/>
      <c r="AY167" s="27" t="n"/>
      <c r="AZ167" s="27" t="n"/>
      <c r="BA167" s="27" t="n"/>
      <c r="BB167" s="27" t="n"/>
      <c r="BC167" s="27" t="n"/>
      <c r="BD167" s="27" t="n"/>
      <c r="BE167" s="27" t="n"/>
      <c r="BF167" s="27" t="n"/>
      <c r="BG167" s="27" t="n"/>
      <c r="BH167" s="27" t="n"/>
      <c r="BI167" s="29" t="n"/>
      <c r="BJ167" s="27" t="n"/>
      <c r="BK167" s="27" t="n"/>
      <c r="BL167" s="27" t="n"/>
      <c r="BM167" s="27" t="n"/>
    </row>
    <row r="168">
      <c r="A168" s="27" t="n"/>
      <c r="B168" s="27" t="n"/>
      <c r="C168" s="28">
        <f>IF(A168="","",$B$2)</f>
        <v/>
      </c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  <c r="AA168" s="27" t="n"/>
      <c r="AB168" s="27" t="n"/>
      <c r="AC168" s="27" t="n"/>
      <c r="AD168" s="27" t="n"/>
      <c r="AE168" s="27" t="n"/>
      <c r="AF168" s="27" t="n"/>
      <c r="AG168" s="27" t="n"/>
      <c r="AH168" s="27" t="n"/>
      <c r="AI168" s="27" t="n"/>
      <c r="AJ168" s="27" t="n"/>
      <c r="AK168" s="27" t="n"/>
      <c r="AL168" s="27" t="n"/>
      <c r="AM168" s="27" t="n"/>
      <c r="AN168" s="27" t="n"/>
      <c r="AO168" s="27" t="n"/>
      <c r="AP168" s="27" t="n"/>
      <c r="AQ168" s="27" t="n"/>
      <c r="AR168" s="27" t="n"/>
      <c r="AS168" s="27" t="n"/>
      <c r="AT168" s="27" t="n"/>
      <c r="AU168" s="27" t="n"/>
      <c r="AV168" s="27" t="n"/>
      <c r="AW168" s="27" t="n"/>
      <c r="AX168" s="27" t="n"/>
      <c r="AY168" s="27" t="n"/>
      <c r="AZ168" s="27" t="n"/>
      <c r="BA168" s="27" t="n"/>
      <c r="BB168" s="27" t="n"/>
      <c r="BC168" s="27" t="n"/>
      <c r="BD168" s="27" t="n"/>
      <c r="BE168" s="27" t="n"/>
      <c r="BF168" s="27" t="n"/>
      <c r="BG168" s="27" t="n"/>
      <c r="BH168" s="27" t="n"/>
      <c r="BI168" s="29" t="n"/>
      <c r="BJ168" s="27" t="n"/>
      <c r="BK168" s="27" t="n"/>
      <c r="BL168" s="27" t="n"/>
      <c r="BM168" s="27" t="n"/>
    </row>
    <row r="169">
      <c r="A169" s="27" t="n"/>
      <c r="B169" s="27" t="n"/>
      <c r="C169" s="28">
        <f>IF(A169="","",$B$2)</f>
        <v/>
      </c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  <c r="AA169" s="27" t="n"/>
      <c r="AB169" s="27" t="n"/>
      <c r="AC169" s="27" t="n"/>
      <c r="AD169" s="27" t="n"/>
      <c r="AE169" s="27" t="n"/>
      <c r="AF169" s="27" t="n"/>
      <c r="AG169" s="27" t="n"/>
      <c r="AH169" s="27" t="n"/>
      <c r="AI169" s="27" t="n"/>
      <c r="AJ169" s="27" t="n"/>
      <c r="AK169" s="27" t="n"/>
      <c r="AL169" s="27" t="n"/>
      <c r="AM169" s="27" t="n"/>
      <c r="AN169" s="27" t="n"/>
      <c r="AO169" s="27" t="n"/>
      <c r="AP169" s="27" t="n"/>
      <c r="AQ169" s="27" t="n"/>
      <c r="AR169" s="27" t="n"/>
      <c r="AS169" s="27" t="n"/>
      <c r="AT169" s="27" t="n"/>
      <c r="AU169" s="27" t="n"/>
      <c r="AV169" s="27" t="n"/>
      <c r="AW169" s="27" t="n"/>
      <c r="AX169" s="27" t="n"/>
      <c r="AY169" s="27" t="n"/>
      <c r="AZ169" s="27" t="n"/>
      <c r="BA169" s="27" t="n"/>
      <c r="BB169" s="27" t="n"/>
      <c r="BC169" s="27" t="n"/>
      <c r="BD169" s="27" t="n"/>
      <c r="BE169" s="27" t="n"/>
      <c r="BF169" s="27" t="n"/>
      <c r="BG169" s="27" t="n"/>
      <c r="BH169" s="27" t="n"/>
      <c r="BI169" s="29" t="n"/>
      <c r="BJ169" s="27" t="n"/>
      <c r="BK169" s="27" t="n"/>
      <c r="BL169" s="27" t="n"/>
      <c r="BM169" s="27" t="n"/>
    </row>
    <row r="170">
      <c r="A170" s="27" t="n"/>
      <c r="B170" s="27" t="n"/>
      <c r="C170" s="28">
        <f>IF(A170="","",$B$2)</f>
        <v/>
      </c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  <c r="AA170" s="27" t="n"/>
      <c r="AB170" s="27" t="n"/>
      <c r="AC170" s="27" t="n"/>
      <c r="AD170" s="27" t="n"/>
      <c r="AE170" s="27" t="n"/>
      <c r="AF170" s="27" t="n"/>
      <c r="AG170" s="27" t="n"/>
      <c r="AH170" s="27" t="n"/>
      <c r="AI170" s="27" t="n"/>
      <c r="AJ170" s="27" t="n"/>
      <c r="AK170" s="27" t="n"/>
      <c r="AL170" s="27" t="n"/>
      <c r="AM170" s="27" t="n"/>
      <c r="AN170" s="27" t="n"/>
      <c r="AO170" s="27" t="n"/>
      <c r="AP170" s="27" t="n"/>
      <c r="AQ170" s="27" t="n"/>
      <c r="AR170" s="27" t="n"/>
      <c r="AS170" s="27" t="n"/>
      <c r="AT170" s="27" t="n"/>
      <c r="AU170" s="27" t="n"/>
      <c r="AV170" s="27" t="n"/>
      <c r="AW170" s="27" t="n"/>
      <c r="AX170" s="27" t="n"/>
      <c r="AY170" s="27" t="n"/>
      <c r="AZ170" s="27" t="n"/>
      <c r="BA170" s="27" t="n"/>
      <c r="BB170" s="27" t="n"/>
      <c r="BC170" s="27" t="n"/>
      <c r="BD170" s="27" t="n"/>
      <c r="BE170" s="27" t="n"/>
      <c r="BF170" s="27" t="n"/>
      <c r="BG170" s="27" t="n"/>
      <c r="BH170" s="27" t="n"/>
      <c r="BI170" s="29" t="n"/>
      <c r="BJ170" s="27" t="n"/>
      <c r="BK170" s="27" t="n"/>
      <c r="BL170" s="27" t="n"/>
      <c r="BM170" s="27" t="n"/>
    </row>
    <row r="171">
      <c r="A171" s="27" t="n"/>
      <c r="B171" s="27" t="n"/>
      <c r="C171" s="28">
        <f>IF(A171="","",$B$2)</f>
        <v/>
      </c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  <c r="AA171" s="27" t="n"/>
      <c r="AB171" s="27" t="n"/>
      <c r="AC171" s="27" t="n"/>
      <c r="AD171" s="27" t="n"/>
      <c r="AE171" s="27" t="n"/>
      <c r="AF171" s="27" t="n"/>
      <c r="AG171" s="27" t="n"/>
      <c r="AH171" s="27" t="n"/>
      <c r="AI171" s="27" t="n"/>
      <c r="AJ171" s="27" t="n"/>
      <c r="AK171" s="27" t="n"/>
      <c r="AL171" s="27" t="n"/>
      <c r="AM171" s="27" t="n"/>
      <c r="AN171" s="27" t="n"/>
      <c r="AO171" s="27" t="n"/>
      <c r="AP171" s="27" t="n"/>
      <c r="AQ171" s="27" t="n"/>
      <c r="AR171" s="27" t="n"/>
      <c r="AS171" s="27" t="n"/>
      <c r="AT171" s="27" t="n"/>
      <c r="AU171" s="27" t="n"/>
      <c r="AV171" s="27" t="n"/>
      <c r="AW171" s="27" t="n"/>
      <c r="AX171" s="27" t="n"/>
      <c r="AY171" s="27" t="n"/>
      <c r="AZ171" s="27" t="n"/>
      <c r="BA171" s="27" t="n"/>
      <c r="BB171" s="27" t="n"/>
      <c r="BC171" s="27" t="n"/>
      <c r="BD171" s="27" t="n"/>
      <c r="BE171" s="27" t="n"/>
      <c r="BF171" s="27" t="n"/>
      <c r="BG171" s="27" t="n"/>
      <c r="BH171" s="27" t="n"/>
      <c r="BI171" s="29" t="n"/>
      <c r="BJ171" s="27" t="n"/>
      <c r="BK171" s="27" t="n"/>
      <c r="BL171" s="27" t="n"/>
      <c r="BM171" s="27" t="n"/>
    </row>
    <row r="172">
      <c r="A172" s="27" t="n"/>
      <c r="B172" s="27" t="n"/>
      <c r="C172" s="28">
        <f>IF(A172="","",$B$2)</f>
        <v/>
      </c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  <c r="AA172" s="27" t="n"/>
      <c r="AB172" s="27" t="n"/>
      <c r="AC172" s="27" t="n"/>
      <c r="AD172" s="27" t="n"/>
      <c r="AE172" s="27" t="n"/>
      <c r="AF172" s="27" t="n"/>
      <c r="AG172" s="27" t="n"/>
      <c r="AH172" s="27" t="n"/>
      <c r="AI172" s="27" t="n"/>
      <c r="AJ172" s="27" t="n"/>
      <c r="AK172" s="27" t="n"/>
      <c r="AL172" s="27" t="n"/>
      <c r="AM172" s="27" t="n"/>
      <c r="AN172" s="27" t="n"/>
      <c r="AO172" s="27" t="n"/>
      <c r="AP172" s="27" t="n"/>
      <c r="AQ172" s="27" t="n"/>
      <c r="AR172" s="27" t="n"/>
      <c r="AS172" s="27" t="n"/>
      <c r="AT172" s="27" t="n"/>
      <c r="AU172" s="27" t="n"/>
      <c r="AV172" s="27" t="n"/>
      <c r="AW172" s="27" t="n"/>
      <c r="AX172" s="27" t="n"/>
      <c r="AY172" s="27" t="n"/>
      <c r="AZ172" s="27" t="n"/>
      <c r="BA172" s="27" t="n"/>
      <c r="BB172" s="27" t="n"/>
      <c r="BC172" s="27" t="n"/>
      <c r="BD172" s="27" t="n"/>
      <c r="BE172" s="27" t="n"/>
      <c r="BF172" s="27" t="n"/>
      <c r="BG172" s="27" t="n"/>
      <c r="BH172" s="27" t="n"/>
      <c r="BI172" s="29" t="n"/>
      <c r="BJ172" s="27" t="n"/>
      <c r="BK172" s="27" t="n"/>
      <c r="BL172" s="27" t="n"/>
      <c r="BM172" s="27" t="n"/>
    </row>
    <row r="173">
      <c r="A173" s="27" t="n"/>
      <c r="B173" s="27" t="n"/>
      <c r="C173" s="28">
        <f>IF(A173="","",$B$2)</f>
        <v/>
      </c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  <c r="AA173" s="27" t="n"/>
      <c r="AB173" s="27" t="n"/>
      <c r="AC173" s="27" t="n"/>
      <c r="AD173" s="27" t="n"/>
      <c r="AE173" s="27" t="n"/>
      <c r="AF173" s="27" t="n"/>
      <c r="AG173" s="27" t="n"/>
      <c r="AH173" s="27" t="n"/>
      <c r="AI173" s="27" t="n"/>
      <c r="AJ173" s="27" t="n"/>
      <c r="AK173" s="27" t="n"/>
      <c r="AL173" s="27" t="n"/>
      <c r="AM173" s="27" t="n"/>
      <c r="AN173" s="27" t="n"/>
      <c r="AO173" s="27" t="n"/>
      <c r="AP173" s="27" t="n"/>
      <c r="AQ173" s="27" t="n"/>
      <c r="AR173" s="27" t="n"/>
      <c r="AS173" s="27" t="n"/>
      <c r="AT173" s="27" t="n"/>
      <c r="AU173" s="27" t="n"/>
      <c r="AV173" s="27" t="n"/>
      <c r="AW173" s="27" t="n"/>
      <c r="AX173" s="27" t="n"/>
      <c r="AY173" s="27" t="n"/>
      <c r="AZ173" s="27" t="n"/>
      <c r="BA173" s="27" t="n"/>
      <c r="BB173" s="27" t="n"/>
      <c r="BC173" s="27" t="n"/>
      <c r="BD173" s="27" t="n"/>
      <c r="BE173" s="27" t="n"/>
      <c r="BF173" s="27" t="n"/>
      <c r="BG173" s="27" t="n"/>
      <c r="BH173" s="27" t="n"/>
      <c r="BI173" s="29" t="n"/>
      <c r="BJ173" s="27" t="n"/>
      <c r="BK173" s="27" t="n"/>
      <c r="BL173" s="27" t="n"/>
      <c r="BM173" s="27" t="n"/>
    </row>
    <row r="174">
      <c r="A174" s="27" t="n"/>
      <c r="B174" s="27" t="n"/>
      <c r="C174" s="28">
        <f>IF(A174="","",$B$2)</f>
        <v/>
      </c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  <c r="AA174" s="27" t="n"/>
      <c r="AB174" s="27" t="n"/>
      <c r="AC174" s="27" t="n"/>
      <c r="AD174" s="27" t="n"/>
      <c r="AE174" s="27" t="n"/>
      <c r="AF174" s="27" t="n"/>
      <c r="AG174" s="27" t="n"/>
      <c r="AH174" s="27" t="n"/>
      <c r="AI174" s="27" t="n"/>
      <c r="AJ174" s="27" t="n"/>
      <c r="AK174" s="27" t="n"/>
      <c r="AL174" s="27" t="n"/>
      <c r="AM174" s="27" t="n"/>
      <c r="AN174" s="27" t="n"/>
      <c r="AO174" s="27" t="n"/>
      <c r="AP174" s="27" t="n"/>
      <c r="AQ174" s="27" t="n"/>
      <c r="AR174" s="27" t="n"/>
      <c r="AS174" s="27" t="n"/>
      <c r="AT174" s="27" t="n"/>
      <c r="AU174" s="27" t="n"/>
      <c r="AV174" s="27" t="n"/>
      <c r="AW174" s="27" t="n"/>
      <c r="AX174" s="27" t="n"/>
      <c r="AY174" s="27" t="n"/>
      <c r="AZ174" s="27" t="n"/>
      <c r="BA174" s="27" t="n"/>
      <c r="BB174" s="27" t="n"/>
      <c r="BC174" s="27" t="n"/>
      <c r="BD174" s="27" t="n"/>
      <c r="BE174" s="27" t="n"/>
      <c r="BF174" s="27" t="n"/>
      <c r="BG174" s="27" t="n"/>
      <c r="BH174" s="27" t="n"/>
      <c r="BI174" s="29" t="n"/>
      <c r="BJ174" s="27" t="n"/>
      <c r="BK174" s="27" t="n"/>
      <c r="BL174" s="27" t="n"/>
      <c r="BM174" s="27" t="n"/>
    </row>
    <row r="175">
      <c r="A175" s="27" t="n"/>
      <c r="B175" s="27" t="n"/>
      <c r="C175" s="28">
        <f>IF(A175="","",$B$2)</f>
        <v/>
      </c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  <c r="AA175" s="27" t="n"/>
      <c r="AB175" s="27" t="n"/>
      <c r="AC175" s="27" t="n"/>
      <c r="AD175" s="27" t="n"/>
      <c r="AE175" s="27" t="n"/>
      <c r="AF175" s="27" t="n"/>
      <c r="AG175" s="27" t="n"/>
      <c r="AH175" s="27" t="n"/>
      <c r="AI175" s="27" t="n"/>
      <c r="AJ175" s="27" t="n"/>
      <c r="AK175" s="27" t="n"/>
      <c r="AL175" s="27" t="n"/>
      <c r="AM175" s="27" t="n"/>
      <c r="AN175" s="27" t="n"/>
      <c r="AO175" s="27" t="n"/>
      <c r="AP175" s="27" t="n"/>
      <c r="AQ175" s="27" t="n"/>
      <c r="AR175" s="27" t="n"/>
      <c r="AS175" s="27" t="n"/>
      <c r="AT175" s="27" t="n"/>
      <c r="AU175" s="27" t="n"/>
      <c r="AV175" s="27" t="n"/>
      <c r="AW175" s="27" t="n"/>
      <c r="AX175" s="27" t="n"/>
      <c r="AY175" s="27" t="n"/>
      <c r="AZ175" s="27" t="n"/>
      <c r="BA175" s="27" t="n"/>
      <c r="BB175" s="27" t="n"/>
      <c r="BC175" s="27" t="n"/>
      <c r="BD175" s="27" t="n"/>
      <c r="BE175" s="27" t="n"/>
      <c r="BF175" s="27" t="n"/>
      <c r="BG175" s="27" t="n"/>
      <c r="BH175" s="27" t="n"/>
      <c r="BI175" s="29" t="n"/>
      <c r="BJ175" s="27" t="n"/>
      <c r="BK175" s="27" t="n"/>
      <c r="BL175" s="27" t="n"/>
      <c r="BM175" s="27" t="n"/>
    </row>
    <row r="176">
      <c r="A176" s="27" t="n"/>
      <c r="B176" s="27" t="n"/>
      <c r="C176" s="28">
        <f>IF(A176="","",$B$2)</f>
        <v/>
      </c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  <c r="AA176" s="27" t="n"/>
      <c r="AB176" s="27" t="n"/>
      <c r="AC176" s="27" t="n"/>
      <c r="AD176" s="27" t="n"/>
      <c r="AE176" s="27" t="n"/>
      <c r="AF176" s="27" t="n"/>
      <c r="AG176" s="27" t="n"/>
      <c r="AH176" s="27" t="n"/>
      <c r="AI176" s="27" t="n"/>
      <c r="AJ176" s="27" t="n"/>
      <c r="AK176" s="27" t="n"/>
      <c r="AL176" s="27" t="n"/>
      <c r="AM176" s="27" t="n"/>
      <c r="AN176" s="27" t="n"/>
      <c r="AO176" s="27" t="n"/>
      <c r="AP176" s="27" t="n"/>
      <c r="AQ176" s="27" t="n"/>
      <c r="AR176" s="27" t="n"/>
      <c r="AS176" s="27" t="n"/>
      <c r="AT176" s="27" t="n"/>
      <c r="AU176" s="27" t="n"/>
      <c r="AV176" s="27" t="n"/>
      <c r="AW176" s="27" t="n"/>
      <c r="AX176" s="27" t="n"/>
      <c r="AY176" s="27" t="n"/>
      <c r="AZ176" s="27" t="n"/>
      <c r="BA176" s="27" t="n"/>
      <c r="BB176" s="27" t="n"/>
      <c r="BC176" s="27" t="n"/>
      <c r="BD176" s="27" t="n"/>
      <c r="BE176" s="27" t="n"/>
      <c r="BF176" s="27" t="n"/>
      <c r="BG176" s="27" t="n"/>
      <c r="BH176" s="27" t="n"/>
      <c r="BI176" s="29" t="n"/>
      <c r="BJ176" s="27" t="n"/>
      <c r="BK176" s="27" t="n"/>
      <c r="BL176" s="27" t="n"/>
      <c r="BM176" s="27" t="n"/>
    </row>
    <row r="177">
      <c r="A177" s="27" t="n"/>
      <c r="B177" s="27" t="n"/>
      <c r="C177" s="28">
        <f>IF(A177="","",$B$2)</f>
        <v/>
      </c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  <c r="AA177" s="27" t="n"/>
      <c r="AB177" s="27" t="n"/>
      <c r="AC177" s="27" t="n"/>
      <c r="AD177" s="27" t="n"/>
      <c r="AE177" s="27" t="n"/>
      <c r="AF177" s="27" t="n"/>
      <c r="AG177" s="27" t="n"/>
      <c r="AH177" s="27" t="n"/>
      <c r="AI177" s="27" t="n"/>
      <c r="AJ177" s="27" t="n"/>
      <c r="AK177" s="27" t="n"/>
      <c r="AL177" s="27" t="n"/>
      <c r="AM177" s="27" t="n"/>
      <c r="AN177" s="27" t="n"/>
      <c r="AO177" s="27" t="n"/>
      <c r="AP177" s="27" t="n"/>
      <c r="AQ177" s="27" t="n"/>
      <c r="AR177" s="27" t="n"/>
      <c r="AS177" s="27" t="n"/>
      <c r="AT177" s="27" t="n"/>
      <c r="AU177" s="27" t="n"/>
      <c r="AV177" s="27" t="n"/>
      <c r="AW177" s="27" t="n"/>
      <c r="AX177" s="27" t="n"/>
      <c r="AY177" s="27" t="n"/>
      <c r="AZ177" s="27" t="n"/>
      <c r="BA177" s="27" t="n"/>
      <c r="BB177" s="27" t="n"/>
      <c r="BC177" s="27" t="n"/>
      <c r="BD177" s="27" t="n"/>
      <c r="BE177" s="27" t="n"/>
      <c r="BF177" s="27" t="n"/>
      <c r="BG177" s="27" t="n"/>
      <c r="BH177" s="27" t="n"/>
      <c r="BI177" s="29" t="n"/>
      <c r="BJ177" s="27" t="n"/>
      <c r="BK177" s="27" t="n"/>
      <c r="BL177" s="27" t="n"/>
      <c r="BM177" s="27" t="n"/>
    </row>
    <row r="178">
      <c r="A178" s="27" t="n"/>
      <c r="B178" s="27" t="n"/>
      <c r="C178" s="28">
        <f>IF(A178="","",$B$2)</f>
        <v/>
      </c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  <c r="AA178" s="27" t="n"/>
      <c r="AB178" s="27" t="n"/>
      <c r="AC178" s="27" t="n"/>
      <c r="AD178" s="27" t="n"/>
      <c r="AE178" s="27" t="n"/>
      <c r="AF178" s="27" t="n"/>
      <c r="AG178" s="27" t="n"/>
      <c r="AH178" s="27" t="n"/>
      <c r="AI178" s="27" t="n"/>
      <c r="AJ178" s="27" t="n"/>
      <c r="AK178" s="27" t="n"/>
      <c r="AL178" s="27" t="n"/>
      <c r="AM178" s="27" t="n"/>
      <c r="AN178" s="27" t="n"/>
      <c r="AO178" s="27" t="n"/>
      <c r="AP178" s="27" t="n"/>
      <c r="AQ178" s="27" t="n"/>
      <c r="AR178" s="27" t="n"/>
      <c r="AS178" s="27" t="n"/>
      <c r="AT178" s="27" t="n"/>
      <c r="AU178" s="27" t="n"/>
      <c r="AV178" s="27" t="n"/>
      <c r="AW178" s="27" t="n"/>
      <c r="AX178" s="27" t="n"/>
      <c r="AY178" s="27" t="n"/>
      <c r="AZ178" s="27" t="n"/>
      <c r="BA178" s="27" t="n"/>
      <c r="BB178" s="27" t="n"/>
      <c r="BC178" s="27" t="n"/>
      <c r="BD178" s="27" t="n"/>
      <c r="BE178" s="27" t="n"/>
      <c r="BF178" s="27" t="n"/>
      <c r="BG178" s="27" t="n"/>
      <c r="BH178" s="27" t="n"/>
      <c r="BI178" s="29" t="n"/>
      <c r="BJ178" s="27" t="n"/>
      <c r="BK178" s="27" t="n"/>
      <c r="BL178" s="27" t="n"/>
      <c r="BM178" s="27" t="n"/>
    </row>
    <row r="179">
      <c r="A179" s="27" t="n"/>
      <c r="B179" s="27" t="n"/>
      <c r="C179" s="28">
        <f>IF(A179="","",$B$2)</f>
        <v/>
      </c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  <c r="AA179" s="27" t="n"/>
      <c r="AB179" s="27" t="n"/>
      <c r="AC179" s="27" t="n"/>
      <c r="AD179" s="27" t="n"/>
      <c r="AE179" s="27" t="n"/>
      <c r="AF179" s="27" t="n"/>
      <c r="AG179" s="27" t="n"/>
      <c r="AH179" s="27" t="n"/>
      <c r="AI179" s="27" t="n"/>
      <c r="AJ179" s="27" t="n"/>
      <c r="AK179" s="27" t="n"/>
      <c r="AL179" s="27" t="n"/>
      <c r="AM179" s="27" t="n"/>
      <c r="AN179" s="27" t="n"/>
      <c r="AO179" s="27" t="n"/>
      <c r="AP179" s="27" t="n"/>
      <c r="AQ179" s="27" t="n"/>
      <c r="AR179" s="27" t="n"/>
      <c r="AS179" s="27" t="n"/>
      <c r="AT179" s="27" t="n"/>
      <c r="AU179" s="27" t="n"/>
      <c r="AV179" s="27" t="n"/>
      <c r="AW179" s="27" t="n"/>
      <c r="AX179" s="27" t="n"/>
      <c r="AY179" s="27" t="n"/>
      <c r="AZ179" s="27" t="n"/>
      <c r="BA179" s="27" t="n"/>
      <c r="BB179" s="27" t="n"/>
      <c r="BC179" s="27" t="n"/>
      <c r="BD179" s="27" t="n"/>
      <c r="BE179" s="27" t="n"/>
      <c r="BF179" s="27" t="n"/>
      <c r="BG179" s="27" t="n"/>
      <c r="BH179" s="27" t="n"/>
      <c r="BI179" s="29" t="n"/>
      <c r="BJ179" s="27" t="n"/>
      <c r="BK179" s="27" t="n"/>
      <c r="BL179" s="27" t="n"/>
      <c r="BM179" s="27" t="n"/>
    </row>
    <row r="180">
      <c r="A180" s="27" t="n"/>
      <c r="B180" s="27" t="n"/>
      <c r="C180" s="28">
        <f>IF(A180="","",$B$2)</f>
        <v/>
      </c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  <c r="AA180" s="27" t="n"/>
      <c r="AB180" s="27" t="n"/>
      <c r="AC180" s="27" t="n"/>
      <c r="AD180" s="27" t="n"/>
      <c r="AE180" s="27" t="n"/>
      <c r="AF180" s="27" t="n"/>
      <c r="AG180" s="27" t="n"/>
      <c r="AH180" s="27" t="n"/>
      <c r="AI180" s="27" t="n"/>
      <c r="AJ180" s="27" t="n"/>
      <c r="AK180" s="27" t="n"/>
      <c r="AL180" s="27" t="n"/>
      <c r="AM180" s="27" t="n"/>
      <c r="AN180" s="27" t="n"/>
      <c r="AO180" s="27" t="n"/>
      <c r="AP180" s="27" t="n"/>
      <c r="AQ180" s="27" t="n"/>
      <c r="AR180" s="27" t="n"/>
      <c r="AS180" s="27" t="n"/>
      <c r="AT180" s="27" t="n"/>
      <c r="AU180" s="27" t="n"/>
      <c r="AV180" s="27" t="n"/>
      <c r="AW180" s="27" t="n"/>
      <c r="AX180" s="27" t="n"/>
      <c r="AY180" s="27" t="n"/>
      <c r="AZ180" s="27" t="n"/>
      <c r="BA180" s="27" t="n"/>
      <c r="BB180" s="27" t="n"/>
      <c r="BC180" s="27" t="n"/>
      <c r="BD180" s="27" t="n"/>
      <c r="BE180" s="27" t="n"/>
      <c r="BF180" s="27" t="n"/>
      <c r="BG180" s="27" t="n"/>
      <c r="BH180" s="27" t="n"/>
      <c r="BI180" s="29" t="n"/>
      <c r="BJ180" s="27" t="n"/>
      <c r="BK180" s="27" t="n"/>
      <c r="BL180" s="27" t="n"/>
      <c r="BM180" s="27" t="n"/>
    </row>
    <row r="181">
      <c r="A181" s="27" t="n"/>
      <c r="B181" s="27" t="n"/>
      <c r="C181" s="28">
        <f>IF(A181="","",$B$2)</f>
        <v/>
      </c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  <c r="AA181" s="27" t="n"/>
      <c r="AB181" s="27" t="n"/>
      <c r="AC181" s="27" t="n"/>
      <c r="AD181" s="27" t="n"/>
      <c r="AE181" s="27" t="n"/>
      <c r="AF181" s="27" t="n"/>
      <c r="AG181" s="27" t="n"/>
      <c r="AH181" s="27" t="n"/>
      <c r="AI181" s="27" t="n"/>
      <c r="AJ181" s="27" t="n"/>
      <c r="AK181" s="27" t="n"/>
      <c r="AL181" s="27" t="n"/>
      <c r="AM181" s="27" t="n"/>
      <c r="AN181" s="27" t="n"/>
      <c r="AO181" s="27" t="n"/>
      <c r="AP181" s="27" t="n"/>
      <c r="AQ181" s="27" t="n"/>
      <c r="AR181" s="27" t="n"/>
      <c r="AS181" s="27" t="n"/>
      <c r="AT181" s="27" t="n"/>
      <c r="AU181" s="27" t="n"/>
      <c r="AV181" s="27" t="n"/>
      <c r="AW181" s="27" t="n"/>
      <c r="AX181" s="27" t="n"/>
      <c r="AY181" s="27" t="n"/>
      <c r="AZ181" s="27" t="n"/>
      <c r="BA181" s="27" t="n"/>
      <c r="BB181" s="27" t="n"/>
      <c r="BC181" s="27" t="n"/>
      <c r="BD181" s="27" t="n"/>
      <c r="BE181" s="27" t="n"/>
      <c r="BF181" s="27" t="n"/>
      <c r="BG181" s="27" t="n"/>
      <c r="BH181" s="27" t="n"/>
      <c r="BI181" s="29" t="n"/>
      <c r="BJ181" s="27" t="n"/>
      <c r="BK181" s="27" t="n"/>
      <c r="BL181" s="27" t="n"/>
      <c r="BM181" s="27" t="n"/>
    </row>
    <row r="182">
      <c r="A182" s="27" t="n"/>
      <c r="B182" s="27" t="n"/>
      <c r="C182" s="28">
        <f>IF(A182="","",$B$2)</f>
        <v/>
      </c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  <c r="AA182" s="27" t="n"/>
      <c r="AB182" s="27" t="n"/>
      <c r="AC182" s="27" t="n"/>
      <c r="AD182" s="27" t="n"/>
      <c r="AE182" s="27" t="n"/>
      <c r="AF182" s="27" t="n"/>
      <c r="AG182" s="27" t="n"/>
      <c r="AH182" s="27" t="n"/>
      <c r="AI182" s="27" t="n"/>
      <c r="AJ182" s="27" t="n"/>
      <c r="AK182" s="27" t="n"/>
      <c r="AL182" s="27" t="n"/>
      <c r="AM182" s="27" t="n"/>
      <c r="AN182" s="27" t="n"/>
      <c r="AO182" s="27" t="n"/>
      <c r="AP182" s="27" t="n"/>
      <c r="AQ182" s="27" t="n"/>
      <c r="AR182" s="27" t="n"/>
      <c r="AS182" s="27" t="n"/>
      <c r="AT182" s="27" t="n"/>
      <c r="AU182" s="27" t="n"/>
      <c r="AV182" s="27" t="n"/>
      <c r="AW182" s="27" t="n"/>
      <c r="AX182" s="27" t="n"/>
      <c r="AY182" s="27" t="n"/>
      <c r="AZ182" s="27" t="n"/>
      <c r="BA182" s="27" t="n"/>
      <c r="BB182" s="27" t="n"/>
      <c r="BC182" s="27" t="n"/>
      <c r="BD182" s="27" t="n"/>
      <c r="BE182" s="27" t="n"/>
      <c r="BF182" s="27" t="n"/>
      <c r="BG182" s="27" t="n"/>
      <c r="BH182" s="27" t="n"/>
      <c r="BI182" s="29" t="n"/>
      <c r="BJ182" s="27" t="n"/>
      <c r="BK182" s="27" t="n"/>
      <c r="BL182" s="27" t="n"/>
      <c r="BM182" s="27" t="n"/>
    </row>
    <row r="183">
      <c r="A183" s="27" t="n"/>
      <c r="B183" s="27" t="n"/>
      <c r="C183" s="28">
        <f>IF(A183="","",$B$2)</f>
        <v/>
      </c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  <c r="AA183" s="27" t="n"/>
      <c r="AB183" s="27" t="n"/>
      <c r="AC183" s="27" t="n"/>
      <c r="AD183" s="27" t="n"/>
      <c r="AE183" s="27" t="n"/>
      <c r="AF183" s="27" t="n"/>
      <c r="AG183" s="27" t="n"/>
      <c r="AH183" s="27" t="n"/>
      <c r="AI183" s="27" t="n"/>
      <c r="AJ183" s="27" t="n"/>
      <c r="AK183" s="27" t="n"/>
      <c r="AL183" s="27" t="n"/>
      <c r="AM183" s="27" t="n"/>
      <c r="AN183" s="27" t="n"/>
      <c r="AO183" s="27" t="n"/>
      <c r="AP183" s="27" t="n"/>
      <c r="AQ183" s="27" t="n"/>
      <c r="AR183" s="27" t="n"/>
      <c r="AS183" s="27" t="n"/>
      <c r="AT183" s="27" t="n"/>
      <c r="AU183" s="27" t="n"/>
      <c r="AV183" s="27" t="n"/>
      <c r="AW183" s="27" t="n"/>
      <c r="AX183" s="27" t="n"/>
      <c r="AY183" s="27" t="n"/>
      <c r="AZ183" s="27" t="n"/>
      <c r="BA183" s="27" t="n"/>
      <c r="BB183" s="27" t="n"/>
      <c r="BC183" s="27" t="n"/>
      <c r="BD183" s="27" t="n"/>
      <c r="BE183" s="27" t="n"/>
      <c r="BF183" s="27" t="n"/>
      <c r="BG183" s="27" t="n"/>
      <c r="BH183" s="27" t="n"/>
      <c r="BI183" s="29" t="n"/>
      <c r="BJ183" s="27" t="n"/>
      <c r="BK183" s="27" t="n"/>
      <c r="BL183" s="27" t="n"/>
      <c r="BM183" s="27" t="n"/>
    </row>
    <row r="184">
      <c r="A184" s="27" t="n"/>
      <c r="B184" s="27" t="n"/>
      <c r="C184" s="28">
        <f>IF(A184="","",$B$2)</f>
        <v/>
      </c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  <c r="AA184" s="27" t="n"/>
      <c r="AB184" s="27" t="n"/>
      <c r="AC184" s="27" t="n"/>
      <c r="AD184" s="27" t="n"/>
      <c r="AE184" s="27" t="n"/>
      <c r="AF184" s="27" t="n"/>
      <c r="AG184" s="27" t="n"/>
      <c r="AH184" s="27" t="n"/>
      <c r="AI184" s="27" t="n"/>
      <c r="AJ184" s="27" t="n"/>
      <c r="AK184" s="27" t="n"/>
      <c r="AL184" s="27" t="n"/>
      <c r="AM184" s="27" t="n"/>
      <c r="AN184" s="27" t="n"/>
      <c r="AO184" s="27" t="n"/>
      <c r="AP184" s="27" t="n"/>
      <c r="AQ184" s="27" t="n"/>
      <c r="AR184" s="27" t="n"/>
      <c r="AS184" s="27" t="n"/>
      <c r="AT184" s="27" t="n"/>
      <c r="AU184" s="27" t="n"/>
      <c r="AV184" s="27" t="n"/>
      <c r="AW184" s="27" t="n"/>
      <c r="AX184" s="27" t="n"/>
      <c r="AY184" s="27" t="n"/>
      <c r="AZ184" s="27" t="n"/>
      <c r="BA184" s="27" t="n"/>
      <c r="BB184" s="27" t="n"/>
      <c r="BC184" s="27" t="n"/>
      <c r="BD184" s="27" t="n"/>
      <c r="BE184" s="27" t="n"/>
      <c r="BF184" s="27" t="n"/>
      <c r="BG184" s="27" t="n"/>
      <c r="BH184" s="27" t="n"/>
      <c r="BI184" s="29" t="n"/>
      <c r="BJ184" s="27" t="n"/>
      <c r="BK184" s="27" t="n"/>
      <c r="BL184" s="27" t="n"/>
      <c r="BM184" s="27" t="n"/>
    </row>
    <row r="185">
      <c r="A185" s="27" t="n"/>
      <c r="B185" s="27" t="n"/>
      <c r="C185" s="28">
        <f>IF(A185="","",$B$2)</f>
        <v/>
      </c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  <c r="AA185" s="27" t="n"/>
      <c r="AB185" s="27" t="n"/>
      <c r="AC185" s="27" t="n"/>
      <c r="AD185" s="27" t="n"/>
      <c r="AE185" s="27" t="n"/>
      <c r="AF185" s="27" t="n"/>
      <c r="AG185" s="27" t="n"/>
      <c r="AH185" s="27" t="n"/>
      <c r="AI185" s="27" t="n"/>
      <c r="AJ185" s="27" t="n"/>
      <c r="AK185" s="27" t="n"/>
      <c r="AL185" s="27" t="n"/>
      <c r="AM185" s="27" t="n"/>
      <c r="AN185" s="27" t="n"/>
      <c r="AO185" s="27" t="n"/>
      <c r="AP185" s="27" t="n"/>
      <c r="AQ185" s="27" t="n"/>
      <c r="AR185" s="27" t="n"/>
      <c r="AS185" s="27" t="n"/>
      <c r="AT185" s="27" t="n"/>
      <c r="AU185" s="27" t="n"/>
      <c r="AV185" s="27" t="n"/>
      <c r="AW185" s="27" t="n"/>
      <c r="AX185" s="27" t="n"/>
      <c r="AY185" s="27" t="n"/>
      <c r="AZ185" s="27" t="n"/>
      <c r="BA185" s="27" t="n"/>
      <c r="BB185" s="27" t="n"/>
      <c r="BC185" s="27" t="n"/>
      <c r="BD185" s="27" t="n"/>
      <c r="BE185" s="27" t="n"/>
      <c r="BF185" s="27" t="n"/>
      <c r="BG185" s="27" t="n"/>
      <c r="BH185" s="27" t="n"/>
      <c r="BI185" s="29" t="n"/>
      <c r="BJ185" s="27" t="n"/>
      <c r="BK185" s="27" t="n"/>
      <c r="BL185" s="27" t="n"/>
      <c r="BM185" s="27" t="n"/>
    </row>
    <row r="186">
      <c r="A186" s="27" t="n"/>
      <c r="B186" s="27" t="n"/>
      <c r="C186" s="28">
        <f>IF(A186="","",$B$2)</f>
        <v/>
      </c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  <c r="AA186" s="27" t="n"/>
      <c r="AB186" s="27" t="n"/>
      <c r="AC186" s="27" t="n"/>
      <c r="AD186" s="27" t="n"/>
      <c r="AE186" s="27" t="n"/>
      <c r="AF186" s="27" t="n"/>
      <c r="AG186" s="27" t="n"/>
      <c r="AH186" s="27" t="n"/>
      <c r="AI186" s="27" t="n"/>
      <c r="AJ186" s="27" t="n"/>
      <c r="AK186" s="27" t="n"/>
      <c r="AL186" s="27" t="n"/>
      <c r="AM186" s="27" t="n"/>
      <c r="AN186" s="27" t="n"/>
      <c r="AO186" s="27" t="n"/>
      <c r="AP186" s="27" t="n"/>
      <c r="AQ186" s="27" t="n"/>
      <c r="AR186" s="27" t="n"/>
      <c r="AS186" s="27" t="n"/>
      <c r="AT186" s="27" t="n"/>
      <c r="AU186" s="27" t="n"/>
      <c r="AV186" s="27" t="n"/>
      <c r="AW186" s="27" t="n"/>
      <c r="AX186" s="27" t="n"/>
      <c r="AY186" s="27" t="n"/>
      <c r="AZ186" s="27" t="n"/>
      <c r="BA186" s="27" t="n"/>
      <c r="BB186" s="27" t="n"/>
      <c r="BC186" s="27" t="n"/>
      <c r="BD186" s="27" t="n"/>
      <c r="BE186" s="27" t="n"/>
      <c r="BF186" s="27" t="n"/>
      <c r="BG186" s="27" t="n"/>
      <c r="BH186" s="27" t="n"/>
      <c r="BI186" s="29" t="n"/>
      <c r="BJ186" s="27" t="n"/>
      <c r="BK186" s="27" t="n"/>
      <c r="BL186" s="27" t="n"/>
      <c r="BM186" s="27" t="n"/>
    </row>
    <row r="187">
      <c r="A187" s="27" t="n"/>
      <c r="B187" s="27" t="n"/>
      <c r="C187" s="28">
        <f>IF(A187="","",$B$2)</f>
        <v/>
      </c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  <c r="AA187" s="27" t="n"/>
      <c r="AB187" s="27" t="n"/>
      <c r="AC187" s="27" t="n"/>
      <c r="AD187" s="27" t="n"/>
      <c r="AE187" s="27" t="n"/>
      <c r="AF187" s="27" t="n"/>
      <c r="AG187" s="27" t="n"/>
      <c r="AH187" s="27" t="n"/>
      <c r="AI187" s="27" t="n"/>
      <c r="AJ187" s="27" t="n"/>
      <c r="AK187" s="27" t="n"/>
      <c r="AL187" s="27" t="n"/>
      <c r="AM187" s="27" t="n"/>
      <c r="AN187" s="27" t="n"/>
      <c r="AO187" s="27" t="n"/>
      <c r="AP187" s="27" t="n"/>
      <c r="AQ187" s="27" t="n"/>
      <c r="AR187" s="27" t="n"/>
      <c r="AS187" s="27" t="n"/>
      <c r="AT187" s="27" t="n"/>
      <c r="AU187" s="27" t="n"/>
      <c r="AV187" s="27" t="n"/>
      <c r="AW187" s="27" t="n"/>
      <c r="AX187" s="27" t="n"/>
      <c r="AY187" s="27" t="n"/>
      <c r="AZ187" s="27" t="n"/>
      <c r="BA187" s="27" t="n"/>
      <c r="BB187" s="27" t="n"/>
      <c r="BC187" s="27" t="n"/>
      <c r="BD187" s="27" t="n"/>
      <c r="BE187" s="27" t="n"/>
      <c r="BF187" s="27" t="n"/>
      <c r="BG187" s="27" t="n"/>
      <c r="BH187" s="27" t="n"/>
      <c r="BI187" s="29" t="n"/>
      <c r="BJ187" s="27" t="n"/>
      <c r="BK187" s="27" t="n"/>
      <c r="BL187" s="27" t="n"/>
      <c r="BM187" s="27" t="n"/>
    </row>
    <row r="188">
      <c r="A188" s="27" t="n"/>
      <c r="B188" s="27" t="n"/>
      <c r="C188" s="28">
        <f>IF(A188="","",$B$2)</f>
        <v/>
      </c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  <c r="AA188" s="27" t="n"/>
      <c r="AB188" s="27" t="n"/>
      <c r="AC188" s="27" t="n"/>
      <c r="AD188" s="27" t="n"/>
      <c r="AE188" s="27" t="n"/>
      <c r="AF188" s="27" t="n"/>
      <c r="AG188" s="27" t="n"/>
      <c r="AH188" s="27" t="n"/>
      <c r="AI188" s="27" t="n"/>
      <c r="AJ188" s="27" t="n"/>
      <c r="AK188" s="27" t="n"/>
      <c r="AL188" s="27" t="n"/>
      <c r="AM188" s="27" t="n"/>
      <c r="AN188" s="27" t="n"/>
      <c r="AO188" s="27" t="n"/>
      <c r="AP188" s="27" t="n"/>
      <c r="AQ188" s="27" t="n"/>
      <c r="AR188" s="27" t="n"/>
      <c r="AS188" s="27" t="n"/>
      <c r="AT188" s="27" t="n"/>
      <c r="AU188" s="27" t="n"/>
      <c r="AV188" s="27" t="n"/>
      <c r="AW188" s="27" t="n"/>
      <c r="AX188" s="27" t="n"/>
      <c r="AY188" s="27" t="n"/>
      <c r="AZ188" s="27" t="n"/>
      <c r="BA188" s="27" t="n"/>
      <c r="BB188" s="27" t="n"/>
      <c r="BC188" s="27" t="n"/>
      <c r="BD188" s="27" t="n"/>
      <c r="BE188" s="27" t="n"/>
      <c r="BF188" s="27" t="n"/>
      <c r="BG188" s="27" t="n"/>
      <c r="BH188" s="27" t="n"/>
      <c r="BI188" s="29" t="n"/>
      <c r="BJ188" s="27" t="n"/>
      <c r="BK188" s="27" t="n"/>
      <c r="BL188" s="27" t="n"/>
      <c r="BM188" s="27" t="n"/>
    </row>
    <row r="189">
      <c r="A189" s="27" t="n"/>
      <c r="B189" s="27" t="n"/>
      <c r="C189" s="28">
        <f>IF(A189="","",$B$2)</f>
        <v/>
      </c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  <c r="AA189" s="27" t="n"/>
      <c r="AB189" s="27" t="n"/>
      <c r="AC189" s="27" t="n"/>
      <c r="AD189" s="27" t="n"/>
      <c r="AE189" s="27" t="n"/>
      <c r="AF189" s="27" t="n"/>
      <c r="AG189" s="27" t="n"/>
      <c r="AH189" s="27" t="n"/>
      <c r="AI189" s="27" t="n"/>
      <c r="AJ189" s="27" t="n"/>
      <c r="AK189" s="27" t="n"/>
      <c r="AL189" s="27" t="n"/>
      <c r="AM189" s="27" t="n"/>
      <c r="AN189" s="27" t="n"/>
      <c r="AO189" s="27" t="n"/>
      <c r="AP189" s="27" t="n"/>
      <c r="AQ189" s="27" t="n"/>
      <c r="AR189" s="27" t="n"/>
      <c r="AS189" s="27" t="n"/>
      <c r="AT189" s="27" t="n"/>
      <c r="AU189" s="27" t="n"/>
      <c r="AV189" s="27" t="n"/>
      <c r="AW189" s="27" t="n"/>
      <c r="AX189" s="27" t="n"/>
      <c r="AY189" s="27" t="n"/>
      <c r="AZ189" s="27" t="n"/>
      <c r="BA189" s="27" t="n"/>
      <c r="BB189" s="27" t="n"/>
      <c r="BC189" s="27" t="n"/>
      <c r="BD189" s="27" t="n"/>
      <c r="BE189" s="27" t="n"/>
      <c r="BF189" s="27" t="n"/>
      <c r="BG189" s="27" t="n"/>
      <c r="BH189" s="27" t="n"/>
      <c r="BI189" s="29" t="n"/>
      <c r="BJ189" s="27" t="n"/>
      <c r="BK189" s="27" t="n"/>
      <c r="BL189" s="27" t="n"/>
      <c r="BM189" s="27" t="n"/>
    </row>
    <row r="190">
      <c r="A190" s="27" t="n"/>
      <c r="B190" s="27" t="n"/>
      <c r="C190" s="28">
        <f>IF(A190="","",$B$2)</f>
        <v/>
      </c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  <c r="AA190" s="27" t="n"/>
      <c r="AB190" s="27" t="n"/>
      <c r="AC190" s="27" t="n"/>
      <c r="AD190" s="27" t="n"/>
      <c r="AE190" s="27" t="n"/>
      <c r="AF190" s="27" t="n"/>
      <c r="AG190" s="27" t="n"/>
      <c r="AH190" s="27" t="n"/>
      <c r="AI190" s="27" t="n"/>
      <c r="AJ190" s="27" t="n"/>
      <c r="AK190" s="27" t="n"/>
      <c r="AL190" s="27" t="n"/>
      <c r="AM190" s="27" t="n"/>
      <c r="AN190" s="27" t="n"/>
      <c r="AO190" s="27" t="n"/>
      <c r="AP190" s="27" t="n"/>
      <c r="AQ190" s="27" t="n"/>
      <c r="AR190" s="27" t="n"/>
      <c r="AS190" s="27" t="n"/>
      <c r="AT190" s="27" t="n"/>
      <c r="AU190" s="27" t="n"/>
      <c r="AV190" s="27" t="n"/>
      <c r="AW190" s="27" t="n"/>
      <c r="AX190" s="27" t="n"/>
      <c r="AY190" s="27" t="n"/>
      <c r="AZ190" s="27" t="n"/>
      <c r="BA190" s="27" t="n"/>
      <c r="BB190" s="27" t="n"/>
      <c r="BC190" s="27" t="n"/>
      <c r="BD190" s="27" t="n"/>
      <c r="BE190" s="27" t="n"/>
      <c r="BF190" s="27" t="n"/>
      <c r="BG190" s="27" t="n"/>
      <c r="BH190" s="27" t="n"/>
      <c r="BI190" s="29" t="n"/>
      <c r="BJ190" s="27" t="n"/>
      <c r="BK190" s="27" t="n"/>
      <c r="BL190" s="27" t="n"/>
      <c r="BM190" s="27" t="n"/>
    </row>
    <row r="191">
      <c r="A191" s="27" t="n"/>
      <c r="B191" s="27" t="n"/>
      <c r="C191" s="28">
        <f>IF(A191="","",$B$2)</f>
        <v/>
      </c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  <c r="AA191" s="27" t="n"/>
      <c r="AB191" s="27" t="n"/>
      <c r="AC191" s="27" t="n"/>
      <c r="AD191" s="27" t="n"/>
      <c r="AE191" s="27" t="n"/>
      <c r="AF191" s="27" t="n"/>
      <c r="AG191" s="27" t="n"/>
      <c r="AH191" s="27" t="n"/>
      <c r="AI191" s="27" t="n"/>
      <c r="AJ191" s="27" t="n"/>
      <c r="AK191" s="27" t="n"/>
      <c r="AL191" s="27" t="n"/>
      <c r="AM191" s="27" t="n"/>
      <c r="AN191" s="27" t="n"/>
      <c r="AO191" s="27" t="n"/>
      <c r="AP191" s="27" t="n"/>
      <c r="AQ191" s="27" t="n"/>
      <c r="AR191" s="27" t="n"/>
      <c r="AS191" s="27" t="n"/>
      <c r="AT191" s="27" t="n"/>
      <c r="AU191" s="27" t="n"/>
      <c r="AV191" s="27" t="n"/>
      <c r="AW191" s="27" t="n"/>
      <c r="AX191" s="27" t="n"/>
      <c r="AY191" s="27" t="n"/>
      <c r="AZ191" s="27" t="n"/>
      <c r="BA191" s="27" t="n"/>
      <c r="BB191" s="27" t="n"/>
      <c r="BC191" s="27" t="n"/>
      <c r="BD191" s="27" t="n"/>
      <c r="BE191" s="27" t="n"/>
      <c r="BF191" s="27" t="n"/>
      <c r="BG191" s="27" t="n"/>
      <c r="BH191" s="27" t="n"/>
      <c r="BI191" s="29" t="n"/>
      <c r="BJ191" s="27" t="n"/>
      <c r="BK191" s="27" t="n"/>
      <c r="BL191" s="27" t="n"/>
      <c r="BM191" s="27" t="n"/>
    </row>
    <row r="192">
      <c r="A192" s="27" t="n"/>
      <c r="B192" s="27" t="n"/>
      <c r="C192" s="28">
        <f>IF(A192="","",$B$2)</f>
        <v/>
      </c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  <c r="AA192" s="27" t="n"/>
      <c r="AB192" s="27" t="n"/>
      <c r="AC192" s="27" t="n"/>
      <c r="AD192" s="27" t="n"/>
      <c r="AE192" s="27" t="n"/>
      <c r="AF192" s="27" t="n"/>
      <c r="AG192" s="27" t="n"/>
      <c r="AH192" s="27" t="n"/>
      <c r="AI192" s="27" t="n"/>
      <c r="AJ192" s="27" t="n"/>
      <c r="AK192" s="27" t="n"/>
      <c r="AL192" s="27" t="n"/>
      <c r="AM192" s="27" t="n"/>
      <c r="AN192" s="27" t="n"/>
      <c r="AO192" s="27" t="n"/>
      <c r="AP192" s="27" t="n"/>
      <c r="AQ192" s="27" t="n"/>
      <c r="AR192" s="27" t="n"/>
      <c r="AS192" s="27" t="n"/>
      <c r="AT192" s="27" t="n"/>
      <c r="AU192" s="27" t="n"/>
      <c r="AV192" s="27" t="n"/>
      <c r="AW192" s="27" t="n"/>
      <c r="AX192" s="27" t="n"/>
      <c r="AY192" s="27" t="n"/>
      <c r="AZ192" s="27" t="n"/>
      <c r="BA192" s="27" t="n"/>
      <c r="BB192" s="27" t="n"/>
      <c r="BC192" s="27" t="n"/>
      <c r="BD192" s="27" t="n"/>
      <c r="BE192" s="27" t="n"/>
      <c r="BF192" s="27" t="n"/>
      <c r="BG192" s="27" t="n"/>
      <c r="BH192" s="27" t="n"/>
      <c r="BI192" s="29" t="n"/>
      <c r="BJ192" s="27" t="n"/>
      <c r="BK192" s="27" t="n"/>
      <c r="BL192" s="27" t="n"/>
      <c r="BM192" s="27" t="n"/>
    </row>
    <row r="193">
      <c r="A193" s="27" t="n"/>
      <c r="B193" s="27" t="n"/>
      <c r="C193" s="28">
        <f>IF(A193="","",$B$2)</f>
        <v/>
      </c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  <c r="AA193" s="27" t="n"/>
      <c r="AB193" s="27" t="n"/>
      <c r="AC193" s="27" t="n"/>
      <c r="AD193" s="27" t="n"/>
      <c r="AE193" s="27" t="n"/>
      <c r="AF193" s="27" t="n"/>
      <c r="AG193" s="27" t="n"/>
      <c r="AH193" s="27" t="n"/>
      <c r="AI193" s="27" t="n"/>
      <c r="AJ193" s="27" t="n"/>
      <c r="AK193" s="27" t="n"/>
      <c r="AL193" s="27" t="n"/>
      <c r="AM193" s="27" t="n"/>
      <c r="AN193" s="27" t="n"/>
      <c r="AO193" s="27" t="n"/>
      <c r="AP193" s="27" t="n"/>
      <c r="AQ193" s="27" t="n"/>
      <c r="AR193" s="27" t="n"/>
      <c r="AS193" s="27" t="n"/>
      <c r="AT193" s="27" t="n"/>
      <c r="AU193" s="27" t="n"/>
      <c r="AV193" s="27" t="n"/>
      <c r="AW193" s="27" t="n"/>
      <c r="AX193" s="27" t="n"/>
      <c r="AY193" s="27" t="n"/>
      <c r="AZ193" s="27" t="n"/>
      <c r="BA193" s="27" t="n"/>
      <c r="BB193" s="27" t="n"/>
      <c r="BC193" s="27" t="n"/>
      <c r="BD193" s="27" t="n"/>
      <c r="BE193" s="27" t="n"/>
      <c r="BF193" s="27" t="n"/>
      <c r="BG193" s="27" t="n"/>
      <c r="BH193" s="27" t="n"/>
      <c r="BI193" s="29" t="n"/>
      <c r="BJ193" s="27" t="n"/>
      <c r="BK193" s="27" t="n"/>
      <c r="BL193" s="27" t="n"/>
      <c r="BM193" s="27" t="n"/>
    </row>
    <row r="194">
      <c r="A194" s="27" t="n"/>
      <c r="B194" s="27" t="n"/>
      <c r="C194" s="28">
        <f>IF(A194="","",$B$2)</f>
        <v/>
      </c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  <c r="AA194" s="27" t="n"/>
      <c r="AB194" s="27" t="n"/>
      <c r="AC194" s="27" t="n"/>
      <c r="AD194" s="27" t="n"/>
      <c r="AE194" s="27" t="n"/>
      <c r="AF194" s="27" t="n"/>
      <c r="AG194" s="27" t="n"/>
      <c r="AH194" s="27" t="n"/>
      <c r="AI194" s="27" t="n"/>
      <c r="AJ194" s="27" t="n"/>
      <c r="AK194" s="27" t="n"/>
      <c r="AL194" s="27" t="n"/>
      <c r="AM194" s="27" t="n"/>
      <c r="AN194" s="27" t="n"/>
      <c r="AO194" s="27" t="n"/>
      <c r="AP194" s="27" t="n"/>
      <c r="AQ194" s="27" t="n"/>
      <c r="AR194" s="27" t="n"/>
      <c r="AS194" s="27" t="n"/>
      <c r="AT194" s="27" t="n"/>
      <c r="AU194" s="27" t="n"/>
      <c r="AV194" s="27" t="n"/>
      <c r="AW194" s="27" t="n"/>
      <c r="AX194" s="27" t="n"/>
      <c r="AY194" s="27" t="n"/>
      <c r="AZ194" s="27" t="n"/>
      <c r="BA194" s="27" t="n"/>
      <c r="BB194" s="27" t="n"/>
      <c r="BC194" s="27" t="n"/>
      <c r="BD194" s="27" t="n"/>
      <c r="BE194" s="27" t="n"/>
      <c r="BF194" s="27" t="n"/>
      <c r="BG194" s="27" t="n"/>
      <c r="BH194" s="27" t="n"/>
      <c r="BI194" s="29" t="n"/>
      <c r="BJ194" s="27" t="n"/>
      <c r="BK194" s="27" t="n"/>
      <c r="BL194" s="27" t="n"/>
      <c r="BM194" s="27" t="n"/>
    </row>
    <row r="195">
      <c r="A195" s="27" t="n"/>
      <c r="B195" s="27" t="n"/>
      <c r="C195" s="28">
        <f>IF(A195="","",$B$2)</f>
        <v/>
      </c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  <c r="AA195" s="27" t="n"/>
      <c r="AB195" s="27" t="n"/>
      <c r="AC195" s="27" t="n"/>
      <c r="AD195" s="27" t="n"/>
      <c r="AE195" s="27" t="n"/>
      <c r="AF195" s="27" t="n"/>
      <c r="AG195" s="27" t="n"/>
      <c r="AH195" s="27" t="n"/>
      <c r="AI195" s="27" t="n"/>
      <c r="AJ195" s="27" t="n"/>
      <c r="AK195" s="27" t="n"/>
      <c r="AL195" s="27" t="n"/>
      <c r="AM195" s="27" t="n"/>
      <c r="AN195" s="27" t="n"/>
      <c r="AO195" s="27" t="n"/>
      <c r="AP195" s="27" t="n"/>
      <c r="AQ195" s="27" t="n"/>
      <c r="AR195" s="27" t="n"/>
      <c r="AS195" s="27" t="n"/>
      <c r="AT195" s="27" t="n"/>
      <c r="AU195" s="27" t="n"/>
      <c r="AV195" s="27" t="n"/>
      <c r="AW195" s="27" t="n"/>
      <c r="AX195" s="27" t="n"/>
      <c r="AY195" s="27" t="n"/>
      <c r="AZ195" s="27" t="n"/>
      <c r="BA195" s="27" t="n"/>
      <c r="BB195" s="27" t="n"/>
      <c r="BC195" s="27" t="n"/>
      <c r="BD195" s="27" t="n"/>
      <c r="BE195" s="27" t="n"/>
      <c r="BF195" s="27" t="n"/>
      <c r="BG195" s="27" t="n"/>
      <c r="BH195" s="27" t="n"/>
      <c r="BI195" s="29" t="n"/>
      <c r="BJ195" s="27" t="n"/>
      <c r="BK195" s="27" t="n"/>
      <c r="BL195" s="27" t="n"/>
      <c r="BM195" s="27" t="n"/>
    </row>
    <row r="196">
      <c r="A196" s="27" t="n"/>
      <c r="B196" s="27" t="n"/>
      <c r="C196" s="28">
        <f>IF(A196="","",$B$2)</f>
        <v/>
      </c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  <c r="AA196" s="27" t="n"/>
      <c r="AB196" s="27" t="n"/>
      <c r="AC196" s="27" t="n"/>
      <c r="AD196" s="27" t="n"/>
      <c r="AE196" s="27" t="n"/>
      <c r="AF196" s="27" t="n"/>
      <c r="AG196" s="27" t="n"/>
      <c r="AH196" s="27" t="n"/>
      <c r="AI196" s="27" t="n"/>
      <c r="AJ196" s="27" t="n"/>
      <c r="AK196" s="27" t="n"/>
      <c r="AL196" s="27" t="n"/>
      <c r="AM196" s="27" t="n"/>
      <c r="AN196" s="27" t="n"/>
      <c r="AO196" s="27" t="n"/>
      <c r="AP196" s="27" t="n"/>
      <c r="AQ196" s="27" t="n"/>
      <c r="AR196" s="27" t="n"/>
      <c r="AS196" s="27" t="n"/>
      <c r="AT196" s="27" t="n"/>
      <c r="AU196" s="27" t="n"/>
      <c r="AV196" s="27" t="n"/>
      <c r="AW196" s="27" t="n"/>
      <c r="AX196" s="27" t="n"/>
      <c r="AY196" s="27" t="n"/>
      <c r="AZ196" s="27" t="n"/>
      <c r="BA196" s="27" t="n"/>
      <c r="BB196" s="27" t="n"/>
      <c r="BC196" s="27" t="n"/>
      <c r="BD196" s="27" t="n"/>
      <c r="BE196" s="27" t="n"/>
      <c r="BF196" s="27" t="n"/>
      <c r="BG196" s="27" t="n"/>
      <c r="BH196" s="27" t="n"/>
      <c r="BI196" s="29" t="n"/>
      <c r="BJ196" s="27" t="n"/>
      <c r="BK196" s="27" t="n"/>
      <c r="BL196" s="27" t="n"/>
      <c r="BM196" s="27" t="n"/>
    </row>
    <row r="197">
      <c r="A197" s="27" t="n"/>
      <c r="B197" s="27" t="n"/>
      <c r="C197" s="28">
        <f>IF(A197="","",$B$2)</f>
        <v/>
      </c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  <c r="AA197" s="27" t="n"/>
      <c r="AB197" s="27" t="n"/>
      <c r="AC197" s="27" t="n"/>
      <c r="AD197" s="27" t="n"/>
      <c r="AE197" s="27" t="n"/>
      <c r="AF197" s="27" t="n"/>
      <c r="AG197" s="27" t="n"/>
      <c r="AH197" s="27" t="n"/>
      <c r="AI197" s="27" t="n"/>
      <c r="AJ197" s="27" t="n"/>
      <c r="AK197" s="27" t="n"/>
      <c r="AL197" s="27" t="n"/>
      <c r="AM197" s="27" t="n"/>
      <c r="AN197" s="27" t="n"/>
      <c r="AO197" s="27" t="n"/>
      <c r="AP197" s="27" t="n"/>
      <c r="AQ197" s="27" t="n"/>
      <c r="AR197" s="27" t="n"/>
      <c r="AS197" s="27" t="n"/>
      <c r="AT197" s="27" t="n"/>
      <c r="AU197" s="27" t="n"/>
      <c r="AV197" s="27" t="n"/>
      <c r="AW197" s="27" t="n"/>
      <c r="AX197" s="27" t="n"/>
      <c r="AY197" s="27" t="n"/>
      <c r="AZ197" s="27" t="n"/>
      <c r="BA197" s="27" t="n"/>
      <c r="BB197" s="27" t="n"/>
      <c r="BC197" s="27" t="n"/>
      <c r="BD197" s="27" t="n"/>
      <c r="BE197" s="27" t="n"/>
      <c r="BF197" s="27" t="n"/>
      <c r="BG197" s="27" t="n"/>
      <c r="BH197" s="27" t="n"/>
      <c r="BI197" s="29" t="n"/>
      <c r="BJ197" s="27" t="n"/>
      <c r="BK197" s="27" t="n"/>
      <c r="BL197" s="27" t="n"/>
      <c r="BM197" s="27" t="n"/>
    </row>
    <row r="198">
      <c r="A198" s="27" t="n"/>
      <c r="B198" s="27" t="n"/>
      <c r="C198" s="28">
        <f>IF(A198="","",$B$2)</f>
        <v/>
      </c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  <c r="AA198" s="27" t="n"/>
      <c r="AB198" s="27" t="n"/>
      <c r="AC198" s="27" t="n"/>
      <c r="AD198" s="27" t="n"/>
      <c r="AE198" s="27" t="n"/>
      <c r="AF198" s="27" t="n"/>
      <c r="AG198" s="27" t="n"/>
      <c r="AH198" s="27" t="n"/>
      <c r="AI198" s="27" t="n"/>
      <c r="AJ198" s="27" t="n"/>
      <c r="AK198" s="27" t="n"/>
      <c r="AL198" s="27" t="n"/>
      <c r="AM198" s="27" t="n"/>
      <c r="AN198" s="27" t="n"/>
      <c r="AO198" s="27" t="n"/>
      <c r="AP198" s="27" t="n"/>
      <c r="AQ198" s="27" t="n"/>
      <c r="AR198" s="27" t="n"/>
      <c r="AS198" s="27" t="n"/>
      <c r="AT198" s="27" t="n"/>
      <c r="AU198" s="27" t="n"/>
      <c r="AV198" s="27" t="n"/>
      <c r="AW198" s="27" t="n"/>
      <c r="AX198" s="27" t="n"/>
      <c r="AY198" s="27" t="n"/>
      <c r="AZ198" s="27" t="n"/>
      <c r="BA198" s="27" t="n"/>
      <c r="BB198" s="27" t="n"/>
      <c r="BC198" s="27" t="n"/>
      <c r="BD198" s="27" t="n"/>
      <c r="BE198" s="27" t="n"/>
      <c r="BF198" s="27" t="n"/>
      <c r="BG198" s="27" t="n"/>
      <c r="BH198" s="27" t="n"/>
      <c r="BI198" s="29" t="n"/>
      <c r="BJ198" s="27" t="n"/>
      <c r="BK198" s="27" t="n"/>
      <c r="BL198" s="27" t="n"/>
      <c r="BM198" s="27" t="n"/>
    </row>
    <row r="199">
      <c r="A199" s="27" t="n"/>
      <c r="B199" s="27" t="n"/>
      <c r="C199" s="28">
        <f>IF(A199="","",$B$2)</f>
        <v/>
      </c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  <c r="AA199" s="27" t="n"/>
      <c r="AB199" s="27" t="n"/>
      <c r="AC199" s="27" t="n"/>
      <c r="AD199" s="27" t="n"/>
      <c r="AE199" s="27" t="n"/>
      <c r="AF199" s="27" t="n"/>
      <c r="AG199" s="27" t="n"/>
      <c r="AH199" s="27" t="n"/>
      <c r="AI199" s="27" t="n"/>
      <c r="AJ199" s="27" t="n"/>
      <c r="AK199" s="27" t="n"/>
      <c r="AL199" s="27" t="n"/>
      <c r="AM199" s="27" t="n"/>
      <c r="AN199" s="27" t="n"/>
      <c r="AO199" s="27" t="n"/>
      <c r="AP199" s="27" t="n"/>
      <c r="AQ199" s="27" t="n"/>
      <c r="AR199" s="27" t="n"/>
      <c r="AS199" s="27" t="n"/>
      <c r="AT199" s="27" t="n"/>
      <c r="AU199" s="27" t="n"/>
      <c r="AV199" s="27" t="n"/>
      <c r="AW199" s="27" t="n"/>
      <c r="AX199" s="27" t="n"/>
      <c r="AY199" s="27" t="n"/>
      <c r="AZ199" s="27" t="n"/>
      <c r="BA199" s="27" t="n"/>
      <c r="BB199" s="27" t="n"/>
      <c r="BC199" s="27" t="n"/>
      <c r="BD199" s="27" t="n"/>
      <c r="BE199" s="27" t="n"/>
      <c r="BF199" s="27" t="n"/>
      <c r="BG199" s="27" t="n"/>
      <c r="BH199" s="27" t="n"/>
      <c r="BI199" s="29" t="n"/>
      <c r="BJ199" s="27" t="n"/>
      <c r="BK199" s="27" t="n"/>
      <c r="BL199" s="27" t="n"/>
      <c r="BM199" s="27" t="n"/>
    </row>
    <row r="200">
      <c r="A200" s="27" t="n"/>
      <c r="B200" s="27" t="n"/>
      <c r="C200" s="28">
        <f>IF(A200="","",$B$2)</f>
        <v/>
      </c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  <c r="AA200" s="27" t="n"/>
      <c r="AB200" s="27" t="n"/>
      <c r="AC200" s="27" t="n"/>
      <c r="AD200" s="27" t="n"/>
      <c r="AE200" s="27" t="n"/>
      <c r="AF200" s="27" t="n"/>
      <c r="AG200" s="27" t="n"/>
      <c r="AH200" s="27" t="n"/>
      <c r="AI200" s="27" t="n"/>
      <c r="AJ200" s="27" t="n"/>
      <c r="AK200" s="27" t="n"/>
      <c r="AL200" s="27" t="n"/>
      <c r="AM200" s="27" t="n"/>
      <c r="AN200" s="27" t="n"/>
      <c r="AO200" s="27" t="n"/>
      <c r="AP200" s="27" t="n"/>
      <c r="AQ200" s="27" t="n"/>
      <c r="AR200" s="27" t="n"/>
      <c r="AS200" s="27" t="n"/>
      <c r="AT200" s="27" t="n"/>
      <c r="AU200" s="27" t="n"/>
      <c r="AV200" s="27" t="n"/>
      <c r="AW200" s="27" t="n"/>
      <c r="AX200" s="27" t="n"/>
      <c r="AY200" s="27" t="n"/>
      <c r="AZ200" s="27" t="n"/>
      <c r="BA200" s="27" t="n"/>
      <c r="BB200" s="27" t="n"/>
      <c r="BC200" s="27" t="n"/>
      <c r="BD200" s="27" t="n"/>
      <c r="BE200" s="27" t="n"/>
      <c r="BF200" s="27" t="n"/>
      <c r="BG200" s="27" t="n"/>
      <c r="BH200" s="27" t="n"/>
      <c r="BI200" s="29" t="n"/>
      <c r="BJ200" s="27" t="n"/>
      <c r="BK200" s="27" t="n"/>
      <c r="BL200" s="27" t="n"/>
      <c r="BM200" s="27" t="n"/>
    </row>
    <row r="201">
      <c r="A201" s="27" t="n"/>
      <c r="B201" s="27" t="n"/>
      <c r="C201" s="28">
        <f>IF(A201="","",$B$2)</f>
        <v/>
      </c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  <c r="AA201" s="27" t="n"/>
      <c r="AB201" s="27" t="n"/>
      <c r="AC201" s="27" t="n"/>
      <c r="AD201" s="27" t="n"/>
      <c r="AE201" s="27" t="n"/>
      <c r="AF201" s="27" t="n"/>
      <c r="AG201" s="27" t="n"/>
      <c r="AH201" s="27" t="n"/>
      <c r="AI201" s="27" t="n"/>
      <c r="AJ201" s="27" t="n"/>
      <c r="AK201" s="27" t="n"/>
      <c r="AL201" s="27" t="n"/>
      <c r="AM201" s="27" t="n"/>
      <c r="AN201" s="27" t="n"/>
      <c r="AO201" s="27" t="n"/>
      <c r="AP201" s="27" t="n"/>
      <c r="AQ201" s="27" t="n"/>
      <c r="AR201" s="27" t="n"/>
      <c r="AS201" s="27" t="n"/>
      <c r="AT201" s="27" t="n"/>
      <c r="AU201" s="27" t="n"/>
      <c r="AV201" s="27" t="n"/>
      <c r="AW201" s="27" t="n"/>
      <c r="AX201" s="27" t="n"/>
      <c r="AY201" s="27" t="n"/>
      <c r="AZ201" s="27" t="n"/>
      <c r="BA201" s="27" t="n"/>
      <c r="BB201" s="27" t="n"/>
      <c r="BC201" s="27" t="n"/>
      <c r="BD201" s="27" t="n"/>
      <c r="BE201" s="27" t="n"/>
      <c r="BF201" s="27" t="n"/>
      <c r="BG201" s="27" t="n"/>
      <c r="BH201" s="27" t="n"/>
      <c r="BI201" s="29" t="n"/>
      <c r="BJ201" s="27" t="n"/>
      <c r="BK201" s="27" t="n"/>
      <c r="BL201" s="27" t="n"/>
      <c r="BM201" s="27" t="n"/>
    </row>
    <row r="202">
      <c r="A202" s="27" t="n"/>
      <c r="B202" s="27" t="n"/>
      <c r="C202" s="28">
        <f>IF(A202="","",$B$2)</f>
        <v/>
      </c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  <c r="AA202" s="27" t="n"/>
      <c r="AB202" s="27" t="n"/>
      <c r="AC202" s="27" t="n"/>
      <c r="AD202" s="27" t="n"/>
      <c r="AE202" s="27" t="n"/>
      <c r="AF202" s="27" t="n"/>
      <c r="AG202" s="27" t="n"/>
      <c r="AH202" s="27" t="n"/>
      <c r="AI202" s="27" t="n"/>
      <c r="AJ202" s="27" t="n"/>
      <c r="AK202" s="27" t="n"/>
      <c r="AL202" s="27" t="n"/>
      <c r="AM202" s="27" t="n"/>
      <c r="AN202" s="27" t="n"/>
      <c r="AO202" s="27" t="n"/>
      <c r="AP202" s="27" t="n"/>
      <c r="AQ202" s="27" t="n"/>
      <c r="AR202" s="27" t="n"/>
      <c r="AS202" s="27" t="n"/>
      <c r="AT202" s="27" t="n"/>
      <c r="AU202" s="27" t="n"/>
      <c r="AV202" s="27" t="n"/>
      <c r="AW202" s="27" t="n"/>
      <c r="AX202" s="27" t="n"/>
      <c r="AY202" s="27" t="n"/>
      <c r="AZ202" s="27" t="n"/>
      <c r="BA202" s="27" t="n"/>
      <c r="BB202" s="27" t="n"/>
      <c r="BC202" s="27" t="n"/>
      <c r="BD202" s="27" t="n"/>
      <c r="BE202" s="27" t="n"/>
      <c r="BF202" s="27" t="n"/>
      <c r="BG202" s="27" t="n"/>
      <c r="BH202" s="27" t="n"/>
      <c r="BI202" s="29" t="n"/>
      <c r="BJ202" s="27" t="n"/>
      <c r="BK202" s="27" t="n"/>
      <c r="BL202" s="27" t="n"/>
      <c r="BM202" s="27" t="n"/>
    </row>
    <row r="203">
      <c r="A203" s="27" t="n"/>
      <c r="B203" s="27" t="n"/>
      <c r="C203" s="28">
        <f>IF(A203="","",$B$2)</f>
        <v/>
      </c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  <c r="AA203" s="27" t="n"/>
      <c r="AB203" s="27" t="n"/>
      <c r="AC203" s="27" t="n"/>
      <c r="AD203" s="27" t="n"/>
      <c r="AE203" s="27" t="n"/>
      <c r="AF203" s="27" t="n"/>
      <c r="AG203" s="27" t="n"/>
      <c r="AH203" s="27" t="n"/>
      <c r="AI203" s="27" t="n"/>
      <c r="AJ203" s="27" t="n"/>
      <c r="AK203" s="27" t="n"/>
      <c r="AL203" s="27" t="n"/>
      <c r="AM203" s="27" t="n"/>
      <c r="AN203" s="27" t="n"/>
      <c r="AO203" s="27" t="n"/>
      <c r="AP203" s="27" t="n"/>
      <c r="AQ203" s="27" t="n"/>
      <c r="AR203" s="27" t="n"/>
      <c r="AS203" s="27" t="n"/>
      <c r="AT203" s="27" t="n"/>
      <c r="AU203" s="27" t="n"/>
      <c r="AV203" s="27" t="n"/>
      <c r="AW203" s="27" t="n"/>
      <c r="AX203" s="27" t="n"/>
      <c r="AY203" s="27" t="n"/>
      <c r="AZ203" s="27" t="n"/>
      <c r="BA203" s="27" t="n"/>
      <c r="BB203" s="27" t="n"/>
      <c r="BC203" s="27" t="n"/>
      <c r="BD203" s="27" t="n"/>
      <c r="BE203" s="27" t="n"/>
      <c r="BF203" s="27" t="n"/>
      <c r="BG203" s="27" t="n"/>
      <c r="BH203" s="27" t="n"/>
      <c r="BI203" s="29" t="n"/>
      <c r="BJ203" s="27" t="n"/>
      <c r="BK203" s="27" t="n"/>
      <c r="BL203" s="27" t="n"/>
      <c r="BM203" s="27" t="n"/>
    </row>
    <row r="204">
      <c r="A204" s="27" t="n"/>
      <c r="B204" s="27" t="n"/>
      <c r="C204" s="28">
        <f>IF(A204="","",$B$2)</f>
        <v/>
      </c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  <c r="AA204" s="27" t="n"/>
      <c r="AB204" s="27" t="n"/>
      <c r="AC204" s="27" t="n"/>
      <c r="AD204" s="27" t="n"/>
      <c r="AE204" s="27" t="n"/>
      <c r="AF204" s="27" t="n"/>
      <c r="AG204" s="27" t="n"/>
      <c r="AH204" s="27" t="n"/>
      <c r="AI204" s="27" t="n"/>
      <c r="AJ204" s="27" t="n"/>
      <c r="AK204" s="27" t="n"/>
      <c r="AL204" s="27" t="n"/>
      <c r="AM204" s="27" t="n"/>
      <c r="AN204" s="27" t="n"/>
      <c r="AO204" s="27" t="n"/>
      <c r="AP204" s="27" t="n"/>
      <c r="AQ204" s="27" t="n"/>
      <c r="AR204" s="27" t="n"/>
      <c r="AS204" s="27" t="n"/>
      <c r="AT204" s="27" t="n"/>
      <c r="AU204" s="27" t="n"/>
      <c r="AV204" s="27" t="n"/>
      <c r="AW204" s="27" t="n"/>
      <c r="AX204" s="27" t="n"/>
      <c r="AY204" s="27" t="n"/>
      <c r="AZ204" s="27" t="n"/>
      <c r="BA204" s="27" t="n"/>
      <c r="BB204" s="27" t="n"/>
      <c r="BC204" s="27" t="n"/>
      <c r="BD204" s="27" t="n"/>
      <c r="BE204" s="27" t="n"/>
      <c r="BF204" s="27" t="n"/>
      <c r="BG204" s="27" t="n"/>
      <c r="BH204" s="27" t="n"/>
      <c r="BI204" s="29" t="n"/>
      <c r="BJ204" s="27" t="n"/>
      <c r="BK204" s="27" t="n"/>
      <c r="BL204" s="27" t="n"/>
      <c r="BM204" s="27" t="n"/>
    </row>
    <row r="205">
      <c r="A205" s="27" t="n"/>
      <c r="B205" s="27" t="n"/>
      <c r="C205" s="28">
        <f>IF(A205="","",$B$2)</f>
        <v/>
      </c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  <c r="AA205" s="27" t="n"/>
      <c r="AB205" s="27" t="n"/>
      <c r="AC205" s="27" t="n"/>
      <c r="AD205" s="27" t="n"/>
      <c r="AE205" s="27" t="n"/>
      <c r="AF205" s="27" t="n"/>
      <c r="AG205" s="27" t="n"/>
      <c r="AH205" s="27" t="n"/>
      <c r="AI205" s="27" t="n"/>
      <c r="AJ205" s="27" t="n"/>
      <c r="AK205" s="27" t="n"/>
      <c r="AL205" s="27" t="n"/>
      <c r="AM205" s="27" t="n"/>
      <c r="AN205" s="27" t="n"/>
      <c r="AO205" s="27" t="n"/>
      <c r="AP205" s="27" t="n"/>
      <c r="AQ205" s="27" t="n"/>
      <c r="AR205" s="27" t="n"/>
      <c r="AS205" s="27" t="n"/>
      <c r="AT205" s="27" t="n"/>
      <c r="AU205" s="27" t="n"/>
      <c r="AV205" s="27" t="n"/>
      <c r="AW205" s="27" t="n"/>
      <c r="AX205" s="27" t="n"/>
      <c r="AY205" s="27" t="n"/>
      <c r="AZ205" s="27" t="n"/>
      <c r="BA205" s="27" t="n"/>
      <c r="BB205" s="27" t="n"/>
      <c r="BC205" s="27" t="n"/>
      <c r="BD205" s="27" t="n"/>
      <c r="BE205" s="27" t="n"/>
      <c r="BF205" s="27" t="n"/>
      <c r="BG205" s="27" t="n"/>
      <c r="BH205" s="27" t="n"/>
      <c r="BI205" s="29" t="n"/>
      <c r="BJ205" s="27" t="n"/>
      <c r="BK205" s="27" t="n"/>
      <c r="BL205" s="27" t="n"/>
      <c r="BM205" s="27" t="n"/>
    </row>
  </sheetData>
  <autoFilter ref="A5:BM205"/>
  <mergeCells count="21">
    <mergeCell ref="BH4:BH5"/>
    <mergeCell ref="C4:C5"/>
    <mergeCell ref="E4:E5"/>
    <mergeCell ref="BE4:BE5"/>
    <mergeCell ref="BG4:BG5"/>
    <mergeCell ref="BK4:BK5"/>
    <mergeCell ref="A3:F3"/>
    <mergeCell ref="D4:D5"/>
    <mergeCell ref="BE3:BH3"/>
    <mergeCell ref="BF4:BF5"/>
    <mergeCell ref="BL4:BL5"/>
    <mergeCell ref="BI3:BM3"/>
    <mergeCell ref="A4:A5"/>
    <mergeCell ref="BO4:DN4"/>
    <mergeCell ref="BI4:BI5"/>
    <mergeCell ref="BM4:BM5"/>
    <mergeCell ref="G3:BD3"/>
    <mergeCell ref="B4:B5"/>
    <mergeCell ref="F4:F5"/>
    <mergeCell ref="BJ4:BJ5"/>
    <mergeCell ref="B2:D2"/>
  </mergeCells>
  <dataValidations count="56">
    <dataValidation sqref="G6:G205" showDropDown="0" showInputMessage="0" showErrorMessage="0" allowBlank="1" type="list">
      <formula1>'テストケース3'!$BO$6:$BO$15</formula1>
    </dataValidation>
    <dataValidation sqref="H6:H205" showDropDown="0" showInputMessage="0" showErrorMessage="0" allowBlank="1" type="list">
      <formula1>'テストケース3'!$BP$6:$BP$15</formula1>
    </dataValidation>
    <dataValidation sqref="I6:I205" showDropDown="0" showInputMessage="0" showErrorMessage="0" allowBlank="1" type="list">
      <formula1>'テストケース3'!$BQ$6:$BQ$15</formula1>
    </dataValidation>
    <dataValidation sqref="J6:J205" showDropDown="0" showInputMessage="0" showErrorMessage="0" allowBlank="1" type="list">
      <formula1>'テストケース3'!$BR$6:$BR$15</formula1>
    </dataValidation>
    <dataValidation sqref="K6:K205" showDropDown="0" showInputMessage="0" showErrorMessage="0" allowBlank="1" type="list">
      <formula1>'テストケース3'!$BS$6:$BS$15</formula1>
    </dataValidation>
    <dataValidation sqref="L6:L205" showDropDown="0" showInputMessage="0" showErrorMessage="0" allowBlank="1" type="list">
      <formula1>'テストケース3'!$BT$6:$BT$15</formula1>
    </dataValidation>
    <dataValidation sqref="M6:M205" showDropDown="0" showInputMessage="0" showErrorMessage="0" allowBlank="1" type="list">
      <formula1>'テストケース3'!$BU$6:$BU$15</formula1>
    </dataValidation>
    <dataValidation sqref="N6:N205" showDropDown="0" showInputMessage="0" showErrorMessage="0" allowBlank="1" type="list">
      <formula1>'テストケース3'!$BV$6:$BV$15</formula1>
    </dataValidation>
    <dataValidation sqref="O6:O205" showDropDown="0" showInputMessage="0" showErrorMessage="0" allowBlank="1" type="list">
      <formula1>'テストケース3'!$BW$6:$BW$15</formula1>
    </dataValidation>
    <dataValidation sqref="P6:P205" showDropDown="0" showInputMessage="0" showErrorMessage="0" allowBlank="1" type="list">
      <formula1>'テストケース3'!$BX$6:$BX$15</formula1>
    </dataValidation>
    <dataValidation sqref="Q6:Q205" showDropDown="0" showInputMessage="0" showErrorMessage="0" allowBlank="1" type="list">
      <formula1>'テストケース3'!$BY$6:$BY$15</formula1>
    </dataValidation>
    <dataValidation sqref="R6:R205" showDropDown="0" showInputMessage="0" showErrorMessage="0" allowBlank="1" type="list">
      <formula1>'テストケース3'!$BZ$6:$BZ$15</formula1>
    </dataValidation>
    <dataValidation sqref="S6:S205" showDropDown="0" showInputMessage="0" showErrorMessage="0" allowBlank="1" type="list">
      <formula1>'テストケース3'!$CA$6:$CA$15</formula1>
    </dataValidation>
    <dataValidation sqref="T6:T205" showDropDown="0" showInputMessage="0" showErrorMessage="0" allowBlank="1" type="list">
      <formula1>'テストケース3'!$CB$6:$CB$15</formula1>
    </dataValidation>
    <dataValidation sqref="U6:U205" showDropDown="0" showInputMessage="0" showErrorMessage="0" allowBlank="1" type="list">
      <formula1>'テストケース3'!$CC$6:$CC$15</formula1>
    </dataValidation>
    <dataValidation sqref="V6:V205" showDropDown="0" showInputMessage="0" showErrorMessage="0" allowBlank="1" type="list">
      <formula1>'テストケース3'!$CD$6:$CD$15</formula1>
    </dataValidation>
    <dataValidation sqref="W6:W205" showDropDown="0" showInputMessage="0" showErrorMessage="0" allowBlank="1" type="list">
      <formula1>'テストケース3'!$CE$6:$CE$15</formula1>
    </dataValidation>
    <dataValidation sqref="X6:X205" showDropDown="0" showInputMessage="0" showErrorMessage="0" allowBlank="1" type="list">
      <formula1>'テストケース3'!$CF$6:$CF$15</formula1>
    </dataValidation>
    <dataValidation sqref="Y6:Y205" showDropDown="0" showInputMessage="0" showErrorMessage="0" allowBlank="1" type="list">
      <formula1>'テストケース3'!$CG$6:$CG$15</formula1>
    </dataValidation>
    <dataValidation sqref="Z6:Z205" showDropDown="0" showInputMessage="0" showErrorMessage="0" allowBlank="1" type="list">
      <formula1>'テストケース3'!$CH$6:$CH$15</formula1>
    </dataValidation>
    <dataValidation sqref="AA6:AA205" showDropDown="0" showInputMessage="0" showErrorMessage="0" allowBlank="1" type="list">
      <formula1>'テストケース3'!$CI$6:$CI$15</formula1>
    </dataValidation>
    <dataValidation sqref="AB6:AB205" showDropDown="0" showInputMessage="0" showErrorMessage="0" allowBlank="1" type="list">
      <formula1>'テストケース3'!$CJ$6:$CJ$15</formula1>
    </dataValidation>
    <dataValidation sqref="AC6:AC205" showDropDown="0" showInputMessage="0" showErrorMessage="0" allowBlank="1" type="list">
      <formula1>'テストケース3'!$CK$6:$CK$15</formula1>
    </dataValidation>
    <dataValidation sqref="AD6:AD205" showDropDown="0" showInputMessage="0" showErrorMessage="0" allowBlank="1" type="list">
      <formula1>'テストケース3'!$CL$6:$CL$15</formula1>
    </dataValidation>
    <dataValidation sqref="AE6:AE205" showDropDown="0" showInputMessage="0" showErrorMessage="0" allowBlank="1" type="list">
      <formula1>'テストケース3'!$CM$6:$CM$15</formula1>
    </dataValidation>
    <dataValidation sqref="AF6:AF205" showDropDown="0" showInputMessage="0" showErrorMessage="0" allowBlank="1" type="list">
      <formula1>'テストケース3'!$CN$6:$CN$15</formula1>
    </dataValidation>
    <dataValidation sqref="AG6:AG205" showDropDown="0" showInputMessage="0" showErrorMessage="0" allowBlank="1" type="list">
      <formula1>'テストケース3'!$CO$6:$CO$15</formula1>
    </dataValidation>
    <dataValidation sqref="AH6:AH205" showDropDown="0" showInputMessage="0" showErrorMessage="0" allowBlank="1" type="list">
      <formula1>'テストケース3'!$CP$6:$CP$15</formula1>
    </dataValidation>
    <dataValidation sqref="AI6:AI205" showDropDown="0" showInputMessage="0" showErrorMessage="0" allowBlank="1" type="list">
      <formula1>'テストケース3'!$CQ$6:$CQ$15</formula1>
    </dataValidation>
    <dataValidation sqref="AJ6:AJ205" showDropDown="0" showInputMessage="0" showErrorMessage="0" allowBlank="1" type="list">
      <formula1>'テストケース3'!$CR$6:$CR$15</formula1>
    </dataValidation>
    <dataValidation sqref="AK6:AK205" showDropDown="0" showInputMessage="0" showErrorMessage="0" allowBlank="1" type="list">
      <formula1>'テストケース3'!$CS$6:$CS$15</formula1>
    </dataValidation>
    <dataValidation sqref="AL6:AL205" showDropDown="0" showInputMessage="0" showErrorMessage="0" allowBlank="1" type="list">
      <formula1>'テストケース3'!$CT$6:$CT$15</formula1>
    </dataValidation>
    <dataValidation sqref="AM6:AM205" showDropDown="0" showInputMessage="0" showErrorMessage="0" allowBlank="1" type="list">
      <formula1>'テストケース3'!$CU$6:$CU$15</formula1>
    </dataValidation>
    <dataValidation sqref="AN6:AN205" showDropDown="0" showInputMessage="0" showErrorMessage="0" allowBlank="1" type="list">
      <formula1>'テストケース3'!$CV$6:$CV$15</formula1>
    </dataValidation>
    <dataValidation sqref="AO6:AO205" showDropDown="0" showInputMessage="0" showErrorMessage="0" allowBlank="1" type="list">
      <formula1>'テストケース3'!$CW$6:$CW$15</formula1>
    </dataValidation>
    <dataValidation sqref="AP6:AP205" showDropDown="0" showInputMessage="0" showErrorMessage="0" allowBlank="1" type="list">
      <formula1>'テストケース3'!$CX$6:$CX$15</formula1>
    </dataValidation>
    <dataValidation sqref="AQ6:AQ205" showDropDown="0" showInputMessage="0" showErrorMessage="0" allowBlank="1" type="list">
      <formula1>'テストケース3'!$CY$6:$CY$15</formula1>
    </dataValidation>
    <dataValidation sqref="AR6:AR205" showDropDown="0" showInputMessage="0" showErrorMessage="0" allowBlank="1" type="list">
      <formula1>'テストケース3'!$CZ$6:$CZ$15</formula1>
    </dataValidation>
    <dataValidation sqref="AS6:AS205" showDropDown="0" showInputMessage="0" showErrorMessage="0" allowBlank="1" type="list">
      <formula1>'テストケース3'!$DA$6:$DA$15</formula1>
    </dataValidation>
    <dataValidation sqref="AT6:AT205" showDropDown="0" showInputMessage="0" showErrorMessage="0" allowBlank="1" type="list">
      <formula1>'テストケース3'!$DB$6:$DB$15</formula1>
    </dataValidation>
    <dataValidation sqref="AU6:AU205" showDropDown="0" showInputMessage="0" showErrorMessage="0" allowBlank="1" type="list">
      <formula1>'テストケース3'!$DC$6:$DC$15</formula1>
    </dataValidation>
    <dataValidation sqref="AV6:AV205" showDropDown="0" showInputMessage="0" showErrorMessage="0" allowBlank="1" type="list">
      <formula1>'テストケース3'!$DD$6:$DD$15</formula1>
    </dataValidation>
    <dataValidation sqref="AW6:AW205" showDropDown="0" showInputMessage="0" showErrorMessage="0" allowBlank="1" type="list">
      <formula1>'テストケース3'!$DE$6:$DE$15</formula1>
    </dataValidation>
    <dataValidation sqref="AX6:AX205" showDropDown="0" showInputMessage="0" showErrorMessage="0" allowBlank="1" type="list">
      <formula1>'テストケース3'!$DF$6:$DF$15</formula1>
    </dataValidation>
    <dataValidation sqref="AY6:AY205" showDropDown="0" showInputMessage="0" showErrorMessage="0" allowBlank="1" type="list">
      <formula1>'テストケース3'!$DG$6:$DG$15</formula1>
    </dataValidation>
    <dataValidation sqref="AZ6:AZ205" showDropDown="0" showInputMessage="0" showErrorMessage="0" allowBlank="1" type="list">
      <formula1>'テストケース3'!$DH$6:$DH$15</formula1>
    </dataValidation>
    <dataValidation sqref="BA6:BA205" showDropDown="0" showInputMessage="0" showErrorMessage="0" allowBlank="1" type="list">
      <formula1>'テストケース3'!$DI$6:$DI$15</formula1>
    </dataValidation>
    <dataValidation sqref="BB6:BB205" showDropDown="0" showInputMessage="0" showErrorMessage="0" allowBlank="1" type="list">
      <formula1>'テストケース3'!$DJ$6:$DJ$15</formula1>
    </dataValidation>
    <dataValidation sqref="BC6:BC205" showDropDown="0" showInputMessage="0" showErrorMessage="0" allowBlank="1" type="list">
      <formula1>'テストケース3'!$DK$6:$DK$15</formula1>
    </dataValidation>
    <dataValidation sqref="BD6:BD205" showDropDown="0" showInputMessage="0" showErrorMessage="0" allowBlank="1" type="list">
      <formula1>'テストケース3'!$DL$6:$DL$15</formula1>
    </dataValidation>
    <dataValidation sqref="C6:C205" showDropDown="0" showInputMessage="0" showErrorMessage="0" allowBlank="1" type="list">
      <formula1>'テストケース3'!$DM$6:$DM$35</formula1>
    </dataValidation>
    <dataValidation sqref="B2" showDropDown="0" showInputMessage="0" showErrorMessage="0" allowBlank="1" type="list">
      <formula1>'テストケース3'!$DM$6:$DM$35</formula1>
    </dataValidation>
    <dataValidation sqref="B6:B205" showDropDown="0" showInputMessage="0" showErrorMessage="0" allowBlank="1" type="list">
      <formula1>'テストケース3'!$DN$6:$DN$105</formula1>
    </dataValidation>
    <dataValidation sqref="E6:E205" showDropDown="0" showInputMessage="0" showErrorMessage="0" allowBlank="1" type="list">
      <formula1>"高,中,低"</formula1>
    </dataValidation>
    <dataValidation sqref="BH6:BH205" showDropDown="0" showInputMessage="0" showErrorMessage="0" allowBlank="1" type="list">
      <formula1>"要,否,済"</formula1>
    </dataValidation>
    <dataValidation sqref="BK6:BK205" showDropDown="0" showInputMessage="0" showErrorMessage="0" allowBlank="1" type="list">
      <formula1>"OK,NG,保留,対象外"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20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8" customWidth="1" min="4" max="4"/>
    <col width="7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30" customWidth="1" min="57" max="57"/>
    <col width="34" customWidth="1" min="58" max="58"/>
    <col width="14" customWidth="1" min="59" max="59"/>
    <col width="9" customWidth="1" min="60" max="60"/>
    <col width="11" customWidth="1" min="61" max="61"/>
    <col width="10" customWidth="1" min="62" max="62"/>
    <col width="9" customWidth="1" min="63" max="63"/>
    <col width="10" customWidth="1" min="64" max="64"/>
    <col width="24" customWidth="1" min="65" max="65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</cols>
  <sheetData>
    <row r="1">
      <c r="A1" s="1" t="inlineStr">
        <is>
          <t>テストケース</t>
        </is>
      </c>
      <c r="E1" s="2" t="inlineStr">
        <is>
          <t>2 行目でカテゴリを選ぶと、そのカテゴリの因子が左から自動で入ります。セルは水準のプルダウンから選べます。</t>
        </is>
      </c>
    </row>
    <row r="2">
      <c r="A2" s="11" t="inlineStr">
        <is>
          <t>カテゴリ</t>
        </is>
      </c>
      <c r="B2" s="8" t="n"/>
      <c r="C2" s="9" t="n"/>
      <c r="D2" s="10" t="n"/>
      <c r="E2" s="18">
        <f>IF($B$2="","",COUNTIF('因子水準表'!$B$5:$KO$5,$B$2)&amp;" 因子")</f>
        <v/>
      </c>
    </row>
    <row r="3">
      <c r="A3" s="21" t="inlineStr">
        <is>
          <t>テストケース</t>
        </is>
      </c>
      <c r="B3" s="9" t="n"/>
      <c r="C3" s="9" t="n"/>
      <c r="D3" s="9" t="n"/>
      <c r="E3" s="9" t="n"/>
      <c r="F3" s="10" t="n"/>
      <c r="G3" s="21" t="inlineStr">
        <is>
          <t>因子の水準（シートのカテゴリの因子が自動で入る）</t>
        </is>
      </c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  <c r="AQ3" s="9" t="n"/>
      <c r="AR3" s="9" t="n"/>
      <c r="AS3" s="9" t="n"/>
      <c r="AT3" s="9" t="n"/>
      <c r="AU3" s="9" t="n"/>
      <c r="AV3" s="9" t="n"/>
      <c r="AW3" s="9" t="n"/>
      <c r="AX3" s="9" t="n"/>
      <c r="AY3" s="9" t="n"/>
      <c r="AZ3" s="9" t="n"/>
      <c r="BA3" s="9" t="n"/>
      <c r="BB3" s="9" t="n"/>
      <c r="BC3" s="9" t="n"/>
      <c r="BD3" s="10" t="n"/>
      <c r="BE3" s="21" t="inlineStr">
        <is>
          <t>内容</t>
        </is>
      </c>
      <c r="BF3" s="9" t="n"/>
      <c r="BG3" s="9" t="n"/>
      <c r="BH3" s="10" t="n"/>
      <c r="BI3" s="21" t="inlineStr">
        <is>
          <t>実行結果</t>
        </is>
      </c>
      <c r="BJ3" s="9" t="n"/>
      <c r="BK3" s="9" t="n"/>
      <c r="BL3" s="9" t="n"/>
      <c r="BM3" s="10" t="n"/>
    </row>
    <row r="4">
      <c r="A4" s="12" t="inlineStr">
        <is>
          <t>ID</t>
        </is>
      </c>
      <c r="B4" s="12" t="inlineStr">
        <is>
          <t>条件ID</t>
        </is>
      </c>
      <c r="C4" s="12" t="inlineStr">
        <is>
          <t>カテゴリ</t>
        </is>
      </c>
      <c r="D4" s="12" t="inlineStr">
        <is>
          <t>テスト観点（目的）</t>
        </is>
      </c>
      <c r="E4" s="12" t="inlineStr">
        <is>
          <t>優先度</t>
        </is>
      </c>
      <c r="F4" s="12" t="inlineStr">
        <is>
          <t>事前条件</t>
        </is>
      </c>
      <c r="G4" s="22">
        <f>IF($B$2="","",IFERROR(INDEX('因子水準表'!$B$4:$KO$4,MATCH($B$2&amp;"|1",'因子水準表'!$B$20:$KO$20,0)),""))</f>
        <v/>
      </c>
      <c r="H4" s="22">
        <f>IF($B$2="","",IFERROR(INDEX('因子水準表'!$B$4:$KO$4,MATCH($B$2&amp;"|2",'因子水準表'!$B$20:$KO$20,0)),""))</f>
        <v/>
      </c>
      <c r="I4" s="22">
        <f>IF($B$2="","",IFERROR(INDEX('因子水準表'!$B$4:$KO$4,MATCH($B$2&amp;"|3",'因子水準表'!$B$20:$KO$20,0)),""))</f>
        <v/>
      </c>
      <c r="J4" s="22">
        <f>IF($B$2="","",IFERROR(INDEX('因子水準表'!$B$4:$KO$4,MATCH($B$2&amp;"|4",'因子水準表'!$B$20:$KO$20,0)),""))</f>
        <v/>
      </c>
      <c r="K4" s="22">
        <f>IF($B$2="","",IFERROR(INDEX('因子水準表'!$B$4:$KO$4,MATCH($B$2&amp;"|5",'因子水準表'!$B$20:$KO$20,0)),""))</f>
        <v/>
      </c>
      <c r="L4" s="22">
        <f>IF($B$2="","",IFERROR(INDEX('因子水準表'!$B$4:$KO$4,MATCH($B$2&amp;"|6",'因子水準表'!$B$20:$KO$20,0)),""))</f>
        <v/>
      </c>
      <c r="M4" s="22">
        <f>IF($B$2="","",IFERROR(INDEX('因子水準表'!$B$4:$KO$4,MATCH($B$2&amp;"|7",'因子水準表'!$B$20:$KO$20,0)),""))</f>
        <v/>
      </c>
      <c r="N4" s="22">
        <f>IF($B$2="","",IFERROR(INDEX('因子水準表'!$B$4:$KO$4,MATCH($B$2&amp;"|8",'因子水準表'!$B$20:$KO$20,0)),""))</f>
        <v/>
      </c>
      <c r="O4" s="22">
        <f>IF($B$2="","",IFERROR(INDEX('因子水準表'!$B$4:$KO$4,MATCH($B$2&amp;"|9",'因子水準表'!$B$20:$KO$20,0)),""))</f>
        <v/>
      </c>
      <c r="P4" s="22">
        <f>IF($B$2="","",IFERROR(INDEX('因子水準表'!$B$4:$KO$4,MATCH($B$2&amp;"|10",'因子水準表'!$B$20:$KO$20,0)),""))</f>
        <v/>
      </c>
      <c r="Q4" s="22">
        <f>IF($B$2="","",IFERROR(INDEX('因子水準表'!$B$4:$KO$4,MATCH($B$2&amp;"|11",'因子水準表'!$B$20:$KO$20,0)),""))</f>
        <v/>
      </c>
      <c r="R4" s="22">
        <f>IF($B$2="","",IFERROR(INDEX('因子水準表'!$B$4:$KO$4,MATCH($B$2&amp;"|12",'因子水準表'!$B$20:$KO$20,0)),""))</f>
        <v/>
      </c>
      <c r="S4" s="22">
        <f>IF($B$2="","",IFERROR(INDEX('因子水準表'!$B$4:$KO$4,MATCH($B$2&amp;"|13",'因子水準表'!$B$20:$KO$20,0)),""))</f>
        <v/>
      </c>
      <c r="T4" s="22">
        <f>IF($B$2="","",IFERROR(INDEX('因子水準表'!$B$4:$KO$4,MATCH($B$2&amp;"|14",'因子水準表'!$B$20:$KO$20,0)),""))</f>
        <v/>
      </c>
      <c r="U4" s="22">
        <f>IF($B$2="","",IFERROR(INDEX('因子水準表'!$B$4:$KO$4,MATCH($B$2&amp;"|15",'因子水準表'!$B$20:$KO$20,0)),""))</f>
        <v/>
      </c>
      <c r="V4" s="22">
        <f>IF($B$2="","",IFERROR(INDEX('因子水準表'!$B$4:$KO$4,MATCH($B$2&amp;"|16",'因子水準表'!$B$20:$KO$20,0)),""))</f>
        <v/>
      </c>
      <c r="W4" s="22">
        <f>IF($B$2="","",IFERROR(INDEX('因子水準表'!$B$4:$KO$4,MATCH($B$2&amp;"|17",'因子水準表'!$B$20:$KO$20,0)),""))</f>
        <v/>
      </c>
      <c r="X4" s="22">
        <f>IF($B$2="","",IFERROR(INDEX('因子水準表'!$B$4:$KO$4,MATCH($B$2&amp;"|18",'因子水準表'!$B$20:$KO$20,0)),""))</f>
        <v/>
      </c>
      <c r="Y4" s="22">
        <f>IF($B$2="","",IFERROR(INDEX('因子水準表'!$B$4:$KO$4,MATCH($B$2&amp;"|19",'因子水準表'!$B$20:$KO$20,0)),""))</f>
        <v/>
      </c>
      <c r="Z4" s="22">
        <f>IF($B$2="","",IFERROR(INDEX('因子水準表'!$B$4:$KO$4,MATCH($B$2&amp;"|20",'因子水準表'!$B$20:$KO$20,0)),""))</f>
        <v/>
      </c>
      <c r="AA4" s="22">
        <f>IF($B$2="","",IFERROR(INDEX('因子水準表'!$B$4:$KO$4,MATCH($B$2&amp;"|21",'因子水準表'!$B$20:$KO$20,0)),""))</f>
        <v/>
      </c>
      <c r="AB4" s="22">
        <f>IF($B$2="","",IFERROR(INDEX('因子水準表'!$B$4:$KO$4,MATCH($B$2&amp;"|22",'因子水準表'!$B$20:$KO$20,0)),""))</f>
        <v/>
      </c>
      <c r="AC4" s="22">
        <f>IF($B$2="","",IFERROR(INDEX('因子水準表'!$B$4:$KO$4,MATCH($B$2&amp;"|23",'因子水準表'!$B$20:$KO$20,0)),""))</f>
        <v/>
      </c>
      <c r="AD4" s="22">
        <f>IF($B$2="","",IFERROR(INDEX('因子水準表'!$B$4:$KO$4,MATCH($B$2&amp;"|24",'因子水準表'!$B$20:$KO$20,0)),""))</f>
        <v/>
      </c>
      <c r="AE4" s="22">
        <f>IF($B$2="","",IFERROR(INDEX('因子水準表'!$B$4:$KO$4,MATCH($B$2&amp;"|25",'因子水準表'!$B$20:$KO$20,0)),""))</f>
        <v/>
      </c>
      <c r="AF4" s="22">
        <f>IF($B$2="","",IFERROR(INDEX('因子水準表'!$B$4:$KO$4,MATCH($B$2&amp;"|26",'因子水準表'!$B$20:$KO$20,0)),""))</f>
        <v/>
      </c>
      <c r="AG4" s="22">
        <f>IF($B$2="","",IFERROR(INDEX('因子水準表'!$B$4:$KO$4,MATCH($B$2&amp;"|27",'因子水準表'!$B$20:$KO$20,0)),""))</f>
        <v/>
      </c>
      <c r="AH4" s="22">
        <f>IF($B$2="","",IFERROR(INDEX('因子水準表'!$B$4:$KO$4,MATCH($B$2&amp;"|28",'因子水準表'!$B$20:$KO$20,0)),""))</f>
        <v/>
      </c>
      <c r="AI4" s="22">
        <f>IF($B$2="","",IFERROR(INDEX('因子水準表'!$B$4:$KO$4,MATCH($B$2&amp;"|29",'因子水準表'!$B$20:$KO$20,0)),""))</f>
        <v/>
      </c>
      <c r="AJ4" s="22">
        <f>IF($B$2="","",IFERROR(INDEX('因子水準表'!$B$4:$KO$4,MATCH($B$2&amp;"|30",'因子水準表'!$B$20:$KO$20,0)),""))</f>
        <v/>
      </c>
      <c r="AK4" s="22">
        <f>IF($B$2="","",IFERROR(INDEX('因子水準表'!$B$4:$KO$4,MATCH($B$2&amp;"|31",'因子水準表'!$B$20:$KO$20,0)),""))</f>
        <v/>
      </c>
      <c r="AL4" s="22">
        <f>IF($B$2="","",IFERROR(INDEX('因子水準表'!$B$4:$KO$4,MATCH($B$2&amp;"|32",'因子水準表'!$B$20:$KO$20,0)),""))</f>
        <v/>
      </c>
      <c r="AM4" s="22">
        <f>IF($B$2="","",IFERROR(INDEX('因子水準表'!$B$4:$KO$4,MATCH($B$2&amp;"|33",'因子水準表'!$B$20:$KO$20,0)),""))</f>
        <v/>
      </c>
      <c r="AN4" s="22">
        <f>IF($B$2="","",IFERROR(INDEX('因子水準表'!$B$4:$KO$4,MATCH($B$2&amp;"|34",'因子水準表'!$B$20:$KO$20,0)),""))</f>
        <v/>
      </c>
      <c r="AO4" s="22">
        <f>IF($B$2="","",IFERROR(INDEX('因子水準表'!$B$4:$KO$4,MATCH($B$2&amp;"|35",'因子水準表'!$B$20:$KO$20,0)),""))</f>
        <v/>
      </c>
      <c r="AP4" s="22">
        <f>IF($B$2="","",IFERROR(INDEX('因子水準表'!$B$4:$KO$4,MATCH($B$2&amp;"|36",'因子水準表'!$B$20:$KO$20,0)),""))</f>
        <v/>
      </c>
      <c r="AQ4" s="22">
        <f>IF($B$2="","",IFERROR(INDEX('因子水準表'!$B$4:$KO$4,MATCH($B$2&amp;"|37",'因子水準表'!$B$20:$KO$20,0)),""))</f>
        <v/>
      </c>
      <c r="AR4" s="22">
        <f>IF($B$2="","",IFERROR(INDEX('因子水準表'!$B$4:$KO$4,MATCH($B$2&amp;"|38",'因子水準表'!$B$20:$KO$20,0)),""))</f>
        <v/>
      </c>
      <c r="AS4" s="22">
        <f>IF($B$2="","",IFERROR(INDEX('因子水準表'!$B$4:$KO$4,MATCH($B$2&amp;"|39",'因子水準表'!$B$20:$KO$20,0)),""))</f>
        <v/>
      </c>
      <c r="AT4" s="22">
        <f>IF($B$2="","",IFERROR(INDEX('因子水準表'!$B$4:$KO$4,MATCH($B$2&amp;"|40",'因子水準表'!$B$20:$KO$20,0)),""))</f>
        <v/>
      </c>
      <c r="AU4" s="22">
        <f>IF($B$2="","",IFERROR(INDEX('因子水準表'!$B$4:$KO$4,MATCH($B$2&amp;"|41",'因子水準表'!$B$20:$KO$20,0)),""))</f>
        <v/>
      </c>
      <c r="AV4" s="22">
        <f>IF($B$2="","",IFERROR(INDEX('因子水準表'!$B$4:$KO$4,MATCH($B$2&amp;"|42",'因子水準表'!$B$20:$KO$20,0)),""))</f>
        <v/>
      </c>
      <c r="AW4" s="22">
        <f>IF($B$2="","",IFERROR(INDEX('因子水準表'!$B$4:$KO$4,MATCH($B$2&amp;"|43",'因子水準表'!$B$20:$KO$20,0)),""))</f>
        <v/>
      </c>
      <c r="AX4" s="22">
        <f>IF($B$2="","",IFERROR(INDEX('因子水準表'!$B$4:$KO$4,MATCH($B$2&amp;"|44",'因子水準表'!$B$20:$KO$20,0)),""))</f>
        <v/>
      </c>
      <c r="AY4" s="22">
        <f>IF($B$2="","",IFERROR(INDEX('因子水準表'!$B$4:$KO$4,MATCH($B$2&amp;"|45",'因子水準表'!$B$20:$KO$20,0)),""))</f>
        <v/>
      </c>
      <c r="AZ4" s="22">
        <f>IF($B$2="","",IFERROR(INDEX('因子水準表'!$B$4:$KO$4,MATCH($B$2&amp;"|46",'因子水準表'!$B$20:$KO$20,0)),""))</f>
        <v/>
      </c>
      <c r="BA4" s="22">
        <f>IF($B$2="","",IFERROR(INDEX('因子水準表'!$B$4:$KO$4,MATCH($B$2&amp;"|47",'因子水準表'!$B$20:$KO$20,0)),""))</f>
        <v/>
      </c>
      <c r="BB4" s="22">
        <f>IF($B$2="","",IFERROR(INDEX('因子水準表'!$B$4:$KO$4,MATCH($B$2&amp;"|48",'因子水準表'!$B$20:$KO$20,0)),""))</f>
        <v/>
      </c>
      <c r="BC4" s="22">
        <f>IF($B$2="","",IFERROR(INDEX('因子水準表'!$B$4:$KO$4,MATCH($B$2&amp;"|49",'因子水準表'!$B$20:$KO$20,0)),""))</f>
        <v/>
      </c>
      <c r="BD4" s="22">
        <f>IF($B$2="","",IFERROR(INDEX('因子水準表'!$B$4:$KO$4,MATCH($B$2&amp;"|50",'因子水準表'!$B$20:$KO$20,0)),""))</f>
        <v/>
      </c>
      <c r="BE4" s="12" t="inlineStr">
        <is>
          <t>手順</t>
        </is>
      </c>
      <c r="BF4" s="12" t="inlineStr">
        <is>
          <t>期待結果</t>
        </is>
      </c>
      <c r="BG4" s="12" t="inlineStr">
        <is>
          <t>技法</t>
        </is>
      </c>
      <c r="BH4" s="12" t="inlineStr">
        <is>
          <t>自動化</t>
        </is>
      </c>
      <c r="BI4" s="12" t="inlineStr">
        <is>
          <t>実行日</t>
        </is>
      </c>
      <c r="BJ4" s="12" t="inlineStr">
        <is>
          <t>実行者</t>
        </is>
      </c>
      <c r="BK4" s="12" t="inlineStr">
        <is>
          <t>結果</t>
        </is>
      </c>
      <c r="BL4" s="12" t="inlineStr">
        <is>
          <t>欠陥ID</t>
        </is>
      </c>
      <c r="BM4" s="12" t="inlineStr">
        <is>
          <t>備考</t>
        </is>
      </c>
      <c r="BO4" s="21" t="inlineStr">
        <is>
          <t>プルダウン用（非表示・編集しない）</t>
        </is>
      </c>
      <c r="BP4" s="9" t="n"/>
      <c r="BQ4" s="9" t="n"/>
      <c r="BR4" s="9" t="n"/>
      <c r="BS4" s="9" t="n"/>
      <c r="BT4" s="9" t="n"/>
      <c r="BU4" s="9" t="n"/>
      <c r="BV4" s="9" t="n"/>
      <c r="BW4" s="9" t="n"/>
      <c r="BX4" s="9" t="n"/>
      <c r="BY4" s="9" t="n"/>
      <c r="BZ4" s="9" t="n"/>
      <c r="CA4" s="9" t="n"/>
      <c r="CB4" s="9" t="n"/>
      <c r="CC4" s="9" t="n"/>
      <c r="CD4" s="9" t="n"/>
      <c r="CE4" s="9" t="n"/>
      <c r="CF4" s="9" t="n"/>
      <c r="CG4" s="9" t="n"/>
      <c r="CH4" s="9" t="n"/>
      <c r="CI4" s="9" t="n"/>
      <c r="CJ4" s="9" t="n"/>
      <c r="CK4" s="9" t="n"/>
      <c r="CL4" s="9" t="n"/>
      <c r="CM4" s="9" t="n"/>
      <c r="CN4" s="9" t="n"/>
      <c r="CO4" s="9" t="n"/>
      <c r="CP4" s="9" t="n"/>
      <c r="CQ4" s="9" t="n"/>
      <c r="CR4" s="9" t="n"/>
      <c r="CS4" s="9" t="n"/>
      <c r="CT4" s="9" t="n"/>
      <c r="CU4" s="9" t="n"/>
      <c r="CV4" s="9" t="n"/>
      <c r="CW4" s="9" t="n"/>
      <c r="CX4" s="9" t="n"/>
      <c r="CY4" s="9" t="n"/>
      <c r="CZ4" s="9" t="n"/>
      <c r="DA4" s="9" t="n"/>
      <c r="DB4" s="9" t="n"/>
      <c r="DC4" s="9" t="n"/>
      <c r="DD4" s="9" t="n"/>
      <c r="DE4" s="9" t="n"/>
      <c r="DF4" s="9" t="n"/>
      <c r="DG4" s="9" t="n"/>
      <c r="DH4" s="9" t="n"/>
      <c r="DI4" s="9" t="n"/>
      <c r="DJ4" s="9" t="n"/>
      <c r="DK4" s="9" t="n"/>
      <c r="DL4" s="9" t="n"/>
      <c r="DM4" s="9" t="n"/>
      <c r="DN4" s="10" t="n"/>
    </row>
    <row r="5">
      <c r="A5" s="23" t="n"/>
      <c r="B5" s="23" t="n"/>
      <c r="C5" s="23" t="n"/>
      <c r="D5" s="23" t="n"/>
      <c r="E5" s="23" t="n"/>
      <c r="F5" s="23" t="n"/>
      <c r="G5" s="12">
        <f>IF(G4="","（未使用）",IFERROR(INDEX('因子水準表'!$B$6:$KO$6,MATCH(G4,'因子水準表'!$B$4:$KO$4,0)),"（ID不明）"))</f>
        <v/>
      </c>
      <c r="H5" s="12">
        <f>IF(H4="","（未使用）",IFERROR(INDEX('因子水準表'!$B$6:$KO$6,MATCH(H4,'因子水準表'!$B$4:$KO$4,0)),"（ID不明）"))</f>
        <v/>
      </c>
      <c r="I5" s="12">
        <f>IF(I4="","（未使用）",IFERROR(INDEX('因子水準表'!$B$6:$KO$6,MATCH(I4,'因子水準表'!$B$4:$KO$4,0)),"（ID不明）"))</f>
        <v/>
      </c>
      <c r="J5" s="12">
        <f>IF(J4="","（未使用）",IFERROR(INDEX('因子水準表'!$B$6:$KO$6,MATCH(J4,'因子水準表'!$B$4:$KO$4,0)),"（ID不明）"))</f>
        <v/>
      </c>
      <c r="K5" s="12">
        <f>IF(K4="","（未使用）",IFERROR(INDEX('因子水準表'!$B$6:$KO$6,MATCH(K4,'因子水準表'!$B$4:$KO$4,0)),"（ID不明）"))</f>
        <v/>
      </c>
      <c r="L5" s="12">
        <f>IF(L4="","（未使用）",IFERROR(INDEX('因子水準表'!$B$6:$KO$6,MATCH(L4,'因子水準表'!$B$4:$KO$4,0)),"（ID不明）"))</f>
        <v/>
      </c>
      <c r="M5" s="12">
        <f>IF(M4="","（未使用）",IFERROR(INDEX('因子水準表'!$B$6:$KO$6,MATCH(M4,'因子水準表'!$B$4:$KO$4,0)),"（ID不明）"))</f>
        <v/>
      </c>
      <c r="N5" s="12">
        <f>IF(N4="","（未使用）",IFERROR(INDEX('因子水準表'!$B$6:$KO$6,MATCH(N4,'因子水準表'!$B$4:$KO$4,0)),"（ID不明）"))</f>
        <v/>
      </c>
      <c r="O5" s="12">
        <f>IF(O4="","（未使用）",IFERROR(INDEX('因子水準表'!$B$6:$KO$6,MATCH(O4,'因子水準表'!$B$4:$KO$4,0)),"（ID不明）"))</f>
        <v/>
      </c>
      <c r="P5" s="12">
        <f>IF(P4="","（未使用）",IFERROR(INDEX('因子水準表'!$B$6:$KO$6,MATCH(P4,'因子水準表'!$B$4:$KO$4,0)),"（ID不明）"))</f>
        <v/>
      </c>
      <c r="Q5" s="12">
        <f>IF(Q4="","（未使用）",IFERROR(INDEX('因子水準表'!$B$6:$KO$6,MATCH(Q4,'因子水準表'!$B$4:$KO$4,0)),"（ID不明）"))</f>
        <v/>
      </c>
      <c r="R5" s="12">
        <f>IF(R4="","（未使用）",IFERROR(INDEX('因子水準表'!$B$6:$KO$6,MATCH(R4,'因子水準表'!$B$4:$KO$4,0)),"（ID不明）"))</f>
        <v/>
      </c>
      <c r="S5" s="12">
        <f>IF(S4="","（未使用）",IFERROR(INDEX('因子水準表'!$B$6:$KO$6,MATCH(S4,'因子水準表'!$B$4:$KO$4,0)),"（ID不明）"))</f>
        <v/>
      </c>
      <c r="T5" s="12">
        <f>IF(T4="","（未使用）",IFERROR(INDEX('因子水準表'!$B$6:$KO$6,MATCH(T4,'因子水準表'!$B$4:$KO$4,0)),"（ID不明）"))</f>
        <v/>
      </c>
      <c r="U5" s="12">
        <f>IF(U4="","（未使用）",IFERROR(INDEX('因子水準表'!$B$6:$KO$6,MATCH(U4,'因子水準表'!$B$4:$KO$4,0)),"（ID不明）"))</f>
        <v/>
      </c>
      <c r="V5" s="12">
        <f>IF(V4="","（未使用）",IFERROR(INDEX('因子水準表'!$B$6:$KO$6,MATCH(V4,'因子水準表'!$B$4:$KO$4,0)),"（ID不明）"))</f>
        <v/>
      </c>
      <c r="W5" s="12">
        <f>IF(W4="","（未使用）",IFERROR(INDEX('因子水準表'!$B$6:$KO$6,MATCH(W4,'因子水準表'!$B$4:$KO$4,0)),"（ID不明）"))</f>
        <v/>
      </c>
      <c r="X5" s="12">
        <f>IF(X4="","（未使用）",IFERROR(INDEX('因子水準表'!$B$6:$KO$6,MATCH(X4,'因子水準表'!$B$4:$KO$4,0)),"（ID不明）"))</f>
        <v/>
      </c>
      <c r="Y5" s="12">
        <f>IF(Y4="","（未使用）",IFERROR(INDEX('因子水準表'!$B$6:$KO$6,MATCH(Y4,'因子水準表'!$B$4:$KO$4,0)),"（ID不明）"))</f>
        <v/>
      </c>
      <c r="Z5" s="12">
        <f>IF(Z4="","（未使用）",IFERROR(INDEX('因子水準表'!$B$6:$KO$6,MATCH(Z4,'因子水準表'!$B$4:$KO$4,0)),"（ID不明）"))</f>
        <v/>
      </c>
      <c r="AA5" s="12">
        <f>IF(AA4="","（未使用）",IFERROR(INDEX('因子水準表'!$B$6:$KO$6,MATCH(AA4,'因子水準表'!$B$4:$KO$4,0)),"（ID不明）"))</f>
        <v/>
      </c>
      <c r="AB5" s="12">
        <f>IF(AB4="","（未使用）",IFERROR(INDEX('因子水準表'!$B$6:$KO$6,MATCH(AB4,'因子水準表'!$B$4:$KO$4,0)),"（ID不明）"))</f>
        <v/>
      </c>
      <c r="AC5" s="12">
        <f>IF(AC4="","（未使用）",IFERROR(INDEX('因子水準表'!$B$6:$KO$6,MATCH(AC4,'因子水準表'!$B$4:$KO$4,0)),"（ID不明）"))</f>
        <v/>
      </c>
      <c r="AD5" s="12">
        <f>IF(AD4="","（未使用）",IFERROR(INDEX('因子水準表'!$B$6:$KO$6,MATCH(AD4,'因子水準表'!$B$4:$KO$4,0)),"（ID不明）"))</f>
        <v/>
      </c>
      <c r="AE5" s="12">
        <f>IF(AE4="","（未使用）",IFERROR(INDEX('因子水準表'!$B$6:$KO$6,MATCH(AE4,'因子水準表'!$B$4:$KO$4,0)),"（ID不明）"))</f>
        <v/>
      </c>
      <c r="AF5" s="12">
        <f>IF(AF4="","（未使用）",IFERROR(INDEX('因子水準表'!$B$6:$KO$6,MATCH(AF4,'因子水準表'!$B$4:$KO$4,0)),"（ID不明）"))</f>
        <v/>
      </c>
      <c r="AG5" s="12">
        <f>IF(AG4="","（未使用）",IFERROR(INDEX('因子水準表'!$B$6:$KO$6,MATCH(AG4,'因子水準表'!$B$4:$KO$4,0)),"（ID不明）"))</f>
        <v/>
      </c>
      <c r="AH5" s="12">
        <f>IF(AH4="","（未使用）",IFERROR(INDEX('因子水準表'!$B$6:$KO$6,MATCH(AH4,'因子水準表'!$B$4:$KO$4,0)),"（ID不明）"))</f>
        <v/>
      </c>
      <c r="AI5" s="12">
        <f>IF(AI4="","（未使用）",IFERROR(INDEX('因子水準表'!$B$6:$KO$6,MATCH(AI4,'因子水準表'!$B$4:$KO$4,0)),"（ID不明）"))</f>
        <v/>
      </c>
      <c r="AJ5" s="12">
        <f>IF(AJ4="","（未使用）",IFERROR(INDEX('因子水準表'!$B$6:$KO$6,MATCH(AJ4,'因子水準表'!$B$4:$KO$4,0)),"（ID不明）"))</f>
        <v/>
      </c>
      <c r="AK5" s="12">
        <f>IF(AK4="","（未使用）",IFERROR(INDEX('因子水準表'!$B$6:$KO$6,MATCH(AK4,'因子水準表'!$B$4:$KO$4,0)),"（ID不明）"))</f>
        <v/>
      </c>
      <c r="AL5" s="12">
        <f>IF(AL4="","（未使用）",IFERROR(INDEX('因子水準表'!$B$6:$KO$6,MATCH(AL4,'因子水準表'!$B$4:$KO$4,0)),"（ID不明）"))</f>
        <v/>
      </c>
      <c r="AM5" s="12">
        <f>IF(AM4="","（未使用）",IFERROR(INDEX('因子水準表'!$B$6:$KO$6,MATCH(AM4,'因子水準表'!$B$4:$KO$4,0)),"（ID不明）"))</f>
        <v/>
      </c>
      <c r="AN5" s="12">
        <f>IF(AN4="","（未使用）",IFERROR(INDEX('因子水準表'!$B$6:$KO$6,MATCH(AN4,'因子水準表'!$B$4:$KO$4,0)),"（ID不明）"))</f>
        <v/>
      </c>
      <c r="AO5" s="12">
        <f>IF(AO4="","（未使用）",IFERROR(INDEX('因子水準表'!$B$6:$KO$6,MATCH(AO4,'因子水準表'!$B$4:$KO$4,0)),"（ID不明）"))</f>
        <v/>
      </c>
      <c r="AP5" s="12">
        <f>IF(AP4="","（未使用）",IFERROR(INDEX('因子水準表'!$B$6:$KO$6,MATCH(AP4,'因子水準表'!$B$4:$KO$4,0)),"（ID不明）"))</f>
        <v/>
      </c>
      <c r="AQ5" s="12">
        <f>IF(AQ4="","（未使用）",IFERROR(INDEX('因子水準表'!$B$6:$KO$6,MATCH(AQ4,'因子水準表'!$B$4:$KO$4,0)),"（ID不明）"))</f>
        <v/>
      </c>
      <c r="AR5" s="12">
        <f>IF(AR4="","（未使用）",IFERROR(INDEX('因子水準表'!$B$6:$KO$6,MATCH(AR4,'因子水準表'!$B$4:$KO$4,0)),"（ID不明）"))</f>
        <v/>
      </c>
      <c r="AS5" s="12">
        <f>IF(AS4="","（未使用）",IFERROR(INDEX('因子水準表'!$B$6:$KO$6,MATCH(AS4,'因子水準表'!$B$4:$KO$4,0)),"（ID不明）"))</f>
        <v/>
      </c>
      <c r="AT5" s="12">
        <f>IF(AT4="","（未使用）",IFERROR(INDEX('因子水準表'!$B$6:$KO$6,MATCH(AT4,'因子水準表'!$B$4:$KO$4,0)),"（ID不明）"))</f>
        <v/>
      </c>
      <c r="AU5" s="12">
        <f>IF(AU4="","（未使用）",IFERROR(INDEX('因子水準表'!$B$6:$KO$6,MATCH(AU4,'因子水準表'!$B$4:$KO$4,0)),"（ID不明）"))</f>
        <v/>
      </c>
      <c r="AV5" s="12">
        <f>IF(AV4="","（未使用）",IFERROR(INDEX('因子水準表'!$B$6:$KO$6,MATCH(AV4,'因子水準表'!$B$4:$KO$4,0)),"（ID不明）"))</f>
        <v/>
      </c>
      <c r="AW5" s="12">
        <f>IF(AW4="","（未使用）",IFERROR(INDEX('因子水準表'!$B$6:$KO$6,MATCH(AW4,'因子水準表'!$B$4:$KO$4,0)),"（ID不明）"))</f>
        <v/>
      </c>
      <c r="AX5" s="12">
        <f>IF(AX4="","（未使用）",IFERROR(INDEX('因子水準表'!$B$6:$KO$6,MATCH(AX4,'因子水準表'!$B$4:$KO$4,0)),"（ID不明）"))</f>
        <v/>
      </c>
      <c r="AY5" s="12">
        <f>IF(AY4="","（未使用）",IFERROR(INDEX('因子水準表'!$B$6:$KO$6,MATCH(AY4,'因子水準表'!$B$4:$KO$4,0)),"（ID不明）"))</f>
        <v/>
      </c>
      <c r="AZ5" s="12">
        <f>IF(AZ4="","（未使用）",IFERROR(INDEX('因子水準表'!$B$6:$KO$6,MATCH(AZ4,'因子水準表'!$B$4:$KO$4,0)),"（ID不明）"))</f>
        <v/>
      </c>
      <c r="BA5" s="12">
        <f>IF(BA4="","（未使用）",IFERROR(INDEX('因子水準表'!$B$6:$KO$6,MATCH(BA4,'因子水準表'!$B$4:$KO$4,0)),"（ID不明）"))</f>
        <v/>
      </c>
      <c r="BB5" s="12">
        <f>IF(BB4="","（未使用）",IFERROR(INDEX('因子水準表'!$B$6:$KO$6,MATCH(BB4,'因子水準表'!$B$4:$KO$4,0)),"（ID不明）"))</f>
        <v/>
      </c>
      <c r="BC5" s="12">
        <f>IF(BC4="","（未使用）",IFERROR(INDEX('因子水準表'!$B$6:$KO$6,MATCH(BC4,'因子水準表'!$B$4:$KO$4,0)),"（ID不明）"))</f>
        <v/>
      </c>
      <c r="BD5" s="12">
        <f>IF(BD4="","（未使用）",IFERROR(INDEX('因子水準表'!$B$6:$KO$6,MATCH(BD4,'因子水準表'!$B$4:$KO$4,0)),"（ID不明）"))</f>
        <v/>
      </c>
      <c r="BE5" s="23" t="n"/>
      <c r="BF5" s="23" t="n"/>
      <c r="BG5" s="23" t="n"/>
      <c r="BH5" s="23" t="n"/>
      <c r="BI5" s="23" t="n"/>
      <c r="BJ5" s="23" t="n"/>
      <c r="BK5" s="23" t="n"/>
      <c r="BL5" s="23" t="n"/>
      <c r="BM5" s="23" t="n"/>
      <c r="BO5" s="12" t="inlineStr">
        <is>
          <t>1列目の水準</t>
        </is>
      </c>
      <c r="BP5" s="12" t="inlineStr">
        <is>
          <t>2列目の水準</t>
        </is>
      </c>
      <c r="BQ5" s="12" t="inlineStr">
        <is>
          <t>3列目の水準</t>
        </is>
      </c>
      <c r="BR5" s="12" t="inlineStr">
        <is>
          <t>4列目の水準</t>
        </is>
      </c>
      <c r="BS5" s="12" t="inlineStr">
        <is>
          <t>5列目の水準</t>
        </is>
      </c>
      <c r="BT5" s="12" t="inlineStr">
        <is>
          <t>6列目の水準</t>
        </is>
      </c>
      <c r="BU5" s="12" t="inlineStr">
        <is>
          <t>7列目の水準</t>
        </is>
      </c>
      <c r="BV5" s="12" t="inlineStr">
        <is>
          <t>8列目の水準</t>
        </is>
      </c>
      <c r="BW5" s="12" t="inlineStr">
        <is>
          <t>9列目の水準</t>
        </is>
      </c>
      <c r="BX5" s="12" t="inlineStr">
        <is>
          <t>10列目の水準</t>
        </is>
      </c>
      <c r="BY5" s="12" t="inlineStr">
        <is>
          <t>11列目の水準</t>
        </is>
      </c>
      <c r="BZ5" s="12" t="inlineStr">
        <is>
          <t>12列目の水準</t>
        </is>
      </c>
      <c r="CA5" s="12" t="inlineStr">
        <is>
          <t>13列目の水準</t>
        </is>
      </c>
      <c r="CB5" s="12" t="inlineStr">
        <is>
          <t>14列目の水準</t>
        </is>
      </c>
      <c r="CC5" s="12" t="inlineStr">
        <is>
          <t>15列目の水準</t>
        </is>
      </c>
      <c r="CD5" s="12" t="inlineStr">
        <is>
          <t>16列目の水準</t>
        </is>
      </c>
      <c r="CE5" s="12" t="inlineStr">
        <is>
          <t>17列目の水準</t>
        </is>
      </c>
      <c r="CF5" s="12" t="inlineStr">
        <is>
          <t>18列目の水準</t>
        </is>
      </c>
      <c r="CG5" s="12" t="inlineStr">
        <is>
          <t>19列目の水準</t>
        </is>
      </c>
      <c r="CH5" s="12" t="inlineStr">
        <is>
          <t>20列目の水準</t>
        </is>
      </c>
      <c r="CI5" s="12" t="inlineStr">
        <is>
          <t>21列目の水準</t>
        </is>
      </c>
      <c r="CJ5" s="12" t="inlineStr">
        <is>
          <t>22列目の水準</t>
        </is>
      </c>
      <c r="CK5" s="12" t="inlineStr">
        <is>
          <t>23列目の水準</t>
        </is>
      </c>
      <c r="CL5" s="12" t="inlineStr">
        <is>
          <t>24列目の水準</t>
        </is>
      </c>
      <c r="CM5" s="12" t="inlineStr">
        <is>
          <t>25列目の水準</t>
        </is>
      </c>
      <c r="CN5" s="12" t="inlineStr">
        <is>
          <t>26列目の水準</t>
        </is>
      </c>
      <c r="CO5" s="12" t="inlineStr">
        <is>
          <t>27列目の水準</t>
        </is>
      </c>
      <c r="CP5" s="12" t="inlineStr">
        <is>
          <t>28列目の水準</t>
        </is>
      </c>
      <c r="CQ5" s="12" t="inlineStr">
        <is>
          <t>29列目の水準</t>
        </is>
      </c>
      <c r="CR5" s="12" t="inlineStr">
        <is>
          <t>30列目の水準</t>
        </is>
      </c>
      <c r="CS5" s="12" t="inlineStr">
        <is>
          <t>31列目の水準</t>
        </is>
      </c>
      <c r="CT5" s="12" t="inlineStr">
        <is>
          <t>32列目の水準</t>
        </is>
      </c>
      <c r="CU5" s="12" t="inlineStr">
        <is>
          <t>33列目の水準</t>
        </is>
      </c>
      <c r="CV5" s="12" t="inlineStr">
        <is>
          <t>34列目の水準</t>
        </is>
      </c>
      <c r="CW5" s="12" t="inlineStr">
        <is>
          <t>35列目の水準</t>
        </is>
      </c>
      <c r="CX5" s="12" t="inlineStr">
        <is>
          <t>36列目の水準</t>
        </is>
      </c>
      <c r="CY5" s="12" t="inlineStr">
        <is>
          <t>37列目の水準</t>
        </is>
      </c>
      <c r="CZ5" s="12" t="inlineStr">
        <is>
          <t>38列目の水準</t>
        </is>
      </c>
      <c r="DA5" s="12" t="inlineStr">
        <is>
          <t>39列目の水準</t>
        </is>
      </c>
      <c r="DB5" s="12" t="inlineStr">
        <is>
          <t>40列目の水準</t>
        </is>
      </c>
      <c r="DC5" s="12" t="inlineStr">
        <is>
          <t>41列目の水準</t>
        </is>
      </c>
      <c r="DD5" s="12" t="inlineStr">
        <is>
          <t>42列目の水準</t>
        </is>
      </c>
      <c r="DE5" s="12" t="inlineStr">
        <is>
          <t>43列目の水準</t>
        </is>
      </c>
      <c r="DF5" s="12" t="inlineStr">
        <is>
          <t>44列目の水準</t>
        </is>
      </c>
      <c r="DG5" s="12" t="inlineStr">
        <is>
          <t>45列目の水準</t>
        </is>
      </c>
      <c r="DH5" s="12" t="inlineStr">
        <is>
          <t>46列目の水準</t>
        </is>
      </c>
      <c r="DI5" s="12" t="inlineStr">
        <is>
          <t>47列目の水準</t>
        </is>
      </c>
      <c r="DJ5" s="12" t="inlineStr">
        <is>
          <t>48列目の水準</t>
        </is>
      </c>
      <c r="DK5" s="12" t="inlineStr">
        <is>
          <t>49列目の水準</t>
        </is>
      </c>
      <c r="DL5" s="12" t="inlineStr">
        <is>
          <t>50列目の水準</t>
        </is>
      </c>
      <c r="DM5" s="12" t="inlineStr">
        <is>
          <t>カテゴリ</t>
        </is>
      </c>
      <c r="DN5" s="12" t="inlineStr">
        <is>
          <t>条件ID</t>
        </is>
      </c>
    </row>
    <row r="6">
      <c r="A6" s="27" t="n"/>
      <c r="B6" s="27" t="n"/>
      <c r="C6" s="28">
        <f>IF(A6="","",$B$2)</f>
        <v/>
      </c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  <c r="AI6" s="27" t="n"/>
      <c r="AJ6" s="27" t="n"/>
      <c r="AK6" s="27" t="n"/>
      <c r="AL6" s="27" t="n"/>
      <c r="AM6" s="27" t="n"/>
      <c r="AN6" s="27" t="n"/>
      <c r="AO6" s="27" t="n"/>
      <c r="AP6" s="27" t="n"/>
      <c r="AQ6" s="27" t="n"/>
      <c r="AR6" s="27" t="n"/>
      <c r="AS6" s="27" t="n"/>
      <c r="AT6" s="27" t="n"/>
      <c r="AU6" s="27" t="n"/>
      <c r="AV6" s="27" t="n"/>
      <c r="AW6" s="27" t="n"/>
      <c r="AX6" s="27" t="n"/>
      <c r="AY6" s="27" t="n"/>
      <c r="AZ6" s="27" t="n"/>
      <c r="BA6" s="27" t="n"/>
      <c r="BB6" s="27" t="n"/>
      <c r="BC6" s="27" t="n"/>
      <c r="BD6" s="27" t="n"/>
      <c r="BE6" s="27" t="n"/>
      <c r="BF6" s="27" t="n"/>
      <c r="BG6" s="27" t="n"/>
      <c r="BH6" s="27" t="n"/>
      <c r="BI6" s="29" t="n"/>
      <c r="BJ6" s="27" t="n"/>
      <c r="BK6" s="27" t="n"/>
      <c r="BL6" s="27" t="n"/>
      <c r="BM6" s="27" t="n"/>
      <c r="BO6" s="26">
        <f>IF(G$4="","",IFERROR(INDEX('因子水準表'!$B$9:$KO$18,1,MATCH(G$4,'因子水準表'!$B$4:$KO$4,0))&amp;"",""))</f>
        <v/>
      </c>
      <c r="BP6" s="26">
        <f>IF(H$4="","",IFERROR(INDEX('因子水準表'!$B$9:$KO$18,1,MATCH(H$4,'因子水準表'!$B$4:$KO$4,0))&amp;"",""))</f>
        <v/>
      </c>
      <c r="BQ6" s="26">
        <f>IF(I$4="","",IFERROR(INDEX('因子水準表'!$B$9:$KO$18,1,MATCH(I$4,'因子水準表'!$B$4:$KO$4,0))&amp;"",""))</f>
        <v/>
      </c>
      <c r="BR6" s="26">
        <f>IF(J$4="","",IFERROR(INDEX('因子水準表'!$B$9:$KO$18,1,MATCH(J$4,'因子水準表'!$B$4:$KO$4,0))&amp;"",""))</f>
        <v/>
      </c>
      <c r="BS6" s="26">
        <f>IF(K$4="","",IFERROR(INDEX('因子水準表'!$B$9:$KO$18,1,MATCH(K$4,'因子水準表'!$B$4:$KO$4,0))&amp;"",""))</f>
        <v/>
      </c>
      <c r="BT6" s="26">
        <f>IF(L$4="","",IFERROR(INDEX('因子水準表'!$B$9:$KO$18,1,MATCH(L$4,'因子水準表'!$B$4:$KO$4,0))&amp;"",""))</f>
        <v/>
      </c>
      <c r="BU6" s="26">
        <f>IF(M$4="","",IFERROR(INDEX('因子水準表'!$B$9:$KO$18,1,MATCH(M$4,'因子水準表'!$B$4:$KO$4,0))&amp;"",""))</f>
        <v/>
      </c>
      <c r="BV6" s="26">
        <f>IF(N$4="","",IFERROR(INDEX('因子水準表'!$B$9:$KO$18,1,MATCH(N$4,'因子水準表'!$B$4:$KO$4,0))&amp;"",""))</f>
        <v/>
      </c>
      <c r="BW6" s="26">
        <f>IF(O$4="","",IFERROR(INDEX('因子水準表'!$B$9:$KO$18,1,MATCH(O$4,'因子水準表'!$B$4:$KO$4,0))&amp;"",""))</f>
        <v/>
      </c>
      <c r="BX6" s="26">
        <f>IF(P$4="","",IFERROR(INDEX('因子水準表'!$B$9:$KO$18,1,MATCH(P$4,'因子水準表'!$B$4:$KO$4,0))&amp;"",""))</f>
        <v/>
      </c>
      <c r="BY6" s="26">
        <f>IF(Q$4="","",IFERROR(INDEX('因子水準表'!$B$9:$KO$18,1,MATCH(Q$4,'因子水準表'!$B$4:$KO$4,0))&amp;"",""))</f>
        <v/>
      </c>
      <c r="BZ6" s="26">
        <f>IF(R$4="","",IFERROR(INDEX('因子水準表'!$B$9:$KO$18,1,MATCH(R$4,'因子水準表'!$B$4:$KO$4,0))&amp;"",""))</f>
        <v/>
      </c>
      <c r="CA6" s="26">
        <f>IF(S$4="","",IFERROR(INDEX('因子水準表'!$B$9:$KO$18,1,MATCH(S$4,'因子水準表'!$B$4:$KO$4,0))&amp;"",""))</f>
        <v/>
      </c>
      <c r="CB6" s="26">
        <f>IF(T$4="","",IFERROR(INDEX('因子水準表'!$B$9:$KO$18,1,MATCH(T$4,'因子水準表'!$B$4:$KO$4,0))&amp;"",""))</f>
        <v/>
      </c>
      <c r="CC6" s="26">
        <f>IF(U$4="","",IFERROR(INDEX('因子水準表'!$B$9:$KO$18,1,MATCH(U$4,'因子水準表'!$B$4:$KO$4,0))&amp;"",""))</f>
        <v/>
      </c>
      <c r="CD6" s="26">
        <f>IF(V$4="","",IFERROR(INDEX('因子水準表'!$B$9:$KO$18,1,MATCH(V$4,'因子水準表'!$B$4:$KO$4,0))&amp;"",""))</f>
        <v/>
      </c>
      <c r="CE6" s="26">
        <f>IF(W$4="","",IFERROR(INDEX('因子水準表'!$B$9:$KO$18,1,MATCH(W$4,'因子水準表'!$B$4:$KO$4,0))&amp;"",""))</f>
        <v/>
      </c>
      <c r="CF6" s="26">
        <f>IF(X$4="","",IFERROR(INDEX('因子水準表'!$B$9:$KO$18,1,MATCH(X$4,'因子水準表'!$B$4:$KO$4,0))&amp;"",""))</f>
        <v/>
      </c>
      <c r="CG6" s="26">
        <f>IF(Y$4="","",IFERROR(INDEX('因子水準表'!$B$9:$KO$18,1,MATCH(Y$4,'因子水準表'!$B$4:$KO$4,0))&amp;"",""))</f>
        <v/>
      </c>
      <c r="CH6" s="26">
        <f>IF(Z$4="","",IFERROR(INDEX('因子水準表'!$B$9:$KO$18,1,MATCH(Z$4,'因子水準表'!$B$4:$KO$4,0))&amp;"",""))</f>
        <v/>
      </c>
      <c r="CI6" s="26">
        <f>IF(AA$4="","",IFERROR(INDEX('因子水準表'!$B$9:$KO$18,1,MATCH(AA$4,'因子水準表'!$B$4:$KO$4,0))&amp;"",""))</f>
        <v/>
      </c>
      <c r="CJ6" s="26">
        <f>IF(AB$4="","",IFERROR(INDEX('因子水準表'!$B$9:$KO$18,1,MATCH(AB$4,'因子水準表'!$B$4:$KO$4,0))&amp;"",""))</f>
        <v/>
      </c>
      <c r="CK6" s="26">
        <f>IF(AC$4="","",IFERROR(INDEX('因子水準表'!$B$9:$KO$18,1,MATCH(AC$4,'因子水準表'!$B$4:$KO$4,0))&amp;"",""))</f>
        <v/>
      </c>
      <c r="CL6" s="26">
        <f>IF(AD$4="","",IFERROR(INDEX('因子水準表'!$B$9:$KO$18,1,MATCH(AD$4,'因子水準表'!$B$4:$KO$4,0))&amp;"",""))</f>
        <v/>
      </c>
      <c r="CM6" s="26">
        <f>IF(AE$4="","",IFERROR(INDEX('因子水準表'!$B$9:$KO$18,1,MATCH(AE$4,'因子水準表'!$B$4:$KO$4,0))&amp;"",""))</f>
        <v/>
      </c>
      <c r="CN6" s="26">
        <f>IF(AF$4="","",IFERROR(INDEX('因子水準表'!$B$9:$KO$18,1,MATCH(AF$4,'因子水準表'!$B$4:$KO$4,0))&amp;"",""))</f>
        <v/>
      </c>
      <c r="CO6" s="26">
        <f>IF(AG$4="","",IFERROR(INDEX('因子水準表'!$B$9:$KO$18,1,MATCH(AG$4,'因子水準表'!$B$4:$KO$4,0))&amp;"",""))</f>
        <v/>
      </c>
      <c r="CP6" s="26">
        <f>IF(AH$4="","",IFERROR(INDEX('因子水準表'!$B$9:$KO$18,1,MATCH(AH$4,'因子水準表'!$B$4:$KO$4,0))&amp;"",""))</f>
        <v/>
      </c>
      <c r="CQ6" s="26">
        <f>IF(AI$4="","",IFERROR(INDEX('因子水準表'!$B$9:$KO$18,1,MATCH(AI$4,'因子水準表'!$B$4:$KO$4,0))&amp;"",""))</f>
        <v/>
      </c>
      <c r="CR6" s="26">
        <f>IF(AJ$4="","",IFERROR(INDEX('因子水準表'!$B$9:$KO$18,1,MATCH(AJ$4,'因子水準表'!$B$4:$KO$4,0))&amp;"",""))</f>
        <v/>
      </c>
      <c r="CS6" s="26">
        <f>IF(AK$4="","",IFERROR(INDEX('因子水準表'!$B$9:$KO$18,1,MATCH(AK$4,'因子水準表'!$B$4:$KO$4,0))&amp;"",""))</f>
        <v/>
      </c>
      <c r="CT6" s="26">
        <f>IF(AL$4="","",IFERROR(INDEX('因子水準表'!$B$9:$KO$18,1,MATCH(AL$4,'因子水準表'!$B$4:$KO$4,0))&amp;"",""))</f>
        <v/>
      </c>
      <c r="CU6" s="26">
        <f>IF(AM$4="","",IFERROR(INDEX('因子水準表'!$B$9:$KO$18,1,MATCH(AM$4,'因子水準表'!$B$4:$KO$4,0))&amp;"",""))</f>
        <v/>
      </c>
      <c r="CV6" s="26">
        <f>IF(AN$4="","",IFERROR(INDEX('因子水準表'!$B$9:$KO$18,1,MATCH(AN$4,'因子水準表'!$B$4:$KO$4,0))&amp;"",""))</f>
        <v/>
      </c>
      <c r="CW6" s="26">
        <f>IF(AO$4="","",IFERROR(INDEX('因子水準表'!$B$9:$KO$18,1,MATCH(AO$4,'因子水準表'!$B$4:$KO$4,0))&amp;"",""))</f>
        <v/>
      </c>
      <c r="CX6" s="26">
        <f>IF(AP$4="","",IFERROR(INDEX('因子水準表'!$B$9:$KO$18,1,MATCH(AP$4,'因子水準表'!$B$4:$KO$4,0))&amp;"",""))</f>
        <v/>
      </c>
      <c r="CY6" s="26">
        <f>IF(AQ$4="","",IFERROR(INDEX('因子水準表'!$B$9:$KO$18,1,MATCH(AQ$4,'因子水準表'!$B$4:$KO$4,0))&amp;"",""))</f>
        <v/>
      </c>
      <c r="CZ6" s="26">
        <f>IF(AR$4="","",IFERROR(INDEX('因子水準表'!$B$9:$KO$18,1,MATCH(AR$4,'因子水準表'!$B$4:$KO$4,0))&amp;"",""))</f>
        <v/>
      </c>
      <c r="DA6" s="26">
        <f>IF(AS$4="","",IFERROR(INDEX('因子水準表'!$B$9:$KO$18,1,MATCH(AS$4,'因子水準表'!$B$4:$KO$4,0))&amp;"",""))</f>
        <v/>
      </c>
      <c r="DB6" s="26">
        <f>IF(AT$4="","",IFERROR(INDEX('因子水準表'!$B$9:$KO$18,1,MATCH(AT$4,'因子水準表'!$B$4:$KO$4,0))&amp;"",""))</f>
        <v/>
      </c>
      <c r="DC6" s="26">
        <f>IF(AU$4="","",IFERROR(INDEX('因子水準表'!$B$9:$KO$18,1,MATCH(AU$4,'因子水準表'!$B$4:$KO$4,0))&amp;"",""))</f>
        <v/>
      </c>
      <c r="DD6" s="26">
        <f>IF(AV$4="","",IFERROR(INDEX('因子水準表'!$B$9:$KO$18,1,MATCH(AV$4,'因子水準表'!$B$4:$KO$4,0))&amp;"",""))</f>
        <v/>
      </c>
      <c r="DE6" s="26">
        <f>IF(AW$4="","",IFERROR(INDEX('因子水準表'!$B$9:$KO$18,1,MATCH(AW$4,'因子水準表'!$B$4:$KO$4,0))&amp;"",""))</f>
        <v/>
      </c>
      <c r="DF6" s="26">
        <f>IF(AX$4="","",IFERROR(INDEX('因子水準表'!$B$9:$KO$18,1,MATCH(AX$4,'因子水準表'!$B$4:$KO$4,0))&amp;"",""))</f>
        <v/>
      </c>
      <c r="DG6" s="26">
        <f>IF(AY$4="","",IFERROR(INDEX('因子水準表'!$B$9:$KO$18,1,MATCH(AY$4,'因子水準表'!$B$4:$KO$4,0))&amp;"",""))</f>
        <v/>
      </c>
      <c r="DH6" s="26">
        <f>IF(AZ$4="","",IFERROR(INDEX('因子水準表'!$B$9:$KO$18,1,MATCH(AZ$4,'因子水準表'!$B$4:$KO$4,0))&amp;"",""))</f>
        <v/>
      </c>
      <c r="DI6" s="26">
        <f>IF(BA$4="","",IFERROR(INDEX('因子水準表'!$B$9:$KO$18,1,MATCH(BA$4,'因子水準表'!$B$4:$KO$4,0))&amp;"",""))</f>
        <v/>
      </c>
      <c r="DJ6" s="26">
        <f>IF(BB$4="","",IFERROR(INDEX('因子水準表'!$B$9:$KO$18,1,MATCH(BB$4,'因子水準表'!$B$4:$KO$4,0))&amp;"",""))</f>
        <v/>
      </c>
      <c r="DK6" s="26">
        <f>IF(BC$4="","",IFERROR(INDEX('因子水準表'!$B$9:$KO$18,1,MATCH(BC$4,'因子水準表'!$B$4:$KO$4,0))&amp;"",""))</f>
        <v/>
      </c>
      <c r="DL6" s="26">
        <f>IF(BD$4="","",IFERROR(INDEX('因子水準表'!$B$9:$KO$18,1,MATCH(BD$4,'因子水準表'!$B$4:$KO$4,0))&amp;"",""))</f>
        <v/>
      </c>
      <c r="DM6" s="26">
        <f>IF('因子水準表'!B29="","",'因子水準表'!B29)</f>
        <v/>
      </c>
      <c r="DN6" s="26">
        <f>IF('テスト条件'!A5="","",'テスト条件'!A5)</f>
        <v/>
      </c>
    </row>
    <row r="7">
      <c r="A7" s="27" t="n"/>
      <c r="B7" s="27" t="n"/>
      <c r="C7" s="28">
        <f>IF(A7="","",$B$2)</f>
        <v/>
      </c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7" t="n"/>
      <c r="BE7" s="27" t="n"/>
      <c r="BF7" s="27" t="n"/>
      <c r="BG7" s="27" t="n"/>
      <c r="BH7" s="27" t="n"/>
      <c r="BI7" s="29" t="n"/>
      <c r="BJ7" s="27" t="n"/>
      <c r="BK7" s="27" t="n"/>
      <c r="BL7" s="27" t="n"/>
      <c r="BM7" s="27" t="n"/>
      <c r="BO7" s="26">
        <f>IF(G$4="","",IFERROR(INDEX('因子水準表'!$B$9:$KO$18,2,MATCH(G$4,'因子水準表'!$B$4:$KO$4,0))&amp;"",""))</f>
        <v/>
      </c>
      <c r="BP7" s="26">
        <f>IF(H$4="","",IFERROR(INDEX('因子水準表'!$B$9:$KO$18,2,MATCH(H$4,'因子水準表'!$B$4:$KO$4,0))&amp;"",""))</f>
        <v/>
      </c>
      <c r="BQ7" s="26">
        <f>IF(I$4="","",IFERROR(INDEX('因子水準表'!$B$9:$KO$18,2,MATCH(I$4,'因子水準表'!$B$4:$KO$4,0))&amp;"",""))</f>
        <v/>
      </c>
      <c r="BR7" s="26">
        <f>IF(J$4="","",IFERROR(INDEX('因子水準表'!$B$9:$KO$18,2,MATCH(J$4,'因子水準表'!$B$4:$KO$4,0))&amp;"",""))</f>
        <v/>
      </c>
      <c r="BS7" s="26">
        <f>IF(K$4="","",IFERROR(INDEX('因子水準表'!$B$9:$KO$18,2,MATCH(K$4,'因子水準表'!$B$4:$KO$4,0))&amp;"",""))</f>
        <v/>
      </c>
      <c r="BT7" s="26">
        <f>IF(L$4="","",IFERROR(INDEX('因子水準表'!$B$9:$KO$18,2,MATCH(L$4,'因子水準表'!$B$4:$KO$4,0))&amp;"",""))</f>
        <v/>
      </c>
      <c r="BU7" s="26">
        <f>IF(M$4="","",IFERROR(INDEX('因子水準表'!$B$9:$KO$18,2,MATCH(M$4,'因子水準表'!$B$4:$KO$4,0))&amp;"",""))</f>
        <v/>
      </c>
      <c r="BV7" s="26">
        <f>IF(N$4="","",IFERROR(INDEX('因子水準表'!$B$9:$KO$18,2,MATCH(N$4,'因子水準表'!$B$4:$KO$4,0))&amp;"",""))</f>
        <v/>
      </c>
      <c r="BW7" s="26">
        <f>IF(O$4="","",IFERROR(INDEX('因子水準表'!$B$9:$KO$18,2,MATCH(O$4,'因子水準表'!$B$4:$KO$4,0))&amp;"",""))</f>
        <v/>
      </c>
      <c r="BX7" s="26">
        <f>IF(P$4="","",IFERROR(INDEX('因子水準表'!$B$9:$KO$18,2,MATCH(P$4,'因子水準表'!$B$4:$KO$4,0))&amp;"",""))</f>
        <v/>
      </c>
      <c r="BY7" s="26">
        <f>IF(Q$4="","",IFERROR(INDEX('因子水準表'!$B$9:$KO$18,2,MATCH(Q$4,'因子水準表'!$B$4:$KO$4,0))&amp;"",""))</f>
        <v/>
      </c>
      <c r="BZ7" s="26">
        <f>IF(R$4="","",IFERROR(INDEX('因子水準表'!$B$9:$KO$18,2,MATCH(R$4,'因子水準表'!$B$4:$KO$4,0))&amp;"",""))</f>
        <v/>
      </c>
      <c r="CA7" s="26">
        <f>IF(S$4="","",IFERROR(INDEX('因子水準表'!$B$9:$KO$18,2,MATCH(S$4,'因子水準表'!$B$4:$KO$4,0))&amp;"",""))</f>
        <v/>
      </c>
      <c r="CB7" s="26">
        <f>IF(T$4="","",IFERROR(INDEX('因子水準表'!$B$9:$KO$18,2,MATCH(T$4,'因子水準表'!$B$4:$KO$4,0))&amp;"",""))</f>
        <v/>
      </c>
      <c r="CC7" s="26">
        <f>IF(U$4="","",IFERROR(INDEX('因子水準表'!$B$9:$KO$18,2,MATCH(U$4,'因子水準表'!$B$4:$KO$4,0))&amp;"",""))</f>
        <v/>
      </c>
      <c r="CD7" s="26">
        <f>IF(V$4="","",IFERROR(INDEX('因子水準表'!$B$9:$KO$18,2,MATCH(V$4,'因子水準表'!$B$4:$KO$4,0))&amp;"",""))</f>
        <v/>
      </c>
      <c r="CE7" s="26">
        <f>IF(W$4="","",IFERROR(INDEX('因子水準表'!$B$9:$KO$18,2,MATCH(W$4,'因子水準表'!$B$4:$KO$4,0))&amp;"",""))</f>
        <v/>
      </c>
      <c r="CF7" s="26">
        <f>IF(X$4="","",IFERROR(INDEX('因子水準表'!$B$9:$KO$18,2,MATCH(X$4,'因子水準表'!$B$4:$KO$4,0))&amp;"",""))</f>
        <v/>
      </c>
      <c r="CG7" s="26">
        <f>IF(Y$4="","",IFERROR(INDEX('因子水準表'!$B$9:$KO$18,2,MATCH(Y$4,'因子水準表'!$B$4:$KO$4,0))&amp;"",""))</f>
        <v/>
      </c>
      <c r="CH7" s="26">
        <f>IF(Z$4="","",IFERROR(INDEX('因子水準表'!$B$9:$KO$18,2,MATCH(Z$4,'因子水準表'!$B$4:$KO$4,0))&amp;"",""))</f>
        <v/>
      </c>
      <c r="CI7" s="26">
        <f>IF(AA$4="","",IFERROR(INDEX('因子水準表'!$B$9:$KO$18,2,MATCH(AA$4,'因子水準表'!$B$4:$KO$4,0))&amp;"",""))</f>
        <v/>
      </c>
      <c r="CJ7" s="26">
        <f>IF(AB$4="","",IFERROR(INDEX('因子水準表'!$B$9:$KO$18,2,MATCH(AB$4,'因子水準表'!$B$4:$KO$4,0))&amp;"",""))</f>
        <v/>
      </c>
      <c r="CK7" s="26">
        <f>IF(AC$4="","",IFERROR(INDEX('因子水準表'!$B$9:$KO$18,2,MATCH(AC$4,'因子水準表'!$B$4:$KO$4,0))&amp;"",""))</f>
        <v/>
      </c>
      <c r="CL7" s="26">
        <f>IF(AD$4="","",IFERROR(INDEX('因子水準表'!$B$9:$KO$18,2,MATCH(AD$4,'因子水準表'!$B$4:$KO$4,0))&amp;"",""))</f>
        <v/>
      </c>
      <c r="CM7" s="26">
        <f>IF(AE$4="","",IFERROR(INDEX('因子水準表'!$B$9:$KO$18,2,MATCH(AE$4,'因子水準表'!$B$4:$KO$4,0))&amp;"",""))</f>
        <v/>
      </c>
      <c r="CN7" s="26">
        <f>IF(AF$4="","",IFERROR(INDEX('因子水準表'!$B$9:$KO$18,2,MATCH(AF$4,'因子水準表'!$B$4:$KO$4,0))&amp;"",""))</f>
        <v/>
      </c>
      <c r="CO7" s="26">
        <f>IF(AG$4="","",IFERROR(INDEX('因子水準表'!$B$9:$KO$18,2,MATCH(AG$4,'因子水準表'!$B$4:$KO$4,0))&amp;"",""))</f>
        <v/>
      </c>
      <c r="CP7" s="26">
        <f>IF(AH$4="","",IFERROR(INDEX('因子水準表'!$B$9:$KO$18,2,MATCH(AH$4,'因子水準表'!$B$4:$KO$4,0))&amp;"",""))</f>
        <v/>
      </c>
      <c r="CQ7" s="26">
        <f>IF(AI$4="","",IFERROR(INDEX('因子水準表'!$B$9:$KO$18,2,MATCH(AI$4,'因子水準表'!$B$4:$KO$4,0))&amp;"",""))</f>
        <v/>
      </c>
      <c r="CR7" s="26">
        <f>IF(AJ$4="","",IFERROR(INDEX('因子水準表'!$B$9:$KO$18,2,MATCH(AJ$4,'因子水準表'!$B$4:$KO$4,0))&amp;"",""))</f>
        <v/>
      </c>
      <c r="CS7" s="26">
        <f>IF(AK$4="","",IFERROR(INDEX('因子水準表'!$B$9:$KO$18,2,MATCH(AK$4,'因子水準表'!$B$4:$KO$4,0))&amp;"",""))</f>
        <v/>
      </c>
      <c r="CT7" s="26">
        <f>IF(AL$4="","",IFERROR(INDEX('因子水準表'!$B$9:$KO$18,2,MATCH(AL$4,'因子水準表'!$B$4:$KO$4,0))&amp;"",""))</f>
        <v/>
      </c>
      <c r="CU7" s="26">
        <f>IF(AM$4="","",IFERROR(INDEX('因子水準表'!$B$9:$KO$18,2,MATCH(AM$4,'因子水準表'!$B$4:$KO$4,0))&amp;"",""))</f>
        <v/>
      </c>
      <c r="CV7" s="26">
        <f>IF(AN$4="","",IFERROR(INDEX('因子水準表'!$B$9:$KO$18,2,MATCH(AN$4,'因子水準表'!$B$4:$KO$4,0))&amp;"",""))</f>
        <v/>
      </c>
      <c r="CW7" s="26">
        <f>IF(AO$4="","",IFERROR(INDEX('因子水準表'!$B$9:$KO$18,2,MATCH(AO$4,'因子水準表'!$B$4:$KO$4,0))&amp;"",""))</f>
        <v/>
      </c>
      <c r="CX7" s="26">
        <f>IF(AP$4="","",IFERROR(INDEX('因子水準表'!$B$9:$KO$18,2,MATCH(AP$4,'因子水準表'!$B$4:$KO$4,0))&amp;"",""))</f>
        <v/>
      </c>
      <c r="CY7" s="26">
        <f>IF(AQ$4="","",IFERROR(INDEX('因子水準表'!$B$9:$KO$18,2,MATCH(AQ$4,'因子水準表'!$B$4:$KO$4,0))&amp;"",""))</f>
        <v/>
      </c>
      <c r="CZ7" s="26">
        <f>IF(AR$4="","",IFERROR(INDEX('因子水準表'!$B$9:$KO$18,2,MATCH(AR$4,'因子水準表'!$B$4:$KO$4,0))&amp;"",""))</f>
        <v/>
      </c>
      <c r="DA7" s="26">
        <f>IF(AS$4="","",IFERROR(INDEX('因子水準表'!$B$9:$KO$18,2,MATCH(AS$4,'因子水準表'!$B$4:$KO$4,0))&amp;"",""))</f>
        <v/>
      </c>
      <c r="DB7" s="26">
        <f>IF(AT$4="","",IFERROR(INDEX('因子水準表'!$B$9:$KO$18,2,MATCH(AT$4,'因子水準表'!$B$4:$KO$4,0))&amp;"",""))</f>
        <v/>
      </c>
      <c r="DC7" s="26">
        <f>IF(AU$4="","",IFERROR(INDEX('因子水準表'!$B$9:$KO$18,2,MATCH(AU$4,'因子水準表'!$B$4:$KO$4,0))&amp;"",""))</f>
        <v/>
      </c>
      <c r="DD7" s="26">
        <f>IF(AV$4="","",IFERROR(INDEX('因子水準表'!$B$9:$KO$18,2,MATCH(AV$4,'因子水準表'!$B$4:$KO$4,0))&amp;"",""))</f>
        <v/>
      </c>
      <c r="DE7" s="26">
        <f>IF(AW$4="","",IFERROR(INDEX('因子水準表'!$B$9:$KO$18,2,MATCH(AW$4,'因子水準表'!$B$4:$KO$4,0))&amp;"",""))</f>
        <v/>
      </c>
      <c r="DF7" s="26">
        <f>IF(AX$4="","",IFERROR(INDEX('因子水準表'!$B$9:$KO$18,2,MATCH(AX$4,'因子水準表'!$B$4:$KO$4,0))&amp;"",""))</f>
        <v/>
      </c>
      <c r="DG7" s="26">
        <f>IF(AY$4="","",IFERROR(INDEX('因子水準表'!$B$9:$KO$18,2,MATCH(AY$4,'因子水準表'!$B$4:$KO$4,0))&amp;"",""))</f>
        <v/>
      </c>
      <c r="DH7" s="26">
        <f>IF(AZ$4="","",IFERROR(INDEX('因子水準表'!$B$9:$KO$18,2,MATCH(AZ$4,'因子水準表'!$B$4:$KO$4,0))&amp;"",""))</f>
        <v/>
      </c>
      <c r="DI7" s="26">
        <f>IF(BA$4="","",IFERROR(INDEX('因子水準表'!$B$9:$KO$18,2,MATCH(BA$4,'因子水準表'!$B$4:$KO$4,0))&amp;"",""))</f>
        <v/>
      </c>
      <c r="DJ7" s="26">
        <f>IF(BB$4="","",IFERROR(INDEX('因子水準表'!$B$9:$KO$18,2,MATCH(BB$4,'因子水準表'!$B$4:$KO$4,0))&amp;"",""))</f>
        <v/>
      </c>
      <c r="DK7" s="26">
        <f>IF(BC$4="","",IFERROR(INDEX('因子水準表'!$B$9:$KO$18,2,MATCH(BC$4,'因子水準表'!$B$4:$KO$4,0))&amp;"",""))</f>
        <v/>
      </c>
      <c r="DL7" s="26">
        <f>IF(BD$4="","",IFERROR(INDEX('因子水準表'!$B$9:$KO$18,2,MATCH(BD$4,'因子水準表'!$B$4:$KO$4,0))&amp;"",""))</f>
        <v/>
      </c>
      <c r="DM7" s="26">
        <f>IF('因子水準表'!B30="","",'因子水準表'!B30)</f>
        <v/>
      </c>
      <c r="DN7" s="26">
        <f>IF('テスト条件'!A6="","",'テスト条件'!A6)</f>
        <v/>
      </c>
    </row>
    <row r="8">
      <c r="A8" s="27" t="n"/>
      <c r="B8" s="27" t="n"/>
      <c r="C8" s="28">
        <f>IF(A8="","",$B$2)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  <c r="AJ8" s="27" t="n"/>
      <c r="AK8" s="27" t="n"/>
      <c r="AL8" s="27" t="n"/>
      <c r="AM8" s="27" t="n"/>
      <c r="AN8" s="27" t="n"/>
      <c r="AO8" s="27" t="n"/>
      <c r="AP8" s="27" t="n"/>
      <c r="AQ8" s="27" t="n"/>
      <c r="AR8" s="27" t="n"/>
      <c r="AS8" s="27" t="n"/>
      <c r="AT8" s="27" t="n"/>
      <c r="AU8" s="27" t="n"/>
      <c r="AV8" s="27" t="n"/>
      <c r="AW8" s="27" t="n"/>
      <c r="AX8" s="27" t="n"/>
      <c r="AY8" s="27" t="n"/>
      <c r="AZ8" s="27" t="n"/>
      <c r="BA8" s="27" t="n"/>
      <c r="BB8" s="27" t="n"/>
      <c r="BC8" s="27" t="n"/>
      <c r="BD8" s="27" t="n"/>
      <c r="BE8" s="27" t="n"/>
      <c r="BF8" s="27" t="n"/>
      <c r="BG8" s="27" t="n"/>
      <c r="BH8" s="27" t="n"/>
      <c r="BI8" s="29" t="n"/>
      <c r="BJ8" s="27" t="n"/>
      <c r="BK8" s="27" t="n"/>
      <c r="BL8" s="27" t="n"/>
      <c r="BM8" s="27" t="n"/>
      <c r="BO8" s="26">
        <f>IF(G$4="","",IFERROR(INDEX('因子水準表'!$B$9:$KO$18,3,MATCH(G$4,'因子水準表'!$B$4:$KO$4,0))&amp;"",""))</f>
        <v/>
      </c>
      <c r="BP8" s="26">
        <f>IF(H$4="","",IFERROR(INDEX('因子水準表'!$B$9:$KO$18,3,MATCH(H$4,'因子水準表'!$B$4:$KO$4,0))&amp;"",""))</f>
        <v/>
      </c>
      <c r="BQ8" s="26">
        <f>IF(I$4="","",IFERROR(INDEX('因子水準表'!$B$9:$KO$18,3,MATCH(I$4,'因子水準表'!$B$4:$KO$4,0))&amp;"",""))</f>
        <v/>
      </c>
      <c r="BR8" s="26">
        <f>IF(J$4="","",IFERROR(INDEX('因子水準表'!$B$9:$KO$18,3,MATCH(J$4,'因子水準表'!$B$4:$KO$4,0))&amp;"",""))</f>
        <v/>
      </c>
      <c r="BS8" s="26">
        <f>IF(K$4="","",IFERROR(INDEX('因子水準表'!$B$9:$KO$18,3,MATCH(K$4,'因子水準表'!$B$4:$KO$4,0))&amp;"",""))</f>
        <v/>
      </c>
      <c r="BT8" s="26">
        <f>IF(L$4="","",IFERROR(INDEX('因子水準表'!$B$9:$KO$18,3,MATCH(L$4,'因子水準表'!$B$4:$KO$4,0))&amp;"",""))</f>
        <v/>
      </c>
      <c r="BU8" s="26">
        <f>IF(M$4="","",IFERROR(INDEX('因子水準表'!$B$9:$KO$18,3,MATCH(M$4,'因子水準表'!$B$4:$KO$4,0))&amp;"",""))</f>
        <v/>
      </c>
      <c r="BV8" s="26">
        <f>IF(N$4="","",IFERROR(INDEX('因子水準表'!$B$9:$KO$18,3,MATCH(N$4,'因子水準表'!$B$4:$KO$4,0))&amp;"",""))</f>
        <v/>
      </c>
      <c r="BW8" s="26">
        <f>IF(O$4="","",IFERROR(INDEX('因子水準表'!$B$9:$KO$18,3,MATCH(O$4,'因子水準表'!$B$4:$KO$4,0))&amp;"",""))</f>
        <v/>
      </c>
      <c r="BX8" s="26">
        <f>IF(P$4="","",IFERROR(INDEX('因子水準表'!$B$9:$KO$18,3,MATCH(P$4,'因子水準表'!$B$4:$KO$4,0))&amp;"",""))</f>
        <v/>
      </c>
      <c r="BY8" s="26">
        <f>IF(Q$4="","",IFERROR(INDEX('因子水準表'!$B$9:$KO$18,3,MATCH(Q$4,'因子水準表'!$B$4:$KO$4,0))&amp;"",""))</f>
        <v/>
      </c>
      <c r="BZ8" s="26">
        <f>IF(R$4="","",IFERROR(INDEX('因子水準表'!$B$9:$KO$18,3,MATCH(R$4,'因子水準表'!$B$4:$KO$4,0))&amp;"",""))</f>
        <v/>
      </c>
      <c r="CA8" s="26">
        <f>IF(S$4="","",IFERROR(INDEX('因子水準表'!$B$9:$KO$18,3,MATCH(S$4,'因子水準表'!$B$4:$KO$4,0))&amp;"",""))</f>
        <v/>
      </c>
      <c r="CB8" s="26">
        <f>IF(T$4="","",IFERROR(INDEX('因子水準表'!$B$9:$KO$18,3,MATCH(T$4,'因子水準表'!$B$4:$KO$4,0))&amp;"",""))</f>
        <v/>
      </c>
      <c r="CC8" s="26">
        <f>IF(U$4="","",IFERROR(INDEX('因子水準表'!$B$9:$KO$18,3,MATCH(U$4,'因子水準表'!$B$4:$KO$4,0))&amp;"",""))</f>
        <v/>
      </c>
      <c r="CD8" s="26">
        <f>IF(V$4="","",IFERROR(INDEX('因子水準表'!$B$9:$KO$18,3,MATCH(V$4,'因子水準表'!$B$4:$KO$4,0))&amp;"",""))</f>
        <v/>
      </c>
      <c r="CE8" s="26">
        <f>IF(W$4="","",IFERROR(INDEX('因子水準表'!$B$9:$KO$18,3,MATCH(W$4,'因子水準表'!$B$4:$KO$4,0))&amp;"",""))</f>
        <v/>
      </c>
      <c r="CF8" s="26">
        <f>IF(X$4="","",IFERROR(INDEX('因子水準表'!$B$9:$KO$18,3,MATCH(X$4,'因子水準表'!$B$4:$KO$4,0))&amp;"",""))</f>
        <v/>
      </c>
      <c r="CG8" s="26">
        <f>IF(Y$4="","",IFERROR(INDEX('因子水準表'!$B$9:$KO$18,3,MATCH(Y$4,'因子水準表'!$B$4:$KO$4,0))&amp;"",""))</f>
        <v/>
      </c>
      <c r="CH8" s="26">
        <f>IF(Z$4="","",IFERROR(INDEX('因子水準表'!$B$9:$KO$18,3,MATCH(Z$4,'因子水準表'!$B$4:$KO$4,0))&amp;"",""))</f>
        <v/>
      </c>
      <c r="CI8" s="26">
        <f>IF(AA$4="","",IFERROR(INDEX('因子水準表'!$B$9:$KO$18,3,MATCH(AA$4,'因子水準表'!$B$4:$KO$4,0))&amp;"",""))</f>
        <v/>
      </c>
      <c r="CJ8" s="26">
        <f>IF(AB$4="","",IFERROR(INDEX('因子水準表'!$B$9:$KO$18,3,MATCH(AB$4,'因子水準表'!$B$4:$KO$4,0))&amp;"",""))</f>
        <v/>
      </c>
      <c r="CK8" s="26">
        <f>IF(AC$4="","",IFERROR(INDEX('因子水準表'!$B$9:$KO$18,3,MATCH(AC$4,'因子水準表'!$B$4:$KO$4,0))&amp;"",""))</f>
        <v/>
      </c>
      <c r="CL8" s="26">
        <f>IF(AD$4="","",IFERROR(INDEX('因子水準表'!$B$9:$KO$18,3,MATCH(AD$4,'因子水準表'!$B$4:$KO$4,0))&amp;"",""))</f>
        <v/>
      </c>
      <c r="CM8" s="26">
        <f>IF(AE$4="","",IFERROR(INDEX('因子水準表'!$B$9:$KO$18,3,MATCH(AE$4,'因子水準表'!$B$4:$KO$4,0))&amp;"",""))</f>
        <v/>
      </c>
      <c r="CN8" s="26">
        <f>IF(AF$4="","",IFERROR(INDEX('因子水準表'!$B$9:$KO$18,3,MATCH(AF$4,'因子水準表'!$B$4:$KO$4,0))&amp;"",""))</f>
        <v/>
      </c>
      <c r="CO8" s="26">
        <f>IF(AG$4="","",IFERROR(INDEX('因子水準表'!$B$9:$KO$18,3,MATCH(AG$4,'因子水準表'!$B$4:$KO$4,0))&amp;"",""))</f>
        <v/>
      </c>
      <c r="CP8" s="26">
        <f>IF(AH$4="","",IFERROR(INDEX('因子水準表'!$B$9:$KO$18,3,MATCH(AH$4,'因子水準表'!$B$4:$KO$4,0))&amp;"",""))</f>
        <v/>
      </c>
      <c r="CQ8" s="26">
        <f>IF(AI$4="","",IFERROR(INDEX('因子水準表'!$B$9:$KO$18,3,MATCH(AI$4,'因子水準表'!$B$4:$KO$4,0))&amp;"",""))</f>
        <v/>
      </c>
      <c r="CR8" s="26">
        <f>IF(AJ$4="","",IFERROR(INDEX('因子水準表'!$B$9:$KO$18,3,MATCH(AJ$4,'因子水準表'!$B$4:$KO$4,0))&amp;"",""))</f>
        <v/>
      </c>
      <c r="CS8" s="26">
        <f>IF(AK$4="","",IFERROR(INDEX('因子水準表'!$B$9:$KO$18,3,MATCH(AK$4,'因子水準表'!$B$4:$KO$4,0))&amp;"",""))</f>
        <v/>
      </c>
      <c r="CT8" s="26">
        <f>IF(AL$4="","",IFERROR(INDEX('因子水準表'!$B$9:$KO$18,3,MATCH(AL$4,'因子水準表'!$B$4:$KO$4,0))&amp;"",""))</f>
        <v/>
      </c>
      <c r="CU8" s="26">
        <f>IF(AM$4="","",IFERROR(INDEX('因子水準表'!$B$9:$KO$18,3,MATCH(AM$4,'因子水準表'!$B$4:$KO$4,0))&amp;"",""))</f>
        <v/>
      </c>
      <c r="CV8" s="26">
        <f>IF(AN$4="","",IFERROR(INDEX('因子水準表'!$B$9:$KO$18,3,MATCH(AN$4,'因子水準表'!$B$4:$KO$4,0))&amp;"",""))</f>
        <v/>
      </c>
      <c r="CW8" s="26">
        <f>IF(AO$4="","",IFERROR(INDEX('因子水準表'!$B$9:$KO$18,3,MATCH(AO$4,'因子水準表'!$B$4:$KO$4,0))&amp;"",""))</f>
        <v/>
      </c>
      <c r="CX8" s="26">
        <f>IF(AP$4="","",IFERROR(INDEX('因子水準表'!$B$9:$KO$18,3,MATCH(AP$4,'因子水準表'!$B$4:$KO$4,0))&amp;"",""))</f>
        <v/>
      </c>
      <c r="CY8" s="26">
        <f>IF(AQ$4="","",IFERROR(INDEX('因子水準表'!$B$9:$KO$18,3,MATCH(AQ$4,'因子水準表'!$B$4:$KO$4,0))&amp;"",""))</f>
        <v/>
      </c>
      <c r="CZ8" s="26">
        <f>IF(AR$4="","",IFERROR(INDEX('因子水準表'!$B$9:$KO$18,3,MATCH(AR$4,'因子水準表'!$B$4:$KO$4,0))&amp;"",""))</f>
        <v/>
      </c>
      <c r="DA8" s="26">
        <f>IF(AS$4="","",IFERROR(INDEX('因子水準表'!$B$9:$KO$18,3,MATCH(AS$4,'因子水準表'!$B$4:$KO$4,0))&amp;"",""))</f>
        <v/>
      </c>
      <c r="DB8" s="26">
        <f>IF(AT$4="","",IFERROR(INDEX('因子水準表'!$B$9:$KO$18,3,MATCH(AT$4,'因子水準表'!$B$4:$KO$4,0))&amp;"",""))</f>
        <v/>
      </c>
      <c r="DC8" s="26">
        <f>IF(AU$4="","",IFERROR(INDEX('因子水準表'!$B$9:$KO$18,3,MATCH(AU$4,'因子水準表'!$B$4:$KO$4,0))&amp;"",""))</f>
        <v/>
      </c>
      <c r="DD8" s="26">
        <f>IF(AV$4="","",IFERROR(INDEX('因子水準表'!$B$9:$KO$18,3,MATCH(AV$4,'因子水準表'!$B$4:$KO$4,0))&amp;"",""))</f>
        <v/>
      </c>
      <c r="DE8" s="26">
        <f>IF(AW$4="","",IFERROR(INDEX('因子水準表'!$B$9:$KO$18,3,MATCH(AW$4,'因子水準表'!$B$4:$KO$4,0))&amp;"",""))</f>
        <v/>
      </c>
      <c r="DF8" s="26">
        <f>IF(AX$4="","",IFERROR(INDEX('因子水準表'!$B$9:$KO$18,3,MATCH(AX$4,'因子水準表'!$B$4:$KO$4,0))&amp;"",""))</f>
        <v/>
      </c>
      <c r="DG8" s="26">
        <f>IF(AY$4="","",IFERROR(INDEX('因子水準表'!$B$9:$KO$18,3,MATCH(AY$4,'因子水準表'!$B$4:$KO$4,0))&amp;"",""))</f>
        <v/>
      </c>
      <c r="DH8" s="26">
        <f>IF(AZ$4="","",IFERROR(INDEX('因子水準表'!$B$9:$KO$18,3,MATCH(AZ$4,'因子水準表'!$B$4:$KO$4,0))&amp;"",""))</f>
        <v/>
      </c>
      <c r="DI8" s="26">
        <f>IF(BA$4="","",IFERROR(INDEX('因子水準表'!$B$9:$KO$18,3,MATCH(BA$4,'因子水準表'!$B$4:$KO$4,0))&amp;"",""))</f>
        <v/>
      </c>
      <c r="DJ8" s="26">
        <f>IF(BB$4="","",IFERROR(INDEX('因子水準表'!$B$9:$KO$18,3,MATCH(BB$4,'因子水準表'!$B$4:$KO$4,0))&amp;"",""))</f>
        <v/>
      </c>
      <c r="DK8" s="26">
        <f>IF(BC$4="","",IFERROR(INDEX('因子水準表'!$B$9:$KO$18,3,MATCH(BC$4,'因子水準表'!$B$4:$KO$4,0))&amp;"",""))</f>
        <v/>
      </c>
      <c r="DL8" s="26">
        <f>IF(BD$4="","",IFERROR(INDEX('因子水準表'!$B$9:$KO$18,3,MATCH(BD$4,'因子水準表'!$B$4:$KO$4,0))&amp;"",""))</f>
        <v/>
      </c>
      <c r="DM8" s="26">
        <f>IF('因子水準表'!B31="","",'因子水準表'!B31)</f>
        <v/>
      </c>
      <c r="DN8" s="26">
        <f>IF('テスト条件'!A7="","",'テスト条件'!A7)</f>
        <v/>
      </c>
    </row>
    <row r="9">
      <c r="A9" s="27" t="n"/>
      <c r="B9" s="27" t="n"/>
      <c r="C9" s="28">
        <f>IF(A9="","",$B$2)</f>
        <v/>
      </c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  <c r="AA9" s="27" t="n"/>
      <c r="AB9" s="27" t="n"/>
      <c r="AC9" s="27" t="n"/>
      <c r="AD9" s="27" t="n"/>
      <c r="AE9" s="27" t="n"/>
      <c r="AF9" s="27" t="n"/>
      <c r="AG9" s="27" t="n"/>
      <c r="AH9" s="27" t="n"/>
      <c r="AI9" s="27" t="n"/>
      <c r="AJ9" s="27" t="n"/>
      <c r="AK9" s="27" t="n"/>
      <c r="AL9" s="27" t="n"/>
      <c r="AM9" s="27" t="n"/>
      <c r="AN9" s="27" t="n"/>
      <c r="AO9" s="27" t="n"/>
      <c r="AP9" s="27" t="n"/>
      <c r="AQ9" s="27" t="n"/>
      <c r="AR9" s="27" t="n"/>
      <c r="AS9" s="27" t="n"/>
      <c r="AT9" s="27" t="n"/>
      <c r="AU9" s="27" t="n"/>
      <c r="AV9" s="27" t="n"/>
      <c r="AW9" s="27" t="n"/>
      <c r="AX9" s="27" t="n"/>
      <c r="AY9" s="27" t="n"/>
      <c r="AZ9" s="27" t="n"/>
      <c r="BA9" s="27" t="n"/>
      <c r="BB9" s="27" t="n"/>
      <c r="BC9" s="27" t="n"/>
      <c r="BD9" s="27" t="n"/>
      <c r="BE9" s="27" t="n"/>
      <c r="BF9" s="27" t="n"/>
      <c r="BG9" s="27" t="n"/>
      <c r="BH9" s="27" t="n"/>
      <c r="BI9" s="29" t="n"/>
      <c r="BJ9" s="27" t="n"/>
      <c r="BK9" s="27" t="n"/>
      <c r="BL9" s="27" t="n"/>
      <c r="BM9" s="27" t="n"/>
      <c r="BO9" s="26">
        <f>IF(G$4="","",IFERROR(INDEX('因子水準表'!$B$9:$KO$18,4,MATCH(G$4,'因子水準表'!$B$4:$KO$4,0))&amp;"",""))</f>
        <v/>
      </c>
      <c r="BP9" s="26">
        <f>IF(H$4="","",IFERROR(INDEX('因子水準表'!$B$9:$KO$18,4,MATCH(H$4,'因子水準表'!$B$4:$KO$4,0))&amp;"",""))</f>
        <v/>
      </c>
      <c r="BQ9" s="26">
        <f>IF(I$4="","",IFERROR(INDEX('因子水準表'!$B$9:$KO$18,4,MATCH(I$4,'因子水準表'!$B$4:$KO$4,0))&amp;"",""))</f>
        <v/>
      </c>
      <c r="BR9" s="26">
        <f>IF(J$4="","",IFERROR(INDEX('因子水準表'!$B$9:$KO$18,4,MATCH(J$4,'因子水準表'!$B$4:$KO$4,0))&amp;"",""))</f>
        <v/>
      </c>
      <c r="BS9" s="26">
        <f>IF(K$4="","",IFERROR(INDEX('因子水準表'!$B$9:$KO$18,4,MATCH(K$4,'因子水準表'!$B$4:$KO$4,0))&amp;"",""))</f>
        <v/>
      </c>
      <c r="BT9" s="26">
        <f>IF(L$4="","",IFERROR(INDEX('因子水準表'!$B$9:$KO$18,4,MATCH(L$4,'因子水準表'!$B$4:$KO$4,0))&amp;"",""))</f>
        <v/>
      </c>
      <c r="BU9" s="26">
        <f>IF(M$4="","",IFERROR(INDEX('因子水準表'!$B$9:$KO$18,4,MATCH(M$4,'因子水準表'!$B$4:$KO$4,0))&amp;"",""))</f>
        <v/>
      </c>
      <c r="BV9" s="26">
        <f>IF(N$4="","",IFERROR(INDEX('因子水準表'!$B$9:$KO$18,4,MATCH(N$4,'因子水準表'!$B$4:$KO$4,0))&amp;"",""))</f>
        <v/>
      </c>
      <c r="BW9" s="26">
        <f>IF(O$4="","",IFERROR(INDEX('因子水準表'!$B$9:$KO$18,4,MATCH(O$4,'因子水準表'!$B$4:$KO$4,0))&amp;"",""))</f>
        <v/>
      </c>
      <c r="BX9" s="26">
        <f>IF(P$4="","",IFERROR(INDEX('因子水準表'!$B$9:$KO$18,4,MATCH(P$4,'因子水準表'!$B$4:$KO$4,0))&amp;"",""))</f>
        <v/>
      </c>
      <c r="BY9" s="26">
        <f>IF(Q$4="","",IFERROR(INDEX('因子水準表'!$B$9:$KO$18,4,MATCH(Q$4,'因子水準表'!$B$4:$KO$4,0))&amp;"",""))</f>
        <v/>
      </c>
      <c r="BZ9" s="26">
        <f>IF(R$4="","",IFERROR(INDEX('因子水準表'!$B$9:$KO$18,4,MATCH(R$4,'因子水準表'!$B$4:$KO$4,0))&amp;"",""))</f>
        <v/>
      </c>
      <c r="CA9" s="26">
        <f>IF(S$4="","",IFERROR(INDEX('因子水準表'!$B$9:$KO$18,4,MATCH(S$4,'因子水準表'!$B$4:$KO$4,0))&amp;"",""))</f>
        <v/>
      </c>
      <c r="CB9" s="26">
        <f>IF(T$4="","",IFERROR(INDEX('因子水準表'!$B$9:$KO$18,4,MATCH(T$4,'因子水準表'!$B$4:$KO$4,0))&amp;"",""))</f>
        <v/>
      </c>
      <c r="CC9" s="26">
        <f>IF(U$4="","",IFERROR(INDEX('因子水準表'!$B$9:$KO$18,4,MATCH(U$4,'因子水準表'!$B$4:$KO$4,0))&amp;"",""))</f>
        <v/>
      </c>
      <c r="CD9" s="26">
        <f>IF(V$4="","",IFERROR(INDEX('因子水準表'!$B$9:$KO$18,4,MATCH(V$4,'因子水準表'!$B$4:$KO$4,0))&amp;"",""))</f>
        <v/>
      </c>
      <c r="CE9" s="26">
        <f>IF(W$4="","",IFERROR(INDEX('因子水準表'!$B$9:$KO$18,4,MATCH(W$4,'因子水準表'!$B$4:$KO$4,0))&amp;"",""))</f>
        <v/>
      </c>
      <c r="CF9" s="26">
        <f>IF(X$4="","",IFERROR(INDEX('因子水準表'!$B$9:$KO$18,4,MATCH(X$4,'因子水準表'!$B$4:$KO$4,0))&amp;"",""))</f>
        <v/>
      </c>
      <c r="CG9" s="26">
        <f>IF(Y$4="","",IFERROR(INDEX('因子水準表'!$B$9:$KO$18,4,MATCH(Y$4,'因子水準表'!$B$4:$KO$4,0))&amp;"",""))</f>
        <v/>
      </c>
      <c r="CH9" s="26">
        <f>IF(Z$4="","",IFERROR(INDEX('因子水準表'!$B$9:$KO$18,4,MATCH(Z$4,'因子水準表'!$B$4:$KO$4,0))&amp;"",""))</f>
        <v/>
      </c>
      <c r="CI9" s="26">
        <f>IF(AA$4="","",IFERROR(INDEX('因子水準表'!$B$9:$KO$18,4,MATCH(AA$4,'因子水準表'!$B$4:$KO$4,0))&amp;"",""))</f>
        <v/>
      </c>
      <c r="CJ9" s="26">
        <f>IF(AB$4="","",IFERROR(INDEX('因子水準表'!$B$9:$KO$18,4,MATCH(AB$4,'因子水準表'!$B$4:$KO$4,0))&amp;"",""))</f>
        <v/>
      </c>
      <c r="CK9" s="26">
        <f>IF(AC$4="","",IFERROR(INDEX('因子水準表'!$B$9:$KO$18,4,MATCH(AC$4,'因子水準表'!$B$4:$KO$4,0))&amp;"",""))</f>
        <v/>
      </c>
      <c r="CL9" s="26">
        <f>IF(AD$4="","",IFERROR(INDEX('因子水準表'!$B$9:$KO$18,4,MATCH(AD$4,'因子水準表'!$B$4:$KO$4,0))&amp;"",""))</f>
        <v/>
      </c>
      <c r="CM9" s="26">
        <f>IF(AE$4="","",IFERROR(INDEX('因子水準表'!$B$9:$KO$18,4,MATCH(AE$4,'因子水準表'!$B$4:$KO$4,0))&amp;"",""))</f>
        <v/>
      </c>
      <c r="CN9" s="26">
        <f>IF(AF$4="","",IFERROR(INDEX('因子水準表'!$B$9:$KO$18,4,MATCH(AF$4,'因子水準表'!$B$4:$KO$4,0))&amp;"",""))</f>
        <v/>
      </c>
      <c r="CO9" s="26">
        <f>IF(AG$4="","",IFERROR(INDEX('因子水準表'!$B$9:$KO$18,4,MATCH(AG$4,'因子水準表'!$B$4:$KO$4,0))&amp;"",""))</f>
        <v/>
      </c>
      <c r="CP9" s="26">
        <f>IF(AH$4="","",IFERROR(INDEX('因子水準表'!$B$9:$KO$18,4,MATCH(AH$4,'因子水準表'!$B$4:$KO$4,0))&amp;"",""))</f>
        <v/>
      </c>
      <c r="CQ9" s="26">
        <f>IF(AI$4="","",IFERROR(INDEX('因子水準表'!$B$9:$KO$18,4,MATCH(AI$4,'因子水準表'!$B$4:$KO$4,0))&amp;"",""))</f>
        <v/>
      </c>
      <c r="CR9" s="26">
        <f>IF(AJ$4="","",IFERROR(INDEX('因子水準表'!$B$9:$KO$18,4,MATCH(AJ$4,'因子水準表'!$B$4:$KO$4,0))&amp;"",""))</f>
        <v/>
      </c>
      <c r="CS9" s="26">
        <f>IF(AK$4="","",IFERROR(INDEX('因子水準表'!$B$9:$KO$18,4,MATCH(AK$4,'因子水準表'!$B$4:$KO$4,0))&amp;"",""))</f>
        <v/>
      </c>
      <c r="CT9" s="26">
        <f>IF(AL$4="","",IFERROR(INDEX('因子水準表'!$B$9:$KO$18,4,MATCH(AL$4,'因子水準表'!$B$4:$KO$4,0))&amp;"",""))</f>
        <v/>
      </c>
      <c r="CU9" s="26">
        <f>IF(AM$4="","",IFERROR(INDEX('因子水準表'!$B$9:$KO$18,4,MATCH(AM$4,'因子水準表'!$B$4:$KO$4,0))&amp;"",""))</f>
        <v/>
      </c>
      <c r="CV9" s="26">
        <f>IF(AN$4="","",IFERROR(INDEX('因子水準表'!$B$9:$KO$18,4,MATCH(AN$4,'因子水準表'!$B$4:$KO$4,0))&amp;"",""))</f>
        <v/>
      </c>
      <c r="CW9" s="26">
        <f>IF(AO$4="","",IFERROR(INDEX('因子水準表'!$B$9:$KO$18,4,MATCH(AO$4,'因子水準表'!$B$4:$KO$4,0))&amp;"",""))</f>
        <v/>
      </c>
      <c r="CX9" s="26">
        <f>IF(AP$4="","",IFERROR(INDEX('因子水準表'!$B$9:$KO$18,4,MATCH(AP$4,'因子水準表'!$B$4:$KO$4,0))&amp;"",""))</f>
        <v/>
      </c>
      <c r="CY9" s="26">
        <f>IF(AQ$4="","",IFERROR(INDEX('因子水準表'!$B$9:$KO$18,4,MATCH(AQ$4,'因子水準表'!$B$4:$KO$4,0))&amp;"",""))</f>
        <v/>
      </c>
      <c r="CZ9" s="26">
        <f>IF(AR$4="","",IFERROR(INDEX('因子水準表'!$B$9:$KO$18,4,MATCH(AR$4,'因子水準表'!$B$4:$KO$4,0))&amp;"",""))</f>
        <v/>
      </c>
      <c r="DA9" s="26">
        <f>IF(AS$4="","",IFERROR(INDEX('因子水準表'!$B$9:$KO$18,4,MATCH(AS$4,'因子水準表'!$B$4:$KO$4,0))&amp;"",""))</f>
        <v/>
      </c>
      <c r="DB9" s="26">
        <f>IF(AT$4="","",IFERROR(INDEX('因子水準表'!$B$9:$KO$18,4,MATCH(AT$4,'因子水準表'!$B$4:$KO$4,0))&amp;"",""))</f>
        <v/>
      </c>
      <c r="DC9" s="26">
        <f>IF(AU$4="","",IFERROR(INDEX('因子水準表'!$B$9:$KO$18,4,MATCH(AU$4,'因子水準表'!$B$4:$KO$4,0))&amp;"",""))</f>
        <v/>
      </c>
      <c r="DD9" s="26">
        <f>IF(AV$4="","",IFERROR(INDEX('因子水準表'!$B$9:$KO$18,4,MATCH(AV$4,'因子水準表'!$B$4:$KO$4,0))&amp;"",""))</f>
        <v/>
      </c>
      <c r="DE9" s="26">
        <f>IF(AW$4="","",IFERROR(INDEX('因子水準表'!$B$9:$KO$18,4,MATCH(AW$4,'因子水準表'!$B$4:$KO$4,0))&amp;"",""))</f>
        <v/>
      </c>
      <c r="DF9" s="26">
        <f>IF(AX$4="","",IFERROR(INDEX('因子水準表'!$B$9:$KO$18,4,MATCH(AX$4,'因子水準表'!$B$4:$KO$4,0))&amp;"",""))</f>
        <v/>
      </c>
      <c r="DG9" s="26">
        <f>IF(AY$4="","",IFERROR(INDEX('因子水準表'!$B$9:$KO$18,4,MATCH(AY$4,'因子水準表'!$B$4:$KO$4,0))&amp;"",""))</f>
        <v/>
      </c>
      <c r="DH9" s="26">
        <f>IF(AZ$4="","",IFERROR(INDEX('因子水準表'!$B$9:$KO$18,4,MATCH(AZ$4,'因子水準表'!$B$4:$KO$4,0))&amp;"",""))</f>
        <v/>
      </c>
      <c r="DI9" s="26">
        <f>IF(BA$4="","",IFERROR(INDEX('因子水準表'!$B$9:$KO$18,4,MATCH(BA$4,'因子水準表'!$B$4:$KO$4,0))&amp;"",""))</f>
        <v/>
      </c>
      <c r="DJ9" s="26">
        <f>IF(BB$4="","",IFERROR(INDEX('因子水準表'!$B$9:$KO$18,4,MATCH(BB$4,'因子水準表'!$B$4:$KO$4,0))&amp;"",""))</f>
        <v/>
      </c>
      <c r="DK9" s="26">
        <f>IF(BC$4="","",IFERROR(INDEX('因子水準表'!$B$9:$KO$18,4,MATCH(BC$4,'因子水準表'!$B$4:$KO$4,0))&amp;"",""))</f>
        <v/>
      </c>
      <c r="DL9" s="26">
        <f>IF(BD$4="","",IFERROR(INDEX('因子水準表'!$B$9:$KO$18,4,MATCH(BD$4,'因子水準表'!$B$4:$KO$4,0))&amp;"",""))</f>
        <v/>
      </c>
      <c r="DM9" s="26">
        <f>IF('因子水準表'!B32="","",'因子水準表'!B32)</f>
        <v/>
      </c>
      <c r="DN9" s="26">
        <f>IF('テスト条件'!A8="","",'テスト条件'!A8)</f>
        <v/>
      </c>
    </row>
    <row r="10">
      <c r="A10" s="27" t="n"/>
      <c r="B10" s="27" t="n"/>
      <c r="C10" s="28">
        <f>IF(A10="","",$B$2)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  <c r="AI10" s="27" t="n"/>
      <c r="AJ10" s="27" t="n"/>
      <c r="AK10" s="27" t="n"/>
      <c r="AL10" s="27" t="n"/>
      <c r="AM10" s="27" t="n"/>
      <c r="AN10" s="27" t="n"/>
      <c r="AO10" s="27" t="n"/>
      <c r="AP10" s="27" t="n"/>
      <c r="AQ10" s="27" t="n"/>
      <c r="AR10" s="27" t="n"/>
      <c r="AS10" s="27" t="n"/>
      <c r="AT10" s="27" t="n"/>
      <c r="AU10" s="27" t="n"/>
      <c r="AV10" s="27" t="n"/>
      <c r="AW10" s="27" t="n"/>
      <c r="AX10" s="27" t="n"/>
      <c r="AY10" s="27" t="n"/>
      <c r="AZ10" s="27" t="n"/>
      <c r="BA10" s="27" t="n"/>
      <c r="BB10" s="27" t="n"/>
      <c r="BC10" s="27" t="n"/>
      <c r="BD10" s="27" t="n"/>
      <c r="BE10" s="27" t="n"/>
      <c r="BF10" s="27" t="n"/>
      <c r="BG10" s="27" t="n"/>
      <c r="BH10" s="27" t="n"/>
      <c r="BI10" s="29" t="n"/>
      <c r="BJ10" s="27" t="n"/>
      <c r="BK10" s="27" t="n"/>
      <c r="BL10" s="27" t="n"/>
      <c r="BM10" s="27" t="n"/>
      <c r="BO10" s="26">
        <f>IF(G$4="","",IFERROR(INDEX('因子水準表'!$B$9:$KO$18,5,MATCH(G$4,'因子水準表'!$B$4:$KO$4,0))&amp;"",""))</f>
        <v/>
      </c>
      <c r="BP10" s="26">
        <f>IF(H$4="","",IFERROR(INDEX('因子水準表'!$B$9:$KO$18,5,MATCH(H$4,'因子水準表'!$B$4:$KO$4,0))&amp;"",""))</f>
        <v/>
      </c>
      <c r="BQ10" s="26">
        <f>IF(I$4="","",IFERROR(INDEX('因子水準表'!$B$9:$KO$18,5,MATCH(I$4,'因子水準表'!$B$4:$KO$4,0))&amp;"",""))</f>
        <v/>
      </c>
      <c r="BR10" s="26">
        <f>IF(J$4="","",IFERROR(INDEX('因子水準表'!$B$9:$KO$18,5,MATCH(J$4,'因子水準表'!$B$4:$KO$4,0))&amp;"",""))</f>
        <v/>
      </c>
      <c r="BS10" s="26">
        <f>IF(K$4="","",IFERROR(INDEX('因子水準表'!$B$9:$KO$18,5,MATCH(K$4,'因子水準表'!$B$4:$KO$4,0))&amp;"",""))</f>
        <v/>
      </c>
      <c r="BT10" s="26">
        <f>IF(L$4="","",IFERROR(INDEX('因子水準表'!$B$9:$KO$18,5,MATCH(L$4,'因子水準表'!$B$4:$KO$4,0))&amp;"",""))</f>
        <v/>
      </c>
      <c r="BU10" s="26">
        <f>IF(M$4="","",IFERROR(INDEX('因子水準表'!$B$9:$KO$18,5,MATCH(M$4,'因子水準表'!$B$4:$KO$4,0))&amp;"",""))</f>
        <v/>
      </c>
      <c r="BV10" s="26">
        <f>IF(N$4="","",IFERROR(INDEX('因子水準表'!$B$9:$KO$18,5,MATCH(N$4,'因子水準表'!$B$4:$KO$4,0))&amp;"",""))</f>
        <v/>
      </c>
      <c r="BW10" s="26">
        <f>IF(O$4="","",IFERROR(INDEX('因子水準表'!$B$9:$KO$18,5,MATCH(O$4,'因子水準表'!$B$4:$KO$4,0))&amp;"",""))</f>
        <v/>
      </c>
      <c r="BX10" s="26">
        <f>IF(P$4="","",IFERROR(INDEX('因子水準表'!$B$9:$KO$18,5,MATCH(P$4,'因子水準表'!$B$4:$KO$4,0))&amp;"",""))</f>
        <v/>
      </c>
      <c r="BY10" s="26">
        <f>IF(Q$4="","",IFERROR(INDEX('因子水準表'!$B$9:$KO$18,5,MATCH(Q$4,'因子水準表'!$B$4:$KO$4,0))&amp;"",""))</f>
        <v/>
      </c>
      <c r="BZ10" s="26">
        <f>IF(R$4="","",IFERROR(INDEX('因子水準表'!$B$9:$KO$18,5,MATCH(R$4,'因子水準表'!$B$4:$KO$4,0))&amp;"",""))</f>
        <v/>
      </c>
      <c r="CA10" s="26">
        <f>IF(S$4="","",IFERROR(INDEX('因子水準表'!$B$9:$KO$18,5,MATCH(S$4,'因子水準表'!$B$4:$KO$4,0))&amp;"",""))</f>
        <v/>
      </c>
      <c r="CB10" s="26">
        <f>IF(T$4="","",IFERROR(INDEX('因子水準表'!$B$9:$KO$18,5,MATCH(T$4,'因子水準表'!$B$4:$KO$4,0))&amp;"",""))</f>
        <v/>
      </c>
      <c r="CC10" s="26">
        <f>IF(U$4="","",IFERROR(INDEX('因子水準表'!$B$9:$KO$18,5,MATCH(U$4,'因子水準表'!$B$4:$KO$4,0))&amp;"",""))</f>
        <v/>
      </c>
      <c r="CD10" s="26">
        <f>IF(V$4="","",IFERROR(INDEX('因子水準表'!$B$9:$KO$18,5,MATCH(V$4,'因子水準表'!$B$4:$KO$4,0))&amp;"",""))</f>
        <v/>
      </c>
      <c r="CE10" s="26">
        <f>IF(W$4="","",IFERROR(INDEX('因子水準表'!$B$9:$KO$18,5,MATCH(W$4,'因子水準表'!$B$4:$KO$4,0))&amp;"",""))</f>
        <v/>
      </c>
      <c r="CF10" s="26">
        <f>IF(X$4="","",IFERROR(INDEX('因子水準表'!$B$9:$KO$18,5,MATCH(X$4,'因子水準表'!$B$4:$KO$4,0))&amp;"",""))</f>
        <v/>
      </c>
      <c r="CG10" s="26">
        <f>IF(Y$4="","",IFERROR(INDEX('因子水準表'!$B$9:$KO$18,5,MATCH(Y$4,'因子水準表'!$B$4:$KO$4,0))&amp;"",""))</f>
        <v/>
      </c>
      <c r="CH10" s="26">
        <f>IF(Z$4="","",IFERROR(INDEX('因子水準表'!$B$9:$KO$18,5,MATCH(Z$4,'因子水準表'!$B$4:$KO$4,0))&amp;"",""))</f>
        <v/>
      </c>
      <c r="CI10" s="26">
        <f>IF(AA$4="","",IFERROR(INDEX('因子水準表'!$B$9:$KO$18,5,MATCH(AA$4,'因子水準表'!$B$4:$KO$4,0))&amp;"",""))</f>
        <v/>
      </c>
      <c r="CJ10" s="26">
        <f>IF(AB$4="","",IFERROR(INDEX('因子水準表'!$B$9:$KO$18,5,MATCH(AB$4,'因子水準表'!$B$4:$KO$4,0))&amp;"",""))</f>
        <v/>
      </c>
      <c r="CK10" s="26">
        <f>IF(AC$4="","",IFERROR(INDEX('因子水準表'!$B$9:$KO$18,5,MATCH(AC$4,'因子水準表'!$B$4:$KO$4,0))&amp;"",""))</f>
        <v/>
      </c>
      <c r="CL10" s="26">
        <f>IF(AD$4="","",IFERROR(INDEX('因子水準表'!$B$9:$KO$18,5,MATCH(AD$4,'因子水準表'!$B$4:$KO$4,0))&amp;"",""))</f>
        <v/>
      </c>
      <c r="CM10" s="26">
        <f>IF(AE$4="","",IFERROR(INDEX('因子水準表'!$B$9:$KO$18,5,MATCH(AE$4,'因子水準表'!$B$4:$KO$4,0))&amp;"",""))</f>
        <v/>
      </c>
      <c r="CN10" s="26">
        <f>IF(AF$4="","",IFERROR(INDEX('因子水準表'!$B$9:$KO$18,5,MATCH(AF$4,'因子水準表'!$B$4:$KO$4,0))&amp;"",""))</f>
        <v/>
      </c>
      <c r="CO10" s="26">
        <f>IF(AG$4="","",IFERROR(INDEX('因子水準表'!$B$9:$KO$18,5,MATCH(AG$4,'因子水準表'!$B$4:$KO$4,0))&amp;"",""))</f>
        <v/>
      </c>
      <c r="CP10" s="26">
        <f>IF(AH$4="","",IFERROR(INDEX('因子水準表'!$B$9:$KO$18,5,MATCH(AH$4,'因子水準表'!$B$4:$KO$4,0))&amp;"",""))</f>
        <v/>
      </c>
      <c r="CQ10" s="26">
        <f>IF(AI$4="","",IFERROR(INDEX('因子水準表'!$B$9:$KO$18,5,MATCH(AI$4,'因子水準表'!$B$4:$KO$4,0))&amp;"",""))</f>
        <v/>
      </c>
      <c r="CR10" s="26">
        <f>IF(AJ$4="","",IFERROR(INDEX('因子水準表'!$B$9:$KO$18,5,MATCH(AJ$4,'因子水準表'!$B$4:$KO$4,0))&amp;"",""))</f>
        <v/>
      </c>
      <c r="CS10" s="26">
        <f>IF(AK$4="","",IFERROR(INDEX('因子水準表'!$B$9:$KO$18,5,MATCH(AK$4,'因子水準表'!$B$4:$KO$4,0))&amp;"",""))</f>
        <v/>
      </c>
      <c r="CT10" s="26">
        <f>IF(AL$4="","",IFERROR(INDEX('因子水準表'!$B$9:$KO$18,5,MATCH(AL$4,'因子水準表'!$B$4:$KO$4,0))&amp;"",""))</f>
        <v/>
      </c>
      <c r="CU10" s="26">
        <f>IF(AM$4="","",IFERROR(INDEX('因子水準表'!$B$9:$KO$18,5,MATCH(AM$4,'因子水準表'!$B$4:$KO$4,0))&amp;"",""))</f>
        <v/>
      </c>
      <c r="CV10" s="26">
        <f>IF(AN$4="","",IFERROR(INDEX('因子水準表'!$B$9:$KO$18,5,MATCH(AN$4,'因子水準表'!$B$4:$KO$4,0))&amp;"",""))</f>
        <v/>
      </c>
      <c r="CW10" s="26">
        <f>IF(AO$4="","",IFERROR(INDEX('因子水準表'!$B$9:$KO$18,5,MATCH(AO$4,'因子水準表'!$B$4:$KO$4,0))&amp;"",""))</f>
        <v/>
      </c>
      <c r="CX10" s="26">
        <f>IF(AP$4="","",IFERROR(INDEX('因子水準表'!$B$9:$KO$18,5,MATCH(AP$4,'因子水準表'!$B$4:$KO$4,0))&amp;"",""))</f>
        <v/>
      </c>
      <c r="CY10" s="26">
        <f>IF(AQ$4="","",IFERROR(INDEX('因子水準表'!$B$9:$KO$18,5,MATCH(AQ$4,'因子水準表'!$B$4:$KO$4,0))&amp;"",""))</f>
        <v/>
      </c>
      <c r="CZ10" s="26">
        <f>IF(AR$4="","",IFERROR(INDEX('因子水準表'!$B$9:$KO$18,5,MATCH(AR$4,'因子水準表'!$B$4:$KO$4,0))&amp;"",""))</f>
        <v/>
      </c>
      <c r="DA10" s="26">
        <f>IF(AS$4="","",IFERROR(INDEX('因子水準表'!$B$9:$KO$18,5,MATCH(AS$4,'因子水準表'!$B$4:$KO$4,0))&amp;"",""))</f>
        <v/>
      </c>
      <c r="DB10" s="26">
        <f>IF(AT$4="","",IFERROR(INDEX('因子水準表'!$B$9:$KO$18,5,MATCH(AT$4,'因子水準表'!$B$4:$KO$4,0))&amp;"",""))</f>
        <v/>
      </c>
      <c r="DC10" s="26">
        <f>IF(AU$4="","",IFERROR(INDEX('因子水準表'!$B$9:$KO$18,5,MATCH(AU$4,'因子水準表'!$B$4:$KO$4,0))&amp;"",""))</f>
        <v/>
      </c>
      <c r="DD10" s="26">
        <f>IF(AV$4="","",IFERROR(INDEX('因子水準表'!$B$9:$KO$18,5,MATCH(AV$4,'因子水準表'!$B$4:$KO$4,0))&amp;"",""))</f>
        <v/>
      </c>
      <c r="DE10" s="26">
        <f>IF(AW$4="","",IFERROR(INDEX('因子水準表'!$B$9:$KO$18,5,MATCH(AW$4,'因子水準表'!$B$4:$KO$4,0))&amp;"",""))</f>
        <v/>
      </c>
      <c r="DF10" s="26">
        <f>IF(AX$4="","",IFERROR(INDEX('因子水準表'!$B$9:$KO$18,5,MATCH(AX$4,'因子水準表'!$B$4:$KO$4,0))&amp;"",""))</f>
        <v/>
      </c>
      <c r="DG10" s="26">
        <f>IF(AY$4="","",IFERROR(INDEX('因子水準表'!$B$9:$KO$18,5,MATCH(AY$4,'因子水準表'!$B$4:$KO$4,0))&amp;"",""))</f>
        <v/>
      </c>
      <c r="DH10" s="26">
        <f>IF(AZ$4="","",IFERROR(INDEX('因子水準表'!$B$9:$KO$18,5,MATCH(AZ$4,'因子水準表'!$B$4:$KO$4,0))&amp;"",""))</f>
        <v/>
      </c>
      <c r="DI10" s="26">
        <f>IF(BA$4="","",IFERROR(INDEX('因子水準表'!$B$9:$KO$18,5,MATCH(BA$4,'因子水準表'!$B$4:$KO$4,0))&amp;"",""))</f>
        <v/>
      </c>
      <c r="DJ10" s="26">
        <f>IF(BB$4="","",IFERROR(INDEX('因子水準表'!$B$9:$KO$18,5,MATCH(BB$4,'因子水準表'!$B$4:$KO$4,0))&amp;"",""))</f>
        <v/>
      </c>
      <c r="DK10" s="26">
        <f>IF(BC$4="","",IFERROR(INDEX('因子水準表'!$B$9:$KO$18,5,MATCH(BC$4,'因子水準表'!$B$4:$KO$4,0))&amp;"",""))</f>
        <v/>
      </c>
      <c r="DL10" s="26">
        <f>IF(BD$4="","",IFERROR(INDEX('因子水準表'!$B$9:$KO$18,5,MATCH(BD$4,'因子水準表'!$B$4:$KO$4,0))&amp;"",""))</f>
        <v/>
      </c>
      <c r="DM10" s="26">
        <f>IF('因子水準表'!B33="","",'因子水準表'!B33)</f>
        <v/>
      </c>
      <c r="DN10" s="26">
        <f>IF('テスト条件'!A9="","",'テスト条件'!A9)</f>
        <v/>
      </c>
    </row>
    <row r="11">
      <c r="A11" s="27" t="n"/>
      <c r="B11" s="27" t="n"/>
      <c r="C11" s="28">
        <f>IF(A11="","",$B$2)</f>
        <v/>
      </c>
      <c r="D11" s="27" t="n"/>
      <c r="E11" s="27" t="n"/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  <c r="AA11" s="27" t="n"/>
      <c r="AB11" s="27" t="n"/>
      <c r="AC11" s="27" t="n"/>
      <c r="AD11" s="27" t="n"/>
      <c r="AE11" s="27" t="n"/>
      <c r="AF11" s="27" t="n"/>
      <c r="AG11" s="27" t="n"/>
      <c r="AH11" s="27" t="n"/>
      <c r="AI11" s="27" t="n"/>
      <c r="AJ11" s="27" t="n"/>
      <c r="AK11" s="27" t="n"/>
      <c r="AL11" s="27" t="n"/>
      <c r="AM11" s="27" t="n"/>
      <c r="AN11" s="27" t="n"/>
      <c r="AO11" s="27" t="n"/>
      <c r="AP11" s="27" t="n"/>
      <c r="AQ11" s="27" t="n"/>
      <c r="AR11" s="27" t="n"/>
      <c r="AS11" s="27" t="n"/>
      <c r="AT11" s="27" t="n"/>
      <c r="AU11" s="27" t="n"/>
      <c r="AV11" s="27" t="n"/>
      <c r="AW11" s="27" t="n"/>
      <c r="AX11" s="27" t="n"/>
      <c r="AY11" s="27" t="n"/>
      <c r="AZ11" s="27" t="n"/>
      <c r="BA11" s="27" t="n"/>
      <c r="BB11" s="27" t="n"/>
      <c r="BC11" s="27" t="n"/>
      <c r="BD11" s="27" t="n"/>
      <c r="BE11" s="27" t="n"/>
      <c r="BF11" s="27" t="n"/>
      <c r="BG11" s="27" t="n"/>
      <c r="BH11" s="27" t="n"/>
      <c r="BI11" s="29" t="n"/>
      <c r="BJ11" s="27" t="n"/>
      <c r="BK11" s="27" t="n"/>
      <c r="BL11" s="27" t="n"/>
      <c r="BM11" s="27" t="n"/>
      <c r="BO11" s="26">
        <f>IF(G$4="","",IFERROR(INDEX('因子水準表'!$B$9:$KO$18,6,MATCH(G$4,'因子水準表'!$B$4:$KO$4,0))&amp;"",""))</f>
        <v/>
      </c>
      <c r="BP11" s="26">
        <f>IF(H$4="","",IFERROR(INDEX('因子水準表'!$B$9:$KO$18,6,MATCH(H$4,'因子水準表'!$B$4:$KO$4,0))&amp;"",""))</f>
        <v/>
      </c>
      <c r="BQ11" s="26">
        <f>IF(I$4="","",IFERROR(INDEX('因子水準表'!$B$9:$KO$18,6,MATCH(I$4,'因子水準表'!$B$4:$KO$4,0))&amp;"",""))</f>
        <v/>
      </c>
      <c r="BR11" s="26">
        <f>IF(J$4="","",IFERROR(INDEX('因子水準表'!$B$9:$KO$18,6,MATCH(J$4,'因子水準表'!$B$4:$KO$4,0))&amp;"",""))</f>
        <v/>
      </c>
      <c r="BS11" s="26">
        <f>IF(K$4="","",IFERROR(INDEX('因子水準表'!$B$9:$KO$18,6,MATCH(K$4,'因子水準表'!$B$4:$KO$4,0))&amp;"",""))</f>
        <v/>
      </c>
      <c r="BT11" s="26">
        <f>IF(L$4="","",IFERROR(INDEX('因子水準表'!$B$9:$KO$18,6,MATCH(L$4,'因子水準表'!$B$4:$KO$4,0))&amp;"",""))</f>
        <v/>
      </c>
      <c r="BU11" s="26">
        <f>IF(M$4="","",IFERROR(INDEX('因子水準表'!$B$9:$KO$18,6,MATCH(M$4,'因子水準表'!$B$4:$KO$4,0))&amp;"",""))</f>
        <v/>
      </c>
      <c r="BV11" s="26">
        <f>IF(N$4="","",IFERROR(INDEX('因子水準表'!$B$9:$KO$18,6,MATCH(N$4,'因子水準表'!$B$4:$KO$4,0))&amp;"",""))</f>
        <v/>
      </c>
      <c r="BW11" s="26">
        <f>IF(O$4="","",IFERROR(INDEX('因子水準表'!$B$9:$KO$18,6,MATCH(O$4,'因子水準表'!$B$4:$KO$4,0))&amp;"",""))</f>
        <v/>
      </c>
      <c r="BX11" s="26">
        <f>IF(P$4="","",IFERROR(INDEX('因子水準表'!$B$9:$KO$18,6,MATCH(P$4,'因子水準表'!$B$4:$KO$4,0))&amp;"",""))</f>
        <v/>
      </c>
      <c r="BY11" s="26">
        <f>IF(Q$4="","",IFERROR(INDEX('因子水準表'!$B$9:$KO$18,6,MATCH(Q$4,'因子水準表'!$B$4:$KO$4,0))&amp;"",""))</f>
        <v/>
      </c>
      <c r="BZ11" s="26">
        <f>IF(R$4="","",IFERROR(INDEX('因子水準表'!$B$9:$KO$18,6,MATCH(R$4,'因子水準表'!$B$4:$KO$4,0))&amp;"",""))</f>
        <v/>
      </c>
      <c r="CA11" s="26">
        <f>IF(S$4="","",IFERROR(INDEX('因子水準表'!$B$9:$KO$18,6,MATCH(S$4,'因子水準表'!$B$4:$KO$4,0))&amp;"",""))</f>
        <v/>
      </c>
      <c r="CB11" s="26">
        <f>IF(T$4="","",IFERROR(INDEX('因子水準表'!$B$9:$KO$18,6,MATCH(T$4,'因子水準表'!$B$4:$KO$4,0))&amp;"",""))</f>
        <v/>
      </c>
      <c r="CC11" s="26">
        <f>IF(U$4="","",IFERROR(INDEX('因子水準表'!$B$9:$KO$18,6,MATCH(U$4,'因子水準表'!$B$4:$KO$4,0))&amp;"",""))</f>
        <v/>
      </c>
      <c r="CD11" s="26">
        <f>IF(V$4="","",IFERROR(INDEX('因子水準表'!$B$9:$KO$18,6,MATCH(V$4,'因子水準表'!$B$4:$KO$4,0))&amp;"",""))</f>
        <v/>
      </c>
      <c r="CE11" s="26">
        <f>IF(W$4="","",IFERROR(INDEX('因子水準表'!$B$9:$KO$18,6,MATCH(W$4,'因子水準表'!$B$4:$KO$4,0))&amp;"",""))</f>
        <v/>
      </c>
      <c r="CF11" s="26">
        <f>IF(X$4="","",IFERROR(INDEX('因子水準表'!$B$9:$KO$18,6,MATCH(X$4,'因子水準表'!$B$4:$KO$4,0))&amp;"",""))</f>
        <v/>
      </c>
      <c r="CG11" s="26">
        <f>IF(Y$4="","",IFERROR(INDEX('因子水準表'!$B$9:$KO$18,6,MATCH(Y$4,'因子水準表'!$B$4:$KO$4,0))&amp;"",""))</f>
        <v/>
      </c>
      <c r="CH11" s="26">
        <f>IF(Z$4="","",IFERROR(INDEX('因子水準表'!$B$9:$KO$18,6,MATCH(Z$4,'因子水準表'!$B$4:$KO$4,0))&amp;"",""))</f>
        <v/>
      </c>
      <c r="CI11" s="26">
        <f>IF(AA$4="","",IFERROR(INDEX('因子水準表'!$B$9:$KO$18,6,MATCH(AA$4,'因子水準表'!$B$4:$KO$4,0))&amp;"",""))</f>
        <v/>
      </c>
      <c r="CJ11" s="26">
        <f>IF(AB$4="","",IFERROR(INDEX('因子水準表'!$B$9:$KO$18,6,MATCH(AB$4,'因子水準表'!$B$4:$KO$4,0))&amp;"",""))</f>
        <v/>
      </c>
      <c r="CK11" s="26">
        <f>IF(AC$4="","",IFERROR(INDEX('因子水準表'!$B$9:$KO$18,6,MATCH(AC$4,'因子水準表'!$B$4:$KO$4,0))&amp;"",""))</f>
        <v/>
      </c>
      <c r="CL11" s="26">
        <f>IF(AD$4="","",IFERROR(INDEX('因子水準表'!$B$9:$KO$18,6,MATCH(AD$4,'因子水準表'!$B$4:$KO$4,0))&amp;"",""))</f>
        <v/>
      </c>
      <c r="CM11" s="26">
        <f>IF(AE$4="","",IFERROR(INDEX('因子水準表'!$B$9:$KO$18,6,MATCH(AE$4,'因子水準表'!$B$4:$KO$4,0))&amp;"",""))</f>
        <v/>
      </c>
      <c r="CN11" s="26">
        <f>IF(AF$4="","",IFERROR(INDEX('因子水準表'!$B$9:$KO$18,6,MATCH(AF$4,'因子水準表'!$B$4:$KO$4,0))&amp;"",""))</f>
        <v/>
      </c>
      <c r="CO11" s="26">
        <f>IF(AG$4="","",IFERROR(INDEX('因子水準表'!$B$9:$KO$18,6,MATCH(AG$4,'因子水準表'!$B$4:$KO$4,0))&amp;"",""))</f>
        <v/>
      </c>
      <c r="CP11" s="26">
        <f>IF(AH$4="","",IFERROR(INDEX('因子水準表'!$B$9:$KO$18,6,MATCH(AH$4,'因子水準表'!$B$4:$KO$4,0))&amp;"",""))</f>
        <v/>
      </c>
      <c r="CQ11" s="26">
        <f>IF(AI$4="","",IFERROR(INDEX('因子水準表'!$B$9:$KO$18,6,MATCH(AI$4,'因子水準表'!$B$4:$KO$4,0))&amp;"",""))</f>
        <v/>
      </c>
      <c r="CR11" s="26">
        <f>IF(AJ$4="","",IFERROR(INDEX('因子水準表'!$B$9:$KO$18,6,MATCH(AJ$4,'因子水準表'!$B$4:$KO$4,0))&amp;"",""))</f>
        <v/>
      </c>
      <c r="CS11" s="26">
        <f>IF(AK$4="","",IFERROR(INDEX('因子水準表'!$B$9:$KO$18,6,MATCH(AK$4,'因子水準表'!$B$4:$KO$4,0))&amp;"",""))</f>
        <v/>
      </c>
      <c r="CT11" s="26">
        <f>IF(AL$4="","",IFERROR(INDEX('因子水準表'!$B$9:$KO$18,6,MATCH(AL$4,'因子水準表'!$B$4:$KO$4,0))&amp;"",""))</f>
        <v/>
      </c>
      <c r="CU11" s="26">
        <f>IF(AM$4="","",IFERROR(INDEX('因子水準表'!$B$9:$KO$18,6,MATCH(AM$4,'因子水準表'!$B$4:$KO$4,0))&amp;"",""))</f>
        <v/>
      </c>
      <c r="CV11" s="26">
        <f>IF(AN$4="","",IFERROR(INDEX('因子水準表'!$B$9:$KO$18,6,MATCH(AN$4,'因子水準表'!$B$4:$KO$4,0))&amp;"",""))</f>
        <v/>
      </c>
      <c r="CW11" s="26">
        <f>IF(AO$4="","",IFERROR(INDEX('因子水準表'!$B$9:$KO$18,6,MATCH(AO$4,'因子水準表'!$B$4:$KO$4,0))&amp;"",""))</f>
        <v/>
      </c>
      <c r="CX11" s="26">
        <f>IF(AP$4="","",IFERROR(INDEX('因子水準表'!$B$9:$KO$18,6,MATCH(AP$4,'因子水準表'!$B$4:$KO$4,0))&amp;"",""))</f>
        <v/>
      </c>
      <c r="CY11" s="26">
        <f>IF(AQ$4="","",IFERROR(INDEX('因子水準表'!$B$9:$KO$18,6,MATCH(AQ$4,'因子水準表'!$B$4:$KO$4,0))&amp;"",""))</f>
        <v/>
      </c>
      <c r="CZ11" s="26">
        <f>IF(AR$4="","",IFERROR(INDEX('因子水準表'!$B$9:$KO$18,6,MATCH(AR$4,'因子水準表'!$B$4:$KO$4,0))&amp;"",""))</f>
        <v/>
      </c>
      <c r="DA11" s="26">
        <f>IF(AS$4="","",IFERROR(INDEX('因子水準表'!$B$9:$KO$18,6,MATCH(AS$4,'因子水準表'!$B$4:$KO$4,0))&amp;"",""))</f>
        <v/>
      </c>
      <c r="DB11" s="26">
        <f>IF(AT$4="","",IFERROR(INDEX('因子水準表'!$B$9:$KO$18,6,MATCH(AT$4,'因子水準表'!$B$4:$KO$4,0))&amp;"",""))</f>
        <v/>
      </c>
      <c r="DC11" s="26">
        <f>IF(AU$4="","",IFERROR(INDEX('因子水準表'!$B$9:$KO$18,6,MATCH(AU$4,'因子水準表'!$B$4:$KO$4,0))&amp;"",""))</f>
        <v/>
      </c>
      <c r="DD11" s="26">
        <f>IF(AV$4="","",IFERROR(INDEX('因子水準表'!$B$9:$KO$18,6,MATCH(AV$4,'因子水準表'!$B$4:$KO$4,0))&amp;"",""))</f>
        <v/>
      </c>
      <c r="DE11" s="26">
        <f>IF(AW$4="","",IFERROR(INDEX('因子水準表'!$B$9:$KO$18,6,MATCH(AW$4,'因子水準表'!$B$4:$KO$4,0))&amp;"",""))</f>
        <v/>
      </c>
      <c r="DF11" s="26">
        <f>IF(AX$4="","",IFERROR(INDEX('因子水準表'!$B$9:$KO$18,6,MATCH(AX$4,'因子水準表'!$B$4:$KO$4,0))&amp;"",""))</f>
        <v/>
      </c>
      <c r="DG11" s="26">
        <f>IF(AY$4="","",IFERROR(INDEX('因子水準表'!$B$9:$KO$18,6,MATCH(AY$4,'因子水準表'!$B$4:$KO$4,0))&amp;"",""))</f>
        <v/>
      </c>
      <c r="DH11" s="26">
        <f>IF(AZ$4="","",IFERROR(INDEX('因子水準表'!$B$9:$KO$18,6,MATCH(AZ$4,'因子水準表'!$B$4:$KO$4,0))&amp;"",""))</f>
        <v/>
      </c>
      <c r="DI11" s="26">
        <f>IF(BA$4="","",IFERROR(INDEX('因子水準表'!$B$9:$KO$18,6,MATCH(BA$4,'因子水準表'!$B$4:$KO$4,0))&amp;"",""))</f>
        <v/>
      </c>
      <c r="DJ11" s="26">
        <f>IF(BB$4="","",IFERROR(INDEX('因子水準表'!$B$9:$KO$18,6,MATCH(BB$4,'因子水準表'!$B$4:$KO$4,0))&amp;"",""))</f>
        <v/>
      </c>
      <c r="DK11" s="26">
        <f>IF(BC$4="","",IFERROR(INDEX('因子水準表'!$B$9:$KO$18,6,MATCH(BC$4,'因子水準表'!$B$4:$KO$4,0))&amp;"",""))</f>
        <v/>
      </c>
      <c r="DL11" s="26">
        <f>IF(BD$4="","",IFERROR(INDEX('因子水準表'!$B$9:$KO$18,6,MATCH(BD$4,'因子水準表'!$B$4:$KO$4,0))&amp;"",""))</f>
        <v/>
      </c>
      <c r="DM11" s="26">
        <f>IF('因子水準表'!B34="","",'因子水準表'!B34)</f>
        <v/>
      </c>
      <c r="DN11" s="26">
        <f>IF('テスト条件'!A10="","",'テスト条件'!A10)</f>
        <v/>
      </c>
    </row>
    <row r="12">
      <c r="A12" s="27" t="n"/>
      <c r="B12" s="27" t="n"/>
      <c r="C12" s="28">
        <f>IF(A12="","",$B$2)</f>
        <v/>
      </c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  <c r="AJ12" s="27" t="n"/>
      <c r="AK12" s="27" t="n"/>
      <c r="AL12" s="27" t="n"/>
      <c r="AM12" s="27" t="n"/>
      <c r="AN12" s="27" t="n"/>
      <c r="AO12" s="27" t="n"/>
      <c r="AP12" s="27" t="n"/>
      <c r="AQ12" s="27" t="n"/>
      <c r="AR12" s="27" t="n"/>
      <c r="AS12" s="27" t="n"/>
      <c r="AT12" s="27" t="n"/>
      <c r="AU12" s="27" t="n"/>
      <c r="AV12" s="27" t="n"/>
      <c r="AW12" s="27" t="n"/>
      <c r="AX12" s="27" t="n"/>
      <c r="AY12" s="27" t="n"/>
      <c r="AZ12" s="27" t="n"/>
      <c r="BA12" s="27" t="n"/>
      <c r="BB12" s="27" t="n"/>
      <c r="BC12" s="27" t="n"/>
      <c r="BD12" s="27" t="n"/>
      <c r="BE12" s="27" t="n"/>
      <c r="BF12" s="27" t="n"/>
      <c r="BG12" s="27" t="n"/>
      <c r="BH12" s="27" t="n"/>
      <c r="BI12" s="29" t="n"/>
      <c r="BJ12" s="27" t="n"/>
      <c r="BK12" s="27" t="n"/>
      <c r="BL12" s="27" t="n"/>
      <c r="BM12" s="27" t="n"/>
      <c r="BO12" s="26">
        <f>IF(G$4="","",IFERROR(INDEX('因子水準表'!$B$9:$KO$18,7,MATCH(G$4,'因子水準表'!$B$4:$KO$4,0))&amp;"",""))</f>
        <v/>
      </c>
      <c r="BP12" s="26">
        <f>IF(H$4="","",IFERROR(INDEX('因子水準表'!$B$9:$KO$18,7,MATCH(H$4,'因子水準表'!$B$4:$KO$4,0))&amp;"",""))</f>
        <v/>
      </c>
      <c r="BQ12" s="26">
        <f>IF(I$4="","",IFERROR(INDEX('因子水準表'!$B$9:$KO$18,7,MATCH(I$4,'因子水準表'!$B$4:$KO$4,0))&amp;"",""))</f>
        <v/>
      </c>
      <c r="BR12" s="26">
        <f>IF(J$4="","",IFERROR(INDEX('因子水準表'!$B$9:$KO$18,7,MATCH(J$4,'因子水準表'!$B$4:$KO$4,0))&amp;"",""))</f>
        <v/>
      </c>
      <c r="BS12" s="26">
        <f>IF(K$4="","",IFERROR(INDEX('因子水準表'!$B$9:$KO$18,7,MATCH(K$4,'因子水準表'!$B$4:$KO$4,0))&amp;"",""))</f>
        <v/>
      </c>
      <c r="BT12" s="26">
        <f>IF(L$4="","",IFERROR(INDEX('因子水準表'!$B$9:$KO$18,7,MATCH(L$4,'因子水準表'!$B$4:$KO$4,0))&amp;"",""))</f>
        <v/>
      </c>
      <c r="BU12" s="26">
        <f>IF(M$4="","",IFERROR(INDEX('因子水準表'!$B$9:$KO$18,7,MATCH(M$4,'因子水準表'!$B$4:$KO$4,0))&amp;"",""))</f>
        <v/>
      </c>
      <c r="BV12" s="26">
        <f>IF(N$4="","",IFERROR(INDEX('因子水準表'!$B$9:$KO$18,7,MATCH(N$4,'因子水準表'!$B$4:$KO$4,0))&amp;"",""))</f>
        <v/>
      </c>
      <c r="BW12" s="26">
        <f>IF(O$4="","",IFERROR(INDEX('因子水準表'!$B$9:$KO$18,7,MATCH(O$4,'因子水準表'!$B$4:$KO$4,0))&amp;"",""))</f>
        <v/>
      </c>
      <c r="BX12" s="26">
        <f>IF(P$4="","",IFERROR(INDEX('因子水準表'!$B$9:$KO$18,7,MATCH(P$4,'因子水準表'!$B$4:$KO$4,0))&amp;"",""))</f>
        <v/>
      </c>
      <c r="BY12" s="26">
        <f>IF(Q$4="","",IFERROR(INDEX('因子水準表'!$B$9:$KO$18,7,MATCH(Q$4,'因子水準表'!$B$4:$KO$4,0))&amp;"",""))</f>
        <v/>
      </c>
      <c r="BZ12" s="26">
        <f>IF(R$4="","",IFERROR(INDEX('因子水準表'!$B$9:$KO$18,7,MATCH(R$4,'因子水準表'!$B$4:$KO$4,0))&amp;"",""))</f>
        <v/>
      </c>
      <c r="CA12" s="26">
        <f>IF(S$4="","",IFERROR(INDEX('因子水準表'!$B$9:$KO$18,7,MATCH(S$4,'因子水準表'!$B$4:$KO$4,0))&amp;"",""))</f>
        <v/>
      </c>
      <c r="CB12" s="26">
        <f>IF(T$4="","",IFERROR(INDEX('因子水準表'!$B$9:$KO$18,7,MATCH(T$4,'因子水準表'!$B$4:$KO$4,0))&amp;"",""))</f>
        <v/>
      </c>
      <c r="CC12" s="26">
        <f>IF(U$4="","",IFERROR(INDEX('因子水準表'!$B$9:$KO$18,7,MATCH(U$4,'因子水準表'!$B$4:$KO$4,0))&amp;"",""))</f>
        <v/>
      </c>
      <c r="CD12" s="26">
        <f>IF(V$4="","",IFERROR(INDEX('因子水準表'!$B$9:$KO$18,7,MATCH(V$4,'因子水準表'!$B$4:$KO$4,0))&amp;"",""))</f>
        <v/>
      </c>
      <c r="CE12" s="26">
        <f>IF(W$4="","",IFERROR(INDEX('因子水準表'!$B$9:$KO$18,7,MATCH(W$4,'因子水準表'!$B$4:$KO$4,0))&amp;"",""))</f>
        <v/>
      </c>
      <c r="CF12" s="26">
        <f>IF(X$4="","",IFERROR(INDEX('因子水準表'!$B$9:$KO$18,7,MATCH(X$4,'因子水準表'!$B$4:$KO$4,0))&amp;"",""))</f>
        <v/>
      </c>
      <c r="CG12" s="26">
        <f>IF(Y$4="","",IFERROR(INDEX('因子水準表'!$B$9:$KO$18,7,MATCH(Y$4,'因子水準表'!$B$4:$KO$4,0))&amp;"",""))</f>
        <v/>
      </c>
      <c r="CH12" s="26">
        <f>IF(Z$4="","",IFERROR(INDEX('因子水準表'!$B$9:$KO$18,7,MATCH(Z$4,'因子水準表'!$B$4:$KO$4,0))&amp;"",""))</f>
        <v/>
      </c>
      <c r="CI12" s="26">
        <f>IF(AA$4="","",IFERROR(INDEX('因子水準表'!$B$9:$KO$18,7,MATCH(AA$4,'因子水準表'!$B$4:$KO$4,0))&amp;"",""))</f>
        <v/>
      </c>
      <c r="CJ12" s="26">
        <f>IF(AB$4="","",IFERROR(INDEX('因子水準表'!$B$9:$KO$18,7,MATCH(AB$4,'因子水準表'!$B$4:$KO$4,0))&amp;"",""))</f>
        <v/>
      </c>
      <c r="CK12" s="26">
        <f>IF(AC$4="","",IFERROR(INDEX('因子水準表'!$B$9:$KO$18,7,MATCH(AC$4,'因子水準表'!$B$4:$KO$4,0))&amp;"",""))</f>
        <v/>
      </c>
      <c r="CL12" s="26">
        <f>IF(AD$4="","",IFERROR(INDEX('因子水準表'!$B$9:$KO$18,7,MATCH(AD$4,'因子水準表'!$B$4:$KO$4,0))&amp;"",""))</f>
        <v/>
      </c>
      <c r="CM12" s="26">
        <f>IF(AE$4="","",IFERROR(INDEX('因子水準表'!$B$9:$KO$18,7,MATCH(AE$4,'因子水準表'!$B$4:$KO$4,0))&amp;"",""))</f>
        <v/>
      </c>
      <c r="CN12" s="26">
        <f>IF(AF$4="","",IFERROR(INDEX('因子水準表'!$B$9:$KO$18,7,MATCH(AF$4,'因子水準表'!$B$4:$KO$4,0))&amp;"",""))</f>
        <v/>
      </c>
      <c r="CO12" s="26">
        <f>IF(AG$4="","",IFERROR(INDEX('因子水準表'!$B$9:$KO$18,7,MATCH(AG$4,'因子水準表'!$B$4:$KO$4,0))&amp;"",""))</f>
        <v/>
      </c>
      <c r="CP12" s="26">
        <f>IF(AH$4="","",IFERROR(INDEX('因子水準表'!$B$9:$KO$18,7,MATCH(AH$4,'因子水準表'!$B$4:$KO$4,0))&amp;"",""))</f>
        <v/>
      </c>
      <c r="CQ12" s="26">
        <f>IF(AI$4="","",IFERROR(INDEX('因子水準表'!$B$9:$KO$18,7,MATCH(AI$4,'因子水準表'!$B$4:$KO$4,0))&amp;"",""))</f>
        <v/>
      </c>
      <c r="CR12" s="26">
        <f>IF(AJ$4="","",IFERROR(INDEX('因子水準表'!$B$9:$KO$18,7,MATCH(AJ$4,'因子水準表'!$B$4:$KO$4,0))&amp;"",""))</f>
        <v/>
      </c>
      <c r="CS12" s="26">
        <f>IF(AK$4="","",IFERROR(INDEX('因子水準表'!$B$9:$KO$18,7,MATCH(AK$4,'因子水準表'!$B$4:$KO$4,0))&amp;"",""))</f>
        <v/>
      </c>
      <c r="CT12" s="26">
        <f>IF(AL$4="","",IFERROR(INDEX('因子水準表'!$B$9:$KO$18,7,MATCH(AL$4,'因子水準表'!$B$4:$KO$4,0))&amp;"",""))</f>
        <v/>
      </c>
      <c r="CU12" s="26">
        <f>IF(AM$4="","",IFERROR(INDEX('因子水準表'!$B$9:$KO$18,7,MATCH(AM$4,'因子水準表'!$B$4:$KO$4,0))&amp;"",""))</f>
        <v/>
      </c>
      <c r="CV12" s="26">
        <f>IF(AN$4="","",IFERROR(INDEX('因子水準表'!$B$9:$KO$18,7,MATCH(AN$4,'因子水準表'!$B$4:$KO$4,0))&amp;"",""))</f>
        <v/>
      </c>
      <c r="CW12" s="26">
        <f>IF(AO$4="","",IFERROR(INDEX('因子水準表'!$B$9:$KO$18,7,MATCH(AO$4,'因子水準表'!$B$4:$KO$4,0))&amp;"",""))</f>
        <v/>
      </c>
      <c r="CX12" s="26">
        <f>IF(AP$4="","",IFERROR(INDEX('因子水準表'!$B$9:$KO$18,7,MATCH(AP$4,'因子水準表'!$B$4:$KO$4,0))&amp;"",""))</f>
        <v/>
      </c>
      <c r="CY12" s="26">
        <f>IF(AQ$4="","",IFERROR(INDEX('因子水準表'!$B$9:$KO$18,7,MATCH(AQ$4,'因子水準表'!$B$4:$KO$4,0))&amp;"",""))</f>
        <v/>
      </c>
      <c r="CZ12" s="26">
        <f>IF(AR$4="","",IFERROR(INDEX('因子水準表'!$B$9:$KO$18,7,MATCH(AR$4,'因子水準表'!$B$4:$KO$4,0))&amp;"",""))</f>
        <v/>
      </c>
      <c r="DA12" s="26">
        <f>IF(AS$4="","",IFERROR(INDEX('因子水準表'!$B$9:$KO$18,7,MATCH(AS$4,'因子水準表'!$B$4:$KO$4,0))&amp;"",""))</f>
        <v/>
      </c>
      <c r="DB12" s="26">
        <f>IF(AT$4="","",IFERROR(INDEX('因子水準表'!$B$9:$KO$18,7,MATCH(AT$4,'因子水準表'!$B$4:$KO$4,0))&amp;"",""))</f>
        <v/>
      </c>
      <c r="DC12" s="26">
        <f>IF(AU$4="","",IFERROR(INDEX('因子水準表'!$B$9:$KO$18,7,MATCH(AU$4,'因子水準表'!$B$4:$KO$4,0))&amp;"",""))</f>
        <v/>
      </c>
      <c r="DD12" s="26">
        <f>IF(AV$4="","",IFERROR(INDEX('因子水準表'!$B$9:$KO$18,7,MATCH(AV$4,'因子水準表'!$B$4:$KO$4,0))&amp;"",""))</f>
        <v/>
      </c>
      <c r="DE12" s="26">
        <f>IF(AW$4="","",IFERROR(INDEX('因子水準表'!$B$9:$KO$18,7,MATCH(AW$4,'因子水準表'!$B$4:$KO$4,0))&amp;"",""))</f>
        <v/>
      </c>
      <c r="DF12" s="26">
        <f>IF(AX$4="","",IFERROR(INDEX('因子水準表'!$B$9:$KO$18,7,MATCH(AX$4,'因子水準表'!$B$4:$KO$4,0))&amp;"",""))</f>
        <v/>
      </c>
      <c r="DG12" s="26">
        <f>IF(AY$4="","",IFERROR(INDEX('因子水準表'!$B$9:$KO$18,7,MATCH(AY$4,'因子水準表'!$B$4:$KO$4,0))&amp;"",""))</f>
        <v/>
      </c>
      <c r="DH12" s="26">
        <f>IF(AZ$4="","",IFERROR(INDEX('因子水準表'!$B$9:$KO$18,7,MATCH(AZ$4,'因子水準表'!$B$4:$KO$4,0))&amp;"",""))</f>
        <v/>
      </c>
      <c r="DI12" s="26">
        <f>IF(BA$4="","",IFERROR(INDEX('因子水準表'!$B$9:$KO$18,7,MATCH(BA$4,'因子水準表'!$B$4:$KO$4,0))&amp;"",""))</f>
        <v/>
      </c>
      <c r="DJ12" s="26">
        <f>IF(BB$4="","",IFERROR(INDEX('因子水準表'!$B$9:$KO$18,7,MATCH(BB$4,'因子水準表'!$B$4:$KO$4,0))&amp;"",""))</f>
        <v/>
      </c>
      <c r="DK12" s="26">
        <f>IF(BC$4="","",IFERROR(INDEX('因子水準表'!$B$9:$KO$18,7,MATCH(BC$4,'因子水準表'!$B$4:$KO$4,0))&amp;"",""))</f>
        <v/>
      </c>
      <c r="DL12" s="26">
        <f>IF(BD$4="","",IFERROR(INDEX('因子水準表'!$B$9:$KO$18,7,MATCH(BD$4,'因子水準表'!$B$4:$KO$4,0))&amp;"",""))</f>
        <v/>
      </c>
      <c r="DM12" s="26">
        <f>IF('因子水準表'!B35="","",'因子水準表'!B35)</f>
        <v/>
      </c>
      <c r="DN12" s="26">
        <f>IF('テスト条件'!A11="","",'テスト条件'!A11)</f>
        <v/>
      </c>
    </row>
    <row r="13">
      <c r="A13" s="27" t="n"/>
      <c r="B13" s="27" t="n"/>
      <c r="C13" s="28">
        <f>IF(A13="","",$B$2)</f>
        <v/>
      </c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  <c r="AA13" s="27" t="n"/>
      <c r="AB13" s="27" t="n"/>
      <c r="AC13" s="27" t="n"/>
      <c r="AD13" s="27" t="n"/>
      <c r="AE13" s="27" t="n"/>
      <c r="AF13" s="27" t="n"/>
      <c r="AG13" s="27" t="n"/>
      <c r="AH13" s="27" t="n"/>
      <c r="AI13" s="27" t="n"/>
      <c r="AJ13" s="27" t="n"/>
      <c r="AK13" s="27" t="n"/>
      <c r="AL13" s="27" t="n"/>
      <c r="AM13" s="27" t="n"/>
      <c r="AN13" s="27" t="n"/>
      <c r="AO13" s="27" t="n"/>
      <c r="AP13" s="27" t="n"/>
      <c r="AQ13" s="27" t="n"/>
      <c r="AR13" s="27" t="n"/>
      <c r="AS13" s="27" t="n"/>
      <c r="AT13" s="27" t="n"/>
      <c r="AU13" s="27" t="n"/>
      <c r="AV13" s="27" t="n"/>
      <c r="AW13" s="27" t="n"/>
      <c r="AX13" s="27" t="n"/>
      <c r="AY13" s="27" t="n"/>
      <c r="AZ13" s="27" t="n"/>
      <c r="BA13" s="27" t="n"/>
      <c r="BB13" s="27" t="n"/>
      <c r="BC13" s="27" t="n"/>
      <c r="BD13" s="27" t="n"/>
      <c r="BE13" s="27" t="n"/>
      <c r="BF13" s="27" t="n"/>
      <c r="BG13" s="27" t="n"/>
      <c r="BH13" s="27" t="n"/>
      <c r="BI13" s="29" t="n"/>
      <c r="BJ13" s="27" t="n"/>
      <c r="BK13" s="27" t="n"/>
      <c r="BL13" s="27" t="n"/>
      <c r="BM13" s="27" t="n"/>
      <c r="BO13" s="26">
        <f>IF(G$4="","",IFERROR(INDEX('因子水準表'!$B$9:$KO$18,8,MATCH(G$4,'因子水準表'!$B$4:$KO$4,0))&amp;"",""))</f>
        <v/>
      </c>
      <c r="BP13" s="26">
        <f>IF(H$4="","",IFERROR(INDEX('因子水準表'!$B$9:$KO$18,8,MATCH(H$4,'因子水準表'!$B$4:$KO$4,0))&amp;"",""))</f>
        <v/>
      </c>
      <c r="BQ13" s="26">
        <f>IF(I$4="","",IFERROR(INDEX('因子水準表'!$B$9:$KO$18,8,MATCH(I$4,'因子水準表'!$B$4:$KO$4,0))&amp;"",""))</f>
        <v/>
      </c>
      <c r="BR13" s="26">
        <f>IF(J$4="","",IFERROR(INDEX('因子水準表'!$B$9:$KO$18,8,MATCH(J$4,'因子水準表'!$B$4:$KO$4,0))&amp;"",""))</f>
        <v/>
      </c>
      <c r="BS13" s="26">
        <f>IF(K$4="","",IFERROR(INDEX('因子水準表'!$B$9:$KO$18,8,MATCH(K$4,'因子水準表'!$B$4:$KO$4,0))&amp;"",""))</f>
        <v/>
      </c>
      <c r="BT13" s="26">
        <f>IF(L$4="","",IFERROR(INDEX('因子水準表'!$B$9:$KO$18,8,MATCH(L$4,'因子水準表'!$B$4:$KO$4,0))&amp;"",""))</f>
        <v/>
      </c>
      <c r="BU13" s="26">
        <f>IF(M$4="","",IFERROR(INDEX('因子水準表'!$B$9:$KO$18,8,MATCH(M$4,'因子水準表'!$B$4:$KO$4,0))&amp;"",""))</f>
        <v/>
      </c>
      <c r="BV13" s="26">
        <f>IF(N$4="","",IFERROR(INDEX('因子水準表'!$B$9:$KO$18,8,MATCH(N$4,'因子水準表'!$B$4:$KO$4,0))&amp;"",""))</f>
        <v/>
      </c>
      <c r="BW13" s="26">
        <f>IF(O$4="","",IFERROR(INDEX('因子水準表'!$B$9:$KO$18,8,MATCH(O$4,'因子水準表'!$B$4:$KO$4,0))&amp;"",""))</f>
        <v/>
      </c>
      <c r="BX13" s="26">
        <f>IF(P$4="","",IFERROR(INDEX('因子水準表'!$B$9:$KO$18,8,MATCH(P$4,'因子水準表'!$B$4:$KO$4,0))&amp;"",""))</f>
        <v/>
      </c>
      <c r="BY13" s="26">
        <f>IF(Q$4="","",IFERROR(INDEX('因子水準表'!$B$9:$KO$18,8,MATCH(Q$4,'因子水準表'!$B$4:$KO$4,0))&amp;"",""))</f>
        <v/>
      </c>
      <c r="BZ13" s="26">
        <f>IF(R$4="","",IFERROR(INDEX('因子水準表'!$B$9:$KO$18,8,MATCH(R$4,'因子水準表'!$B$4:$KO$4,0))&amp;"",""))</f>
        <v/>
      </c>
      <c r="CA13" s="26">
        <f>IF(S$4="","",IFERROR(INDEX('因子水準表'!$B$9:$KO$18,8,MATCH(S$4,'因子水準表'!$B$4:$KO$4,0))&amp;"",""))</f>
        <v/>
      </c>
      <c r="CB13" s="26">
        <f>IF(T$4="","",IFERROR(INDEX('因子水準表'!$B$9:$KO$18,8,MATCH(T$4,'因子水準表'!$B$4:$KO$4,0))&amp;"",""))</f>
        <v/>
      </c>
      <c r="CC13" s="26">
        <f>IF(U$4="","",IFERROR(INDEX('因子水準表'!$B$9:$KO$18,8,MATCH(U$4,'因子水準表'!$B$4:$KO$4,0))&amp;"",""))</f>
        <v/>
      </c>
      <c r="CD13" s="26">
        <f>IF(V$4="","",IFERROR(INDEX('因子水準表'!$B$9:$KO$18,8,MATCH(V$4,'因子水準表'!$B$4:$KO$4,0))&amp;"",""))</f>
        <v/>
      </c>
      <c r="CE13" s="26">
        <f>IF(W$4="","",IFERROR(INDEX('因子水準表'!$B$9:$KO$18,8,MATCH(W$4,'因子水準表'!$B$4:$KO$4,0))&amp;"",""))</f>
        <v/>
      </c>
      <c r="CF13" s="26">
        <f>IF(X$4="","",IFERROR(INDEX('因子水準表'!$B$9:$KO$18,8,MATCH(X$4,'因子水準表'!$B$4:$KO$4,0))&amp;"",""))</f>
        <v/>
      </c>
      <c r="CG13" s="26">
        <f>IF(Y$4="","",IFERROR(INDEX('因子水準表'!$B$9:$KO$18,8,MATCH(Y$4,'因子水準表'!$B$4:$KO$4,0))&amp;"",""))</f>
        <v/>
      </c>
      <c r="CH13" s="26">
        <f>IF(Z$4="","",IFERROR(INDEX('因子水準表'!$B$9:$KO$18,8,MATCH(Z$4,'因子水準表'!$B$4:$KO$4,0))&amp;"",""))</f>
        <v/>
      </c>
      <c r="CI13" s="26">
        <f>IF(AA$4="","",IFERROR(INDEX('因子水準表'!$B$9:$KO$18,8,MATCH(AA$4,'因子水準表'!$B$4:$KO$4,0))&amp;"",""))</f>
        <v/>
      </c>
      <c r="CJ13" s="26">
        <f>IF(AB$4="","",IFERROR(INDEX('因子水準表'!$B$9:$KO$18,8,MATCH(AB$4,'因子水準表'!$B$4:$KO$4,0))&amp;"",""))</f>
        <v/>
      </c>
      <c r="CK13" s="26">
        <f>IF(AC$4="","",IFERROR(INDEX('因子水準表'!$B$9:$KO$18,8,MATCH(AC$4,'因子水準表'!$B$4:$KO$4,0))&amp;"",""))</f>
        <v/>
      </c>
      <c r="CL13" s="26">
        <f>IF(AD$4="","",IFERROR(INDEX('因子水準表'!$B$9:$KO$18,8,MATCH(AD$4,'因子水準表'!$B$4:$KO$4,0))&amp;"",""))</f>
        <v/>
      </c>
      <c r="CM13" s="26">
        <f>IF(AE$4="","",IFERROR(INDEX('因子水準表'!$B$9:$KO$18,8,MATCH(AE$4,'因子水準表'!$B$4:$KO$4,0))&amp;"",""))</f>
        <v/>
      </c>
      <c r="CN13" s="26">
        <f>IF(AF$4="","",IFERROR(INDEX('因子水準表'!$B$9:$KO$18,8,MATCH(AF$4,'因子水準表'!$B$4:$KO$4,0))&amp;"",""))</f>
        <v/>
      </c>
      <c r="CO13" s="26">
        <f>IF(AG$4="","",IFERROR(INDEX('因子水準表'!$B$9:$KO$18,8,MATCH(AG$4,'因子水準表'!$B$4:$KO$4,0))&amp;"",""))</f>
        <v/>
      </c>
      <c r="CP13" s="26">
        <f>IF(AH$4="","",IFERROR(INDEX('因子水準表'!$B$9:$KO$18,8,MATCH(AH$4,'因子水準表'!$B$4:$KO$4,0))&amp;"",""))</f>
        <v/>
      </c>
      <c r="CQ13" s="26">
        <f>IF(AI$4="","",IFERROR(INDEX('因子水準表'!$B$9:$KO$18,8,MATCH(AI$4,'因子水準表'!$B$4:$KO$4,0))&amp;"",""))</f>
        <v/>
      </c>
      <c r="CR13" s="26">
        <f>IF(AJ$4="","",IFERROR(INDEX('因子水準表'!$B$9:$KO$18,8,MATCH(AJ$4,'因子水準表'!$B$4:$KO$4,0))&amp;"",""))</f>
        <v/>
      </c>
      <c r="CS13" s="26">
        <f>IF(AK$4="","",IFERROR(INDEX('因子水準表'!$B$9:$KO$18,8,MATCH(AK$4,'因子水準表'!$B$4:$KO$4,0))&amp;"",""))</f>
        <v/>
      </c>
      <c r="CT13" s="26">
        <f>IF(AL$4="","",IFERROR(INDEX('因子水準表'!$B$9:$KO$18,8,MATCH(AL$4,'因子水準表'!$B$4:$KO$4,0))&amp;"",""))</f>
        <v/>
      </c>
      <c r="CU13" s="26">
        <f>IF(AM$4="","",IFERROR(INDEX('因子水準表'!$B$9:$KO$18,8,MATCH(AM$4,'因子水準表'!$B$4:$KO$4,0))&amp;"",""))</f>
        <v/>
      </c>
      <c r="CV13" s="26">
        <f>IF(AN$4="","",IFERROR(INDEX('因子水準表'!$B$9:$KO$18,8,MATCH(AN$4,'因子水準表'!$B$4:$KO$4,0))&amp;"",""))</f>
        <v/>
      </c>
      <c r="CW13" s="26">
        <f>IF(AO$4="","",IFERROR(INDEX('因子水準表'!$B$9:$KO$18,8,MATCH(AO$4,'因子水準表'!$B$4:$KO$4,0))&amp;"",""))</f>
        <v/>
      </c>
      <c r="CX13" s="26">
        <f>IF(AP$4="","",IFERROR(INDEX('因子水準表'!$B$9:$KO$18,8,MATCH(AP$4,'因子水準表'!$B$4:$KO$4,0))&amp;"",""))</f>
        <v/>
      </c>
      <c r="CY13" s="26">
        <f>IF(AQ$4="","",IFERROR(INDEX('因子水準表'!$B$9:$KO$18,8,MATCH(AQ$4,'因子水準表'!$B$4:$KO$4,0))&amp;"",""))</f>
        <v/>
      </c>
      <c r="CZ13" s="26">
        <f>IF(AR$4="","",IFERROR(INDEX('因子水準表'!$B$9:$KO$18,8,MATCH(AR$4,'因子水準表'!$B$4:$KO$4,0))&amp;"",""))</f>
        <v/>
      </c>
      <c r="DA13" s="26">
        <f>IF(AS$4="","",IFERROR(INDEX('因子水準表'!$B$9:$KO$18,8,MATCH(AS$4,'因子水準表'!$B$4:$KO$4,0))&amp;"",""))</f>
        <v/>
      </c>
      <c r="DB13" s="26">
        <f>IF(AT$4="","",IFERROR(INDEX('因子水準表'!$B$9:$KO$18,8,MATCH(AT$4,'因子水準表'!$B$4:$KO$4,0))&amp;"",""))</f>
        <v/>
      </c>
      <c r="DC13" s="26">
        <f>IF(AU$4="","",IFERROR(INDEX('因子水準表'!$B$9:$KO$18,8,MATCH(AU$4,'因子水準表'!$B$4:$KO$4,0))&amp;"",""))</f>
        <v/>
      </c>
      <c r="DD13" s="26">
        <f>IF(AV$4="","",IFERROR(INDEX('因子水準表'!$B$9:$KO$18,8,MATCH(AV$4,'因子水準表'!$B$4:$KO$4,0))&amp;"",""))</f>
        <v/>
      </c>
      <c r="DE13" s="26">
        <f>IF(AW$4="","",IFERROR(INDEX('因子水準表'!$B$9:$KO$18,8,MATCH(AW$4,'因子水準表'!$B$4:$KO$4,0))&amp;"",""))</f>
        <v/>
      </c>
      <c r="DF13" s="26">
        <f>IF(AX$4="","",IFERROR(INDEX('因子水準表'!$B$9:$KO$18,8,MATCH(AX$4,'因子水準表'!$B$4:$KO$4,0))&amp;"",""))</f>
        <v/>
      </c>
      <c r="DG13" s="26">
        <f>IF(AY$4="","",IFERROR(INDEX('因子水準表'!$B$9:$KO$18,8,MATCH(AY$4,'因子水準表'!$B$4:$KO$4,0))&amp;"",""))</f>
        <v/>
      </c>
      <c r="DH13" s="26">
        <f>IF(AZ$4="","",IFERROR(INDEX('因子水準表'!$B$9:$KO$18,8,MATCH(AZ$4,'因子水準表'!$B$4:$KO$4,0))&amp;"",""))</f>
        <v/>
      </c>
      <c r="DI13" s="26">
        <f>IF(BA$4="","",IFERROR(INDEX('因子水準表'!$B$9:$KO$18,8,MATCH(BA$4,'因子水準表'!$B$4:$KO$4,0))&amp;"",""))</f>
        <v/>
      </c>
      <c r="DJ13" s="26">
        <f>IF(BB$4="","",IFERROR(INDEX('因子水準表'!$B$9:$KO$18,8,MATCH(BB$4,'因子水準表'!$B$4:$KO$4,0))&amp;"",""))</f>
        <v/>
      </c>
      <c r="DK13" s="26">
        <f>IF(BC$4="","",IFERROR(INDEX('因子水準表'!$B$9:$KO$18,8,MATCH(BC$4,'因子水準表'!$B$4:$KO$4,0))&amp;"",""))</f>
        <v/>
      </c>
      <c r="DL13" s="26">
        <f>IF(BD$4="","",IFERROR(INDEX('因子水準表'!$B$9:$KO$18,8,MATCH(BD$4,'因子水準表'!$B$4:$KO$4,0))&amp;"",""))</f>
        <v/>
      </c>
      <c r="DM13" s="26">
        <f>IF('因子水準表'!B36="","",'因子水準表'!B36)</f>
        <v/>
      </c>
      <c r="DN13" s="26">
        <f>IF('テスト条件'!A12="","",'テスト条件'!A12)</f>
        <v/>
      </c>
    </row>
    <row r="14">
      <c r="A14" s="27" t="n"/>
      <c r="B14" s="27" t="n"/>
      <c r="C14" s="28">
        <f>IF(A14="","",$B$2)</f>
        <v/>
      </c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7" t="n"/>
      <c r="AO14" s="27" t="n"/>
      <c r="AP14" s="27" t="n"/>
      <c r="AQ14" s="27" t="n"/>
      <c r="AR14" s="27" t="n"/>
      <c r="AS14" s="27" t="n"/>
      <c r="AT14" s="27" t="n"/>
      <c r="AU14" s="27" t="n"/>
      <c r="AV14" s="27" t="n"/>
      <c r="AW14" s="27" t="n"/>
      <c r="AX14" s="27" t="n"/>
      <c r="AY14" s="27" t="n"/>
      <c r="AZ14" s="27" t="n"/>
      <c r="BA14" s="27" t="n"/>
      <c r="BB14" s="27" t="n"/>
      <c r="BC14" s="27" t="n"/>
      <c r="BD14" s="27" t="n"/>
      <c r="BE14" s="27" t="n"/>
      <c r="BF14" s="27" t="n"/>
      <c r="BG14" s="27" t="n"/>
      <c r="BH14" s="27" t="n"/>
      <c r="BI14" s="29" t="n"/>
      <c r="BJ14" s="27" t="n"/>
      <c r="BK14" s="27" t="n"/>
      <c r="BL14" s="27" t="n"/>
      <c r="BM14" s="27" t="n"/>
      <c r="BO14" s="26">
        <f>IF(G$4="","",IFERROR(INDEX('因子水準表'!$B$9:$KO$18,9,MATCH(G$4,'因子水準表'!$B$4:$KO$4,0))&amp;"",""))</f>
        <v/>
      </c>
      <c r="BP14" s="26">
        <f>IF(H$4="","",IFERROR(INDEX('因子水準表'!$B$9:$KO$18,9,MATCH(H$4,'因子水準表'!$B$4:$KO$4,0))&amp;"",""))</f>
        <v/>
      </c>
      <c r="BQ14" s="26">
        <f>IF(I$4="","",IFERROR(INDEX('因子水準表'!$B$9:$KO$18,9,MATCH(I$4,'因子水準表'!$B$4:$KO$4,0))&amp;"",""))</f>
        <v/>
      </c>
      <c r="BR14" s="26">
        <f>IF(J$4="","",IFERROR(INDEX('因子水準表'!$B$9:$KO$18,9,MATCH(J$4,'因子水準表'!$B$4:$KO$4,0))&amp;"",""))</f>
        <v/>
      </c>
      <c r="BS14" s="26">
        <f>IF(K$4="","",IFERROR(INDEX('因子水準表'!$B$9:$KO$18,9,MATCH(K$4,'因子水準表'!$B$4:$KO$4,0))&amp;"",""))</f>
        <v/>
      </c>
      <c r="BT14" s="26">
        <f>IF(L$4="","",IFERROR(INDEX('因子水準表'!$B$9:$KO$18,9,MATCH(L$4,'因子水準表'!$B$4:$KO$4,0))&amp;"",""))</f>
        <v/>
      </c>
      <c r="BU14" s="26">
        <f>IF(M$4="","",IFERROR(INDEX('因子水準表'!$B$9:$KO$18,9,MATCH(M$4,'因子水準表'!$B$4:$KO$4,0))&amp;"",""))</f>
        <v/>
      </c>
      <c r="BV14" s="26">
        <f>IF(N$4="","",IFERROR(INDEX('因子水準表'!$B$9:$KO$18,9,MATCH(N$4,'因子水準表'!$B$4:$KO$4,0))&amp;"",""))</f>
        <v/>
      </c>
      <c r="BW14" s="26">
        <f>IF(O$4="","",IFERROR(INDEX('因子水準表'!$B$9:$KO$18,9,MATCH(O$4,'因子水準表'!$B$4:$KO$4,0))&amp;"",""))</f>
        <v/>
      </c>
      <c r="BX14" s="26">
        <f>IF(P$4="","",IFERROR(INDEX('因子水準表'!$B$9:$KO$18,9,MATCH(P$4,'因子水準表'!$B$4:$KO$4,0))&amp;"",""))</f>
        <v/>
      </c>
      <c r="BY14" s="26">
        <f>IF(Q$4="","",IFERROR(INDEX('因子水準表'!$B$9:$KO$18,9,MATCH(Q$4,'因子水準表'!$B$4:$KO$4,0))&amp;"",""))</f>
        <v/>
      </c>
      <c r="BZ14" s="26">
        <f>IF(R$4="","",IFERROR(INDEX('因子水準表'!$B$9:$KO$18,9,MATCH(R$4,'因子水準表'!$B$4:$KO$4,0))&amp;"",""))</f>
        <v/>
      </c>
      <c r="CA14" s="26">
        <f>IF(S$4="","",IFERROR(INDEX('因子水準表'!$B$9:$KO$18,9,MATCH(S$4,'因子水準表'!$B$4:$KO$4,0))&amp;"",""))</f>
        <v/>
      </c>
      <c r="CB14" s="26">
        <f>IF(T$4="","",IFERROR(INDEX('因子水準表'!$B$9:$KO$18,9,MATCH(T$4,'因子水準表'!$B$4:$KO$4,0))&amp;"",""))</f>
        <v/>
      </c>
      <c r="CC14" s="26">
        <f>IF(U$4="","",IFERROR(INDEX('因子水準表'!$B$9:$KO$18,9,MATCH(U$4,'因子水準表'!$B$4:$KO$4,0))&amp;"",""))</f>
        <v/>
      </c>
      <c r="CD14" s="26">
        <f>IF(V$4="","",IFERROR(INDEX('因子水準表'!$B$9:$KO$18,9,MATCH(V$4,'因子水準表'!$B$4:$KO$4,0))&amp;"",""))</f>
        <v/>
      </c>
      <c r="CE14" s="26">
        <f>IF(W$4="","",IFERROR(INDEX('因子水準表'!$B$9:$KO$18,9,MATCH(W$4,'因子水準表'!$B$4:$KO$4,0))&amp;"",""))</f>
        <v/>
      </c>
      <c r="CF14" s="26">
        <f>IF(X$4="","",IFERROR(INDEX('因子水準表'!$B$9:$KO$18,9,MATCH(X$4,'因子水準表'!$B$4:$KO$4,0))&amp;"",""))</f>
        <v/>
      </c>
      <c r="CG14" s="26">
        <f>IF(Y$4="","",IFERROR(INDEX('因子水準表'!$B$9:$KO$18,9,MATCH(Y$4,'因子水準表'!$B$4:$KO$4,0))&amp;"",""))</f>
        <v/>
      </c>
      <c r="CH14" s="26">
        <f>IF(Z$4="","",IFERROR(INDEX('因子水準表'!$B$9:$KO$18,9,MATCH(Z$4,'因子水準表'!$B$4:$KO$4,0))&amp;"",""))</f>
        <v/>
      </c>
      <c r="CI14" s="26">
        <f>IF(AA$4="","",IFERROR(INDEX('因子水準表'!$B$9:$KO$18,9,MATCH(AA$4,'因子水準表'!$B$4:$KO$4,0))&amp;"",""))</f>
        <v/>
      </c>
      <c r="CJ14" s="26">
        <f>IF(AB$4="","",IFERROR(INDEX('因子水準表'!$B$9:$KO$18,9,MATCH(AB$4,'因子水準表'!$B$4:$KO$4,0))&amp;"",""))</f>
        <v/>
      </c>
      <c r="CK14" s="26">
        <f>IF(AC$4="","",IFERROR(INDEX('因子水準表'!$B$9:$KO$18,9,MATCH(AC$4,'因子水準表'!$B$4:$KO$4,0))&amp;"",""))</f>
        <v/>
      </c>
      <c r="CL14" s="26">
        <f>IF(AD$4="","",IFERROR(INDEX('因子水準表'!$B$9:$KO$18,9,MATCH(AD$4,'因子水準表'!$B$4:$KO$4,0))&amp;"",""))</f>
        <v/>
      </c>
      <c r="CM14" s="26">
        <f>IF(AE$4="","",IFERROR(INDEX('因子水準表'!$B$9:$KO$18,9,MATCH(AE$4,'因子水準表'!$B$4:$KO$4,0))&amp;"",""))</f>
        <v/>
      </c>
      <c r="CN14" s="26">
        <f>IF(AF$4="","",IFERROR(INDEX('因子水準表'!$B$9:$KO$18,9,MATCH(AF$4,'因子水準表'!$B$4:$KO$4,0))&amp;"",""))</f>
        <v/>
      </c>
      <c r="CO14" s="26">
        <f>IF(AG$4="","",IFERROR(INDEX('因子水準表'!$B$9:$KO$18,9,MATCH(AG$4,'因子水準表'!$B$4:$KO$4,0))&amp;"",""))</f>
        <v/>
      </c>
      <c r="CP14" s="26">
        <f>IF(AH$4="","",IFERROR(INDEX('因子水準表'!$B$9:$KO$18,9,MATCH(AH$4,'因子水準表'!$B$4:$KO$4,0))&amp;"",""))</f>
        <v/>
      </c>
      <c r="CQ14" s="26">
        <f>IF(AI$4="","",IFERROR(INDEX('因子水準表'!$B$9:$KO$18,9,MATCH(AI$4,'因子水準表'!$B$4:$KO$4,0))&amp;"",""))</f>
        <v/>
      </c>
      <c r="CR14" s="26">
        <f>IF(AJ$4="","",IFERROR(INDEX('因子水準表'!$B$9:$KO$18,9,MATCH(AJ$4,'因子水準表'!$B$4:$KO$4,0))&amp;"",""))</f>
        <v/>
      </c>
      <c r="CS14" s="26">
        <f>IF(AK$4="","",IFERROR(INDEX('因子水準表'!$B$9:$KO$18,9,MATCH(AK$4,'因子水準表'!$B$4:$KO$4,0))&amp;"",""))</f>
        <v/>
      </c>
      <c r="CT14" s="26">
        <f>IF(AL$4="","",IFERROR(INDEX('因子水準表'!$B$9:$KO$18,9,MATCH(AL$4,'因子水準表'!$B$4:$KO$4,0))&amp;"",""))</f>
        <v/>
      </c>
      <c r="CU14" s="26">
        <f>IF(AM$4="","",IFERROR(INDEX('因子水準表'!$B$9:$KO$18,9,MATCH(AM$4,'因子水準表'!$B$4:$KO$4,0))&amp;"",""))</f>
        <v/>
      </c>
      <c r="CV14" s="26">
        <f>IF(AN$4="","",IFERROR(INDEX('因子水準表'!$B$9:$KO$18,9,MATCH(AN$4,'因子水準表'!$B$4:$KO$4,0))&amp;"",""))</f>
        <v/>
      </c>
      <c r="CW14" s="26">
        <f>IF(AO$4="","",IFERROR(INDEX('因子水準表'!$B$9:$KO$18,9,MATCH(AO$4,'因子水準表'!$B$4:$KO$4,0))&amp;"",""))</f>
        <v/>
      </c>
      <c r="CX14" s="26">
        <f>IF(AP$4="","",IFERROR(INDEX('因子水準表'!$B$9:$KO$18,9,MATCH(AP$4,'因子水準表'!$B$4:$KO$4,0))&amp;"",""))</f>
        <v/>
      </c>
      <c r="CY14" s="26">
        <f>IF(AQ$4="","",IFERROR(INDEX('因子水準表'!$B$9:$KO$18,9,MATCH(AQ$4,'因子水準表'!$B$4:$KO$4,0))&amp;"",""))</f>
        <v/>
      </c>
      <c r="CZ14" s="26">
        <f>IF(AR$4="","",IFERROR(INDEX('因子水準表'!$B$9:$KO$18,9,MATCH(AR$4,'因子水準表'!$B$4:$KO$4,0))&amp;"",""))</f>
        <v/>
      </c>
      <c r="DA14" s="26">
        <f>IF(AS$4="","",IFERROR(INDEX('因子水準表'!$B$9:$KO$18,9,MATCH(AS$4,'因子水準表'!$B$4:$KO$4,0))&amp;"",""))</f>
        <v/>
      </c>
      <c r="DB14" s="26">
        <f>IF(AT$4="","",IFERROR(INDEX('因子水準表'!$B$9:$KO$18,9,MATCH(AT$4,'因子水準表'!$B$4:$KO$4,0))&amp;"",""))</f>
        <v/>
      </c>
      <c r="DC14" s="26">
        <f>IF(AU$4="","",IFERROR(INDEX('因子水準表'!$B$9:$KO$18,9,MATCH(AU$4,'因子水準表'!$B$4:$KO$4,0))&amp;"",""))</f>
        <v/>
      </c>
      <c r="DD14" s="26">
        <f>IF(AV$4="","",IFERROR(INDEX('因子水準表'!$B$9:$KO$18,9,MATCH(AV$4,'因子水準表'!$B$4:$KO$4,0))&amp;"",""))</f>
        <v/>
      </c>
      <c r="DE14" s="26">
        <f>IF(AW$4="","",IFERROR(INDEX('因子水準表'!$B$9:$KO$18,9,MATCH(AW$4,'因子水準表'!$B$4:$KO$4,0))&amp;"",""))</f>
        <v/>
      </c>
      <c r="DF14" s="26">
        <f>IF(AX$4="","",IFERROR(INDEX('因子水準表'!$B$9:$KO$18,9,MATCH(AX$4,'因子水準表'!$B$4:$KO$4,0))&amp;"",""))</f>
        <v/>
      </c>
      <c r="DG14" s="26">
        <f>IF(AY$4="","",IFERROR(INDEX('因子水準表'!$B$9:$KO$18,9,MATCH(AY$4,'因子水準表'!$B$4:$KO$4,0))&amp;"",""))</f>
        <v/>
      </c>
      <c r="DH14" s="26">
        <f>IF(AZ$4="","",IFERROR(INDEX('因子水準表'!$B$9:$KO$18,9,MATCH(AZ$4,'因子水準表'!$B$4:$KO$4,0))&amp;"",""))</f>
        <v/>
      </c>
      <c r="DI14" s="26">
        <f>IF(BA$4="","",IFERROR(INDEX('因子水準表'!$B$9:$KO$18,9,MATCH(BA$4,'因子水準表'!$B$4:$KO$4,0))&amp;"",""))</f>
        <v/>
      </c>
      <c r="DJ14" s="26">
        <f>IF(BB$4="","",IFERROR(INDEX('因子水準表'!$B$9:$KO$18,9,MATCH(BB$4,'因子水準表'!$B$4:$KO$4,0))&amp;"",""))</f>
        <v/>
      </c>
      <c r="DK14" s="26">
        <f>IF(BC$4="","",IFERROR(INDEX('因子水準表'!$B$9:$KO$18,9,MATCH(BC$4,'因子水準表'!$B$4:$KO$4,0))&amp;"",""))</f>
        <v/>
      </c>
      <c r="DL14" s="26">
        <f>IF(BD$4="","",IFERROR(INDEX('因子水準表'!$B$9:$KO$18,9,MATCH(BD$4,'因子水準表'!$B$4:$KO$4,0))&amp;"",""))</f>
        <v/>
      </c>
      <c r="DM14" s="26">
        <f>IF('因子水準表'!B37="","",'因子水準表'!B37)</f>
        <v/>
      </c>
      <c r="DN14" s="26">
        <f>IF('テスト条件'!A13="","",'テスト条件'!A13)</f>
        <v/>
      </c>
    </row>
    <row r="15">
      <c r="A15" s="27" t="n"/>
      <c r="B15" s="27" t="n"/>
      <c r="C15" s="28">
        <f>IF(A15="","",$B$2)</f>
        <v/>
      </c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  <c r="AI15" s="27" t="n"/>
      <c r="AJ15" s="27" t="n"/>
      <c r="AK15" s="27" t="n"/>
      <c r="AL15" s="27" t="n"/>
      <c r="AM15" s="27" t="n"/>
      <c r="AN15" s="27" t="n"/>
      <c r="AO15" s="27" t="n"/>
      <c r="AP15" s="27" t="n"/>
      <c r="AQ15" s="27" t="n"/>
      <c r="AR15" s="27" t="n"/>
      <c r="AS15" s="27" t="n"/>
      <c r="AT15" s="27" t="n"/>
      <c r="AU15" s="27" t="n"/>
      <c r="AV15" s="27" t="n"/>
      <c r="AW15" s="27" t="n"/>
      <c r="AX15" s="27" t="n"/>
      <c r="AY15" s="27" t="n"/>
      <c r="AZ15" s="27" t="n"/>
      <c r="BA15" s="27" t="n"/>
      <c r="BB15" s="27" t="n"/>
      <c r="BC15" s="27" t="n"/>
      <c r="BD15" s="27" t="n"/>
      <c r="BE15" s="27" t="n"/>
      <c r="BF15" s="27" t="n"/>
      <c r="BG15" s="27" t="n"/>
      <c r="BH15" s="27" t="n"/>
      <c r="BI15" s="29" t="n"/>
      <c r="BJ15" s="27" t="n"/>
      <c r="BK15" s="27" t="n"/>
      <c r="BL15" s="27" t="n"/>
      <c r="BM15" s="27" t="n"/>
      <c r="BO15" s="26">
        <f>IF(G$4="","",IFERROR(INDEX('因子水準表'!$B$9:$KO$18,10,MATCH(G$4,'因子水準表'!$B$4:$KO$4,0))&amp;"",""))</f>
        <v/>
      </c>
      <c r="BP15" s="26">
        <f>IF(H$4="","",IFERROR(INDEX('因子水準表'!$B$9:$KO$18,10,MATCH(H$4,'因子水準表'!$B$4:$KO$4,0))&amp;"",""))</f>
        <v/>
      </c>
      <c r="BQ15" s="26">
        <f>IF(I$4="","",IFERROR(INDEX('因子水準表'!$B$9:$KO$18,10,MATCH(I$4,'因子水準表'!$B$4:$KO$4,0))&amp;"",""))</f>
        <v/>
      </c>
      <c r="BR15" s="26">
        <f>IF(J$4="","",IFERROR(INDEX('因子水準表'!$B$9:$KO$18,10,MATCH(J$4,'因子水準表'!$B$4:$KO$4,0))&amp;"",""))</f>
        <v/>
      </c>
      <c r="BS15" s="26">
        <f>IF(K$4="","",IFERROR(INDEX('因子水準表'!$B$9:$KO$18,10,MATCH(K$4,'因子水準表'!$B$4:$KO$4,0))&amp;"",""))</f>
        <v/>
      </c>
      <c r="BT15" s="26">
        <f>IF(L$4="","",IFERROR(INDEX('因子水準表'!$B$9:$KO$18,10,MATCH(L$4,'因子水準表'!$B$4:$KO$4,0))&amp;"",""))</f>
        <v/>
      </c>
      <c r="BU15" s="26">
        <f>IF(M$4="","",IFERROR(INDEX('因子水準表'!$B$9:$KO$18,10,MATCH(M$4,'因子水準表'!$B$4:$KO$4,0))&amp;"",""))</f>
        <v/>
      </c>
      <c r="BV15" s="26">
        <f>IF(N$4="","",IFERROR(INDEX('因子水準表'!$B$9:$KO$18,10,MATCH(N$4,'因子水準表'!$B$4:$KO$4,0))&amp;"",""))</f>
        <v/>
      </c>
      <c r="BW15" s="26">
        <f>IF(O$4="","",IFERROR(INDEX('因子水準表'!$B$9:$KO$18,10,MATCH(O$4,'因子水準表'!$B$4:$KO$4,0))&amp;"",""))</f>
        <v/>
      </c>
      <c r="BX15" s="26">
        <f>IF(P$4="","",IFERROR(INDEX('因子水準表'!$B$9:$KO$18,10,MATCH(P$4,'因子水準表'!$B$4:$KO$4,0))&amp;"",""))</f>
        <v/>
      </c>
      <c r="BY15" s="26">
        <f>IF(Q$4="","",IFERROR(INDEX('因子水準表'!$B$9:$KO$18,10,MATCH(Q$4,'因子水準表'!$B$4:$KO$4,0))&amp;"",""))</f>
        <v/>
      </c>
      <c r="BZ15" s="26">
        <f>IF(R$4="","",IFERROR(INDEX('因子水準表'!$B$9:$KO$18,10,MATCH(R$4,'因子水準表'!$B$4:$KO$4,0))&amp;"",""))</f>
        <v/>
      </c>
      <c r="CA15" s="26">
        <f>IF(S$4="","",IFERROR(INDEX('因子水準表'!$B$9:$KO$18,10,MATCH(S$4,'因子水準表'!$B$4:$KO$4,0))&amp;"",""))</f>
        <v/>
      </c>
      <c r="CB15" s="26">
        <f>IF(T$4="","",IFERROR(INDEX('因子水準表'!$B$9:$KO$18,10,MATCH(T$4,'因子水準表'!$B$4:$KO$4,0))&amp;"",""))</f>
        <v/>
      </c>
      <c r="CC15" s="26">
        <f>IF(U$4="","",IFERROR(INDEX('因子水準表'!$B$9:$KO$18,10,MATCH(U$4,'因子水準表'!$B$4:$KO$4,0))&amp;"",""))</f>
        <v/>
      </c>
      <c r="CD15" s="26">
        <f>IF(V$4="","",IFERROR(INDEX('因子水準表'!$B$9:$KO$18,10,MATCH(V$4,'因子水準表'!$B$4:$KO$4,0))&amp;"",""))</f>
        <v/>
      </c>
      <c r="CE15" s="26">
        <f>IF(W$4="","",IFERROR(INDEX('因子水準表'!$B$9:$KO$18,10,MATCH(W$4,'因子水準表'!$B$4:$KO$4,0))&amp;"",""))</f>
        <v/>
      </c>
      <c r="CF15" s="26">
        <f>IF(X$4="","",IFERROR(INDEX('因子水準表'!$B$9:$KO$18,10,MATCH(X$4,'因子水準表'!$B$4:$KO$4,0))&amp;"",""))</f>
        <v/>
      </c>
      <c r="CG15" s="26">
        <f>IF(Y$4="","",IFERROR(INDEX('因子水準表'!$B$9:$KO$18,10,MATCH(Y$4,'因子水準表'!$B$4:$KO$4,0))&amp;"",""))</f>
        <v/>
      </c>
      <c r="CH15" s="26">
        <f>IF(Z$4="","",IFERROR(INDEX('因子水準表'!$B$9:$KO$18,10,MATCH(Z$4,'因子水準表'!$B$4:$KO$4,0))&amp;"",""))</f>
        <v/>
      </c>
      <c r="CI15" s="26">
        <f>IF(AA$4="","",IFERROR(INDEX('因子水準表'!$B$9:$KO$18,10,MATCH(AA$4,'因子水準表'!$B$4:$KO$4,0))&amp;"",""))</f>
        <v/>
      </c>
      <c r="CJ15" s="26">
        <f>IF(AB$4="","",IFERROR(INDEX('因子水準表'!$B$9:$KO$18,10,MATCH(AB$4,'因子水準表'!$B$4:$KO$4,0))&amp;"",""))</f>
        <v/>
      </c>
      <c r="CK15" s="26">
        <f>IF(AC$4="","",IFERROR(INDEX('因子水準表'!$B$9:$KO$18,10,MATCH(AC$4,'因子水準表'!$B$4:$KO$4,0))&amp;"",""))</f>
        <v/>
      </c>
      <c r="CL15" s="26">
        <f>IF(AD$4="","",IFERROR(INDEX('因子水準表'!$B$9:$KO$18,10,MATCH(AD$4,'因子水準表'!$B$4:$KO$4,0))&amp;"",""))</f>
        <v/>
      </c>
      <c r="CM15" s="26">
        <f>IF(AE$4="","",IFERROR(INDEX('因子水準表'!$B$9:$KO$18,10,MATCH(AE$4,'因子水準表'!$B$4:$KO$4,0))&amp;"",""))</f>
        <v/>
      </c>
      <c r="CN15" s="26">
        <f>IF(AF$4="","",IFERROR(INDEX('因子水準表'!$B$9:$KO$18,10,MATCH(AF$4,'因子水準表'!$B$4:$KO$4,0))&amp;"",""))</f>
        <v/>
      </c>
      <c r="CO15" s="26">
        <f>IF(AG$4="","",IFERROR(INDEX('因子水準表'!$B$9:$KO$18,10,MATCH(AG$4,'因子水準表'!$B$4:$KO$4,0))&amp;"",""))</f>
        <v/>
      </c>
      <c r="CP15" s="26">
        <f>IF(AH$4="","",IFERROR(INDEX('因子水準表'!$B$9:$KO$18,10,MATCH(AH$4,'因子水準表'!$B$4:$KO$4,0))&amp;"",""))</f>
        <v/>
      </c>
      <c r="CQ15" s="26">
        <f>IF(AI$4="","",IFERROR(INDEX('因子水準表'!$B$9:$KO$18,10,MATCH(AI$4,'因子水準表'!$B$4:$KO$4,0))&amp;"",""))</f>
        <v/>
      </c>
      <c r="CR15" s="26">
        <f>IF(AJ$4="","",IFERROR(INDEX('因子水準表'!$B$9:$KO$18,10,MATCH(AJ$4,'因子水準表'!$B$4:$KO$4,0))&amp;"",""))</f>
        <v/>
      </c>
      <c r="CS15" s="26">
        <f>IF(AK$4="","",IFERROR(INDEX('因子水準表'!$B$9:$KO$18,10,MATCH(AK$4,'因子水準表'!$B$4:$KO$4,0))&amp;"",""))</f>
        <v/>
      </c>
      <c r="CT15" s="26">
        <f>IF(AL$4="","",IFERROR(INDEX('因子水準表'!$B$9:$KO$18,10,MATCH(AL$4,'因子水準表'!$B$4:$KO$4,0))&amp;"",""))</f>
        <v/>
      </c>
      <c r="CU15" s="26">
        <f>IF(AM$4="","",IFERROR(INDEX('因子水準表'!$B$9:$KO$18,10,MATCH(AM$4,'因子水準表'!$B$4:$KO$4,0))&amp;"",""))</f>
        <v/>
      </c>
      <c r="CV15" s="26">
        <f>IF(AN$4="","",IFERROR(INDEX('因子水準表'!$B$9:$KO$18,10,MATCH(AN$4,'因子水準表'!$B$4:$KO$4,0))&amp;"",""))</f>
        <v/>
      </c>
      <c r="CW15" s="26">
        <f>IF(AO$4="","",IFERROR(INDEX('因子水準表'!$B$9:$KO$18,10,MATCH(AO$4,'因子水準表'!$B$4:$KO$4,0))&amp;"",""))</f>
        <v/>
      </c>
      <c r="CX15" s="26">
        <f>IF(AP$4="","",IFERROR(INDEX('因子水準表'!$B$9:$KO$18,10,MATCH(AP$4,'因子水準表'!$B$4:$KO$4,0))&amp;"",""))</f>
        <v/>
      </c>
      <c r="CY15" s="26">
        <f>IF(AQ$4="","",IFERROR(INDEX('因子水準表'!$B$9:$KO$18,10,MATCH(AQ$4,'因子水準表'!$B$4:$KO$4,0))&amp;"",""))</f>
        <v/>
      </c>
      <c r="CZ15" s="26">
        <f>IF(AR$4="","",IFERROR(INDEX('因子水準表'!$B$9:$KO$18,10,MATCH(AR$4,'因子水準表'!$B$4:$KO$4,0))&amp;"",""))</f>
        <v/>
      </c>
      <c r="DA15" s="26">
        <f>IF(AS$4="","",IFERROR(INDEX('因子水準表'!$B$9:$KO$18,10,MATCH(AS$4,'因子水準表'!$B$4:$KO$4,0))&amp;"",""))</f>
        <v/>
      </c>
      <c r="DB15" s="26">
        <f>IF(AT$4="","",IFERROR(INDEX('因子水準表'!$B$9:$KO$18,10,MATCH(AT$4,'因子水準表'!$B$4:$KO$4,0))&amp;"",""))</f>
        <v/>
      </c>
      <c r="DC15" s="26">
        <f>IF(AU$4="","",IFERROR(INDEX('因子水準表'!$B$9:$KO$18,10,MATCH(AU$4,'因子水準表'!$B$4:$KO$4,0))&amp;"",""))</f>
        <v/>
      </c>
      <c r="DD15" s="26">
        <f>IF(AV$4="","",IFERROR(INDEX('因子水準表'!$B$9:$KO$18,10,MATCH(AV$4,'因子水準表'!$B$4:$KO$4,0))&amp;"",""))</f>
        <v/>
      </c>
      <c r="DE15" s="26">
        <f>IF(AW$4="","",IFERROR(INDEX('因子水準表'!$B$9:$KO$18,10,MATCH(AW$4,'因子水準表'!$B$4:$KO$4,0))&amp;"",""))</f>
        <v/>
      </c>
      <c r="DF15" s="26">
        <f>IF(AX$4="","",IFERROR(INDEX('因子水準表'!$B$9:$KO$18,10,MATCH(AX$4,'因子水準表'!$B$4:$KO$4,0))&amp;"",""))</f>
        <v/>
      </c>
      <c r="DG15" s="26">
        <f>IF(AY$4="","",IFERROR(INDEX('因子水準表'!$B$9:$KO$18,10,MATCH(AY$4,'因子水準表'!$B$4:$KO$4,0))&amp;"",""))</f>
        <v/>
      </c>
      <c r="DH15" s="26">
        <f>IF(AZ$4="","",IFERROR(INDEX('因子水準表'!$B$9:$KO$18,10,MATCH(AZ$4,'因子水準表'!$B$4:$KO$4,0))&amp;"",""))</f>
        <v/>
      </c>
      <c r="DI15" s="26">
        <f>IF(BA$4="","",IFERROR(INDEX('因子水準表'!$B$9:$KO$18,10,MATCH(BA$4,'因子水準表'!$B$4:$KO$4,0))&amp;"",""))</f>
        <v/>
      </c>
      <c r="DJ15" s="26">
        <f>IF(BB$4="","",IFERROR(INDEX('因子水準表'!$B$9:$KO$18,10,MATCH(BB$4,'因子水準表'!$B$4:$KO$4,0))&amp;"",""))</f>
        <v/>
      </c>
      <c r="DK15" s="26">
        <f>IF(BC$4="","",IFERROR(INDEX('因子水準表'!$B$9:$KO$18,10,MATCH(BC$4,'因子水準表'!$B$4:$KO$4,0))&amp;"",""))</f>
        <v/>
      </c>
      <c r="DL15" s="26">
        <f>IF(BD$4="","",IFERROR(INDEX('因子水準表'!$B$9:$KO$18,10,MATCH(BD$4,'因子水準表'!$B$4:$KO$4,0))&amp;"",""))</f>
        <v/>
      </c>
      <c r="DM15" s="26">
        <f>IF('因子水準表'!B38="","",'因子水準表'!B38)</f>
        <v/>
      </c>
      <c r="DN15" s="26">
        <f>IF('テスト条件'!A14="","",'テスト条件'!A14)</f>
        <v/>
      </c>
    </row>
    <row r="16">
      <c r="A16" s="27" t="n"/>
      <c r="B16" s="27" t="n"/>
      <c r="C16" s="28">
        <f>IF(A16="","",$B$2)</f>
        <v/>
      </c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  <c r="AA16" s="27" t="n"/>
      <c r="AB16" s="27" t="n"/>
      <c r="AC16" s="27" t="n"/>
      <c r="AD16" s="27" t="n"/>
      <c r="AE16" s="27" t="n"/>
      <c r="AF16" s="27" t="n"/>
      <c r="AG16" s="27" t="n"/>
      <c r="AH16" s="27" t="n"/>
      <c r="AI16" s="27" t="n"/>
      <c r="AJ16" s="27" t="n"/>
      <c r="AK16" s="27" t="n"/>
      <c r="AL16" s="27" t="n"/>
      <c r="AM16" s="27" t="n"/>
      <c r="AN16" s="27" t="n"/>
      <c r="AO16" s="27" t="n"/>
      <c r="AP16" s="27" t="n"/>
      <c r="AQ16" s="27" t="n"/>
      <c r="AR16" s="27" t="n"/>
      <c r="AS16" s="27" t="n"/>
      <c r="AT16" s="27" t="n"/>
      <c r="AU16" s="27" t="n"/>
      <c r="AV16" s="27" t="n"/>
      <c r="AW16" s="27" t="n"/>
      <c r="AX16" s="27" t="n"/>
      <c r="AY16" s="27" t="n"/>
      <c r="AZ16" s="27" t="n"/>
      <c r="BA16" s="27" t="n"/>
      <c r="BB16" s="27" t="n"/>
      <c r="BC16" s="27" t="n"/>
      <c r="BD16" s="27" t="n"/>
      <c r="BE16" s="27" t="n"/>
      <c r="BF16" s="27" t="n"/>
      <c r="BG16" s="27" t="n"/>
      <c r="BH16" s="27" t="n"/>
      <c r="BI16" s="29" t="n"/>
      <c r="BJ16" s="27" t="n"/>
      <c r="BK16" s="27" t="n"/>
      <c r="BL16" s="27" t="n"/>
      <c r="BM16" s="27" t="n"/>
      <c r="DM16" s="26">
        <f>IF('因子水準表'!B39="","",'因子水準表'!B39)</f>
        <v/>
      </c>
      <c r="DN16" s="26">
        <f>IF('テスト条件'!A15="","",'テスト条件'!A15)</f>
        <v/>
      </c>
    </row>
    <row r="17">
      <c r="A17" s="27" t="n"/>
      <c r="B17" s="27" t="n"/>
      <c r="C17" s="28">
        <f>IF(A17="","",$B$2)</f>
        <v/>
      </c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  <c r="AI17" s="27" t="n"/>
      <c r="AJ17" s="27" t="n"/>
      <c r="AK17" s="27" t="n"/>
      <c r="AL17" s="27" t="n"/>
      <c r="AM17" s="27" t="n"/>
      <c r="AN17" s="27" t="n"/>
      <c r="AO17" s="27" t="n"/>
      <c r="AP17" s="27" t="n"/>
      <c r="AQ17" s="27" t="n"/>
      <c r="AR17" s="27" t="n"/>
      <c r="AS17" s="27" t="n"/>
      <c r="AT17" s="27" t="n"/>
      <c r="AU17" s="27" t="n"/>
      <c r="AV17" s="27" t="n"/>
      <c r="AW17" s="27" t="n"/>
      <c r="AX17" s="27" t="n"/>
      <c r="AY17" s="27" t="n"/>
      <c r="AZ17" s="27" t="n"/>
      <c r="BA17" s="27" t="n"/>
      <c r="BB17" s="27" t="n"/>
      <c r="BC17" s="27" t="n"/>
      <c r="BD17" s="27" t="n"/>
      <c r="BE17" s="27" t="n"/>
      <c r="BF17" s="27" t="n"/>
      <c r="BG17" s="27" t="n"/>
      <c r="BH17" s="27" t="n"/>
      <c r="BI17" s="29" t="n"/>
      <c r="BJ17" s="27" t="n"/>
      <c r="BK17" s="27" t="n"/>
      <c r="BL17" s="27" t="n"/>
      <c r="BM17" s="27" t="n"/>
      <c r="DM17" s="26">
        <f>IF('因子水準表'!B40="","",'因子水準表'!B40)</f>
        <v/>
      </c>
      <c r="DN17" s="26">
        <f>IF('テスト条件'!A16="","",'テスト条件'!A16)</f>
        <v/>
      </c>
    </row>
    <row r="18">
      <c r="A18" s="27" t="n"/>
      <c r="B18" s="27" t="n"/>
      <c r="C18" s="28">
        <f>IF(A18="","",$B$2)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  <c r="AJ18" s="27" t="n"/>
      <c r="AK18" s="27" t="n"/>
      <c r="AL18" s="27" t="n"/>
      <c r="AM18" s="27" t="n"/>
      <c r="AN18" s="27" t="n"/>
      <c r="AO18" s="27" t="n"/>
      <c r="AP18" s="27" t="n"/>
      <c r="AQ18" s="27" t="n"/>
      <c r="AR18" s="27" t="n"/>
      <c r="AS18" s="27" t="n"/>
      <c r="AT18" s="27" t="n"/>
      <c r="AU18" s="27" t="n"/>
      <c r="AV18" s="27" t="n"/>
      <c r="AW18" s="27" t="n"/>
      <c r="AX18" s="27" t="n"/>
      <c r="AY18" s="27" t="n"/>
      <c r="AZ18" s="27" t="n"/>
      <c r="BA18" s="27" t="n"/>
      <c r="BB18" s="27" t="n"/>
      <c r="BC18" s="27" t="n"/>
      <c r="BD18" s="27" t="n"/>
      <c r="BE18" s="27" t="n"/>
      <c r="BF18" s="27" t="n"/>
      <c r="BG18" s="27" t="n"/>
      <c r="BH18" s="27" t="n"/>
      <c r="BI18" s="29" t="n"/>
      <c r="BJ18" s="27" t="n"/>
      <c r="BK18" s="27" t="n"/>
      <c r="BL18" s="27" t="n"/>
      <c r="BM18" s="27" t="n"/>
      <c r="DM18" s="26">
        <f>IF('因子水準表'!B41="","",'因子水準表'!B41)</f>
        <v/>
      </c>
      <c r="DN18" s="26">
        <f>IF('テスト条件'!A17="","",'テスト条件'!A17)</f>
        <v/>
      </c>
    </row>
    <row r="19">
      <c r="A19" s="27" t="n"/>
      <c r="B19" s="27" t="n"/>
      <c r="C19" s="28">
        <f>IF(A19="","",$B$2)</f>
        <v/>
      </c>
      <c r="D19" s="27" t="n"/>
      <c r="E19" s="27" t="n"/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  <c r="AA19" s="27" t="n"/>
      <c r="AB19" s="27" t="n"/>
      <c r="AC19" s="27" t="n"/>
      <c r="AD19" s="27" t="n"/>
      <c r="AE19" s="27" t="n"/>
      <c r="AF19" s="27" t="n"/>
      <c r="AG19" s="27" t="n"/>
      <c r="AH19" s="27" t="n"/>
      <c r="AI19" s="27" t="n"/>
      <c r="AJ19" s="27" t="n"/>
      <c r="AK19" s="27" t="n"/>
      <c r="AL19" s="27" t="n"/>
      <c r="AM19" s="27" t="n"/>
      <c r="AN19" s="27" t="n"/>
      <c r="AO19" s="27" t="n"/>
      <c r="AP19" s="27" t="n"/>
      <c r="AQ19" s="27" t="n"/>
      <c r="AR19" s="27" t="n"/>
      <c r="AS19" s="27" t="n"/>
      <c r="AT19" s="27" t="n"/>
      <c r="AU19" s="27" t="n"/>
      <c r="AV19" s="27" t="n"/>
      <c r="AW19" s="27" t="n"/>
      <c r="AX19" s="27" t="n"/>
      <c r="AY19" s="27" t="n"/>
      <c r="AZ19" s="27" t="n"/>
      <c r="BA19" s="27" t="n"/>
      <c r="BB19" s="27" t="n"/>
      <c r="BC19" s="27" t="n"/>
      <c r="BD19" s="27" t="n"/>
      <c r="BE19" s="27" t="n"/>
      <c r="BF19" s="27" t="n"/>
      <c r="BG19" s="27" t="n"/>
      <c r="BH19" s="27" t="n"/>
      <c r="BI19" s="29" t="n"/>
      <c r="BJ19" s="27" t="n"/>
      <c r="BK19" s="27" t="n"/>
      <c r="BL19" s="27" t="n"/>
      <c r="BM19" s="27" t="n"/>
      <c r="DM19" s="26">
        <f>IF('因子水準表'!B42="","",'因子水準表'!B42)</f>
        <v/>
      </c>
      <c r="DN19" s="26">
        <f>IF('テスト条件'!A18="","",'テスト条件'!A18)</f>
        <v/>
      </c>
    </row>
    <row r="20">
      <c r="A20" s="27" t="n"/>
      <c r="B20" s="27" t="n"/>
      <c r="C20" s="28">
        <f>IF(A20="","",$B$2)</f>
        <v/>
      </c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7" t="n"/>
      <c r="AI20" s="27" t="n"/>
      <c r="AJ20" s="27" t="n"/>
      <c r="AK20" s="27" t="n"/>
      <c r="AL20" s="27" t="n"/>
      <c r="AM20" s="27" t="n"/>
      <c r="AN20" s="27" t="n"/>
      <c r="AO20" s="27" t="n"/>
      <c r="AP20" s="27" t="n"/>
      <c r="AQ20" s="27" t="n"/>
      <c r="AR20" s="27" t="n"/>
      <c r="AS20" s="27" t="n"/>
      <c r="AT20" s="27" t="n"/>
      <c r="AU20" s="27" t="n"/>
      <c r="AV20" s="27" t="n"/>
      <c r="AW20" s="27" t="n"/>
      <c r="AX20" s="27" t="n"/>
      <c r="AY20" s="27" t="n"/>
      <c r="AZ20" s="27" t="n"/>
      <c r="BA20" s="27" t="n"/>
      <c r="BB20" s="27" t="n"/>
      <c r="BC20" s="27" t="n"/>
      <c r="BD20" s="27" t="n"/>
      <c r="BE20" s="27" t="n"/>
      <c r="BF20" s="27" t="n"/>
      <c r="BG20" s="27" t="n"/>
      <c r="BH20" s="27" t="n"/>
      <c r="BI20" s="29" t="n"/>
      <c r="BJ20" s="27" t="n"/>
      <c r="BK20" s="27" t="n"/>
      <c r="BL20" s="27" t="n"/>
      <c r="BM20" s="27" t="n"/>
      <c r="DM20" s="26">
        <f>IF('因子水準表'!B43="","",'因子水準表'!B43)</f>
        <v/>
      </c>
      <c r="DN20" s="26">
        <f>IF('テスト条件'!A19="","",'テスト条件'!A19)</f>
        <v/>
      </c>
    </row>
    <row r="21">
      <c r="A21" s="27" t="n"/>
      <c r="B21" s="27" t="n"/>
      <c r="C21" s="28">
        <f>IF(A21="","",$B$2)</f>
        <v/>
      </c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  <c r="AI21" s="27" t="n"/>
      <c r="AJ21" s="27" t="n"/>
      <c r="AK21" s="27" t="n"/>
      <c r="AL21" s="27" t="n"/>
      <c r="AM21" s="27" t="n"/>
      <c r="AN21" s="27" t="n"/>
      <c r="AO21" s="27" t="n"/>
      <c r="AP21" s="27" t="n"/>
      <c r="AQ21" s="27" t="n"/>
      <c r="AR21" s="27" t="n"/>
      <c r="AS21" s="27" t="n"/>
      <c r="AT21" s="27" t="n"/>
      <c r="AU21" s="27" t="n"/>
      <c r="AV21" s="27" t="n"/>
      <c r="AW21" s="27" t="n"/>
      <c r="AX21" s="27" t="n"/>
      <c r="AY21" s="27" t="n"/>
      <c r="AZ21" s="27" t="n"/>
      <c r="BA21" s="27" t="n"/>
      <c r="BB21" s="27" t="n"/>
      <c r="BC21" s="27" t="n"/>
      <c r="BD21" s="27" t="n"/>
      <c r="BE21" s="27" t="n"/>
      <c r="BF21" s="27" t="n"/>
      <c r="BG21" s="27" t="n"/>
      <c r="BH21" s="27" t="n"/>
      <c r="BI21" s="29" t="n"/>
      <c r="BJ21" s="27" t="n"/>
      <c r="BK21" s="27" t="n"/>
      <c r="BL21" s="27" t="n"/>
      <c r="BM21" s="27" t="n"/>
      <c r="DM21" s="26">
        <f>IF('因子水準表'!B44="","",'因子水準表'!B44)</f>
        <v/>
      </c>
      <c r="DN21" s="26">
        <f>IF('テスト条件'!A20="","",'テスト条件'!A20)</f>
        <v/>
      </c>
    </row>
    <row r="22">
      <c r="A22" s="27" t="n"/>
      <c r="B22" s="27" t="n"/>
      <c r="C22" s="28">
        <f>IF(A22="","",$B$2)</f>
        <v/>
      </c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  <c r="AA22" s="27" t="n"/>
      <c r="AB22" s="27" t="n"/>
      <c r="AC22" s="27" t="n"/>
      <c r="AD22" s="27" t="n"/>
      <c r="AE22" s="27" t="n"/>
      <c r="AF22" s="27" t="n"/>
      <c r="AG22" s="27" t="n"/>
      <c r="AH22" s="27" t="n"/>
      <c r="AI22" s="27" t="n"/>
      <c r="AJ22" s="27" t="n"/>
      <c r="AK22" s="27" t="n"/>
      <c r="AL22" s="27" t="n"/>
      <c r="AM22" s="27" t="n"/>
      <c r="AN22" s="27" t="n"/>
      <c r="AO22" s="27" t="n"/>
      <c r="AP22" s="27" t="n"/>
      <c r="AQ22" s="27" t="n"/>
      <c r="AR22" s="27" t="n"/>
      <c r="AS22" s="27" t="n"/>
      <c r="AT22" s="27" t="n"/>
      <c r="AU22" s="27" t="n"/>
      <c r="AV22" s="27" t="n"/>
      <c r="AW22" s="27" t="n"/>
      <c r="AX22" s="27" t="n"/>
      <c r="AY22" s="27" t="n"/>
      <c r="AZ22" s="27" t="n"/>
      <c r="BA22" s="27" t="n"/>
      <c r="BB22" s="27" t="n"/>
      <c r="BC22" s="27" t="n"/>
      <c r="BD22" s="27" t="n"/>
      <c r="BE22" s="27" t="n"/>
      <c r="BF22" s="27" t="n"/>
      <c r="BG22" s="27" t="n"/>
      <c r="BH22" s="27" t="n"/>
      <c r="BI22" s="29" t="n"/>
      <c r="BJ22" s="27" t="n"/>
      <c r="BK22" s="27" t="n"/>
      <c r="BL22" s="27" t="n"/>
      <c r="BM22" s="27" t="n"/>
      <c r="DM22" s="26">
        <f>IF('因子水準表'!B45="","",'因子水準表'!B45)</f>
        <v/>
      </c>
      <c r="DN22" s="26">
        <f>IF('テスト条件'!A21="","",'テスト条件'!A21)</f>
        <v/>
      </c>
    </row>
    <row r="23">
      <c r="A23" s="27" t="n"/>
      <c r="B23" s="27" t="n"/>
      <c r="C23" s="28">
        <f>IF(A23="","",$B$2)</f>
        <v/>
      </c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  <c r="AI23" s="27" t="n"/>
      <c r="AJ23" s="27" t="n"/>
      <c r="AK23" s="27" t="n"/>
      <c r="AL23" s="27" t="n"/>
      <c r="AM23" s="27" t="n"/>
      <c r="AN23" s="27" t="n"/>
      <c r="AO23" s="27" t="n"/>
      <c r="AP23" s="27" t="n"/>
      <c r="AQ23" s="27" t="n"/>
      <c r="AR23" s="27" t="n"/>
      <c r="AS23" s="27" t="n"/>
      <c r="AT23" s="27" t="n"/>
      <c r="AU23" s="27" t="n"/>
      <c r="AV23" s="27" t="n"/>
      <c r="AW23" s="27" t="n"/>
      <c r="AX23" s="27" t="n"/>
      <c r="AY23" s="27" t="n"/>
      <c r="AZ23" s="27" t="n"/>
      <c r="BA23" s="27" t="n"/>
      <c r="BB23" s="27" t="n"/>
      <c r="BC23" s="27" t="n"/>
      <c r="BD23" s="27" t="n"/>
      <c r="BE23" s="27" t="n"/>
      <c r="BF23" s="27" t="n"/>
      <c r="BG23" s="27" t="n"/>
      <c r="BH23" s="27" t="n"/>
      <c r="BI23" s="29" t="n"/>
      <c r="BJ23" s="27" t="n"/>
      <c r="BK23" s="27" t="n"/>
      <c r="BL23" s="27" t="n"/>
      <c r="BM23" s="27" t="n"/>
      <c r="DM23" s="26">
        <f>IF('因子水準表'!B46="","",'因子水準表'!B46)</f>
        <v/>
      </c>
      <c r="DN23" s="26">
        <f>IF('テスト条件'!A22="","",'テスト条件'!A22)</f>
        <v/>
      </c>
    </row>
    <row r="24">
      <c r="A24" s="27" t="n"/>
      <c r="B24" s="27" t="n"/>
      <c r="C24" s="28">
        <f>IF(A24="","",$B$2)</f>
        <v/>
      </c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7" t="n"/>
      <c r="AB24" s="27" t="n"/>
      <c r="AC24" s="27" t="n"/>
      <c r="AD24" s="27" t="n"/>
      <c r="AE24" s="27" t="n"/>
      <c r="AF24" s="27" t="n"/>
      <c r="AG24" s="27" t="n"/>
      <c r="AH24" s="27" t="n"/>
      <c r="AI24" s="27" t="n"/>
      <c r="AJ24" s="27" t="n"/>
      <c r="AK24" s="27" t="n"/>
      <c r="AL24" s="27" t="n"/>
      <c r="AM24" s="27" t="n"/>
      <c r="AN24" s="27" t="n"/>
      <c r="AO24" s="27" t="n"/>
      <c r="AP24" s="27" t="n"/>
      <c r="AQ24" s="27" t="n"/>
      <c r="AR24" s="27" t="n"/>
      <c r="AS24" s="27" t="n"/>
      <c r="AT24" s="27" t="n"/>
      <c r="AU24" s="27" t="n"/>
      <c r="AV24" s="27" t="n"/>
      <c r="AW24" s="27" t="n"/>
      <c r="AX24" s="27" t="n"/>
      <c r="AY24" s="27" t="n"/>
      <c r="AZ24" s="27" t="n"/>
      <c r="BA24" s="27" t="n"/>
      <c r="BB24" s="27" t="n"/>
      <c r="BC24" s="27" t="n"/>
      <c r="BD24" s="27" t="n"/>
      <c r="BE24" s="27" t="n"/>
      <c r="BF24" s="27" t="n"/>
      <c r="BG24" s="27" t="n"/>
      <c r="BH24" s="27" t="n"/>
      <c r="BI24" s="29" t="n"/>
      <c r="BJ24" s="27" t="n"/>
      <c r="BK24" s="27" t="n"/>
      <c r="BL24" s="27" t="n"/>
      <c r="BM24" s="27" t="n"/>
      <c r="DM24" s="26">
        <f>IF('因子水準表'!B47="","",'因子水準表'!B47)</f>
        <v/>
      </c>
      <c r="DN24" s="26">
        <f>IF('テスト条件'!A23="","",'テスト条件'!A23)</f>
        <v/>
      </c>
    </row>
    <row r="25">
      <c r="A25" s="27" t="n"/>
      <c r="B25" s="27" t="n"/>
      <c r="C25" s="28">
        <f>IF(A25="","",$B$2)</f>
        <v/>
      </c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  <c r="AI25" s="27" t="n"/>
      <c r="AJ25" s="27" t="n"/>
      <c r="AK25" s="27" t="n"/>
      <c r="AL25" s="27" t="n"/>
      <c r="AM25" s="27" t="n"/>
      <c r="AN25" s="27" t="n"/>
      <c r="AO25" s="27" t="n"/>
      <c r="AP25" s="27" t="n"/>
      <c r="AQ25" s="27" t="n"/>
      <c r="AR25" s="27" t="n"/>
      <c r="AS25" s="27" t="n"/>
      <c r="AT25" s="27" t="n"/>
      <c r="AU25" s="27" t="n"/>
      <c r="AV25" s="27" t="n"/>
      <c r="AW25" s="27" t="n"/>
      <c r="AX25" s="27" t="n"/>
      <c r="AY25" s="27" t="n"/>
      <c r="AZ25" s="27" t="n"/>
      <c r="BA25" s="27" t="n"/>
      <c r="BB25" s="27" t="n"/>
      <c r="BC25" s="27" t="n"/>
      <c r="BD25" s="27" t="n"/>
      <c r="BE25" s="27" t="n"/>
      <c r="BF25" s="27" t="n"/>
      <c r="BG25" s="27" t="n"/>
      <c r="BH25" s="27" t="n"/>
      <c r="BI25" s="29" t="n"/>
      <c r="BJ25" s="27" t="n"/>
      <c r="BK25" s="27" t="n"/>
      <c r="BL25" s="27" t="n"/>
      <c r="BM25" s="27" t="n"/>
      <c r="DM25" s="26">
        <f>IF('因子水準表'!B48="","",'因子水準表'!B48)</f>
        <v/>
      </c>
      <c r="DN25" s="26">
        <f>IF('テスト条件'!A24="","",'テスト条件'!A24)</f>
        <v/>
      </c>
    </row>
    <row r="26">
      <c r="A26" s="27" t="n"/>
      <c r="B26" s="27" t="n"/>
      <c r="C26" s="28">
        <f>IF(A26="","",$B$2)</f>
        <v/>
      </c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  <c r="AA26" s="27" t="n"/>
      <c r="AB26" s="27" t="n"/>
      <c r="AC26" s="27" t="n"/>
      <c r="AD26" s="27" t="n"/>
      <c r="AE26" s="27" t="n"/>
      <c r="AF26" s="27" t="n"/>
      <c r="AG26" s="27" t="n"/>
      <c r="AH26" s="27" t="n"/>
      <c r="AI26" s="27" t="n"/>
      <c r="AJ26" s="27" t="n"/>
      <c r="AK26" s="27" t="n"/>
      <c r="AL26" s="27" t="n"/>
      <c r="AM26" s="27" t="n"/>
      <c r="AN26" s="27" t="n"/>
      <c r="AO26" s="27" t="n"/>
      <c r="AP26" s="27" t="n"/>
      <c r="AQ26" s="27" t="n"/>
      <c r="AR26" s="27" t="n"/>
      <c r="AS26" s="27" t="n"/>
      <c r="AT26" s="27" t="n"/>
      <c r="AU26" s="27" t="n"/>
      <c r="AV26" s="27" t="n"/>
      <c r="AW26" s="27" t="n"/>
      <c r="AX26" s="27" t="n"/>
      <c r="AY26" s="27" t="n"/>
      <c r="AZ26" s="27" t="n"/>
      <c r="BA26" s="27" t="n"/>
      <c r="BB26" s="27" t="n"/>
      <c r="BC26" s="27" t="n"/>
      <c r="BD26" s="27" t="n"/>
      <c r="BE26" s="27" t="n"/>
      <c r="BF26" s="27" t="n"/>
      <c r="BG26" s="27" t="n"/>
      <c r="BH26" s="27" t="n"/>
      <c r="BI26" s="29" t="n"/>
      <c r="BJ26" s="27" t="n"/>
      <c r="BK26" s="27" t="n"/>
      <c r="BL26" s="27" t="n"/>
      <c r="BM26" s="27" t="n"/>
      <c r="DM26" s="26">
        <f>IF('因子水準表'!B49="","",'因子水準表'!B49)</f>
        <v/>
      </c>
      <c r="DN26" s="26">
        <f>IF('テスト条件'!A25="","",'テスト条件'!A25)</f>
        <v/>
      </c>
    </row>
    <row r="27">
      <c r="A27" s="27" t="n"/>
      <c r="B27" s="27" t="n"/>
      <c r="C27" s="28">
        <f>IF(A27="","",$B$2)</f>
        <v/>
      </c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  <c r="AI27" s="27" t="n"/>
      <c r="AJ27" s="27" t="n"/>
      <c r="AK27" s="27" t="n"/>
      <c r="AL27" s="27" t="n"/>
      <c r="AM27" s="27" t="n"/>
      <c r="AN27" s="27" t="n"/>
      <c r="AO27" s="27" t="n"/>
      <c r="AP27" s="27" t="n"/>
      <c r="AQ27" s="27" t="n"/>
      <c r="AR27" s="27" t="n"/>
      <c r="AS27" s="27" t="n"/>
      <c r="AT27" s="27" t="n"/>
      <c r="AU27" s="27" t="n"/>
      <c r="AV27" s="27" t="n"/>
      <c r="AW27" s="27" t="n"/>
      <c r="AX27" s="27" t="n"/>
      <c r="AY27" s="27" t="n"/>
      <c r="AZ27" s="27" t="n"/>
      <c r="BA27" s="27" t="n"/>
      <c r="BB27" s="27" t="n"/>
      <c r="BC27" s="27" t="n"/>
      <c r="BD27" s="27" t="n"/>
      <c r="BE27" s="27" t="n"/>
      <c r="BF27" s="27" t="n"/>
      <c r="BG27" s="27" t="n"/>
      <c r="BH27" s="27" t="n"/>
      <c r="BI27" s="29" t="n"/>
      <c r="BJ27" s="27" t="n"/>
      <c r="BK27" s="27" t="n"/>
      <c r="BL27" s="27" t="n"/>
      <c r="BM27" s="27" t="n"/>
      <c r="DM27" s="26">
        <f>IF('因子水準表'!B50="","",'因子水準表'!B50)</f>
        <v/>
      </c>
      <c r="DN27" s="26">
        <f>IF('テスト条件'!A26="","",'テスト条件'!A26)</f>
        <v/>
      </c>
    </row>
    <row r="28">
      <c r="A28" s="27" t="n"/>
      <c r="B28" s="27" t="n"/>
      <c r="C28" s="28">
        <f>IF(A28="","",$B$2)</f>
        <v/>
      </c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  <c r="AA28" s="27" t="n"/>
      <c r="AB28" s="27" t="n"/>
      <c r="AC28" s="27" t="n"/>
      <c r="AD28" s="27" t="n"/>
      <c r="AE28" s="27" t="n"/>
      <c r="AF28" s="27" t="n"/>
      <c r="AG28" s="27" t="n"/>
      <c r="AH28" s="27" t="n"/>
      <c r="AI28" s="27" t="n"/>
      <c r="AJ28" s="27" t="n"/>
      <c r="AK28" s="27" t="n"/>
      <c r="AL28" s="27" t="n"/>
      <c r="AM28" s="27" t="n"/>
      <c r="AN28" s="27" t="n"/>
      <c r="AO28" s="27" t="n"/>
      <c r="AP28" s="27" t="n"/>
      <c r="AQ28" s="27" t="n"/>
      <c r="AR28" s="27" t="n"/>
      <c r="AS28" s="27" t="n"/>
      <c r="AT28" s="27" t="n"/>
      <c r="AU28" s="27" t="n"/>
      <c r="AV28" s="27" t="n"/>
      <c r="AW28" s="27" t="n"/>
      <c r="AX28" s="27" t="n"/>
      <c r="AY28" s="27" t="n"/>
      <c r="AZ28" s="27" t="n"/>
      <c r="BA28" s="27" t="n"/>
      <c r="BB28" s="27" t="n"/>
      <c r="BC28" s="27" t="n"/>
      <c r="BD28" s="27" t="n"/>
      <c r="BE28" s="27" t="n"/>
      <c r="BF28" s="27" t="n"/>
      <c r="BG28" s="27" t="n"/>
      <c r="BH28" s="27" t="n"/>
      <c r="BI28" s="29" t="n"/>
      <c r="BJ28" s="27" t="n"/>
      <c r="BK28" s="27" t="n"/>
      <c r="BL28" s="27" t="n"/>
      <c r="BM28" s="27" t="n"/>
      <c r="DM28" s="26">
        <f>IF('因子水準表'!B51="","",'因子水準表'!B51)</f>
        <v/>
      </c>
      <c r="DN28" s="26">
        <f>IF('テスト条件'!A27="","",'テスト条件'!A27)</f>
        <v/>
      </c>
    </row>
    <row r="29">
      <c r="A29" s="27" t="n"/>
      <c r="B29" s="27" t="n"/>
      <c r="C29" s="28">
        <f>IF(A29="","",$B$2)</f>
        <v/>
      </c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  <c r="AI29" s="27" t="n"/>
      <c r="AJ29" s="27" t="n"/>
      <c r="AK29" s="27" t="n"/>
      <c r="AL29" s="27" t="n"/>
      <c r="AM29" s="27" t="n"/>
      <c r="AN29" s="27" t="n"/>
      <c r="AO29" s="27" t="n"/>
      <c r="AP29" s="27" t="n"/>
      <c r="AQ29" s="27" t="n"/>
      <c r="AR29" s="27" t="n"/>
      <c r="AS29" s="27" t="n"/>
      <c r="AT29" s="27" t="n"/>
      <c r="AU29" s="27" t="n"/>
      <c r="AV29" s="27" t="n"/>
      <c r="AW29" s="27" t="n"/>
      <c r="AX29" s="27" t="n"/>
      <c r="AY29" s="27" t="n"/>
      <c r="AZ29" s="27" t="n"/>
      <c r="BA29" s="27" t="n"/>
      <c r="BB29" s="27" t="n"/>
      <c r="BC29" s="27" t="n"/>
      <c r="BD29" s="27" t="n"/>
      <c r="BE29" s="27" t="n"/>
      <c r="BF29" s="27" t="n"/>
      <c r="BG29" s="27" t="n"/>
      <c r="BH29" s="27" t="n"/>
      <c r="BI29" s="29" t="n"/>
      <c r="BJ29" s="27" t="n"/>
      <c r="BK29" s="27" t="n"/>
      <c r="BL29" s="27" t="n"/>
      <c r="BM29" s="27" t="n"/>
      <c r="DM29" s="26">
        <f>IF('因子水準表'!B52="","",'因子水準表'!B52)</f>
        <v/>
      </c>
      <c r="DN29" s="26">
        <f>IF('テスト条件'!A28="","",'テスト条件'!A28)</f>
        <v/>
      </c>
    </row>
    <row r="30">
      <c r="A30" s="27" t="n"/>
      <c r="B30" s="27" t="n"/>
      <c r="C30" s="28">
        <f>IF(A30="","",$B$2)</f>
        <v/>
      </c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7" t="n"/>
      <c r="AF30" s="27" t="n"/>
      <c r="AG30" s="27" t="n"/>
      <c r="AH30" s="27" t="n"/>
      <c r="AI30" s="27" t="n"/>
      <c r="AJ30" s="27" t="n"/>
      <c r="AK30" s="27" t="n"/>
      <c r="AL30" s="27" t="n"/>
      <c r="AM30" s="27" t="n"/>
      <c r="AN30" s="27" t="n"/>
      <c r="AO30" s="27" t="n"/>
      <c r="AP30" s="27" t="n"/>
      <c r="AQ30" s="27" t="n"/>
      <c r="AR30" s="27" t="n"/>
      <c r="AS30" s="27" t="n"/>
      <c r="AT30" s="27" t="n"/>
      <c r="AU30" s="27" t="n"/>
      <c r="AV30" s="27" t="n"/>
      <c r="AW30" s="27" t="n"/>
      <c r="AX30" s="27" t="n"/>
      <c r="AY30" s="27" t="n"/>
      <c r="AZ30" s="27" t="n"/>
      <c r="BA30" s="27" t="n"/>
      <c r="BB30" s="27" t="n"/>
      <c r="BC30" s="27" t="n"/>
      <c r="BD30" s="27" t="n"/>
      <c r="BE30" s="27" t="n"/>
      <c r="BF30" s="27" t="n"/>
      <c r="BG30" s="27" t="n"/>
      <c r="BH30" s="27" t="n"/>
      <c r="BI30" s="29" t="n"/>
      <c r="BJ30" s="27" t="n"/>
      <c r="BK30" s="27" t="n"/>
      <c r="BL30" s="27" t="n"/>
      <c r="BM30" s="27" t="n"/>
      <c r="DM30" s="26">
        <f>IF('因子水準表'!B53="","",'因子水準表'!B53)</f>
        <v/>
      </c>
      <c r="DN30" s="26">
        <f>IF('テスト条件'!A29="","",'テスト条件'!A29)</f>
        <v/>
      </c>
    </row>
    <row r="31">
      <c r="A31" s="27" t="n"/>
      <c r="B31" s="27" t="n"/>
      <c r="C31" s="28">
        <f>IF(A31="","",$B$2)</f>
        <v/>
      </c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27" t="n"/>
      <c r="AJ31" s="27" t="n"/>
      <c r="AK31" s="27" t="n"/>
      <c r="AL31" s="27" t="n"/>
      <c r="AM31" s="27" t="n"/>
      <c r="AN31" s="27" t="n"/>
      <c r="AO31" s="27" t="n"/>
      <c r="AP31" s="27" t="n"/>
      <c r="AQ31" s="27" t="n"/>
      <c r="AR31" s="27" t="n"/>
      <c r="AS31" s="27" t="n"/>
      <c r="AT31" s="27" t="n"/>
      <c r="AU31" s="27" t="n"/>
      <c r="AV31" s="27" t="n"/>
      <c r="AW31" s="27" t="n"/>
      <c r="AX31" s="27" t="n"/>
      <c r="AY31" s="27" t="n"/>
      <c r="AZ31" s="27" t="n"/>
      <c r="BA31" s="27" t="n"/>
      <c r="BB31" s="27" t="n"/>
      <c r="BC31" s="27" t="n"/>
      <c r="BD31" s="27" t="n"/>
      <c r="BE31" s="27" t="n"/>
      <c r="BF31" s="27" t="n"/>
      <c r="BG31" s="27" t="n"/>
      <c r="BH31" s="27" t="n"/>
      <c r="BI31" s="29" t="n"/>
      <c r="BJ31" s="27" t="n"/>
      <c r="BK31" s="27" t="n"/>
      <c r="BL31" s="27" t="n"/>
      <c r="BM31" s="27" t="n"/>
      <c r="DM31" s="26">
        <f>IF('因子水準表'!B54="","",'因子水準表'!B54)</f>
        <v/>
      </c>
      <c r="DN31" s="26">
        <f>IF('テスト条件'!A30="","",'テスト条件'!A30)</f>
        <v/>
      </c>
    </row>
    <row r="32">
      <c r="A32" s="27" t="n"/>
      <c r="B32" s="27" t="n"/>
      <c r="C32" s="28">
        <f>IF(A32="","",$B$2)</f>
        <v/>
      </c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27" t="n"/>
      <c r="AJ32" s="27" t="n"/>
      <c r="AK32" s="27" t="n"/>
      <c r="AL32" s="27" t="n"/>
      <c r="AM32" s="27" t="n"/>
      <c r="AN32" s="27" t="n"/>
      <c r="AO32" s="27" t="n"/>
      <c r="AP32" s="27" t="n"/>
      <c r="AQ32" s="27" t="n"/>
      <c r="AR32" s="27" t="n"/>
      <c r="AS32" s="27" t="n"/>
      <c r="AT32" s="27" t="n"/>
      <c r="AU32" s="27" t="n"/>
      <c r="AV32" s="27" t="n"/>
      <c r="AW32" s="27" t="n"/>
      <c r="AX32" s="27" t="n"/>
      <c r="AY32" s="27" t="n"/>
      <c r="AZ32" s="27" t="n"/>
      <c r="BA32" s="27" t="n"/>
      <c r="BB32" s="27" t="n"/>
      <c r="BC32" s="27" t="n"/>
      <c r="BD32" s="27" t="n"/>
      <c r="BE32" s="27" t="n"/>
      <c r="BF32" s="27" t="n"/>
      <c r="BG32" s="27" t="n"/>
      <c r="BH32" s="27" t="n"/>
      <c r="BI32" s="29" t="n"/>
      <c r="BJ32" s="27" t="n"/>
      <c r="BK32" s="27" t="n"/>
      <c r="BL32" s="27" t="n"/>
      <c r="BM32" s="27" t="n"/>
      <c r="DM32" s="26">
        <f>IF('因子水準表'!B55="","",'因子水準表'!B55)</f>
        <v/>
      </c>
      <c r="DN32" s="26">
        <f>IF('テスト条件'!A31="","",'テスト条件'!A31)</f>
        <v/>
      </c>
    </row>
    <row r="33">
      <c r="A33" s="27" t="n"/>
      <c r="B33" s="27" t="n"/>
      <c r="C33" s="28">
        <f>IF(A33="","",$B$2)</f>
        <v/>
      </c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  <c r="AJ33" s="27" t="n"/>
      <c r="AK33" s="27" t="n"/>
      <c r="AL33" s="27" t="n"/>
      <c r="AM33" s="27" t="n"/>
      <c r="AN33" s="27" t="n"/>
      <c r="AO33" s="27" t="n"/>
      <c r="AP33" s="27" t="n"/>
      <c r="AQ33" s="27" t="n"/>
      <c r="AR33" s="27" t="n"/>
      <c r="AS33" s="27" t="n"/>
      <c r="AT33" s="27" t="n"/>
      <c r="AU33" s="27" t="n"/>
      <c r="AV33" s="27" t="n"/>
      <c r="AW33" s="27" t="n"/>
      <c r="AX33" s="27" t="n"/>
      <c r="AY33" s="27" t="n"/>
      <c r="AZ33" s="27" t="n"/>
      <c r="BA33" s="27" t="n"/>
      <c r="BB33" s="27" t="n"/>
      <c r="BC33" s="27" t="n"/>
      <c r="BD33" s="27" t="n"/>
      <c r="BE33" s="27" t="n"/>
      <c r="BF33" s="27" t="n"/>
      <c r="BG33" s="27" t="n"/>
      <c r="BH33" s="27" t="n"/>
      <c r="BI33" s="29" t="n"/>
      <c r="BJ33" s="27" t="n"/>
      <c r="BK33" s="27" t="n"/>
      <c r="BL33" s="27" t="n"/>
      <c r="BM33" s="27" t="n"/>
      <c r="DM33" s="26">
        <f>IF('因子水準表'!B56="","",'因子水準表'!B56)</f>
        <v/>
      </c>
      <c r="DN33" s="26">
        <f>IF('テスト条件'!A32="","",'テスト条件'!A32)</f>
        <v/>
      </c>
    </row>
    <row r="34">
      <c r="A34" s="27" t="n"/>
      <c r="B34" s="27" t="n"/>
      <c r="C34" s="28">
        <f>IF(A34="","",$B$2)</f>
        <v/>
      </c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  <c r="AJ34" s="27" t="n"/>
      <c r="AK34" s="27" t="n"/>
      <c r="AL34" s="27" t="n"/>
      <c r="AM34" s="27" t="n"/>
      <c r="AN34" s="27" t="n"/>
      <c r="AO34" s="27" t="n"/>
      <c r="AP34" s="27" t="n"/>
      <c r="AQ34" s="27" t="n"/>
      <c r="AR34" s="27" t="n"/>
      <c r="AS34" s="27" t="n"/>
      <c r="AT34" s="27" t="n"/>
      <c r="AU34" s="27" t="n"/>
      <c r="AV34" s="27" t="n"/>
      <c r="AW34" s="27" t="n"/>
      <c r="AX34" s="27" t="n"/>
      <c r="AY34" s="27" t="n"/>
      <c r="AZ34" s="27" t="n"/>
      <c r="BA34" s="27" t="n"/>
      <c r="BB34" s="27" t="n"/>
      <c r="BC34" s="27" t="n"/>
      <c r="BD34" s="27" t="n"/>
      <c r="BE34" s="27" t="n"/>
      <c r="BF34" s="27" t="n"/>
      <c r="BG34" s="27" t="n"/>
      <c r="BH34" s="27" t="n"/>
      <c r="BI34" s="29" t="n"/>
      <c r="BJ34" s="27" t="n"/>
      <c r="BK34" s="27" t="n"/>
      <c r="BL34" s="27" t="n"/>
      <c r="BM34" s="27" t="n"/>
      <c r="DM34" s="26">
        <f>IF('因子水準表'!B57="","",'因子水準表'!B57)</f>
        <v/>
      </c>
      <c r="DN34" s="26">
        <f>IF('テスト条件'!A33="","",'テスト条件'!A33)</f>
        <v/>
      </c>
    </row>
    <row r="35">
      <c r="A35" s="27" t="n"/>
      <c r="B35" s="27" t="n"/>
      <c r="C35" s="28">
        <f>IF(A35="","",$B$2)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27" t="n"/>
      <c r="AJ35" s="27" t="n"/>
      <c r="AK35" s="27" t="n"/>
      <c r="AL35" s="27" t="n"/>
      <c r="AM35" s="27" t="n"/>
      <c r="AN35" s="27" t="n"/>
      <c r="AO35" s="27" t="n"/>
      <c r="AP35" s="27" t="n"/>
      <c r="AQ35" s="27" t="n"/>
      <c r="AR35" s="27" t="n"/>
      <c r="AS35" s="27" t="n"/>
      <c r="AT35" s="27" t="n"/>
      <c r="AU35" s="27" t="n"/>
      <c r="AV35" s="27" t="n"/>
      <c r="AW35" s="27" t="n"/>
      <c r="AX35" s="27" t="n"/>
      <c r="AY35" s="27" t="n"/>
      <c r="AZ35" s="27" t="n"/>
      <c r="BA35" s="27" t="n"/>
      <c r="BB35" s="27" t="n"/>
      <c r="BC35" s="27" t="n"/>
      <c r="BD35" s="27" t="n"/>
      <c r="BE35" s="27" t="n"/>
      <c r="BF35" s="27" t="n"/>
      <c r="BG35" s="27" t="n"/>
      <c r="BH35" s="27" t="n"/>
      <c r="BI35" s="29" t="n"/>
      <c r="BJ35" s="27" t="n"/>
      <c r="BK35" s="27" t="n"/>
      <c r="BL35" s="27" t="n"/>
      <c r="BM35" s="27" t="n"/>
      <c r="DM35" s="26">
        <f>IF('因子水準表'!B58="","",'因子水準表'!B58)</f>
        <v/>
      </c>
      <c r="DN35" s="26">
        <f>IF('テスト条件'!A34="","",'テスト条件'!A34)</f>
        <v/>
      </c>
    </row>
    <row r="36">
      <c r="A36" s="27" t="n"/>
      <c r="B36" s="27" t="n"/>
      <c r="C36" s="28">
        <f>IF(A36="","",$B$2)</f>
        <v/>
      </c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27" t="n"/>
      <c r="AJ36" s="27" t="n"/>
      <c r="AK36" s="27" t="n"/>
      <c r="AL36" s="27" t="n"/>
      <c r="AM36" s="27" t="n"/>
      <c r="AN36" s="27" t="n"/>
      <c r="AO36" s="27" t="n"/>
      <c r="AP36" s="27" t="n"/>
      <c r="AQ36" s="27" t="n"/>
      <c r="AR36" s="27" t="n"/>
      <c r="AS36" s="27" t="n"/>
      <c r="AT36" s="27" t="n"/>
      <c r="AU36" s="27" t="n"/>
      <c r="AV36" s="27" t="n"/>
      <c r="AW36" s="27" t="n"/>
      <c r="AX36" s="27" t="n"/>
      <c r="AY36" s="27" t="n"/>
      <c r="AZ36" s="27" t="n"/>
      <c r="BA36" s="27" t="n"/>
      <c r="BB36" s="27" t="n"/>
      <c r="BC36" s="27" t="n"/>
      <c r="BD36" s="27" t="n"/>
      <c r="BE36" s="27" t="n"/>
      <c r="BF36" s="27" t="n"/>
      <c r="BG36" s="27" t="n"/>
      <c r="BH36" s="27" t="n"/>
      <c r="BI36" s="29" t="n"/>
      <c r="BJ36" s="27" t="n"/>
      <c r="BK36" s="27" t="n"/>
      <c r="BL36" s="27" t="n"/>
      <c r="BM36" s="27" t="n"/>
      <c r="DN36" s="26">
        <f>IF('テスト条件'!A35="","",'テスト条件'!A35)</f>
        <v/>
      </c>
    </row>
    <row r="37">
      <c r="A37" s="27" t="n"/>
      <c r="B37" s="27" t="n"/>
      <c r="C37" s="28">
        <f>IF(A37="","",$B$2)</f>
        <v/>
      </c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27" t="n"/>
      <c r="AJ37" s="27" t="n"/>
      <c r="AK37" s="27" t="n"/>
      <c r="AL37" s="27" t="n"/>
      <c r="AM37" s="27" t="n"/>
      <c r="AN37" s="27" t="n"/>
      <c r="AO37" s="27" t="n"/>
      <c r="AP37" s="27" t="n"/>
      <c r="AQ37" s="27" t="n"/>
      <c r="AR37" s="27" t="n"/>
      <c r="AS37" s="27" t="n"/>
      <c r="AT37" s="27" t="n"/>
      <c r="AU37" s="27" t="n"/>
      <c r="AV37" s="27" t="n"/>
      <c r="AW37" s="27" t="n"/>
      <c r="AX37" s="27" t="n"/>
      <c r="AY37" s="27" t="n"/>
      <c r="AZ37" s="27" t="n"/>
      <c r="BA37" s="27" t="n"/>
      <c r="BB37" s="27" t="n"/>
      <c r="BC37" s="27" t="n"/>
      <c r="BD37" s="27" t="n"/>
      <c r="BE37" s="27" t="n"/>
      <c r="BF37" s="27" t="n"/>
      <c r="BG37" s="27" t="n"/>
      <c r="BH37" s="27" t="n"/>
      <c r="BI37" s="29" t="n"/>
      <c r="BJ37" s="27" t="n"/>
      <c r="BK37" s="27" t="n"/>
      <c r="BL37" s="27" t="n"/>
      <c r="BM37" s="27" t="n"/>
      <c r="DN37" s="26">
        <f>IF('テスト条件'!A36="","",'テスト条件'!A36)</f>
        <v/>
      </c>
    </row>
    <row r="38">
      <c r="A38" s="27" t="n"/>
      <c r="B38" s="27" t="n"/>
      <c r="C38" s="28">
        <f>IF(A38="","",$B$2)</f>
        <v/>
      </c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27" t="n"/>
      <c r="AJ38" s="27" t="n"/>
      <c r="AK38" s="27" t="n"/>
      <c r="AL38" s="27" t="n"/>
      <c r="AM38" s="27" t="n"/>
      <c r="AN38" s="27" t="n"/>
      <c r="AO38" s="27" t="n"/>
      <c r="AP38" s="27" t="n"/>
      <c r="AQ38" s="27" t="n"/>
      <c r="AR38" s="27" t="n"/>
      <c r="AS38" s="27" t="n"/>
      <c r="AT38" s="27" t="n"/>
      <c r="AU38" s="27" t="n"/>
      <c r="AV38" s="27" t="n"/>
      <c r="AW38" s="27" t="n"/>
      <c r="AX38" s="27" t="n"/>
      <c r="AY38" s="27" t="n"/>
      <c r="AZ38" s="27" t="n"/>
      <c r="BA38" s="27" t="n"/>
      <c r="BB38" s="27" t="n"/>
      <c r="BC38" s="27" t="n"/>
      <c r="BD38" s="27" t="n"/>
      <c r="BE38" s="27" t="n"/>
      <c r="BF38" s="27" t="n"/>
      <c r="BG38" s="27" t="n"/>
      <c r="BH38" s="27" t="n"/>
      <c r="BI38" s="29" t="n"/>
      <c r="BJ38" s="27" t="n"/>
      <c r="BK38" s="27" t="n"/>
      <c r="BL38" s="27" t="n"/>
      <c r="BM38" s="27" t="n"/>
      <c r="DN38" s="26">
        <f>IF('テスト条件'!A37="","",'テスト条件'!A37)</f>
        <v/>
      </c>
    </row>
    <row r="39">
      <c r="A39" s="27" t="n"/>
      <c r="B39" s="27" t="n"/>
      <c r="C39" s="28">
        <f>IF(A39="","",$B$2)</f>
        <v/>
      </c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27" t="n"/>
      <c r="AJ39" s="27" t="n"/>
      <c r="AK39" s="27" t="n"/>
      <c r="AL39" s="27" t="n"/>
      <c r="AM39" s="27" t="n"/>
      <c r="AN39" s="27" t="n"/>
      <c r="AO39" s="27" t="n"/>
      <c r="AP39" s="27" t="n"/>
      <c r="AQ39" s="27" t="n"/>
      <c r="AR39" s="27" t="n"/>
      <c r="AS39" s="27" t="n"/>
      <c r="AT39" s="27" t="n"/>
      <c r="AU39" s="27" t="n"/>
      <c r="AV39" s="27" t="n"/>
      <c r="AW39" s="27" t="n"/>
      <c r="AX39" s="27" t="n"/>
      <c r="AY39" s="27" t="n"/>
      <c r="AZ39" s="27" t="n"/>
      <c r="BA39" s="27" t="n"/>
      <c r="BB39" s="27" t="n"/>
      <c r="BC39" s="27" t="n"/>
      <c r="BD39" s="27" t="n"/>
      <c r="BE39" s="27" t="n"/>
      <c r="BF39" s="27" t="n"/>
      <c r="BG39" s="27" t="n"/>
      <c r="BH39" s="27" t="n"/>
      <c r="BI39" s="29" t="n"/>
      <c r="BJ39" s="27" t="n"/>
      <c r="BK39" s="27" t="n"/>
      <c r="BL39" s="27" t="n"/>
      <c r="BM39" s="27" t="n"/>
      <c r="DN39" s="26">
        <f>IF('テスト条件'!A38="","",'テスト条件'!A38)</f>
        <v/>
      </c>
    </row>
    <row r="40">
      <c r="A40" s="27" t="n"/>
      <c r="B40" s="27" t="n"/>
      <c r="C40" s="28">
        <f>IF(A40="","",$B$2)</f>
        <v/>
      </c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7" t="n"/>
      <c r="AJ40" s="27" t="n"/>
      <c r="AK40" s="27" t="n"/>
      <c r="AL40" s="27" t="n"/>
      <c r="AM40" s="27" t="n"/>
      <c r="AN40" s="27" t="n"/>
      <c r="AO40" s="27" t="n"/>
      <c r="AP40" s="27" t="n"/>
      <c r="AQ40" s="27" t="n"/>
      <c r="AR40" s="27" t="n"/>
      <c r="AS40" s="27" t="n"/>
      <c r="AT40" s="27" t="n"/>
      <c r="AU40" s="27" t="n"/>
      <c r="AV40" s="27" t="n"/>
      <c r="AW40" s="27" t="n"/>
      <c r="AX40" s="27" t="n"/>
      <c r="AY40" s="27" t="n"/>
      <c r="AZ40" s="27" t="n"/>
      <c r="BA40" s="27" t="n"/>
      <c r="BB40" s="27" t="n"/>
      <c r="BC40" s="27" t="n"/>
      <c r="BD40" s="27" t="n"/>
      <c r="BE40" s="27" t="n"/>
      <c r="BF40" s="27" t="n"/>
      <c r="BG40" s="27" t="n"/>
      <c r="BH40" s="27" t="n"/>
      <c r="BI40" s="29" t="n"/>
      <c r="BJ40" s="27" t="n"/>
      <c r="BK40" s="27" t="n"/>
      <c r="BL40" s="27" t="n"/>
      <c r="BM40" s="27" t="n"/>
      <c r="DN40" s="26">
        <f>IF('テスト条件'!A39="","",'テスト条件'!A39)</f>
        <v/>
      </c>
    </row>
    <row r="41">
      <c r="A41" s="27" t="n"/>
      <c r="B41" s="27" t="n"/>
      <c r="C41" s="28">
        <f>IF(A41="","",$B$2)</f>
        <v/>
      </c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27" t="n"/>
      <c r="AJ41" s="27" t="n"/>
      <c r="AK41" s="27" t="n"/>
      <c r="AL41" s="27" t="n"/>
      <c r="AM41" s="27" t="n"/>
      <c r="AN41" s="27" t="n"/>
      <c r="AO41" s="27" t="n"/>
      <c r="AP41" s="27" t="n"/>
      <c r="AQ41" s="27" t="n"/>
      <c r="AR41" s="27" t="n"/>
      <c r="AS41" s="27" t="n"/>
      <c r="AT41" s="27" t="n"/>
      <c r="AU41" s="27" t="n"/>
      <c r="AV41" s="27" t="n"/>
      <c r="AW41" s="27" t="n"/>
      <c r="AX41" s="27" t="n"/>
      <c r="AY41" s="27" t="n"/>
      <c r="AZ41" s="27" t="n"/>
      <c r="BA41" s="27" t="n"/>
      <c r="BB41" s="27" t="n"/>
      <c r="BC41" s="27" t="n"/>
      <c r="BD41" s="27" t="n"/>
      <c r="BE41" s="27" t="n"/>
      <c r="BF41" s="27" t="n"/>
      <c r="BG41" s="27" t="n"/>
      <c r="BH41" s="27" t="n"/>
      <c r="BI41" s="29" t="n"/>
      <c r="BJ41" s="27" t="n"/>
      <c r="BK41" s="27" t="n"/>
      <c r="BL41" s="27" t="n"/>
      <c r="BM41" s="27" t="n"/>
      <c r="DN41" s="26">
        <f>IF('テスト条件'!A40="","",'テスト条件'!A40)</f>
        <v/>
      </c>
    </row>
    <row r="42">
      <c r="A42" s="27" t="n"/>
      <c r="B42" s="27" t="n"/>
      <c r="C42" s="28">
        <f>IF(A42="","",$B$2)</f>
        <v/>
      </c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27" t="n"/>
      <c r="AJ42" s="27" t="n"/>
      <c r="AK42" s="27" t="n"/>
      <c r="AL42" s="27" t="n"/>
      <c r="AM42" s="27" t="n"/>
      <c r="AN42" s="27" t="n"/>
      <c r="AO42" s="27" t="n"/>
      <c r="AP42" s="27" t="n"/>
      <c r="AQ42" s="27" t="n"/>
      <c r="AR42" s="27" t="n"/>
      <c r="AS42" s="27" t="n"/>
      <c r="AT42" s="27" t="n"/>
      <c r="AU42" s="27" t="n"/>
      <c r="AV42" s="27" t="n"/>
      <c r="AW42" s="27" t="n"/>
      <c r="AX42" s="27" t="n"/>
      <c r="AY42" s="27" t="n"/>
      <c r="AZ42" s="27" t="n"/>
      <c r="BA42" s="27" t="n"/>
      <c r="BB42" s="27" t="n"/>
      <c r="BC42" s="27" t="n"/>
      <c r="BD42" s="27" t="n"/>
      <c r="BE42" s="27" t="n"/>
      <c r="BF42" s="27" t="n"/>
      <c r="BG42" s="27" t="n"/>
      <c r="BH42" s="27" t="n"/>
      <c r="BI42" s="29" t="n"/>
      <c r="BJ42" s="27" t="n"/>
      <c r="BK42" s="27" t="n"/>
      <c r="BL42" s="27" t="n"/>
      <c r="BM42" s="27" t="n"/>
      <c r="DN42" s="26">
        <f>IF('テスト条件'!A41="","",'テスト条件'!A41)</f>
        <v/>
      </c>
    </row>
    <row r="43">
      <c r="A43" s="27" t="n"/>
      <c r="B43" s="27" t="n"/>
      <c r="C43" s="28">
        <f>IF(A43="","",$B$2)</f>
        <v/>
      </c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27" t="n"/>
      <c r="AJ43" s="27" t="n"/>
      <c r="AK43" s="27" t="n"/>
      <c r="AL43" s="27" t="n"/>
      <c r="AM43" s="27" t="n"/>
      <c r="AN43" s="27" t="n"/>
      <c r="AO43" s="27" t="n"/>
      <c r="AP43" s="27" t="n"/>
      <c r="AQ43" s="27" t="n"/>
      <c r="AR43" s="27" t="n"/>
      <c r="AS43" s="27" t="n"/>
      <c r="AT43" s="27" t="n"/>
      <c r="AU43" s="27" t="n"/>
      <c r="AV43" s="27" t="n"/>
      <c r="AW43" s="27" t="n"/>
      <c r="AX43" s="27" t="n"/>
      <c r="AY43" s="27" t="n"/>
      <c r="AZ43" s="27" t="n"/>
      <c r="BA43" s="27" t="n"/>
      <c r="BB43" s="27" t="n"/>
      <c r="BC43" s="27" t="n"/>
      <c r="BD43" s="27" t="n"/>
      <c r="BE43" s="27" t="n"/>
      <c r="BF43" s="27" t="n"/>
      <c r="BG43" s="27" t="n"/>
      <c r="BH43" s="27" t="n"/>
      <c r="BI43" s="29" t="n"/>
      <c r="BJ43" s="27" t="n"/>
      <c r="BK43" s="27" t="n"/>
      <c r="BL43" s="27" t="n"/>
      <c r="BM43" s="27" t="n"/>
      <c r="DN43" s="26">
        <f>IF('テスト条件'!A42="","",'テスト条件'!A42)</f>
        <v/>
      </c>
    </row>
    <row r="44">
      <c r="A44" s="27" t="n"/>
      <c r="B44" s="27" t="n"/>
      <c r="C44" s="28">
        <f>IF(A44="","",$B$2)</f>
        <v/>
      </c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  <c r="AJ44" s="27" t="n"/>
      <c r="AK44" s="27" t="n"/>
      <c r="AL44" s="27" t="n"/>
      <c r="AM44" s="27" t="n"/>
      <c r="AN44" s="27" t="n"/>
      <c r="AO44" s="27" t="n"/>
      <c r="AP44" s="27" t="n"/>
      <c r="AQ44" s="27" t="n"/>
      <c r="AR44" s="27" t="n"/>
      <c r="AS44" s="27" t="n"/>
      <c r="AT44" s="27" t="n"/>
      <c r="AU44" s="27" t="n"/>
      <c r="AV44" s="27" t="n"/>
      <c r="AW44" s="27" t="n"/>
      <c r="AX44" s="27" t="n"/>
      <c r="AY44" s="27" t="n"/>
      <c r="AZ44" s="27" t="n"/>
      <c r="BA44" s="27" t="n"/>
      <c r="BB44" s="27" t="n"/>
      <c r="BC44" s="27" t="n"/>
      <c r="BD44" s="27" t="n"/>
      <c r="BE44" s="27" t="n"/>
      <c r="BF44" s="27" t="n"/>
      <c r="BG44" s="27" t="n"/>
      <c r="BH44" s="27" t="n"/>
      <c r="BI44" s="29" t="n"/>
      <c r="BJ44" s="27" t="n"/>
      <c r="BK44" s="27" t="n"/>
      <c r="BL44" s="27" t="n"/>
      <c r="BM44" s="27" t="n"/>
      <c r="DN44" s="26">
        <f>IF('テスト条件'!A43="","",'テスト条件'!A43)</f>
        <v/>
      </c>
    </row>
    <row r="45">
      <c r="A45" s="27" t="n"/>
      <c r="B45" s="27" t="n"/>
      <c r="C45" s="28">
        <f>IF(A45="","",$B$2)</f>
        <v/>
      </c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27" t="n"/>
      <c r="AJ45" s="27" t="n"/>
      <c r="AK45" s="27" t="n"/>
      <c r="AL45" s="27" t="n"/>
      <c r="AM45" s="27" t="n"/>
      <c r="AN45" s="27" t="n"/>
      <c r="AO45" s="27" t="n"/>
      <c r="AP45" s="27" t="n"/>
      <c r="AQ45" s="27" t="n"/>
      <c r="AR45" s="27" t="n"/>
      <c r="AS45" s="27" t="n"/>
      <c r="AT45" s="27" t="n"/>
      <c r="AU45" s="27" t="n"/>
      <c r="AV45" s="27" t="n"/>
      <c r="AW45" s="27" t="n"/>
      <c r="AX45" s="27" t="n"/>
      <c r="AY45" s="27" t="n"/>
      <c r="AZ45" s="27" t="n"/>
      <c r="BA45" s="27" t="n"/>
      <c r="BB45" s="27" t="n"/>
      <c r="BC45" s="27" t="n"/>
      <c r="BD45" s="27" t="n"/>
      <c r="BE45" s="27" t="n"/>
      <c r="BF45" s="27" t="n"/>
      <c r="BG45" s="27" t="n"/>
      <c r="BH45" s="27" t="n"/>
      <c r="BI45" s="29" t="n"/>
      <c r="BJ45" s="27" t="n"/>
      <c r="BK45" s="27" t="n"/>
      <c r="BL45" s="27" t="n"/>
      <c r="BM45" s="27" t="n"/>
      <c r="DN45" s="26">
        <f>IF('テスト条件'!A44="","",'テスト条件'!A44)</f>
        <v/>
      </c>
    </row>
    <row r="46">
      <c r="A46" s="27" t="n"/>
      <c r="B46" s="27" t="n"/>
      <c r="C46" s="28">
        <f>IF(A46="","",$B$2)</f>
        <v/>
      </c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  <c r="AJ46" s="27" t="n"/>
      <c r="AK46" s="27" t="n"/>
      <c r="AL46" s="27" t="n"/>
      <c r="AM46" s="27" t="n"/>
      <c r="AN46" s="27" t="n"/>
      <c r="AO46" s="27" t="n"/>
      <c r="AP46" s="27" t="n"/>
      <c r="AQ46" s="27" t="n"/>
      <c r="AR46" s="27" t="n"/>
      <c r="AS46" s="27" t="n"/>
      <c r="AT46" s="27" t="n"/>
      <c r="AU46" s="27" t="n"/>
      <c r="AV46" s="27" t="n"/>
      <c r="AW46" s="27" t="n"/>
      <c r="AX46" s="27" t="n"/>
      <c r="AY46" s="27" t="n"/>
      <c r="AZ46" s="27" t="n"/>
      <c r="BA46" s="27" t="n"/>
      <c r="BB46" s="27" t="n"/>
      <c r="BC46" s="27" t="n"/>
      <c r="BD46" s="27" t="n"/>
      <c r="BE46" s="27" t="n"/>
      <c r="BF46" s="27" t="n"/>
      <c r="BG46" s="27" t="n"/>
      <c r="BH46" s="27" t="n"/>
      <c r="BI46" s="29" t="n"/>
      <c r="BJ46" s="27" t="n"/>
      <c r="BK46" s="27" t="n"/>
      <c r="BL46" s="27" t="n"/>
      <c r="BM46" s="27" t="n"/>
      <c r="DN46" s="26">
        <f>IF('テスト条件'!A45="","",'テスト条件'!A45)</f>
        <v/>
      </c>
    </row>
    <row r="47">
      <c r="A47" s="27" t="n"/>
      <c r="B47" s="27" t="n"/>
      <c r="C47" s="28">
        <f>IF(A47="","",$B$2)</f>
        <v/>
      </c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  <c r="AJ47" s="27" t="n"/>
      <c r="AK47" s="27" t="n"/>
      <c r="AL47" s="27" t="n"/>
      <c r="AM47" s="27" t="n"/>
      <c r="AN47" s="27" t="n"/>
      <c r="AO47" s="27" t="n"/>
      <c r="AP47" s="27" t="n"/>
      <c r="AQ47" s="27" t="n"/>
      <c r="AR47" s="27" t="n"/>
      <c r="AS47" s="27" t="n"/>
      <c r="AT47" s="27" t="n"/>
      <c r="AU47" s="27" t="n"/>
      <c r="AV47" s="27" t="n"/>
      <c r="AW47" s="27" t="n"/>
      <c r="AX47" s="27" t="n"/>
      <c r="AY47" s="27" t="n"/>
      <c r="AZ47" s="27" t="n"/>
      <c r="BA47" s="27" t="n"/>
      <c r="BB47" s="27" t="n"/>
      <c r="BC47" s="27" t="n"/>
      <c r="BD47" s="27" t="n"/>
      <c r="BE47" s="27" t="n"/>
      <c r="BF47" s="27" t="n"/>
      <c r="BG47" s="27" t="n"/>
      <c r="BH47" s="27" t="n"/>
      <c r="BI47" s="29" t="n"/>
      <c r="BJ47" s="27" t="n"/>
      <c r="BK47" s="27" t="n"/>
      <c r="BL47" s="27" t="n"/>
      <c r="BM47" s="27" t="n"/>
      <c r="DN47" s="26">
        <f>IF('テスト条件'!A46="","",'テスト条件'!A46)</f>
        <v/>
      </c>
    </row>
    <row r="48">
      <c r="A48" s="27" t="n"/>
      <c r="B48" s="27" t="n"/>
      <c r="C48" s="28">
        <f>IF(A48="","",$B$2)</f>
        <v/>
      </c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27" t="n"/>
      <c r="AJ48" s="27" t="n"/>
      <c r="AK48" s="27" t="n"/>
      <c r="AL48" s="27" t="n"/>
      <c r="AM48" s="27" t="n"/>
      <c r="AN48" s="27" t="n"/>
      <c r="AO48" s="27" t="n"/>
      <c r="AP48" s="27" t="n"/>
      <c r="AQ48" s="27" t="n"/>
      <c r="AR48" s="27" t="n"/>
      <c r="AS48" s="27" t="n"/>
      <c r="AT48" s="27" t="n"/>
      <c r="AU48" s="27" t="n"/>
      <c r="AV48" s="27" t="n"/>
      <c r="AW48" s="27" t="n"/>
      <c r="AX48" s="27" t="n"/>
      <c r="AY48" s="27" t="n"/>
      <c r="AZ48" s="27" t="n"/>
      <c r="BA48" s="27" t="n"/>
      <c r="BB48" s="27" t="n"/>
      <c r="BC48" s="27" t="n"/>
      <c r="BD48" s="27" t="n"/>
      <c r="BE48" s="27" t="n"/>
      <c r="BF48" s="27" t="n"/>
      <c r="BG48" s="27" t="n"/>
      <c r="BH48" s="27" t="n"/>
      <c r="BI48" s="29" t="n"/>
      <c r="BJ48" s="27" t="n"/>
      <c r="BK48" s="27" t="n"/>
      <c r="BL48" s="27" t="n"/>
      <c r="BM48" s="27" t="n"/>
      <c r="DN48" s="26">
        <f>IF('テスト条件'!A47="","",'テスト条件'!A47)</f>
        <v/>
      </c>
    </row>
    <row r="49">
      <c r="A49" s="27" t="n"/>
      <c r="B49" s="27" t="n"/>
      <c r="C49" s="28">
        <f>IF(A49="","",$B$2)</f>
        <v/>
      </c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27" t="n"/>
      <c r="AJ49" s="27" t="n"/>
      <c r="AK49" s="27" t="n"/>
      <c r="AL49" s="27" t="n"/>
      <c r="AM49" s="27" t="n"/>
      <c r="AN49" s="27" t="n"/>
      <c r="AO49" s="27" t="n"/>
      <c r="AP49" s="27" t="n"/>
      <c r="AQ49" s="27" t="n"/>
      <c r="AR49" s="27" t="n"/>
      <c r="AS49" s="27" t="n"/>
      <c r="AT49" s="27" t="n"/>
      <c r="AU49" s="27" t="n"/>
      <c r="AV49" s="27" t="n"/>
      <c r="AW49" s="27" t="n"/>
      <c r="AX49" s="27" t="n"/>
      <c r="AY49" s="27" t="n"/>
      <c r="AZ49" s="27" t="n"/>
      <c r="BA49" s="27" t="n"/>
      <c r="BB49" s="27" t="n"/>
      <c r="BC49" s="27" t="n"/>
      <c r="BD49" s="27" t="n"/>
      <c r="BE49" s="27" t="n"/>
      <c r="BF49" s="27" t="n"/>
      <c r="BG49" s="27" t="n"/>
      <c r="BH49" s="27" t="n"/>
      <c r="BI49" s="29" t="n"/>
      <c r="BJ49" s="27" t="n"/>
      <c r="BK49" s="27" t="n"/>
      <c r="BL49" s="27" t="n"/>
      <c r="BM49" s="27" t="n"/>
      <c r="DN49" s="26">
        <f>IF('テスト条件'!A48="","",'テスト条件'!A48)</f>
        <v/>
      </c>
    </row>
    <row r="50">
      <c r="A50" s="27" t="n"/>
      <c r="B50" s="27" t="n"/>
      <c r="C50" s="28">
        <f>IF(A50="","",$B$2)</f>
        <v/>
      </c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27" t="n"/>
      <c r="AJ50" s="27" t="n"/>
      <c r="AK50" s="27" t="n"/>
      <c r="AL50" s="27" t="n"/>
      <c r="AM50" s="27" t="n"/>
      <c r="AN50" s="27" t="n"/>
      <c r="AO50" s="27" t="n"/>
      <c r="AP50" s="27" t="n"/>
      <c r="AQ50" s="27" t="n"/>
      <c r="AR50" s="27" t="n"/>
      <c r="AS50" s="27" t="n"/>
      <c r="AT50" s="27" t="n"/>
      <c r="AU50" s="27" t="n"/>
      <c r="AV50" s="27" t="n"/>
      <c r="AW50" s="27" t="n"/>
      <c r="AX50" s="27" t="n"/>
      <c r="AY50" s="27" t="n"/>
      <c r="AZ50" s="27" t="n"/>
      <c r="BA50" s="27" t="n"/>
      <c r="BB50" s="27" t="n"/>
      <c r="BC50" s="27" t="n"/>
      <c r="BD50" s="27" t="n"/>
      <c r="BE50" s="27" t="n"/>
      <c r="BF50" s="27" t="n"/>
      <c r="BG50" s="27" t="n"/>
      <c r="BH50" s="27" t="n"/>
      <c r="BI50" s="29" t="n"/>
      <c r="BJ50" s="27" t="n"/>
      <c r="BK50" s="27" t="n"/>
      <c r="BL50" s="27" t="n"/>
      <c r="BM50" s="27" t="n"/>
      <c r="DN50" s="26">
        <f>IF('テスト条件'!A49="","",'テスト条件'!A49)</f>
        <v/>
      </c>
    </row>
    <row r="51">
      <c r="A51" s="27" t="n"/>
      <c r="B51" s="27" t="n"/>
      <c r="C51" s="28">
        <f>IF(A51="","",$B$2)</f>
        <v/>
      </c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27" t="n"/>
      <c r="AJ51" s="27" t="n"/>
      <c r="AK51" s="27" t="n"/>
      <c r="AL51" s="27" t="n"/>
      <c r="AM51" s="27" t="n"/>
      <c r="AN51" s="27" t="n"/>
      <c r="AO51" s="27" t="n"/>
      <c r="AP51" s="27" t="n"/>
      <c r="AQ51" s="27" t="n"/>
      <c r="AR51" s="27" t="n"/>
      <c r="AS51" s="27" t="n"/>
      <c r="AT51" s="27" t="n"/>
      <c r="AU51" s="27" t="n"/>
      <c r="AV51" s="27" t="n"/>
      <c r="AW51" s="27" t="n"/>
      <c r="AX51" s="27" t="n"/>
      <c r="AY51" s="27" t="n"/>
      <c r="AZ51" s="27" t="n"/>
      <c r="BA51" s="27" t="n"/>
      <c r="BB51" s="27" t="n"/>
      <c r="BC51" s="27" t="n"/>
      <c r="BD51" s="27" t="n"/>
      <c r="BE51" s="27" t="n"/>
      <c r="BF51" s="27" t="n"/>
      <c r="BG51" s="27" t="n"/>
      <c r="BH51" s="27" t="n"/>
      <c r="BI51" s="29" t="n"/>
      <c r="BJ51" s="27" t="n"/>
      <c r="BK51" s="27" t="n"/>
      <c r="BL51" s="27" t="n"/>
      <c r="BM51" s="27" t="n"/>
      <c r="DN51" s="26">
        <f>IF('テスト条件'!A50="","",'テスト条件'!A50)</f>
        <v/>
      </c>
    </row>
    <row r="52">
      <c r="A52" s="27" t="n"/>
      <c r="B52" s="27" t="n"/>
      <c r="C52" s="28">
        <f>IF(A52="","",$B$2)</f>
        <v/>
      </c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27" t="n"/>
      <c r="AJ52" s="27" t="n"/>
      <c r="AK52" s="27" t="n"/>
      <c r="AL52" s="27" t="n"/>
      <c r="AM52" s="27" t="n"/>
      <c r="AN52" s="27" t="n"/>
      <c r="AO52" s="27" t="n"/>
      <c r="AP52" s="27" t="n"/>
      <c r="AQ52" s="27" t="n"/>
      <c r="AR52" s="27" t="n"/>
      <c r="AS52" s="27" t="n"/>
      <c r="AT52" s="27" t="n"/>
      <c r="AU52" s="27" t="n"/>
      <c r="AV52" s="27" t="n"/>
      <c r="AW52" s="27" t="n"/>
      <c r="AX52" s="27" t="n"/>
      <c r="AY52" s="27" t="n"/>
      <c r="AZ52" s="27" t="n"/>
      <c r="BA52" s="27" t="n"/>
      <c r="BB52" s="27" t="n"/>
      <c r="BC52" s="27" t="n"/>
      <c r="BD52" s="27" t="n"/>
      <c r="BE52" s="27" t="n"/>
      <c r="BF52" s="27" t="n"/>
      <c r="BG52" s="27" t="n"/>
      <c r="BH52" s="27" t="n"/>
      <c r="BI52" s="29" t="n"/>
      <c r="BJ52" s="27" t="n"/>
      <c r="BK52" s="27" t="n"/>
      <c r="BL52" s="27" t="n"/>
      <c r="BM52" s="27" t="n"/>
      <c r="DN52" s="26">
        <f>IF('テスト条件'!A51="","",'テスト条件'!A51)</f>
        <v/>
      </c>
    </row>
    <row r="53">
      <c r="A53" s="27" t="n"/>
      <c r="B53" s="27" t="n"/>
      <c r="C53" s="28">
        <f>IF(A53="","",$B$2)</f>
        <v/>
      </c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27" t="n"/>
      <c r="AJ53" s="27" t="n"/>
      <c r="AK53" s="27" t="n"/>
      <c r="AL53" s="27" t="n"/>
      <c r="AM53" s="27" t="n"/>
      <c r="AN53" s="27" t="n"/>
      <c r="AO53" s="27" t="n"/>
      <c r="AP53" s="27" t="n"/>
      <c r="AQ53" s="27" t="n"/>
      <c r="AR53" s="27" t="n"/>
      <c r="AS53" s="27" t="n"/>
      <c r="AT53" s="27" t="n"/>
      <c r="AU53" s="27" t="n"/>
      <c r="AV53" s="27" t="n"/>
      <c r="AW53" s="27" t="n"/>
      <c r="AX53" s="27" t="n"/>
      <c r="AY53" s="27" t="n"/>
      <c r="AZ53" s="27" t="n"/>
      <c r="BA53" s="27" t="n"/>
      <c r="BB53" s="27" t="n"/>
      <c r="BC53" s="27" t="n"/>
      <c r="BD53" s="27" t="n"/>
      <c r="BE53" s="27" t="n"/>
      <c r="BF53" s="27" t="n"/>
      <c r="BG53" s="27" t="n"/>
      <c r="BH53" s="27" t="n"/>
      <c r="BI53" s="29" t="n"/>
      <c r="BJ53" s="27" t="n"/>
      <c r="BK53" s="27" t="n"/>
      <c r="BL53" s="27" t="n"/>
      <c r="BM53" s="27" t="n"/>
      <c r="DN53" s="26">
        <f>IF('テスト条件'!A52="","",'テスト条件'!A52)</f>
        <v/>
      </c>
    </row>
    <row r="54">
      <c r="A54" s="27" t="n"/>
      <c r="B54" s="27" t="n"/>
      <c r="C54" s="28">
        <f>IF(A54="","",$B$2)</f>
        <v/>
      </c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27" t="n"/>
      <c r="AJ54" s="27" t="n"/>
      <c r="AK54" s="27" t="n"/>
      <c r="AL54" s="27" t="n"/>
      <c r="AM54" s="27" t="n"/>
      <c r="AN54" s="27" t="n"/>
      <c r="AO54" s="27" t="n"/>
      <c r="AP54" s="27" t="n"/>
      <c r="AQ54" s="27" t="n"/>
      <c r="AR54" s="27" t="n"/>
      <c r="AS54" s="27" t="n"/>
      <c r="AT54" s="27" t="n"/>
      <c r="AU54" s="27" t="n"/>
      <c r="AV54" s="27" t="n"/>
      <c r="AW54" s="27" t="n"/>
      <c r="AX54" s="27" t="n"/>
      <c r="AY54" s="27" t="n"/>
      <c r="AZ54" s="27" t="n"/>
      <c r="BA54" s="27" t="n"/>
      <c r="BB54" s="27" t="n"/>
      <c r="BC54" s="27" t="n"/>
      <c r="BD54" s="27" t="n"/>
      <c r="BE54" s="27" t="n"/>
      <c r="BF54" s="27" t="n"/>
      <c r="BG54" s="27" t="n"/>
      <c r="BH54" s="27" t="n"/>
      <c r="BI54" s="29" t="n"/>
      <c r="BJ54" s="27" t="n"/>
      <c r="BK54" s="27" t="n"/>
      <c r="BL54" s="27" t="n"/>
      <c r="BM54" s="27" t="n"/>
      <c r="DN54" s="26">
        <f>IF('テスト条件'!A53="","",'テスト条件'!A53)</f>
        <v/>
      </c>
    </row>
    <row r="55">
      <c r="A55" s="27" t="n"/>
      <c r="B55" s="27" t="n"/>
      <c r="C55" s="28">
        <f>IF(A55="","",$B$2)</f>
        <v/>
      </c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27" t="n"/>
      <c r="AJ55" s="27" t="n"/>
      <c r="AK55" s="27" t="n"/>
      <c r="AL55" s="27" t="n"/>
      <c r="AM55" s="27" t="n"/>
      <c r="AN55" s="27" t="n"/>
      <c r="AO55" s="27" t="n"/>
      <c r="AP55" s="27" t="n"/>
      <c r="AQ55" s="27" t="n"/>
      <c r="AR55" s="27" t="n"/>
      <c r="AS55" s="27" t="n"/>
      <c r="AT55" s="27" t="n"/>
      <c r="AU55" s="27" t="n"/>
      <c r="AV55" s="27" t="n"/>
      <c r="AW55" s="27" t="n"/>
      <c r="AX55" s="27" t="n"/>
      <c r="AY55" s="27" t="n"/>
      <c r="AZ55" s="27" t="n"/>
      <c r="BA55" s="27" t="n"/>
      <c r="BB55" s="27" t="n"/>
      <c r="BC55" s="27" t="n"/>
      <c r="BD55" s="27" t="n"/>
      <c r="BE55" s="27" t="n"/>
      <c r="BF55" s="27" t="n"/>
      <c r="BG55" s="27" t="n"/>
      <c r="BH55" s="27" t="n"/>
      <c r="BI55" s="29" t="n"/>
      <c r="BJ55" s="27" t="n"/>
      <c r="BK55" s="27" t="n"/>
      <c r="BL55" s="27" t="n"/>
      <c r="BM55" s="27" t="n"/>
      <c r="DN55" s="26">
        <f>IF('テスト条件'!A54="","",'テスト条件'!A54)</f>
        <v/>
      </c>
    </row>
    <row r="56">
      <c r="A56" s="27" t="n"/>
      <c r="B56" s="27" t="n"/>
      <c r="C56" s="28">
        <f>IF(A56="","",$B$2)</f>
        <v/>
      </c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  <c r="AJ56" s="27" t="n"/>
      <c r="AK56" s="27" t="n"/>
      <c r="AL56" s="27" t="n"/>
      <c r="AM56" s="27" t="n"/>
      <c r="AN56" s="27" t="n"/>
      <c r="AO56" s="27" t="n"/>
      <c r="AP56" s="27" t="n"/>
      <c r="AQ56" s="27" t="n"/>
      <c r="AR56" s="27" t="n"/>
      <c r="AS56" s="27" t="n"/>
      <c r="AT56" s="27" t="n"/>
      <c r="AU56" s="27" t="n"/>
      <c r="AV56" s="27" t="n"/>
      <c r="AW56" s="27" t="n"/>
      <c r="AX56" s="27" t="n"/>
      <c r="AY56" s="27" t="n"/>
      <c r="AZ56" s="27" t="n"/>
      <c r="BA56" s="27" t="n"/>
      <c r="BB56" s="27" t="n"/>
      <c r="BC56" s="27" t="n"/>
      <c r="BD56" s="27" t="n"/>
      <c r="BE56" s="27" t="n"/>
      <c r="BF56" s="27" t="n"/>
      <c r="BG56" s="27" t="n"/>
      <c r="BH56" s="27" t="n"/>
      <c r="BI56" s="29" t="n"/>
      <c r="BJ56" s="27" t="n"/>
      <c r="BK56" s="27" t="n"/>
      <c r="BL56" s="27" t="n"/>
      <c r="BM56" s="27" t="n"/>
      <c r="DN56" s="26">
        <f>IF('テスト条件'!A55="","",'テスト条件'!A55)</f>
        <v/>
      </c>
    </row>
    <row r="57">
      <c r="A57" s="27" t="n"/>
      <c r="B57" s="27" t="n"/>
      <c r="C57" s="28">
        <f>IF(A57="","",$B$2)</f>
        <v/>
      </c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  <c r="AA57" s="27" t="n"/>
      <c r="AB57" s="27" t="n"/>
      <c r="AC57" s="27" t="n"/>
      <c r="AD57" s="27" t="n"/>
      <c r="AE57" s="27" t="n"/>
      <c r="AF57" s="27" t="n"/>
      <c r="AG57" s="27" t="n"/>
      <c r="AH57" s="27" t="n"/>
      <c r="AI57" s="27" t="n"/>
      <c r="AJ57" s="27" t="n"/>
      <c r="AK57" s="27" t="n"/>
      <c r="AL57" s="27" t="n"/>
      <c r="AM57" s="27" t="n"/>
      <c r="AN57" s="27" t="n"/>
      <c r="AO57" s="27" t="n"/>
      <c r="AP57" s="27" t="n"/>
      <c r="AQ57" s="27" t="n"/>
      <c r="AR57" s="27" t="n"/>
      <c r="AS57" s="27" t="n"/>
      <c r="AT57" s="27" t="n"/>
      <c r="AU57" s="27" t="n"/>
      <c r="AV57" s="27" t="n"/>
      <c r="AW57" s="27" t="n"/>
      <c r="AX57" s="27" t="n"/>
      <c r="AY57" s="27" t="n"/>
      <c r="AZ57" s="27" t="n"/>
      <c r="BA57" s="27" t="n"/>
      <c r="BB57" s="27" t="n"/>
      <c r="BC57" s="27" t="n"/>
      <c r="BD57" s="27" t="n"/>
      <c r="BE57" s="27" t="n"/>
      <c r="BF57" s="27" t="n"/>
      <c r="BG57" s="27" t="n"/>
      <c r="BH57" s="27" t="n"/>
      <c r="BI57" s="29" t="n"/>
      <c r="BJ57" s="27" t="n"/>
      <c r="BK57" s="27" t="n"/>
      <c r="BL57" s="27" t="n"/>
      <c r="BM57" s="27" t="n"/>
      <c r="DN57" s="26">
        <f>IF('テスト条件'!A56="","",'テスト条件'!A56)</f>
        <v/>
      </c>
    </row>
    <row r="58">
      <c r="A58" s="27" t="n"/>
      <c r="B58" s="27" t="n"/>
      <c r="C58" s="28">
        <f>IF(A58="","",$B$2)</f>
        <v/>
      </c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27" t="n"/>
      <c r="AJ58" s="27" t="n"/>
      <c r="AK58" s="27" t="n"/>
      <c r="AL58" s="27" t="n"/>
      <c r="AM58" s="27" t="n"/>
      <c r="AN58" s="27" t="n"/>
      <c r="AO58" s="27" t="n"/>
      <c r="AP58" s="27" t="n"/>
      <c r="AQ58" s="27" t="n"/>
      <c r="AR58" s="27" t="n"/>
      <c r="AS58" s="27" t="n"/>
      <c r="AT58" s="27" t="n"/>
      <c r="AU58" s="27" t="n"/>
      <c r="AV58" s="27" t="n"/>
      <c r="AW58" s="27" t="n"/>
      <c r="AX58" s="27" t="n"/>
      <c r="AY58" s="27" t="n"/>
      <c r="AZ58" s="27" t="n"/>
      <c r="BA58" s="27" t="n"/>
      <c r="BB58" s="27" t="n"/>
      <c r="BC58" s="27" t="n"/>
      <c r="BD58" s="27" t="n"/>
      <c r="BE58" s="27" t="n"/>
      <c r="BF58" s="27" t="n"/>
      <c r="BG58" s="27" t="n"/>
      <c r="BH58" s="27" t="n"/>
      <c r="BI58" s="29" t="n"/>
      <c r="BJ58" s="27" t="n"/>
      <c r="BK58" s="27" t="n"/>
      <c r="BL58" s="27" t="n"/>
      <c r="BM58" s="27" t="n"/>
      <c r="DN58" s="26">
        <f>IF('テスト条件'!A57="","",'テスト条件'!A57)</f>
        <v/>
      </c>
    </row>
    <row r="59">
      <c r="A59" s="27" t="n"/>
      <c r="B59" s="27" t="n"/>
      <c r="C59" s="28">
        <f>IF(A59="","",$B$2)</f>
        <v/>
      </c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27" t="n"/>
      <c r="AJ59" s="27" t="n"/>
      <c r="AK59" s="27" t="n"/>
      <c r="AL59" s="27" t="n"/>
      <c r="AM59" s="27" t="n"/>
      <c r="AN59" s="27" t="n"/>
      <c r="AO59" s="27" t="n"/>
      <c r="AP59" s="27" t="n"/>
      <c r="AQ59" s="27" t="n"/>
      <c r="AR59" s="27" t="n"/>
      <c r="AS59" s="27" t="n"/>
      <c r="AT59" s="27" t="n"/>
      <c r="AU59" s="27" t="n"/>
      <c r="AV59" s="27" t="n"/>
      <c r="AW59" s="27" t="n"/>
      <c r="AX59" s="27" t="n"/>
      <c r="AY59" s="27" t="n"/>
      <c r="AZ59" s="27" t="n"/>
      <c r="BA59" s="27" t="n"/>
      <c r="BB59" s="27" t="n"/>
      <c r="BC59" s="27" t="n"/>
      <c r="BD59" s="27" t="n"/>
      <c r="BE59" s="27" t="n"/>
      <c r="BF59" s="27" t="n"/>
      <c r="BG59" s="27" t="n"/>
      <c r="BH59" s="27" t="n"/>
      <c r="BI59" s="29" t="n"/>
      <c r="BJ59" s="27" t="n"/>
      <c r="BK59" s="27" t="n"/>
      <c r="BL59" s="27" t="n"/>
      <c r="BM59" s="27" t="n"/>
      <c r="DN59" s="26">
        <f>IF('テスト条件'!A58="","",'テスト条件'!A58)</f>
        <v/>
      </c>
    </row>
    <row r="60">
      <c r="A60" s="27" t="n"/>
      <c r="B60" s="27" t="n"/>
      <c r="C60" s="28">
        <f>IF(A60="","",$B$2)</f>
        <v/>
      </c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27" t="n"/>
      <c r="AJ60" s="27" t="n"/>
      <c r="AK60" s="27" t="n"/>
      <c r="AL60" s="27" t="n"/>
      <c r="AM60" s="27" t="n"/>
      <c r="AN60" s="27" t="n"/>
      <c r="AO60" s="27" t="n"/>
      <c r="AP60" s="27" t="n"/>
      <c r="AQ60" s="27" t="n"/>
      <c r="AR60" s="27" t="n"/>
      <c r="AS60" s="27" t="n"/>
      <c r="AT60" s="27" t="n"/>
      <c r="AU60" s="27" t="n"/>
      <c r="AV60" s="27" t="n"/>
      <c r="AW60" s="27" t="n"/>
      <c r="AX60" s="27" t="n"/>
      <c r="AY60" s="27" t="n"/>
      <c r="AZ60" s="27" t="n"/>
      <c r="BA60" s="27" t="n"/>
      <c r="BB60" s="27" t="n"/>
      <c r="BC60" s="27" t="n"/>
      <c r="BD60" s="27" t="n"/>
      <c r="BE60" s="27" t="n"/>
      <c r="BF60" s="27" t="n"/>
      <c r="BG60" s="27" t="n"/>
      <c r="BH60" s="27" t="n"/>
      <c r="BI60" s="29" t="n"/>
      <c r="BJ60" s="27" t="n"/>
      <c r="BK60" s="27" t="n"/>
      <c r="BL60" s="27" t="n"/>
      <c r="BM60" s="27" t="n"/>
      <c r="DN60" s="26">
        <f>IF('テスト条件'!A59="","",'テスト条件'!A59)</f>
        <v/>
      </c>
    </row>
    <row r="61">
      <c r="A61" s="27" t="n"/>
      <c r="B61" s="27" t="n"/>
      <c r="C61" s="28">
        <f>IF(A61="","",$B$2)</f>
        <v/>
      </c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27" t="n"/>
      <c r="AJ61" s="27" t="n"/>
      <c r="AK61" s="27" t="n"/>
      <c r="AL61" s="27" t="n"/>
      <c r="AM61" s="27" t="n"/>
      <c r="AN61" s="27" t="n"/>
      <c r="AO61" s="27" t="n"/>
      <c r="AP61" s="27" t="n"/>
      <c r="AQ61" s="27" t="n"/>
      <c r="AR61" s="27" t="n"/>
      <c r="AS61" s="27" t="n"/>
      <c r="AT61" s="27" t="n"/>
      <c r="AU61" s="27" t="n"/>
      <c r="AV61" s="27" t="n"/>
      <c r="AW61" s="27" t="n"/>
      <c r="AX61" s="27" t="n"/>
      <c r="AY61" s="27" t="n"/>
      <c r="AZ61" s="27" t="n"/>
      <c r="BA61" s="27" t="n"/>
      <c r="BB61" s="27" t="n"/>
      <c r="BC61" s="27" t="n"/>
      <c r="BD61" s="27" t="n"/>
      <c r="BE61" s="27" t="n"/>
      <c r="BF61" s="27" t="n"/>
      <c r="BG61" s="27" t="n"/>
      <c r="BH61" s="27" t="n"/>
      <c r="BI61" s="29" t="n"/>
      <c r="BJ61" s="27" t="n"/>
      <c r="BK61" s="27" t="n"/>
      <c r="BL61" s="27" t="n"/>
      <c r="BM61" s="27" t="n"/>
      <c r="DN61" s="26">
        <f>IF('テスト条件'!A60="","",'テスト条件'!A60)</f>
        <v/>
      </c>
    </row>
    <row r="62">
      <c r="A62" s="27" t="n"/>
      <c r="B62" s="27" t="n"/>
      <c r="C62" s="28">
        <f>IF(A62="","",$B$2)</f>
        <v/>
      </c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27" t="n"/>
      <c r="AJ62" s="27" t="n"/>
      <c r="AK62" s="27" t="n"/>
      <c r="AL62" s="27" t="n"/>
      <c r="AM62" s="27" t="n"/>
      <c r="AN62" s="27" t="n"/>
      <c r="AO62" s="27" t="n"/>
      <c r="AP62" s="27" t="n"/>
      <c r="AQ62" s="27" t="n"/>
      <c r="AR62" s="27" t="n"/>
      <c r="AS62" s="27" t="n"/>
      <c r="AT62" s="27" t="n"/>
      <c r="AU62" s="27" t="n"/>
      <c r="AV62" s="27" t="n"/>
      <c r="AW62" s="27" t="n"/>
      <c r="AX62" s="27" t="n"/>
      <c r="AY62" s="27" t="n"/>
      <c r="AZ62" s="27" t="n"/>
      <c r="BA62" s="27" t="n"/>
      <c r="BB62" s="27" t="n"/>
      <c r="BC62" s="27" t="n"/>
      <c r="BD62" s="27" t="n"/>
      <c r="BE62" s="27" t="n"/>
      <c r="BF62" s="27" t="n"/>
      <c r="BG62" s="27" t="n"/>
      <c r="BH62" s="27" t="n"/>
      <c r="BI62" s="29" t="n"/>
      <c r="BJ62" s="27" t="n"/>
      <c r="BK62" s="27" t="n"/>
      <c r="BL62" s="27" t="n"/>
      <c r="BM62" s="27" t="n"/>
      <c r="DN62" s="26">
        <f>IF('テスト条件'!A61="","",'テスト条件'!A61)</f>
        <v/>
      </c>
    </row>
    <row r="63">
      <c r="A63" s="27" t="n"/>
      <c r="B63" s="27" t="n"/>
      <c r="C63" s="28">
        <f>IF(A63="","",$B$2)</f>
        <v/>
      </c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  <c r="AA63" s="27" t="n"/>
      <c r="AB63" s="27" t="n"/>
      <c r="AC63" s="27" t="n"/>
      <c r="AD63" s="27" t="n"/>
      <c r="AE63" s="27" t="n"/>
      <c r="AF63" s="27" t="n"/>
      <c r="AG63" s="27" t="n"/>
      <c r="AH63" s="27" t="n"/>
      <c r="AI63" s="27" t="n"/>
      <c r="AJ63" s="27" t="n"/>
      <c r="AK63" s="27" t="n"/>
      <c r="AL63" s="27" t="n"/>
      <c r="AM63" s="27" t="n"/>
      <c r="AN63" s="27" t="n"/>
      <c r="AO63" s="27" t="n"/>
      <c r="AP63" s="27" t="n"/>
      <c r="AQ63" s="27" t="n"/>
      <c r="AR63" s="27" t="n"/>
      <c r="AS63" s="27" t="n"/>
      <c r="AT63" s="27" t="n"/>
      <c r="AU63" s="27" t="n"/>
      <c r="AV63" s="27" t="n"/>
      <c r="AW63" s="27" t="n"/>
      <c r="AX63" s="27" t="n"/>
      <c r="AY63" s="27" t="n"/>
      <c r="AZ63" s="27" t="n"/>
      <c r="BA63" s="27" t="n"/>
      <c r="BB63" s="27" t="n"/>
      <c r="BC63" s="27" t="n"/>
      <c r="BD63" s="27" t="n"/>
      <c r="BE63" s="27" t="n"/>
      <c r="BF63" s="27" t="n"/>
      <c r="BG63" s="27" t="n"/>
      <c r="BH63" s="27" t="n"/>
      <c r="BI63" s="29" t="n"/>
      <c r="BJ63" s="27" t="n"/>
      <c r="BK63" s="27" t="n"/>
      <c r="BL63" s="27" t="n"/>
      <c r="BM63" s="27" t="n"/>
      <c r="DN63" s="26">
        <f>IF('テスト条件'!A62="","",'テスト条件'!A62)</f>
        <v/>
      </c>
    </row>
    <row r="64">
      <c r="A64" s="27" t="n"/>
      <c r="B64" s="27" t="n"/>
      <c r="C64" s="28">
        <f>IF(A64="","",$B$2)</f>
        <v/>
      </c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27" t="n"/>
      <c r="AJ64" s="27" t="n"/>
      <c r="AK64" s="27" t="n"/>
      <c r="AL64" s="27" t="n"/>
      <c r="AM64" s="27" t="n"/>
      <c r="AN64" s="27" t="n"/>
      <c r="AO64" s="27" t="n"/>
      <c r="AP64" s="27" t="n"/>
      <c r="AQ64" s="27" t="n"/>
      <c r="AR64" s="27" t="n"/>
      <c r="AS64" s="27" t="n"/>
      <c r="AT64" s="27" t="n"/>
      <c r="AU64" s="27" t="n"/>
      <c r="AV64" s="27" t="n"/>
      <c r="AW64" s="27" t="n"/>
      <c r="AX64" s="27" t="n"/>
      <c r="AY64" s="27" t="n"/>
      <c r="AZ64" s="27" t="n"/>
      <c r="BA64" s="27" t="n"/>
      <c r="BB64" s="27" t="n"/>
      <c r="BC64" s="27" t="n"/>
      <c r="BD64" s="27" t="n"/>
      <c r="BE64" s="27" t="n"/>
      <c r="BF64" s="27" t="n"/>
      <c r="BG64" s="27" t="n"/>
      <c r="BH64" s="27" t="n"/>
      <c r="BI64" s="29" t="n"/>
      <c r="BJ64" s="27" t="n"/>
      <c r="BK64" s="27" t="n"/>
      <c r="BL64" s="27" t="n"/>
      <c r="BM64" s="27" t="n"/>
      <c r="DN64" s="26">
        <f>IF('テスト条件'!A63="","",'テスト条件'!A63)</f>
        <v/>
      </c>
    </row>
    <row r="65">
      <c r="A65" s="27" t="n"/>
      <c r="B65" s="27" t="n"/>
      <c r="C65" s="28">
        <f>IF(A65="","",$B$2)</f>
        <v/>
      </c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27" t="n"/>
      <c r="AJ65" s="27" t="n"/>
      <c r="AK65" s="27" t="n"/>
      <c r="AL65" s="27" t="n"/>
      <c r="AM65" s="27" t="n"/>
      <c r="AN65" s="27" t="n"/>
      <c r="AO65" s="27" t="n"/>
      <c r="AP65" s="27" t="n"/>
      <c r="AQ65" s="27" t="n"/>
      <c r="AR65" s="27" t="n"/>
      <c r="AS65" s="27" t="n"/>
      <c r="AT65" s="27" t="n"/>
      <c r="AU65" s="27" t="n"/>
      <c r="AV65" s="27" t="n"/>
      <c r="AW65" s="27" t="n"/>
      <c r="AX65" s="27" t="n"/>
      <c r="AY65" s="27" t="n"/>
      <c r="AZ65" s="27" t="n"/>
      <c r="BA65" s="27" t="n"/>
      <c r="BB65" s="27" t="n"/>
      <c r="BC65" s="27" t="n"/>
      <c r="BD65" s="27" t="n"/>
      <c r="BE65" s="27" t="n"/>
      <c r="BF65" s="27" t="n"/>
      <c r="BG65" s="27" t="n"/>
      <c r="BH65" s="27" t="n"/>
      <c r="BI65" s="29" t="n"/>
      <c r="BJ65" s="27" t="n"/>
      <c r="BK65" s="27" t="n"/>
      <c r="BL65" s="27" t="n"/>
      <c r="BM65" s="27" t="n"/>
      <c r="DN65" s="26">
        <f>IF('テスト条件'!A64="","",'テスト条件'!A64)</f>
        <v/>
      </c>
    </row>
    <row r="66">
      <c r="A66" s="27" t="n"/>
      <c r="B66" s="27" t="n"/>
      <c r="C66" s="28">
        <f>IF(A66="","",$B$2)</f>
        <v/>
      </c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27" t="n"/>
      <c r="AJ66" s="27" t="n"/>
      <c r="AK66" s="27" t="n"/>
      <c r="AL66" s="27" t="n"/>
      <c r="AM66" s="27" t="n"/>
      <c r="AN66" s="27" t="n"/>
      <c r="AO66" s="27" t="n"/>
      <c r="AP66" s="27" t="n"/>
      <c r="AQ66" s="27" t="n"/>
      <c r="AR66" s="27" t="n"/>
      <c r="AS66" s="27" t="n"/>
      <c r="AT66" s="27" t="n"/>
      <c r="AU66" s="27" t="n"/>
      <c r="AV66" s="27" t="n"/>
      <c r="AW66" s="27" t="n"/>
      <c r="AX66" s="27" t="n"/>
      <c r="AY66" s="27" t="n"/>
      <c r="AZ66" s="27" t="n"/>
      <c r="BA66" s="27" t="n"/>
      <c r="BB66" s="27" t="n"/>
      <c r="BC66" s="27" t="n"/>
      <c r="BD66" s="27" t="n"/>
      <c r="BE66" s="27" t="n"/>
      <c r="BF66" s="27" t="n"/>
      <c r="BG66" s="27" t="n"/>
      <c r="BH66" s="27" t="n"/>
      <c r="BI66" s="29" t="n"/>
      <c r="BJ66" s="27" t="n"/>
      <c r="BK66" s="27" t="n"/>
      <c r="BL66" s="27" t="n"/>
      <c r="BM66" s="27" t="n"/>
      <c r="DN66" s="26">
        <f>IF('テスト条件'!A65="","",'テスト条件'!A65)</f>
        <v/>
      </c>
    </row>
    <row r="67">
      <c r="A67" s="27" t="n"/>
      <c r="B67" s="27" t="n"/>
      <c r="C67" s="28">
        <f>IF(A67="","",$B$2)</f>
        <v/>
      </c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  <c r="AA67" s="27" t="n"/>
      <c r="AB67" s="27" t="n"/>
      <c r="AC67" s="27" t="n"/>
      <c r="AD67" s="27" t="n"/>
      <c r="AE67" s="27" t="n"/>
      <c r="AF67" s="27" t="n"/>
      <c r="AG67" s="27" t="n"/>
      <c r="AH67" s="27" t="n"/>
      <c r="AI67" s="27" t="n"/>
      <c r="AJ67" s="27" t="n"/>
      <c r="AK67" s="27" t="n"/>
      <c r="AL67" s="27" t="n"/>
      <c r="AM67" s="27" t="n"/>
      <c r="AN67" s="27" t="n"/>
      <c r="AO67" s="27" t="n"/>
      <c r="AP67" s="27" t="n"/>
      <c r="AQ67" s="27" t="n"/>
      <c r="AR67" s="27" t="n"/>
      <c r="AS67" s="27" t="n"/>
      <c r="AT67" s="27" t="n"/>
      <c r="AU67" s="27" t="n"/>
      <c r="AV67" s="27" t="n"/>
      <c r="AW67" s="27" t="n"/>
      <c r="AX67" s="27" t="n"/>
      <c r="AY67" s="27" t="n"/>
      <c r="AZ67" s="27" t="n"/>
      <c r="BA67" s="27" t="n"/>
      <c r="BB67" s="27" t="n"/>
      <c r="BC67" s="27" t="n"/>
      <c r="BD67" s="27" t="n"/>
      <c r="BE67" s="27" t="n"/>
      <c r="BF67" s="27" t="n"/>
      <c r="BG67" s="27" t="n"/>
      <c r="BH67" s="27" t="n"/>
      <c r="BI67" s="29" t="n"/>
      <c r="BJ67" s="27" t="n"/>
      <c r="BK67" s="27" t="n"/>
      <c r="BL67" s="27" t="n"/>
      <c r="BM67" s="27" t="n"/>
      <c r="DN67" s="26">
        <f>IF('テスト条件'!A66="","",'テスト条件'!A66)</f>
        <v/>
      </c>
    </row>
    <row r="68">
      <c r="A68" s="27" t="n"/>
      <c r="B68" s="27" t="n"/>
      <c r="C68" s="28">
        <f>IF(A68="","",$B$2)</f>
        <v/>
      </c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  <c r="AA68" s="27" t="n"/>
      <c r="AB68" s="27" t="n"/>
      <c r="AC68" s="27" t="n"/>
      <c r="AD68" s="27" t="n"/>
      <c r="AE68" s="27" t="n"/>
      <c r="AF68" s="27" t="n"/>
      <c r="AG68" s="27" t="n"/>
      <c r="AH68" s="27" t="n"/>
      <c r="AI68" s="27" t="n"/>
      <c r="AJ68" s="27" t="n"/>
      <c r="AK68" s="27" t="n"/>
      <c r="AL68" s="27" t="n"/>
      <c r="AM68" s="27" t="n"/>
      <c r="AN68" s="27" t="n"/>
      <c r="AO68" s="27" t="n"/>
      <c r="AP68" s="27" t="n"/>
      <c r="AQ68" s="27" t="n"/>
      <c r="AR68" s="27" t="n"/>
      <c r="AS68" s="27" t="n"/>
      <c r="AT68" s="27" t="n"/>
      <c r="AU68" s="27" t="n"/>
      <c r="AV68" s="27" t="n"/>
      <c r="AW68" s="27" t="n"/>
      <c r="AX68" s="27" t="n"/>
      <c r="AY68" s="27" t="n"/>
      <c r="AZ68" s="27" t="n"/>
      <c r="BA68" s="27" t="n"/>
      <c r="BB68" s="27" t="n"/>
      <c r="BC68" s="27" t="n"/>
      <c r="BD68" s="27" t="n"/>
      <c r="BE68" s="27" t="n"/>
      <c r="BF68" s="27" t="n"/>
      <c r="BG68" s="27" t="n"/>
      <c r="BH68" s="27" t="n"/>
      <c r="BI68" s="29" t="n"/>
      <c r="BJ68" s="27" t="n"/>
      <c r="BK68" s="27" t="n"/>
      <c r="BL68" s="27" t="n"/>
      <c r="BM68" s="27" t="n"/>
      <c r="DN68" s="26">
        <f>IF('テスト条件'!A67="","",'テスト条件'!A67)</f>
        <v/>
      </c>
    </row>
    <row r="69">
      <c r="A69" s="27" t="n"/>
      <c r="B69" s="27" t="n"/>
      <c r="C69" s="28">
        <f>IF(A69="","",$B$2)</f>
        <v/>
      </c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  <c r="AA69" s="27" t="n"/>
      <c r="AB69" s="27" t="n"/>
      <c r="AC69" s="27" t="n"/>
      <c r="AD69" s="27" t="n"/>
      <c r="AE69" s="27" t="n"/>
      <c r="AF69" s="27" t="n"/>
      <c r="AG69" s="27" t="n"/>
      <c r="AH69" s="27" t="n"/>
      <c r="AI69" s="27" t="n"/>
      <c r="AJ69" s="27" t="n"/>
      <c r="AK69" s="27" t="n"/>
      <c r="AL69" s="27" t="n"/>
      <c r="AM69" s="27" t="n"/>
      <c r="AN69" s="27" t="n"/>
      <c r="AO69" s="27" t="n"/>
      <c r="AP69" s="27" t="n"/>
      <c r="AQ69" s="27" t="n"/>
      <c r="AR69" s="27" t="n"/>
      <c r="AS69" s="27" t="n"/>
      <c r="AT69" s="27" t="n"/>
      <c r="AU69" s="27" t="n"/>
      <c r="AV69" s="27" t="n"/>
      <c r="AW69" s="27" t="n"/>
      <c r="AX69" s="27" t="n"/>
      <c r="AY69" s="27" t="n"/>
      <c r="AZ69" s="27" t="n"/>
      <c r="BA69" s="27" t="n"/>
      <c r="BB69" s="27" t="n"/>
      <c r="BC69" s="27" t="n"/>
      <c r="BD69" s="27" t="n"/>
      <c r="BE69" s="27" t="n"/>
      <c r="BF69" s="27" t="n"/>
      <c r="BG69" s="27" t="n"/>
      <c r="BH69" s="27" t="n"/>
      <c r="BI69" s="29" t="n"/>
      <c r="BJ69" s="27" t="n"/>
      <c r="BK69" s="27" t="n"/>
      <c r="BL69" s="27" t="n"/>
      <c r="BM69" s="27" t="n"/>
      <c r="DN69" s="26">
        <f>IF('テスト条件'!A68="","",'テスト条件'!A68)</f>
        <v/>
      </c>
    </row>
    <row r="70">
      <c r="A70" s="27" t="n"/>
      <c r="B70" s="27" t="n"/>
      <c r="C70" s="28">
        <f>IF(A70="","",$B$2)</f>
        <v/>
      </c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  <c r="AA70" s="27" t="n"/>
      <c r="AB70" s="27" t="n"/>
      <c r="AC70" s="27" t="n"/>
      <c r="AD70" s="27" t="n"/>
      <c r="AE70" s="27" t="n"/>
      <c r="AF70" s="27" t="n"/>
      <c r="AG70" s="27" t="n"/>
      <c r="AH70" s="27" t="n"/>
      <c r="AI70" s="27" t="n"/>
      <c r="AJ70" s="27" t="n"/>
      <c r="AK70" s="27" t="n"/>
      <c r="AL70" s="27" t="n"/>
      <c r="AM70" s="27" t="n"/>
      <c r="AN70" s="27" t="n"/>
      <c r="AO70" s="27" t="n"/>
      <c r="AP70" s="27" t="n"/>
      <c r="AQ70" s="27" t="n"/>
      <c r="AR70" s="27" t="n"/>
      <c r="AS70" s="27" t="n"/>
      <c r="AT70" s="27" t="n"/>
      <c r="AU70" s="27" t="n"/>
      <c r="AV70" s="27" t="n"/>
      <c r="AW70" s="27" t="n"/>
      <c r="AX70" s="27" t="n"/>
      <c r="AY70" s="27" t="n"/>
      <c r="AZ70" s="27" t="n"/>
      <c r="BA70" s="27" t="n"/>
      <c r="BB70" s="27" t="n"/>
      <c r="BC70" s="27" t="n"/>
      <c r="BD70" s="27" t="n"/>
      <c r="BE70" s="27" t="n"/>
      <c r="BF70" s="27" t="n"/>
      <c r="BG70" s="27" t="n"/>
      <c r="BH70" s="27" t="n"/>
      <c r="BI70" s="29" t="n"/>
      <c r="BJ70" s="27" t="n"/>
      <c r="BK70" s="27" t="n"/>
      <c r="BL70" s="27" t="n"/>
      <c r="BM70" s="27" t="n"/>
      <c r="DN70" s="26">
        <f>IF('テスト条件'!A69="","",'テスト条件'!A69)</f>
        <v/>
      </c>
    </row>
    <row r="71">
      <c r="A71" s="27" t="n"/>
      <c r="B71" s="27" t="n"/>
      <c r="C71" s="28">
        <f>IF(A71="","",$B$2)</f>
        <v/>
      </c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  <c r="AA71" s="27" t="n"/>
      <c r="AB71" s="27" t="n"/>
      <c r="AC71" s="27" t="n"/>
      <c r="AD71" s="27" t="n"/>
      <c r="AE71" s="27" t="n"/>
      <c r="AF71" s="27" t="n"/>
      <c r="AG71" s="27" t="n"/>
      <c r="AH71" s="27" t="n"/>
      <c r="AI71" s="27" t="n"/>
      <c r="AJ71" s="27" t="n"/>
      <c r="AK71" s="27" t="n"/>
      <c r="AL71" s="27" t="n"/>
      <c r="AM71" s="27" t="n"/>
      <c r="AN71" s="27" t="n"/>
      <c r="AO71" s="27" t="n"/>
      <c r="AP71" s="27" t="n"/>
      <c r="AQ71" s="27" t="n"/>
      <c r="AR71" s="27" t="n"/>
      <c r="AS71" s="27" t="n"/>
      <c r="AT71" s="27" t="n"/>
      <c r="AU71" s="27" t="n"/>
      <c r="AV71" s="27" t="n"/>
      <c r="AW71" s="27" t="n"/>
      <c r="AX71" s="27" t="n"/>
      <c r="AY71" s="27" t="n"/>
      <c r="AZ71" s="27" t="n"/>
      <c r="BA71" s="27" t="n"/>
      <c r="BB71" s="27" t="n"/>
      <c r="BC71" s="27" t="n"/>
      <c r="BD71" s="27" t="n"/>
      <c r="BE71" s="27" t="n"/>
      <c r="BF71" s="27" t="n"/>
      <c r="BG71" s="27" t="n"/>
      <c r="BH71" s="27" t="n"/>
      <c r="BI71" s="29" t="n"/>
      <c r="BJ71" s="27" t="n"/>
      <c r="BK71" s="27" t="n"/>
      <c r="BL71" s="27" t="n"/>
      <c r="BM71" s="27" t="n"/>
      <c r="DN71" s="26">
        <f>IF('テスト条件'!A70="","",'テスト条件'!A70)</f>
        <v/>
      </c>
    </row>
    <row r="72">
      <c r="A72" s="27" t="n"/>
      <c r="B72" s="27" t="n"/>
      <c r="C72" s="28">
        <f>IF(A72="","",$B$2)</f>
        <v/>
      </c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  <c r="AA72" s="27" t="n"/>
      <c r="AB72" s="27" t="n"/>
      <c r="AC72" s="27" t="n"/>
      <c r="AD72" s="27" t="n"/>
      <c r="AE72" s="27" t="n"/>
      <c r="AF72" s="27" t="n"/>
      <c r="AG72" s="27" t="n"/>
      <c r="AH72" s="27" t="n"/>
      <c r="AI72" s="27" t="n"/>
      <c r="AJ72" s="27" t="n"/>
      <c r="AK72" s="27" t="n"/>
      <c r="AL72" s="27" t="n"/>
      <c r="AM72" s="27" t="n"/>
      <c r="AN72" s="27" t="n"/>
      <c r="AO72" s="27" t="n"/>
      <c r="AP72" s="27" t="n"/>
      <c r="AQ72" s="27" t="n"/>
      <c r="AR72" s="27" t="n"/>
      <c r="AS72" s="27" t="n"/>
      <c r="AT72" s="27" t="n"/>
      <c r="AU72" s="27" t="n"/>
      <c r="AV72" s="27" t="n"/>
      <c r="AW72" s="27" t="n"/>
      <c r="AX72" s="27" t="n"/>
      <c r="AY72" s="27" t="n"/>
      <c r="AZ72" s="27" t="n"/>
      <c r="BA72" s="27" t="n"/>
      <c r="BB72" s="27" t="n"/>
      <c r="BC72" s="27" t="n"/>
      <c r="BD72" s="27" t="n"/>
      <c r="BE72" s="27" t="n"/>
      <c r="BF72" s="27" t="n"/>
      <c r="BG72" s="27" t="n"/>
      <c r="BH72" s="27" t="n"/>
      <c r="BI72" s="29" t="n"/>
      <c r="BJ72" s="27" t="n"/>
      <c r="BK72" s="27" t="n"/>
      <c r="BL72" s="27" t="n"/>
      <c r="BM72" s="27" t="n"/>
      <c r="DN72" s="26">
        <f>IF('テスト条件'!A71="","",'テスト条件'!A71)</f>
        <v/>
      </c>
    </row>
    <row r="73">
      <c r="A73" s="27" t="n"/>
      <c r="B73" s="27" t="n"/>
      <c r="C73" s="28">
        <f>IF(A73="","",$B$2)</f>
        <v/>
      </c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  <c r="AA73" s="27" t="n"/>
      <c r="AB73" s="27" t="n"/>
      <c r="AC73" s="27" t="n"/>
      <c r="AD73" s="27" t="n"/>
      <c r="AE73" s="27" t="n"/>
      <c r="AF73" s="27" t="n"/>
      <c r="AG73" s="27" t="n"/>
      <c r="AH73" s="27" t="n"/>
      <c r="AI73" s="27" t="n"/>
      <c r="AJ73" s="27" t="n"/>
      <c r="AK73" s="27" t="n"/>
      <c r="AL73" s="27" t="n"/>
      <c r="AM73" s="27" t="n"/>
      <c r="AN73" s="27" t="n"/>
      <c r="AO73" s="27" t="n"/>
      <c r="AP73" s="27" t="n"/>
      <c r="AQ73" s="27" t="n"/>
      <c r="AR73" s="27" t="n"/>
      <c r="AS73" s="27" t="n"/>
      <c r="AT73" s="27" t="n"/>
      <c r="AU73" s="27" t="n"/>
      <c r="AV73" s="27" t="n"/>
      <c r="AW73" s="27" t="n"/>
      <c r="AX73" s="27" t="n"/>
      <c r="AY73" s="27" t="n"/>
      <c r="AZ73" s="27" t="n"/>
      <c r="BA73" s="27" t="n"/>
      <c r="BB73" s="27" t="n"/>
      <c r="BC73" s="27" t="n"/>
      <c r="BD73" s="27" t="n"/>
      <c r="BE73" s="27" t="n"/>
      <c r="BF73" s="27" t="n"/>
      <c r="BG73" s="27" t="n"/>
      <c r="BH73" s="27" t="n"/>
      <c r="BI73" s="29" t="n"/>
      <c r="BJ73" s="27" t="n"/>
      <c r="BK73" s="27" t="n"/>
      <c r="BL73" s="27" t="n"/>
      <c r="BM73" s="27" t="n"/>
      <c r="DN73" s="26">
        <f>IF('テスト条件'!A72="","",'テスト条件'!A72)</f>
        <v/>
      </c>
    </row>
    <row r="74">
      <c r="A74" s="27" t="n"/>
      <c r="B74" s="27" t="n"/>
      <c r="C74" s="28">
        <f>IF(A74="","",$B$2)</f>
        <v/>
      </c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  <c r="AA74" s="27" t="n"/>
      <c r="AB74" s="27" t="n"/>
      <c r="AC74" s="27" t="n"/>
      <c r="AD74" s="27" t="n"/>
      <c r="AE74" s="27" t="n"/>
      <c r="AF74" s="27" t="n"/>
      <c r="AG74" s="27" t="n"/>
      <c r="AH74" s="27" t="n"/>
      <c r="AI74" s="27" t="n"/>
      <c r="AJ74" s="27" t="n"/>
      <c r="AK74" s="27" t="n"/>
      <c r="AL74" s="27" t="n"/>
      <c r="AM74" s="27" t="n"/>
      <c r="AN74" s="27" t="n"/>
      <c r="AO74" s="27" t="n"/>
      <c r="AP74" s="27" t="n"/>
      <c r="AQ74" s="27" t="n"/>
      <c r="AR74" s="27" t="n"/>
      <c r="AS74" s="27" t="n"/>
      <c r="AT74" s="27" t="n"/>
      <c r="AU74" s="27" t="n"/>
      <c r="AV74" s="27" t="n"/>
      <c r="AW74" s="27" t="n"/>
      <c r="AX74" s="27" t="n"/>
      <c r="AY74" s="27" t="n"/>
      <c r="AZ74" s="27" t="n"/>
      <c r="BA74" s="27" t="n"/>
      <c r="BB74" s="27" t="n"/>
      <c r="BC74" s="27" t="n"/>
      <c r="BD74" s="27" t="n"/>
      <c r="BE74" s="27" t="n"/>
      <c r="BF74" s="27" t="n"/>
      <c r="BG74" s="27" t="n"/>
      <c r="BH74" s="27" t="n"/>
      <c r="BI74" s="29" t="n"/>
      <c r="BJ74" s="27" t="n"/>
      <c r="BK74" s="27" t="n"/>
      <c r="BL74" s="27" t="n"/>
      <c r="BM74" s="27" t="n"/>
      <c r="DN74" s="26">
        <f>IF('テスト条件'!A73="","",'テスト条件'!A73)</f>
        <v/>
      </c>
    </row>
    <row r="75">
      <c r="A75" s="27" t="n"/>
      <c r="B75" s="27" t="n"/>
      <c r="C75" s="28">
        <f>IF(A75="","",$B$2)</f>
        <v/>
      </c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  <c r="AA75" s="27" t="n"/>
      <c r="AB75" s="27" t="n"/>
      <c r="AC75" s="27" t="n"/>
      <c r="AD75" s="27" t="n"/>
      <c r="AE75" s="27" t="n"/>
      <c r="AF75" s="27" t="n"/>
      <c r="AG75" s="27" t="n"/>
      <c r="AH75" s="27" t="n"/>
      <c r="AI75" s="27" t="n"/>
      <c r="AJ75" s="27" t="n"/>
      <c r="AK75" s="27" t="n"/>
      <c r="AL75" s="27" t="n"/>
      <c r="AM75" s="27" t="n"/>
      <c r="AN75" s="27" t="n"/>
      <c r="AO75" s="27" t="n"/>
      <c r="AP75" s="27" t="n"/>
      <c r="AQ75" s="27" t="n"/>
      <c r="AR75" s="27" t="n"/>
      <c r="AS75" s="27" t="n"/>
      <c r="AT75" s="27" t="n"/>
      <c r="AU75" s="27" t="n"/>
      <c r="AV75" s="27" t="n"/>
      <c r="AW75" s="27" t="n"/>
      <c r="AX75" s="27" t="n"/>
      <c r="AY75" s="27" t="n"/>
      <c r="AZ75" s="27" t="n"/>
      <c r="BA75" s="27" t="n"/>
      <c r="BB75" s="27" t="n"/>
      <c r="BC75" s="27" t="n"/>
      <c r="BD75" s="27" t="n"/>
      <c r="BE75" s="27" t="n"/>
      <c r="BF75" s="27" t="n"/>
      <c r="BG75" s="27" t="n"/>
      <c r="BH75" s="27" t="n"/>
      <c r="BI75" s="29" t="n"/>
      <c r="BJ75" s="27" t="n"/>
      <c r="BK75" s="27" t="n"/>
      <c r="BL75" s="27" t="n"/>
      <c r="BM75" s="27" t="n"/>
      <c r="DN75" s="26">
        <f>IF('テスト条件'!A74="","",'テスト条件'!A74)</f>
        <v/>
      </c>
    </row>
    <row r="76">
      <c r="A76" s="27" t="n"/>
      <c r="B76" s="27" t="n"/>
      <c r="C76" s="28">
        <f>IF(A76="","",$B$2)</f>
        <v/>
      </c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  <c r="AA76" s="27" t="n"/>
      <c r="AB76" s="27" t="n"/>
      <c r="AC76" s="27" t="n"/>
      <c r="AD76" s="27" t="n"/>
      <c r="AE76" s="27" t="n"/>
      <c r="AF76" s="27" t="n"/>
      <c r="AG76" s="27" t="n"/>
      <c r="AH76" s="27" t="n"/>
      <c r="AI76" s="27" t="n"/>
      <c r="AJ76" s="27" t="n"/>
      <c r="AK76" s="27" t="n"/>
      <c r="AL76" s="27" t="n"/>
      <c r="AM76" s="27" t="n"/>
      <c r="AN76" s="27" t="n"/>
      <c r="AO76" s="27" t="n"/>
      <c r="AP76" s="27" t="n"/>
      <c r="AQ76" s="27" t="n"/>
      <c r="AR76" s="27" t="n"/>
      <c r="AS76" s="27" t="n"/>
      <c r="AT76" s="27" t="n"/>
      <c r="AU76" s="27" t="n"/>
      <c r="AV76" s="27" t="n"/>
      <c r="AW76" s="27" t="n"/>
      <c r="AX76" s="27" t="n"/>
      <c r="AY76" s="27" t="n"/>
      <c r="AZ76" s="27" t="n"/>
      <c r="BA76" s="27" t="n"/>
      <c r="BB76" s="27" t="n"/>
      <c r="BC76" s="27" t="n"/>
      <c r="BD76" s="27" t="n"/>
      <c r="BE76" s="27" t="n"/>
      <c r="BF76" s="27" t="n"/>
      <c r="BG76" s="27" t="n"/>
      <c r="BH76" s="27" t="n"/>
      <c r="BI76" s="29" t="n"/>
      <c r="BJ76" s="27" t="n"/>
      <c r="BK76" s="27" t="n"/>
      <c r="BL76" s="27" t="n"/>
      <c r="BM76" s="27" t="n"/>
      <c r="DN76" s="26">
        <f>IF('テスト条件'!A75="","",'テスト条件'!A75)</f>
        <v/>
      </c>
    </row>
    <row r="77">
      <c r="A77" s="27" t="n"/>
      <c r="B77" s="27" t="n"/>
      <c r="C77" s="28">
        <f>IF(A77="","",$B$2)</f>
        <v/>
      </c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  <c r="AA77" s="27" t="n"/>
      <c r="AB77" s="27" t="n"/>
      <c r="AC77" s="27" t="n"/>
      <c r="AD77" s="27" t="n"/>
      <c r="AE77" s="27" t="n"/>
      <c r="AF77" s="27" t="n"/>
      <c r="AG77" s="27" t="n"/>
      <c r="AH77" s="27" t="n"/>
      <c r="AI77" s="27" t="n"/>
      <c r="AJ77" s="27" t="n"/>
      <c r="AK77" s="27" t="n"/>
      <c r="AL77" s="27" t="n"/>
      <c r="AM77" s="27" t="n"/>
      <c r="AN77" s="27" t="n"/>
      <c r="AO77" s="27" t="n"/>
      <c r="AP77" s="27" t="n"/>
      <c r="AQ77" s="27" t="n"/>
      <c r="AR77" s="27" t="n"/>
      <c r="AS77" s="27" t="n"/>
      <c r="AT77" s="27" t="n"/>
      <c r="AU77" s="27" t="n"/>
      <c r="AV77" s="27" t="n"/>
      <c r="AW77" s="27" t="n"/>
      <c r="AX77" s="27" t="n"/>
      <c r="AY77" s="27" t="n"/>
      <c r="AZ77" s="27" t="n"/>
      <c r="BA77" s="27" t="n"/>
      <c r="BB77" s="27" t="n"/>
      <c r="BC77" s="27" t="n"/>
      <c r="BD77" s="27" t="n"/>
      <c r="BE77" s="27" t="n"/>
      <c r="BF77" s="27" t="n"/>
      <c r="BG77" s="27" t="n"/>
      <c r="BH77" s="27" t="n"/>
      <c r="BI77" s="29" t="n"/>
      <c r="BJ77" s="27" t="n"/>
      <c r="BK77" s="27" t="n"/>
      <c r="BL77" s="27" t="n"/>
      <c r="BM77" s="27" t="n"/>
      <c r="DN77" s="26">
        <f>IF('テスト条件'!A76="","",'テスト条件'!A76)</f>
        <v/>
      </c>
    </row>
    <row r="78">
      <c r="A78" s="27" t="n"/>
      <c r="B78" s="27" t="n"/>
      <c r="C78" s="28">
        <f>IF(A78="","",$B$2)</f>
        <v/>
      </c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  <c r="AA78" s="27" t="n"/>
      <c r="AB78" s="27" t="n"/>
      <c r="AC78" s="27" t="n"/>
      <c r="AD78" s="27" t="n"/>
      <c r="AE78" s="27" t="n"/>
      <c r="AF78" s="27" t="n"/>
      <c r="AG78" s="27" t="n"/>
      <c r="AH78" s="27" t="n"/>
      <c r="AI78" s="27" t="n"/>
      <c r="AJ78" s="27" t="n"/>
      <c r="AK78" s="27" t="n"/>
      <c r="AL78" s="27" t="n"/>
      <c r="AM78" s="27" t="n"/>
      <c r="AN78" s="27" t="n"/>
      <c r="AO78" s="27" t="n"/>
      <c r="AP78" s="27" t="n"/>
      <c r="AQ78" s="27" t="n"/>
      <c r="AR78" s="27" t="n"/>
      <c r="AS78" s="27" t="n"/>
      <c r="AT78" s="27" t="n"/>
      <c r="AU78" s="27" t="n"/>
      <c r="AV78" s="27" t="n"/>
      <c r="AW78" s="27" t="n"/>
      <c r="AX78" s="27" t="n"/>
      <c r="AY78" s="27" t="n"/>
      <c r="AZ78" s="27" t="n"/>
      <c r="BA78" s="27" t="n"/>
      <c r="BB78" s="27" t="n"/>
      <c r="BC78" s="27" t="n"/>
      <c r="BD78" s="27" t="n"/>
      <c r="BE78" s="27" t="n"/>
      <c r="BF78" s="27" t="n"/>
      <c r="BG78" s="27" t="n"/>
      <c r="BH78" s="27" t="n"/>
      <c r="BI78" s="29" t="n"/>
      <c r="BJ78" s="27" t="n"/>
      <c r="BK78" s="27" t="n"/>
      <c r="BL78" s="27" t="n"/>
      <c r="BM78" s="27" t="n"/>
      <c r="DN78" s="26">
        <f>IF('テスト条件'!A77="","",'テスト条件'!A77)</f>
        <v/>
      </c>
    </row>
    <row r="79">
      <c r="A79" s="27" t="n"/>
      <c r="B79" s="27" t="n"/>
      <c r="C79" s="28">
        <f>IF(A79="","",$B$2)</f>
        <v/>
      </c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  <c r="AA79" s="27" t="n"/>
      <c r="AB79" s="27" t="n"/>
      <c r="AC79" s="27" t="n"/>
      <c r="AD79" s="27" t="n"/>
      <c r="AE79" s="27" t="n"/>
      <c r="AF79" s="27" t="n"/>
      <c r="AG79" s="27" t="n"/>
      <c r="AH79" s="27" t="n"/>
      <c r="AI79" s="27" t="n"/>
      <c r="AJ79" s="27" t="n"/>
      <c r="AK79" s="27" t="n"/>
      <c r="AL79" s="27" t="n"/>
      <c r="AM79" s="27" t="n"/>
      <c r="AN79" s="27" t="n"/>
      <c r="AO79" s="27" t="n"/>
      <c r="AP79" s="27" t="n"/>
      <c r="AQ79" s="27" t="n"/>
      <c r="AR79" s="27" t="n"/>
      <c r="AS79" s="27" t="n"/>
      <c r="AT79" s="27" t="n"/>
      <c r="AU79" s="27" t="n"/>
      <c r="AV79" s="27" t="n"/>
      <c r="AW79" s="27" t="n"/>
      <c r="AX79" s="27" t="n"/>
      <c r="AY79" s="27" t="n"/>
      <c r="AZ79" s="27" t="n"/>
      <c r="BA79" s="27" t="n"/>
      <c r="BB79" s="27" t="n"/>
      <c r="BC79" s="27" t="n"/>
      <c r="BD79" s="27" t="n"/>
      <c r="BE79" s="27" t="n"/>
      <c r="BF79" s="27" t="n"/>
      <c r="BG79" s="27" t="n"/>
      <c r="BH79" s="27" t="n"/>
      <c r="BI79" s="29" t="n"/>
      <c r="BJ79" s="27" t="n"/>
      <c r="BK79" s="27" t="n"/>
      <c r="BL79" s="27" t="n"/>
      <c r="BM79" s="27" t="n"/>
      <c r="DN79" s="26">
        <f>IF('テスト条件'!A78="","",'テスト条件'!A78)</f>
        <v/>
      </c>
    </row>
    <row r="80">
      <c r="A80" s="27" t="n"/>
      <c r="B80" s="27" t="n"/>
      <c r="C80" s="28">
        <f>IF(A80="","",$B$2)</f>
        <v/>
      </c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27" t="n"/>
      <c r="AJ80" s="27" t="n"/>
      <c r="AK80" s="27" t="n"/>
      <c r="AL80" s="27" t="n"/>
      <c r="AM80" s="27" t="n"/>
      <c r="AN80" s="27" t="n"/>
      <c r="AO80" s="27" t="n"/>
      <c r="AP80" s="27" t="n"/>
      <c r="AQ80" s="27" t="n"/>
      <c r="AR80" s="27" t="n"/>
      <c r="AS80" s="27" t="n"/>
      <c r="AT80" s="27" t="n"/>
      <c r="AU80" s="27" t="n"/>
      <c r="AV80" s="27" t="n"/>
      <c r="AW80" s="27" t="n"/>
      <c r="AX80" s="27" t="n"/>
      <c r="AY80" s="27" t="n"/>
      <c r="AZ80" s="27" t="n"/>
      <c r="BA80" s="27" t="n"/>
      <c r="BB80" s="27" t="n"/>
      <c r="BC80" s="27" t="n"/>
      <c r="BD80" s="27" t="n"/>
      <c r="BE80" s="27" t="n"/>
      <c r="BF80" s="27" t="n"/>
      <c r="BG80" s="27" t="n"/>
      <c r="BH80" s="27" t="n"/>
      <c r="BI80" s="29" t="n"/>
      <c r="BJ80" s="27" t="n"/>
      <c r="BK80" s="27" t="n"/>
      <c r="BL80" s="27" t="n"/>
      <c r="BM80" s="27" t="n"/>
      <c r="DN80" s="26">
        <f>IF('テスト条件'!A79="","",'テスト条件'!A79)</f>
        <v/>
      </c>
    </row>
    <row r="81">
      <c r="A81" s="27" t="n"/>
      <c r="B81" s="27" t="n"/>
      <c r="C81" s="28">
        <f>IF(A81="","",$B$2)</f>
        <v/>
      </c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  <c r="AA81" s="27" t="n"/>
      <c r="AB81" s="27" t="n"/>
      <c r="AC81" s="27" t="n"/>
      <c r="AD81" s="27" t="n"/>
      <c r="AE81" s="27" t="n"/>
      <c r="AF81" s="27" t="n"/>
      <c r="AG81" s="27" t="n"/>
      <c r="AH81" s="27" t="n"/>
      <c r="AI81" s="27" t="n"/>
      <c r="AJ81" s="27" t="n"/>
      <c r="AK81" s="27" t="n"/>
      <c r="AL81" s="27" t="n"/>
      <c r="AM81" s="27" t="n"/>
      <c r="AN81" s="27" t="n"/>
      <c r="AO81" s="27" t="n"/>
      <c r="AP81" s="27" t="n"/>
      <c r="AQ81" s="27" t="n"/>
      <c r="AR81" s="27" t="n"/>
      <c r="AS81" s="27" t="n"/>
      <c r="AT81" s="27" t="n"/>
      <c r="AU81" s="27" t="n"/>
      <c r="AV81" s="27" t="n"/>
      <c r="AW81" s="27" t="n"/>
      <c r="AX81" s="27" t="n"/>
      <c r="AY81" s="27" t="n"/>
      <c r="AZ81" s="27" t="n"/>
      <c r="BA81" s="27" t="n"/>
      <c r="BB81" s="27" t="n"/>
      <c r="BC81" s="27" t="n"/>
      <c r="BD81" s="27" t="n"/>
      <c r="BE81" s="27" t="n"/>
      <c r="BF81" s="27" t="n"/>
      <c r="BG81" s="27" t="n"/>
      <c r="BH81" s="27" t="n"/>
      <c r="BI81" s="29" t="n"/>
      <c r="BJ81" s="27" t="n"/>
      <c r="BK81" s="27" t="n"/>
      <c r="BL81" s="27" t="n"/>
      <c r="BM81" s="27" t="n"/>
      <c r="DN81" s="26">
        <f>IF('テスト条件'!A80="","",'テスト条件'!A80)</f>
        <v/>
      </c>
    </row>
    <row r="82">
      <c r="A82" s="27" t="n"/>
      <c r="B82" s="27" t="n"/>
      <c r="C82" s="28">
        <f>IF(A82="","",$B$2)</f>
        <v/>
      </c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  <c r="AA82" s="27" t="n"/>
      <c r="AB82" s="27" t="n"/>
      <c r="AC82" s="27" t="n"/>
      <c r="AD82" s="27" t="n"/>
      <c r="AE82" s="27" t="n"/>
      <c r="AF82" s="27" t="n"/>
      <c r="AG82" s="27" t="n"/>
      <c r="AH82" s="27" t="n"/>
      <c r="AI82" s="27" t="n"/>
      <c r="AJ82" s="27" t="n"/>
      <c r="AK82" s="27" t="n"/>
      <c r="AL82" s="27" t="n"/>
      <c r="AM82" s="27" t="n"/>
      <c r="AN82" s="27" t="n"/>
      <c r="AO82" s="27" t="n"/>
      <c r="AP82" s="27" t="n"/>
      <c r="AQ82" s="27" t="n"/>
      <c r="AR82" s="27" t="n"/>
      <c r="AS82" s="27" t="n"/>
      <c r="AT82" s="27" t="n"/>
      <c r="AU82" s="27" t="n"/>
      <c r="AV82" s="27" t="n"/>
      <c r="AW82" s="27" t="n"/>
      <c r="AX82" s="27" t="n"/>
      <c r="AY82" s="27" t="n"/>
      <c r="AZ82" s="27" t="n"/>
      <c r="BA82" s="27" t="n"/>
      <c r="BB82" s="27" t="n"/>
      <c r="BC82" s="27" t="n"/>
      <c r="BD82" s="27" t="n"/>
      <c r="BE82" s="27" t="n"/>
      <c r="BF82" s="27" t="n"/>
      <c r="BG82" s="27" t="n"/>
      <c r="BH82" s="27" t="n"/>
      <c r="BI82" s="29" t="n"/>
      <c r="BJ82" s="27" t="n"/>
      <c r="BK82" s="27" t="n"/>
      <c r="BL82" s="27" t="n"/>
      <c r="BM82" s="27" t="n"/>
      <c r="DN82" s="26">
        <f>IF('テスト条件'!A81="","",'テスト条件'!A81)</f>
        <v/>
      </c>
    </row>
    <row r="83">
      <c r="A83" s="27" t="n"/>
      <c r="B83" s="27" t="n"/>
      <c r="C83" s="28">
        <f>IF(A83="","",$B$2)</f>
        <v/>
      </c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  <c r="AA83" s="27" t="n"/>
      <c r="AB83" s="27" t="n"/>
      <c r="AC83" s="27" t="n"/>
      <c r="AD83" s="27" t="n"/>
      <c r="AE83" s="27" t="n"/>
      <c r="AF83" s="27" t="n"/>
      <c r="AG83" s="27" t="n"/>
      <c r="AH83" s="27" t="n"/>
      <c r="AI83" s="27" t="n"/>
      <c r="AJ83" s="27" t="n"/>
      <c r="AK83" s="27" t="n"/>
      <c r="AL83" s="27" t="n"/>
      <c r="AM83" s="27" t="n"/>
      <c r="AN83" s="27" t="n"/>
      <c r="AO83" s="27" t="n"/>
      <c r="AP83" s="27" t="n"/>
      <c r="AQ83" s="27" t="n"/>
      <c r="AR83" s="27" t="n"/>
      <c r="AS83" s="27" t="n"/>
      <c r="AT83" s="27" t="n"/>
      <c r="AU83" s="27" t="n"/>
      <c r="AV83" s="27" t="n"/>
      <c r="AW83" s="27" t="n"/>
      <c r="AX83" s="27" t="n"/>
      <c r="AY83" s="27" t="n"/>
      <c r="AZ83" s="27" t="n"/>
      <c r="BA83" s="27" t="n"/>
      <c r="BB83" s="27" t="n"/>
      <c r="BC83" s="27" t="n"/>
      <c r="BD83" s="27" t="n"/>
      <c r="BE83" s="27" t="n"/>
      <c r="BF83" s="27" t="n"/>
      <c r="BG83" s="27" t="n"/>
      <c r="BH83" s="27" t="n"/>
      <c r="BI83" s="29" t="n"/>
      <c r="BJ83" s="27" t="n"/>
      <c r="BK83" s="27" t="n"/>
      <c r="BL83" s="27" t="n"/>
      <c r="BM83" s="27" t="n"/>
      <c r="DN83" s="26">
        <f>IF('テスト条件'!A82="","",'テスト条件'!A82)</f>
        <v/>
      </c>
    </row>
    <row r="84">
      <c r="A84" s="27" t="n"/>
      <c r="B84" s="27" t="n"/>
      <c r="C84" s="28">
        <f>IF(A84="","",$B$2)</f>
        <v/>
      </c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  <c r="AA84" s="27" t="n"/>
      <c r="AB84" s="27" t="n"/>
      <c r="AC84" s="27" t="n"/>
      <c r="AD84" s="27" t="n"/>
      <c r="AE84" s="27" t="n"/>
      <c r="AF84" s="27" t="n"/>
      <c r="AG84" s="27" t="n"/>
      <c r="AH84" s="27" t="n"/>
      <c r="AI84" s="27" t="n"/>
      <c r="AJ84" s="27" t="n"/>
      <c r="AK84" s="27" t="n"/>
      <c r="AL84" s="27" t="n"/>
      <c r="AM84" s="27" t="n"/>
      <c r="AN84" s="27" t="n"/>
      <c r="AO84" s="27" t="n"/>
      <c r="AP84" s="27" t="n"/>
      <c r="AQ84" s="27" t="n"/>
      <c r="AR84" s="27" t="n"/>
      <c r="AS84" s="27" t="n"/>
      <c r="AT84" s="27" t="n"/>
      <c r="AU84" s="27" t="n"/>
      <c r="AV84" s="27" t="n"/>
      <c r="AW84" s="27" t="n"/>
      <c r="AX84" s="27" t="n"/>
      <c r="AY84" s="27" t="n"/>
      <c r="AZ84" s="27" t="n"/>
      <c r="BA84" s="27" t="n"/>
      <c r="BB84" s="27" t="n"/>
      <c r="BC84" s="27" t="n"/>
      <c r="BD84" s="27" t="n"/>
      <c r="BE84" s="27" t="n"/>
      <c r="BF84" s="27" t="n"/>
      <c r="BG84" s="27" t="n"/>
      <c r="BH84" s="27" t="n"/>
      <c r="BI84" s="29" t="n"/>
      <c r="BJ84" s="27" t="n"/>
      <c r="BK84" s="27" t="n"/>
      <c r="BL84" s="27" t="n"/>
      <c r="BM84" s="27" t="n"/>
      <c r="DN84" s="26">
        <f>IF('テスト条件'!A83="","",'テスト条件'!A83)</f>
        <v/>
      </c>
    </row>
    <row r="85">
      <c r="A85" s="27" t="n"/>
      <c r="B85" s="27" t="n"/>
      <c r="C85" s="28">
        <f>IF(A85="","",$B$2)</f>
        <v/>
      </c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  <c r="AA85" s="27" t="n"/>
      <c r="AB85" s="27" t="n"/>
      <c r="AC85" s="27" t="n"/>
      <c r="AD85" s="27" t="n"/>
      <c r="AE85" s="27" t="n"/>
      <c r="AF85" s="27" t="n"/>
      <c r="AG85" s="27" t="n"/>
      <c r="AH85" s="27" t="n"/>
      <c r="AI85" s="27" t="n"/>
      <c r="AJ85" s="27" t="n"/>
      <c r="AK85" s="27" t="n"/>
      <c r="AL85" s="27" t="n"/>
      <c r="AM85" s="27" t="n"/>
      <c r="AN85" s="27" t="n"/>
      <c r="AO85" s="27" t="n"/>
      <c r="AP85" s="27" t="n"/>
      <c r="AQ85" s="27" t="n"/>
      <c r="AR85" s="27" t="n"/>
      <c r="AS85" s="27" t="n"/>
      <c r="AT85" s="27" t="n"/>
      <c r="AU85" s="27" t="n"/>
      <c r="AV85" s="27" t="n"/>
      <c r="AW85" s="27" t="n"/>
      <c r="AX85" s="27" t="n"/>
      <c r="AY85" s="27" t="n"/>
      <c r="AZ85" s="27" t="n"/>
      <c r="BA85" s="27" t="n"/>
      <c r="BB85" s="27" t="n"/>
      <c r="BC85" s="27" t="n"/>
      <c r="BD85" s="27" t="n"/>
      <c r="BE85" s="27" t="n"/>
      <c r="BF85" s="27" t="n"/>
      <c r="BG85" s="27" t="n"/>
      <c r="BH85" s="27" t="n"/>
      <c r="BI85" s="29" t="n"/>
      <c r="BJ85" s="27" t="n"/>
      <c r="BK85" s="27" t="n"/>
      <c r="BL85" s="27" t="n"/>
      <c r="BM85" s="27" t="n"/>
      <c r="DN85" s="26">
        <f>IF('テスト条件'!A84="","",'テスト条件'!A84)</f>
        <v/>
      </c>
    </row>
    <row r="86">
      <c r="A86" s="27" t="n"/>
      <c r="B86" s="27" t="n"/>
      <c r="C86" s="28">
        <f>IF(A86="","",$B$2)</f>
        <v/>
      </c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27" t="n"/>
      <c r="AJ86" s="27" t="n"/>
      <c r="AK86" s="27" t="n"/>
      <c r="AL86" s="27" t="n"/>
      <c r="AM86" s="27" t="n"/>
      <c r="AN86" s="27" t="n"/>
      <c r="AO86" s="27" t="n"/>
      <c r="AP86" s="27" t="n"/>
      <c r="AQ86" s="27" t="n"/>
      <c r="AR86" s="27" t="n"/>
      <c r="AS86" s="27" t="n"/>
      <c r="AT86" s="27" t="n"/>
      <c r="AU86" s="27" t="n"/>
      <c r="AV86" s="27" t="n"/>
      <c r="AW86" s="27" t="n"/>
      <c r="AX86" s="27" t="n"/>
      <c r="AY86" s="27" t="n"/>
      <c r="AZ86" s="27" t="n"/>
      <c r="BA86" s="27" t="n"/>
      <c r="BB86" s="27" t="n"/>
      <c r="BC86" s="27" t="n"/>
      <c r="BD86" s="27" t="n"/>
      <c r="BE86" s="27" t="n"/>
      <c r="BF86" s="27" t="n"/>
      <c r="BG86" s="27" t="n"/>
      <c r="BH86" s="27" t="n"/>
      <c r="BI86" s="29" t="n"/>
      <c r="BJ86" s="27" t="n"/>
      <c r="BK86" s="27" t="n"/>
      <c r="BL86" s="27" t="n"/>
      <c r="BM86" s="27" t="n"/>
      <c r="DN86" s="26">
        <f>IF('テスト条件'!A85="","",'テスト条件'!A85)</f>
        <v/>
      </c>
    </row>
    <row r="87">
      <c r="A87" s="27" t="n"/>
      <c r="B87" s="27" t="n"/>
      <c r="C87" s="28">
        <f>IF(A87="","",$B$2)</f>
        <v/>
      </c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  <c r="AA87" s="27" t="n"/>
      <c r="AB87" s="27" t="n"/>
      <c r="AC87" s="27" t="n"/>
      <c r="AD87" s="27" t="n"/>
      <c r="AE87" s="27" t="n"/>
      <c r="AF87" s="27" t="n"/>
      <c r="AG87" s="27" t="n"/>
      <c r="AH87" s="27" t="n"/>
      <c r="AI87" s="27" t="n"/>
      <c r="AJ87" s="27" t="n"/>
      <c r="AK87" s="27" t="n"/>
      <c r="AL87" s="27" t="n"/>
      <c r="AM87" s="27" t="n"/>
      <c r="AN87" s="27" t="n"/>
      <c r="AO87" s="27" t="n"/>
      <c r="AP87" s="27" t="n"/>
      <c r="AQ87" s="27" t="n"/>
      <c r="AR87" s="27" t="n"/>
      <c r="AS87" s="27" t="n"/>
      <c r="AT87" s="27" t="n"/>
      <c r="AU87" s="27" t="n"/>
      <c r="AV87" s="27" t="n"/>
      <c r="AW87" s="27" t="n"/>
      <c r="AX87" s="27" t="n"/>
      <c r="AY87" s="27" t="n"/>
      <c r="AZ87" s="27" t="n"/>
      <c r="BA87" s="27" t="n"/>
      <c r="BB87" s="27" t="n"/>
      <c r="BC87" s="27" t="n"/>
      <c r="BD87" s="27" t="n"/>
      <c r="BE87" s="27" t="n"/>
      <c r="BF87" s="27" t="n"/>
      <c r="BG87" s="27" t="n"/>
      <c r="BH87" s="27" t="n"/>
      <c r="BI87" s="29" t="n"/>
      <c r="BJ87" s="27" t="n"/>
      <c r="BK87" s="27" t="n"/>
      <c r="BL87" s="27" t="n"/>
      <c r="BM87" s="27" t="n"/>
      <c r="DN87" s="26">
        <f>IF('テスト条件'!A86="","",'テスト条件'!A86)</f>
        <v/>
      </c>
    </row>
    <row r="88">
      <c r="A88" s="27" t="n"/>
      <c r="B88" s="27" t="n"/>
      <c r="C88" s="28">
        <f>IF(A88="","",$B$2)</f>
        <v/>
      </c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  <c r="AA88" s="27" t="n"/>
      <c r="AB88" s="27" t="n"/>
      <c r="AC88" s="27" t="n"/>
      <c r="AD88" s="27" t="n"/>
      <c r="AE88" s="27" t="n"/>
      <c r="AF88" s="27" t="n"/>
      <c r="AG88" s="27" t="n"/>
      <c r="AH88" s="27" t="n"/>
      <c r="AI88" s="27" t="n"/>
      <c r="AJ88" s="27" t="n"/>
      <c r="AK88" s="27" t="n"/>
      <c r="AL88" s="27" t="n"/>
      <c r="AM88" s="27" t="n"/>
      <c r="AN88" s="27" t="n"/>
      <c r="AO88" s="27" t="n"/>
      <c r="AP88" s="27" t="n"/>
      <c r="AQ88" s="27" t="n"/>
      <c r="AR88" s="27" t="n"/>
      <c r="AS88" s="27" t="n"/>
      <c r="AT88" s="27" t="n"/>
      <c r="AU88" s="27" t="n"/>
      <c r="AV88" s="27" t="n"/>
      <c r="AW88" s="27" t="n"/>
      <c r="AX88" s="27" t="n"/>
      <c r="AY88" s="27" t="n"/>
      <c r="AZ88" s="27" t="n"/>
      <c r="BA88" s="27" t="n"/>
      <c r="BB88" s="27" t="n"/>
      <c r="BC88" s="27" t="n"/>
      <c r="BD88" s="27" t="n"/>
      <c r="BE88" s="27" t="n"/>
      <c r="BF88" s="27" t="n"/>
      <c r="BG88" s="27" t="n"/>
      <c r="BH88" s="27" t="n"/>
      <c r="BI88" s="29" t="n"/>
      <c r="BJ88" s="27" t="n"/>
      <c r="BK88" s="27" t="n"/>
      <c r="BL88" s="27" t="n"/>
      <c r="BM88" s="27" t="n"/>
      <c r="DN88" s="26">
        <f>IF('テスト条件'!A87="","",'テスト条件'!A87)</f>
        <v/>
      </c>
    </row>
    <row r="89">
      <c r="A89" s="27" t="n"/>
      <c r="B89" s="27" t="n"/>
      <c r="C89" s="28">
        <f>IF(A89="","",$B$2)</f>
        <v/>
      </c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27" t="n"/>
      <c r="AJ89" s="27" t="n"/>
      <c r="AK89" s="27" t="n"/>
      <c r="AL89" s="27" t="n"/>
      <c r="AM89" s="27" t="n"/>
      <c r="AN89" s="27" t="n"/>
      <c r="AO89" s="27" t="n"/>
      <c r="AP89" s="27" t="n"/>
      <c r="AQ89" s="27" t="n"/>
      <c r="AR89" s="27" t="n"/>
      <c r="AS89" s="27" t="n"/>
      <c r="AT89" s="27" t="n"/>
      <c r="AU89" s="27" t="n"/>
      <c r="AV89" s="27" t="n"/>
      <c r="AW89" s="27" t="n"/>
      <c r="AX89" s="27" t="n"/>
      <c r="AY89" s="27" t="n"/>
      <c r="AZ89" s="27" t="n"/>
      <c r="BA89" s="27" t="n"/>
      <c r="BB89" s="27" t="n"/>
      <c r="BC89" s="27" t="n"/>
      <c r="BD89" s="27" t="n"/>
      <c r="BE89" s="27" t="n"/>
      <c r="BF89" s="27" t="n"/>
      <c r="BG89" s="27" t="n"/>
      <c r="BH89" s="27" t="n"/>
      <c r="BI89" s="29" t="n"/>
      <c r="BJ89" s="27" t="n"/>
      <c r="BK89" s="27" t="n"/>
      <c r="BL89" s="27" t="n"/>
      <c r="BM89" s="27" t="n"/>
      <c r="DN89" s="26">
        <f>IF('テスト条件'!A88="","",'テスト条件'!A88)</f>
        <v/>
      </c>
    </row>
    <row r="90">
      <c r="A90" s="27" t="n"/>
      <c r="B90" s="27" t="n"/>
      <c r="C90" s="28">
        <f>IF(A90="","",$B$2)</f>
        <v/>
      </c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  <c r="AA90" s="27" t="n"/>
      <c r="AB90" s="27" t="n"/>
      <c r="AC90" s="27" t="n"/>
      <c r="AD90" s="27" t="n"/>
      <c r="AE90" s="27" t="n"/>
      <c r="AF90" s="27" t="n"/>
      <c r="AG90" s="27" t="n"/>
      <c r="AH90" s="27" t="n"/>
      <c r="AI90" s="27" t="n"/>
      <c r="AJ90" s="27" t="n"/>
      <c r="AK90" s="27" t="n"/>
      <c r="AL90" s="27" t="n"/>
      <c r="AM90" s="27" t="n"/>
      <c r="AN90" s="27" t="n"/>
      <c r="AO90" s="27" t="n"/>
      <c r="AP90" s="27" t="n"/>
      <c r="AQ90" s="27" t="n"/>
      <c r="AR90" s="27" t="n"/>
      <c r="AS90" s="27" t="n"/>
      <c r="AT90" s="27" t="n"/>
      <c r="AU90" s="27" t="n"/>
      <c r="AV90" s="27" t="n"/>
      <c r="AW90" s="27" t="n"/>
      <c r="AX90" s="27" t="n"/>
      <c r="AY90" s="27" t="n"/>
      <c r="AZ90" s="27" t="n"/>
      <c r="BA90" s="27" t="n"/>
      <c r="BB90" s="27" t="n"/>
      <c r="BC90" s="27" t="n"/>
      <c r="BD90" s="27" t="n"/>
      <c r="BE90" s="27" t="n"/>
      <c r="BF90" s="27" t="n"/>
      <c r="BG90" s="27" t="n"/>
      <c r="BH90" s="27" t="n"/>
      <c r="BI90" s="29" t="n"/>
      <c r="BJ90" s="27" t="n"/>
      <c r="BK90" s="27" t="n"/>
      <c r="BL90" s="27" t="n"/>
      <c r="BM90" s="27" t="n"/>
      <c r="DN90" s="26">
        <f>IF('テスト条件'!A89="","",'テスト条件'!A89)</f>
        <v/>
      </c>
    </row>
    <row r="91">
      <c r="A91" s="27" t="n"/>
      <c r="B91" s="27" t="n"/>
      <c r="C91" s="28">
        <f>IF(A91="","",$B$2)</f>
        <v/>
      </c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  <c r="AA91" s="27" t="n"/>
      <c r="AB91" s="27" t="n"/>
      <c r="AC91" s="27" t="n"/>
      <c r="AD91" s="27" t="n"/>
      <c r="AE91" s="27" t="n"/>
      <c r="AF91" s="27" t="n"/>
      <c r="AG91" s="27" t="n"/>
      <c r="AH91" s="27" t="n"/>
      <c r="AI91" s="27" t="n"/>
      <c r="AJ91" s="27" t="n"/>
      <c r="AK91" s="27" t="n"/>
      <c r="AL91" s="27" t="n"/>
      <c r="AM91" s="27" t="n"/>
      <c r="AN91" s="27" t="n"/>
      <c r="AO91" s="27" t="n"/>
      <c r="AP91" s="27" t="n"/>
      <c r="AQ91" s="27" t="n"/>
      <c r="AR91" s="27" t="n"/>
      <c r="AS91" s="27" t="n"/>
      <c r="AT91" s="27" t="n"/>
      <c r="AU91" s="27" t="n"/>
      <c r="AV91" s="27" t="n"/>
      <c r="AW91" s="27" t="n"/>
      <c r="AX91" s="27" t="n"/>
      <c r="AY91" s="27" t="n"/>
      <c r="AZ91" s="27" t="n"/>
      <c r="BA91" s="27" t="n"/>
      <c r="BB91" s="27" t="n"/>
      <c r="BC91" s="27" t="n"/>
      <c r="BD91" s="27" t="n"/>
      <c r="BE91" s="27" t="n"/>
      <c r="BF91" s="27" t="n"/>
      <c r="BG91" s="27" t="n"/>
      <c r="BH91" s="27" t="n"/>
      <c r="BI91" s="29" t="n"/>
      <c r="BJ91" s="27" t="n"/>
      <c r="BK91" s="27" t="n"/>
      <c r="BL91" s="27" t="n"/>
      <c r="BM91" s="27" t="n"/>
      <c r="DN91" s="26">
        <f>IF('テスト条件'!A90="","",'テスト条件'!A90)</f>
        <v/>
      </c>
    </row>
    <row r="92">
      <c r="A92" s="27" t="n"/>
      <c r="B92" s="27" t="n"/>
      <c r="C92" s="28">
        <f>IF(A92="","",$B$2)</f>
        <v/>
      </c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  <c r="AA92" s="27" t="n"/>
      <c r="AB92" s="27" t="n"/>
      <c r="AC92" s="27" t="n"/>
      <c r="AD92" s="27" t="n"/>
      <c r="AE92" s="27" t="n"/>
      <c r="AF92" s="27" t="n"/>
      <c r="AG92" s="27" t="n"/>
      <c r="AH92" s="27" t="n"/>
      <c r="AI92" s="27" t="n"/>
      <c r="AJ92" s="27" t="n"/>
      <c r="AK92" s="27" t="n"/>
      <c r="AL92" s="27" t="n"/>
      <c r="AM92" s="27" t="n"/>
      <c r="AN92" s="27" t="n"/>
      <c r="AO92" s="27" t="n"/>
      <c r="AP92" s="27" t="n"/>
      <c r="AQ92" s="27" t="n"/>
      <c r="AR92" s="27" t="n"/>
      <c r="AS92" s="27" t="n"/>
      <c r="AT92" s="27" t="n"/>
      <c r="AU92" s="27" t="n"/>
      <c r="AV92" s="27" t="n"/>
      <c r="AW92" s="27" t="n"/>
      <c r="AX92" s="27" t="n"/>
      <c r="AY92" s="27" t="n"/>
      <c r="AZ92" s="27" t="n"/>
      <c r="BA92" s="27" t="n"/>
      <c r="BB92" s="27" t="n"/>
      <c r="BC92" s="27" t="n"/>
      <c r="BD92" s="27" t="n"/>
      <c r="BE92" s="27" t="n"/>
      <c r="BF92" s="27" t="n"/>
      <c r="BG92" s="27" t="n"/>
      <c r="BH92" s="27" t="n"/>
      <c r="BI92" s="29" t="n"/>
      <c r="BJ92" s="27" t="n"/>
      <c r="BK92" s="27" t="n"/>
      <c r="BL92" s="27" t="n"/>
      <c r="BM92" s="27" t="n"/>
      <c r="DN92" s="26">
        <f>IF('テスト条件'!A91="","",'テスト条件'!A91)</f>
        <v/>
      </c>
    </row>
    <row r="93">
      <c r="A93" s="27" t="n"/>
      <c r="B93" s="27" t="n"/>
      <c r="C93" s="28">
        <f>IF(A93="","",$B$2)</f>
        <v/>
      </c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7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9" t="n"/>
      <c r="BJ93" s="27" t="n"/>
      <c r="BK93" s="27" t="n"/>
      <c r="BL93" s="27" t="n"/>
      <c r="BM93" s="27" t="n"/>
      <c r="DN93" s="26">
        <f>IF('テスト条件'!A92="","",'テスト条件'!A92)</f>
        <v/>
      </c>
    </row>
    <row r="94">
      <c r="A94" s="27" t="n"/>
      <c r="B94" s="27" t="n"/>
      <c r="C94" s="28">
        <f>IF(A94="","",$B$2)</f>
        <v/>
      </c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7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9" t="n"/>
      <c r="BJ94" s="27" t="n"/>
      <c r="BK94" s="27" t="n"/>
      <c r="BL94" s="27" t="n"/>
      <c r="BM94" s="27" t="n"/>
      <c r="DN94" s="26">
        <f>IF('テスト条件'!A93="","",'テスト条件'!A93)</f>
        <v/>
      </c>
    </row>
    <row r="95">
      <c r="A95" s="27" t="n"/>
      <c r="B95" s="27" t="n"/>
      <c r="C95" s="28">
        <f>IF(A95="","",$B$2)</f>
        <v/>
      </c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7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9" t="n"/>
      <c r="BJ95" s="27" t="n"/>
      <c r="BK95" s="27" t="n"/>
      <c r="BL95" s="27" t="n"/>
      <c r="BM95" s="27" t="n"/>
      <c r="DN95" s="26">
        <f>IF('テスト条件'!A94="","",'テスト条件'!A94)</f>
        <v/>
      </c>
    </row>
    <row r="96">
      <c r="A96" s="27" t="n"/>
      <c r="B96" s="27" t="n"/>
      <c r="C96" s="28">
        <f>IF(A96="","",$B$2)</f>
        <v/>
      </c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7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9" t="n"/>
      <c r="BJ96" s="27" t="n"/>
      <c r="BK96" s="27" t="n"/>
      <c r="BL96" s="27" t="n"/>
      <c r="BM96" s="27" t="n"/>
      <c r="DN96" s="26">
        <f>IF('テスト条件'!A95="","",'テスト条件'!A95)</f>
        <v/>
      </c>
    </row>
    <row r="97">
      <c r="A97" s="27" t="n"/>
      <c r="B97" s="27" t="n"/>
      <c r="C97" s="28">
        <f>IF(A97="","",$B$2)</f>
        <v/>
      </c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7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9" t="n"/>
      <c r="BJ97" s="27" t="n"/>
      <c r="BK97" s="27" t="n"/>
      <c r="BL97" s="27" t="n"/>
      <c r="BM97" s="27" t="n"/>
      <c r="DN97" s="26">
        <f>IF('テスト条件'!A96="","",'テスト条件'!A96)</f>
        <v/>
      </c>
    </row>
    <row r="98">
      <c r="A98" s="27" t="n"/>
      <c r="B98" s="27" t="n"/>
      <c r="C98" s="28">
        <f>IF(A98="","",$B$2)</f>
        <v/>
      </c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  <c r="AA98" s="27" t="n"/>
      <c r="AB98" s="27" t="n"/>
      <c r="AC98" s="27" t="n"/>
      <c r="AD98" s="27" t="n"/>
      <c r="AE98" s="27" t="n"/>
      <c r="AF98" s="27" t="n"/>
      <c r="AG98" s="27" t="n"/>
      <c r="AH98" s="27" t="n"/>
      <c r="AI98" s="27" t="n"/>
      <c r="AJ98" s="27" t="n"/>
      <c r="AK98" s="27" t="n"/>
      <c r="AL98" s="27" t="n"/>
      <c r="AM98" s="27" t="n"/>
      <c r="AN98" s="27" t="n"/>
      <c r="AO98" s="27" t="n"/>
      <c r="AP98" s="27" t="n"/>
      <c r="AQ98" s="27" t="n"/>
      <c r="AR98" s="27" t="n"/>
      <c r="AS98" s="27" t="n"/>
      <c r="AT98" s="27" t="n"/>
      <c r="AU98" s="27" t="n"/>
      <c r="AV98" s="27" t="n"/>
      <c r="AW98" s="27" t="n"/>
      <c r="AX98" s="27" t="n"/>
      <c r="AY98" s="27" t="n"/>
      <c r="AZ98" s="27" t="n"/>
      <c r="BA98" s="27" t="n"/>
      <c r="BB98" s="27" t="n"/>
      <c r="BC98" s="27" t="n"/>
      <c r="BD98" s="27" t="n"/>
      <c r="BE98" s="27" t="n"/>
      <c r="BF98" s="27" t="n"/>
      <c r="BG98" s="27" t="n"/>
      <c r="BH98" s="27" t="n"/>
      <c r="BI98" s="29" t="n"/>
      <c r="BJ98" s="27" t="n"/>
      <c r="BK98" s="27" t="n"/>
      <c r="BL98" s="27" t="n"/>
      <c r="BM98" s="27" t="n"/>
      <c r="DN98" s="26">
        <f>IF('テスト条件'!A97="","",'テスト条件'!A97)</f>
        <v/>
      </c>
    </row>
    <row r="99">
      <c r="A99" s="27" t="n"/>
      <c r="B99" s="27" t="n"/>
      <c r="C99" s="28">
        <f>IF(A99="","",$B$2)</f>
        <v/>
      </c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  <c r="AA99" s="27" t="n"/>
      <c r="AB99" s="27" t="n"/>
      <c r="AC99" s="27" t="n"/>
      <c r="AD99" s="27" t="n"/>
      <c r="AE99" s="27" t="n"/>
      <c r="AF99" s="27" t="n"/>
      <c r="AG99" s="27" t="n"/>
      <c r="AH99" s="27" t="n"/>
      <c r="AI99" s="27" t="n"/>
      <c r="AJ99" s="27" t="n"/>
      <c r="AK99" s="27" t="n"/>
      <c r="AL99" s="27" t="n"/>
      <c r="AM99" s="27" t="n"/>
      <c r="AN99" s="27" t="n"/>
      <c r="AO99" s="27" t="n"/>
      <c r="AP99" s="27" t="n"/>
      <c r="AQ99" s="27" t="n"/>
      <c r="AR99" s="27" t="n"/>
      <c r="AS99" s="27" t="n"/>
      <c r="AT99" s="27" t="n"/>
      <c r="AU99" s="27" t="n"/>
      <c r="AV99" s="27" t="n"/>
      <c r="AW99" s="27" t="n"/>
      <c r="AX99" s="27" t="n"/>
      <c r="AY99" s="27" t="n"/>
      <c r="AZ99" s="27" t="n"/>
      <c r="BA99" s="27" t="n"/>
      <c r="BB99" s="27" t="n"/>
      <c r="BC99" s="27" t="n"/>
      <c r="BD99" s="27" t="n"/>
      <c r="BE99" s="27" t="n"/>
      <c r="BF99" s="27" t="n"/>
      <c r="BG99" s="27" t="n"/>
      <c r="BH99" s="27" t="n"/>
      <c r="BI99" s="29" t="n"/>
      <c r="BJ99" s="27" t="n"/>
      <c r="BK99" s="27" t="n"/>
      <c r="BL99" s="27" t="n"/>
      <c r="BM99" s="27" t="n"/>
      <c r="DN99" s="26">
        <f>IF('テスト条件'!A98="","",'テスト条件'!A98)</f>
        <v/>
      </c>
    </row>
    <row r="100">
      <c r="A100" s="27" t="n"/>
      <c r="B100" s="27" t="n"/>
      <c r="C100" s="28">
        <f>IF(A100="","",$B$2)</f>
        <v/>
      </c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  <c r="AA100" s="27" t="n"/>
      <c r="AB100" s="27" t="n"/>
      <c r="AC100" s="27" t="n"/>
      <c r="AD100" s="27" t="n"/>
      <c r="AE100" s="27" t="n"/>
      <c r="AF100" s="27" t="n"/>
      <c r="AG100" s="27" t="n"/>
      <c r="AH100" s="27" t="n"/>
      <c r="AI100" s="27" t="n"/>
      <c r="AJ100" s="27" t="n"/>
      <c r="AK100" s="27" t="n"/>
      <c r="AL100" s="27" t="n"/>
      <c r="AM100" s="27" t="n"/>
      <c r="AN100" s="27" t="n"/>
      <c r="AO100" s="27" t="n"/>
      <c r="AP100" s="27" t="n"/>
      <c r="AQ100" s="27" t="n"/>
      <c r="AR100" s="27" t="n"/>
      <c r="AS100" s="27" t="n"/>
      <c r="AT100" s="27" t="n"/>
      <c r="AU100" s="27" t="n"/>
      <c r="AV100" s="27" t="n"/>
      <c r="AW100" s="27" t="n"/>
      <c r="AX100" s="27" t="n"/>
      <c r="AY100" s="27" t="n"/>
      <c r="AZ100" s="27" t="n"/>
      <c r="BA100" s="27" t="n"/>
      <c r="BB100" s="27" t="n"/>
      <c r="BC100" s="27" t="n"/>
      <c r="BD100" s="27" t="n"/>
      <c r="BE100" s="27" t="n"/>
      <c r="BF100" s="27" t="n"/>
      <c r="BG100" s="27" t="n"/>
      <c r="BH100" s="27" t="n"/>
      <c r="BI100" s="29" t="n"/>
      <c r="BJ100" s="27" t="n"/>
      <c r="BK100" s="27" t="n"/>
      <c r="BL100" s="27" t="n"/>
      <c r="BM100" s="27" t="n"/>
      <c r="DN100" s="26">
        <f>IF('テスト条件'!A99="","",'テスト条件'!A99)</f>
        <v/>
      </c>
    </row>
    <row r="101">
      <c r="A101" s="27" t="n"/>
      <c r="B101" s="27" t="n"/>
      <c r="C101" s="28">
        <f>IF(A101="","",$B$2)</f>
        <v/>
      </c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  <c r="AA101" s="27" t="n"/>
      <c r="AB101" s="27" t="n"/>
      <c r="AC101" s="27" t="n"/>
      <c r="AD101" s="27" t="n"/>
      <c r="AE101" s="27" t="n"/>
      <c r="AF101" s="27" t="n"/>
      <c r="AG101" s="27" t="n"/>
      <c r="AH101" s="27" t="n"/>
      <c r="AI101" s="27" t="n"/>
      <c r="AJ101" s="27" t="n"/>
      <c r="AK101" s="27" t="n"/>
      <c r="AL101" s="27" t="n"/>
      <c r="AM101" s="27" t="n"/>
      <c r="AN101" s="27" t="n"/>
      <c r="AO101" s="27" t="n"/>
      <c r="AP101" s="27" t="n"/>
      <c r="AQ101" s="27" t="n"/>
      <c r="AR101" s="27" t="n"/>
      <c r="AS101" s="27" t="n"/>
      <c r="AT101" s="27" t="n"/>
      <c r="AU101" s="27" t="n"/>
      <c r="AV101" s="27" t="n"/>
      <c r="AW101" s="27" t="n"/>
      <c r="AX101" s="27" t="n"/>
      <c r="AY101" s="27" t="n"/>
      <c r="AZ101" s="27" t="n"/>
      <c r="BA101" s="27" t="n"/>
      <c r="BB101" s="27" t="n"/>
      <c r="BC101" s="27" t="n"/>
      <c r="BD101" s="27" t="n"/>
      <c r="BE101" s="27" t="n"/>
      <c r="BF101" s="27" t="n"/>
      <c r="BG101" s="27" t="n"/>
      <c r="BH101" s="27" t="n"/>
      <c r="BI101" s="29" t="n"/>
      <c r="BJ101" s="27" t="n"/>
      <c r="BK101" s="27" t="n"/>
      <c r="BL101" s="27" t="n"/>
      <c r="BM101" s="27" t="n"/>
      <c r="DN101" s="26">
        <f>IF('テスト条件'!A100="","",'テスト条件'!A100)</f>
        <v/>
      </c>
    </row>
    <row r="102">
      <c r="A102" s="27" t="n"/>
      <c r="B102" s="27" t="n"/>
      <c r="C102" s="28">
        <f>IF(A102="","",$B$2)</f>
        <v/>
      </c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  <c r="AA102" s="27" t="n"/>
      <c r="AB102" s="27" t="n"/>
      <c r="AC102" s="27" t="n"/>
      <c r="AD102" s="27" t="n"/>
      <c r="AE102" s="27" t="n"/>
      <c r="AF102" s="27" t="n"/>
      <c r="AG102" s="27" t="n"/>
      <c r="AH102" s="27" t="n"/>
      <c r="AI102" s="27" t="n"/>
      <c r="AJ102" s="27" t="n"/>
      <c r="AK102" s="27" t="n"/>
      <c r="AL102" s="27" t="n"/>
      <c r="AM102" s="27" t="n"/>
      <c r="AN102" s="27" t="n"/>
      <c r="AO102" s="27" t="n"/>
      <c r="AP102" s="27" t="n"/>
      <c r="AQ102" s="27" t="n"/>
      <c r="AR102" s="27" t="n"/>
      <c r="AS102" s="27" t="n"/>
      <c r="AT102" s="27" t="n"/>
      <c r="AU102" s="27" t="n"/>
      <c r="AV102" s="27" t="n"/>
      <c r="AW102" s="27" t="n"/>
      <c r="AX102" s="27" t="n"/>
      <c r="AY102" s="27" t="n"/>
      <c r="AZ102" s="27" t="n"/>
      <c r="BA102" s="27" t="n"/>
      <c r="BB102" s="27" t="n"/>
      <c r="BC102" s="27" t="n"/>
      <c r="BD102" s="27" t="n"/>
      <c r="BE102" s="27" t="n"/>
      <c r="BF102" s="27" t="n"/>
      <c r="BG102" s="27" t="n"/>
      <c r="BH102" s="27" t="n"/>
      <c r="BI102" s="29" t="n"/>
      <c r="BJ102" s="27" t="n"/>
      <c r="BK102" s="27" t="n"/>
      <c r="BL102" s="27" t="n"/>
      <c r="BM102" s="27" t="n"/>
      <c r="DN102" s="26">
        <f>IF('テスト条件'!A101="","",'テスト条件'!A101)</f>
        <v/>
      </c>
    </row>
    <row r="103">
      <c r="A103" s="27" t="n"/>
      <c r="B103" s="27" t="n"/>
      <c r="C103" s="28">
        <f>IF(A103="","",$B$2)</f>
        <v/>
      </c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  <c r="AA103" s="27" t="n"/>
      <c r="AB103" s="27" t="n"/>
      <c r="AC103" s="27" t="n"/>
      <c r="AD103" s="27" t="n"/>
      <c r="AE103" s="27" t="n"/>
      <c r="AF103" s="27" t="n"/>
      <c r="AG103" s="27" t="n"/>
      <c r="AH103" s="27" t="n"/>
      <c r="AI103" s="27" t="n"/>
      <c r="AJ103" s="27" t="n"/>
      <c r="AK103" s="27" t="n"/>
      <c r="AL103" s="27" t="n"/>
      <c r="AM103" s="27" t="n"/>
      <c r="AN103" s="27" t="n"/>
      <c r="AO103" s="27" t="n"/>
      <c r="AP103" s="27" t="n"/>
      <c r="AQ103" s="27" t="n"/>
      <c r="AR103" s="27" t="n"/>
      <c r="AS103" s="27" t="n"/>
      <c r="AT103" s="27" t="n"/>
      <c r="AU103" s="27" t="n"/>
      <c r="AV103" s="27" t="n"/>
      <c r="AW103" s="27" t="n"/>
      <c r="AX103" s="27" t="n"/>
      <c r="AY103" s="27" t="n"/>
      <c r="AZ103" s="27" t="n"/>
      <c r="BA103" s="27" t="n"/>
      <c r="BB103" s="27" t="n"/>
      <c r="BC103" s="27" t="n"/>
      <c r="BD103" s="27" t="n"/>
      <c r="BE103" s="27" t="n"/>
      <c r="BF103" s="27" t="n"/>
      <c r="BG103" s="27" t="n"/>
      <c r="BH103" s="27" t="n"/>
      <c r="BI103" s="29" t="n"/>
      <c r="BJ103" s="27" t="n"/>
      <c r="BK103" s="27" t="n"/>
      <c r="BL103" s="27" t="n"/>
      <c r="BM103" s="27" t="n"/>
      <c r="DN103" s="26">
        <f>IF('テスト条件'!A102="","",'テスト条件'!A102)</f>
        <v/>
      </c>
    </row>
    <row r="104">
      <c r="A104" s="27" t="n"/>
      <c r="B104" s="27" t="n"/>
      <c r="C104" s="28">
        <f>IF(A104="","",$B$2)</f>
        <v/>
      </c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  <c r="AA104" s="27" t="n"/>
      <c r="AB104" s="27" t="n"/>
      <c r="AC104" s="27" t="n"/>
      <c r="AD104" s="27" t="n"/>
      <c r="AE104" s="27" t="n"/>
      <c r="AF104" s="27" t="n"/>
      <c r="AG104" s="27" t="n"/>
      <c r="AH104" s="27" t="n"/>
      <c r="AI104" s="27" t="n"/>
      <c r="AJ104" s="27" t="n"/>
      <c r="AK104" s="27" t="n"/>
      <c r="AL104" s="27" t="n"/>
      <c r="AM104" s="27" t="n"/>
      <c r="AN104" s="27" t="n"/>
      <c r="AO104" s="27" t="n"/>
      <c r="AP104" s="27" t="n"/>
      <c r="AQ104" s="27" t="n"/>
      <c r="AR104" s="27" t="n"/>
      <c r="AS104" s="27" t="n"/>
      <c r="AT104" s="27" t="n"/>
      <c r="AU104" s="27" t="n"/>
      <c r="AV104" s="27" t="n"/>
      <c r="AW104" s="27" t="n"/>
      <c r="AX104" s="27" t="n"/>
      <c r="AY104" s="27" t="n"/>
      <c r="AZ104" s="27" t="n"/>
      <c r="BA104" s="27" t="n"/>
      <c r="BB104" s="27" t="n"/>
      <c r="BC104" s="27" t="n"/>
      <c r="BD104" s="27" t="n"/>
      <c r="BE104" s="27" t="n"/>
      <c r="BF104" s="27" t="n"/>
      <c r="BG104" s="27" t="n"/>
      <c r="BH104" s="27" t="n"/>
      <c r="BI104" s="29" t="n"/>
      <c r="BJ104" s="27" t="n"/>
      <c r="BK104" s="27" t="n"/>
      <c r="BL104" s="27" t="n"/>
      <c r="BM104" s="27" t="n"/>
      <c r="DN104" s="26">
        <f>IF('テスト条件'!A103="","",'テスト条件'!A103)</f>
        <v/>
      </c>
    </row>
    <row r="105">
      <c r="A105" s="27" t="n"/>
      <c r="B105" s="27" t="n"/>
      <c r="C105" s="28">
        <f>IF(A105="","",$B$2)</f>
        <v/>
      </c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  <c r="AA105" s="27" t="n"/>
      <c r="AB105" s="27" t="n"/>
      <c r="AC105" s="27" t="n"/>
      <c r="AD105" s="27" t="n"/>
      <c r="AE105" s="27" t="n"/>
      <c r="AF105" s="27" t="n"/>
      <c r="AG105" s="27" t="n"/>
      <c r="AH105" s="27" t="n"/>
      <c r="AI105" s="27" t="n"/>
      <c r="AJ105" s="27" t="n"/>
      <c r="AK105" s="27" t="n"/>
      <c r="AL105" s="27" t="n"/>
      <c r="AM105" s="27" t="n"/>
      <c r="AN105" s="27" t="n"/>
      <c r="AO105" s="27" t="n"/>
      <c r="AP105" s="27" t="n"/>
      <c r="AQ105" s="27" t="n"/>
      <c r="AR105" s="27" t="n"/>
      <c r="AS105" s="27" t="n"/>
      <c r="AT105" s="27" t="n"/>
      <c r="AU105" s="27" t="n"/>
      <c r="AV105" s="27" t="n"/>
      <c r="AW105" s="27" t="n"/>
      <c r="AX105" s="27" t="n"/>
      <c r="AY105" s="27" t="n"/>
      <c r="AZ105" s="27" t="n"/>
      <c r="BA105" s="27" t="n"/>
      <c r="BB105" s="27" t="n"/>
      <c r="BC105" s="27" t="n"/>
      <c r="BD105" s="27" t="n"/>
      <c r="BE105" s="27" t="n"/>
      <c r="BF105" s="27" t="n"/>
      <c r="BG105" s="27" t="n"/>
      <c r="BH105" s="27" t="n"/>
      <c r="BI105" s="29" t="n"/>
      <c r="BJ105" s="27" t="n"/>
      <c r="BK105" s="27" t="n"/>
      <c r="BL105" s="27" t="n"/>
      <c r="BM105" s="27" t="n"/>
      <c r="DN105" s="26">
        <f>IF('テスト条件'!A104="","",'テスト条件'!A104)</f>
        <v/>
      </c>
    </row>
    <row r="106">
      <c r="A106" s="27" t="n"/>
      <c r="B106" s="27" t="n"/>
      <c r="C106" s="28">
        <f>IF(A106="","",$B$2)</f>
        <v/>
      </c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  <c r="AA106" s="27" t="n"/>
      <c r="AB106" s="27" t="n"/>
      <c r="AC106" s="27" t="n"/>
      <c r="AD106" s="27" t="n"/>
      <c r="AE106" s="27" t="n"/>
      <c r="AF106" s="27" t="n"/>
      <c r="AG106" s="27" t="n"/>
      <c r="AH106" s="27" t="n"/>
      <c r="AI106" s="27" t="n"/>
      <c r="AJ106" s="27" t="n"/>
      <c r="AK106" s="27" t="n"/>
      <c r="AL106" s="27" t="n"/>
      <c r="AM106" s="27" t="n"/>
      <c r="AN106" s="27" t="n"/>
      <c r="AO106" s="27" t="n"/>
      <c r="AP106" s="27" t="n"/>
      <c r="AQ106" s="27" t="n"/>
      <c r="AR106" s="27" t="n"/>
      <c r="AS106" s="27" t="n"/>
      <c r="AT106" s="27" t="n"/>
      <c r="AU106" s="27" t="n"/>
      <c r="AV106" s="27" t="n"/>
      <c r="AW106" s="27" t="n"/>
      <c r="AX106" s="27" t="n"/>
      <c r="AY106" s="27" t="n"/>
      <c r="AZ106" s="27" t="n"/>
      <c r="BA106" s="27" t="n"/>
      <c r="BB106" s="27" t="n"/>
      <c r="BC106" s="27" t="n"/>
      <c r="BD106" s="27" t="n"/>
      <c r="BE106" s="27" t="n"/>
      <c r="BF106" s="27" t="n"/>
      <c r="BG106" s="27" t="n"/>
      <c r="BH106" s="27" t="n"/>
      <c r="BI106" s="29" t="n"/>
      <c r="BJ106" s="27" t="n"/>
      <c r="BK106" s="27" t="n"/>
      <c r="BL106" s="27" t="n"/>
      <c r="BM106" s="27" t="n"/>
    </row>
    <row r="107">
      <c r="A107" s="27" t="n"/>
      <c r="B107" s="27" t="n"/>
      <c r="C107" s="28">
        <f>IF(A107="","",$B$2)</f>
        <v/>
      </c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  <c r="AA107" s="27" t="n"/>
      <c r="AB107" s="27" t="n"/>
      <c r="AC107" s="27" t="n"/>
      <c r="AD107" s="27" t="n"/>
      <c r="AE107" s="27" t="n"/>
      <c r="AF107" s="27" t="n"/>
      <c r="AG107" s="27" t="n"/>
      <c r="AH107" s="27" t="n"/>
      <c r="AI107" s="27" t="n"/>
      <c r="AJ107" s="27" t="n"/>
      <c r="AK107" s="27" t="n"/>
      <c r="AL107" s="27" t="n"/>
      <c r="AM107" s="27" t="n"/>
      <c r="AN107" s="27" t="n"/>
      <c r="AO107" s="27" t="n"/>
      <c r="AP107" s="27" t="n"/>
      <c r="AQ107" s="27" t="n"/>
      <c r="AR107" s="27" t="n"/>
      <c r="AS107" s="27" t="n"/>
      <c r="AT107" s="27" t="n"/>
      <c r="AU107" s="27" t="n"/>
      <c r="AV107" s="27" t="n"/>
      <c r="AW107" s="27" t="n"/>
      <c r="AX107" s="27" t="n"/>
      <c r="AY107" s="27" t="n"/>
      <c r="AZ107" s="27" t="n"/>
      <c r="BA107" s="27" t="n"/>
      <c r="BB107" s="27" t="n"/>
      <c r="BC107" s="27" t="n"/>
      <c r="BD107" s="27" t="n"/>
      <c r="BE107" s="27" t="n"/>
      <c r="BF107" s="27" t="n"/>
      <c r="BG107" s="27" t="n"/>
      <c r="BH107" s="27" t="n"/>
      <c r="BI107" s="29" t="n"/>
      <c r="BJ107" s="27" t="n"/>
      <c r="BK107" s="27" t="n"/>
      <c r="BL107" s="27" t="n"/>
      <c r="BM107" s="27" t="n"/>
    </row>
    <row r="108">
      <c r="A108" s="27" t="n"/>
      <c r="B108" s="27" t="n"/>
      <c r="C108" s="28">
        <f>IF(A108="","",$B$2)</f>
        <v/>
      </c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  <c r="AA108" s="27" t="n"/>
      <c r="AB108" s="27" t="n"/>
      <c r="AC108" s="27" t="n"/>
      <c r="AD108" s="27" t="n"/>
      <c r="AE108" s="27" t="n"/>
      <c r="AF108" s="27" t="n"/>
      <c r="AG108" s="27" t="n"/>
      <c r="AH108" s="27" t="n"/>
      <c r="AI108" s="27" t="n"/>
      <c r="AJ108" s="27" t="n"/>
      <c r="AK108" s="27" t="n"/>
      <c r="AL108" s="27" t="n"/>
      <c r="AM108" s="27" t="n"/>
      <c r="AN108" s="27" t="n"/>
      <c r="AO108" s="27" t="n"/>
      <c r="AP108" s="27" t="n"/>
      <c r="AQ108" s="27" t="n"/>
      <c r="AR108" s="27" t="n"/>
      <c r="AS108" s="27" t="n"/>
      <c r="AT108" s="27" t="n"/>
      <c r="AU108" s="27" t="n"/>
      <c r="AV108" s="27" t="n"/>
      <c r="AW108" s="27" t="n"/>
      <c r="AX108" s="27" t="n"/>
      <c r="AY108" s="27" t="n"/>
      <c r="AZ108" s="27" t="n"/>
      <c r="BA108" s="27" t="n"/>
      <c r="BB108" s="27" t="n"/>
      <c r="BC108" s="27" t="n"/>
      <c r="BD108" s="27" t="n"/>
      <c r="BE108" s="27" t="n"/>
      <c r="BF108" s="27" t="n"/>
      <c r="BG108" s="27" t="n"/>
      <c r="BH108" s="27" t="n"/>
      <c r="BI108" s="29" t="n"/>
      <c r="BJ108" s="27" t="n"/>
      <c r="BK108" s="27" t="n"/>
      <c r="BL108" s="27" t="n"/>
      <c r="BM108" s="27" t="n"/>
    </row>
    <row r="109">
      <c r="A109" s="27" t="n"/>
      <c r="B109" s="27" t="n"/>
      <c r="C109" s="28">
        <f>IF(A109="","",$B$2)</f>
        <v/>
      </c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  <c r="AA109" s="27" t="n"/>
      <c r="AB109" s="27" t="n"/>
      <c r="AC109" s="27" t="n"/>
      <c r="AD109" s="27" t="n"/>
      <c r="AE109" s="27" t="n"/>
      <c r="AF109" s="27" t="n"/>
      <c r="AG109" s="27" t="n"/>
      <c r="AH109" s="27" t="n"/>
      <c r="AI109" s="27" t="n"/>
      <c r="AJ109" s="27" t="n"/>
      <c r="AK109" s="27" t="n"/>
      <c r="AL109" s="27" t="n"/>
      <c r="AM109" s="27" t="n"/>
      <c r="AN109" s="27" t="n"/>
      <c r="AO109" s="27" t="n"/>
      <c r="AP109" s="27" t="n"/>
      <c r="AQ109" s="27" t="n"/>
      <c r="AR109" s="27" t="n"/>
      <c r="AS109" s="27" t="n"/>
      <c r="AT109" s="27" t="n"/>
      <c r="AU109" s="27" t="n"/>
      <c r="AV109" s="27" t="n"/>
      <c r="AW109" s="27" t="n"/>
      <c r="AX109" s="27" t="n"/>
      <c r="AY109" s="27" t="n"/>
      <c r="AZ109" s="27" t="n"/>
      <c r="BA109" s="27" t="n"/>
      <c r="BB109" s="27" t="n"/>
      <c r="BC109" s="27" t="n"/>
      <c r="BD109" s="27" t="n"/>
      <c r="BE109" s="27" t="n"/>
      <c r="BF109" s="27" t="n"/>
      <c r="BG109" s="27" t="n"/>
      <c r="BH109" s="27" t="n"/>
      <c r="BI109" s="29" t="n"/>
      <c r="BJ109" s="27" t="n"/>
      <c r="BK109" s="27" t="n"/>
      <c r="BL109" s="27" t="n"/>
      <c r="BM109" s="27" t="n"/>
    </row>
    <row r="110">
      <c r="A110" s="27" t="n"/>
      <c r="B110" s="27" t="n"/>
      <c r="C110" s="28">
        <f>IF(A110="","",$B$2)</f>
        <v/>
      </c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  <c r="AA110" s="27" t="n"/>
      <c r="AB110" s="27" t="n"/>
      <c r="AC110" s="27" t="n"/>
      <c r="AD110" s="27" t="n"/>
      <c r="AE110" s="27" t="n"/>
      <c r="AF110" s="27" t="n"/>
      <c r="AG110" s="27" t="n"/>
      <c r="AH110" s="27" t="n"/>
      <c r="AI110" s="27" t="n"/>
      <c r="AJ110" s="27" t="n"/>
      <c r="AK110" s="27" t="n"/>
      <c r="AL110" s="27" t="n"/>
      <c r="AM110" s="27" t="n"/>
      <c r="AN110" s="27" t="n"/>
      <c r="AO110" s="27" t="n"/>
      <c r="AP110" s="27" t="n"/>
      <c r="AQ110" s="27" t="n"/>
      <c r="AR110" s="27" t="n"/>
      <c r="AS110" s="27" t="n"/>
      <c r="AT110" s="27" t="n"/>
      <c r="AU110" s="27" t="n"/>
      <c r="AV110" s="27" t="n"/>
      <c r="AW110" s="27" t="n"/>
      <c r="AX110" s="27" t="n"/>
      <c r="AY110" s="27" t="n"/>
      <c r="AZ110" s="27" t="n"/>
      <c r="BA110" s="27" t="n"/>
      <c r="BB110" s="27" t="n"/>
      <c r="BC110" s="27" t="n"/>
      <c r="BD110" s="27" t="n"/>
      <c r="BE110" s="27" t="n"/>
      <c r="BF110" s="27" t="n"/>
      <c r="BG110" s="27" t="n"/>
      <c r="BH110" s="27" t="n"/>
      <c r="BI110" s="29" t="n"/>
      <c r="BJ110" s="27" t="n"/>
      <c r="BK110" s="27" t="n"/>
      <c r="BL110" s="27" t="n"/>
      <c r="BM110" s="27" t="n"/>
    </row>
    <row r="111">
      <c r="A111" s="27" t="n"/>
      <c r="B111" s="27" t="n"/>
      <c r="C111" s="28">
        <f>IF(A111="","",$B$2)</f>
        <v/>
      </c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  <c r="AA111" s="27" t="n"/>
      <c r="AB111" s="27" t="n"/>
      <c r="AC111" s="27" t="n"/>
      <c r="AD111" s="27" t="n"/>
      <c r="AE111" s="27" t="n"/>
      <c r="AF111" s="27" t="n"/>
      <c r="AG111" s="27" t="n"/>
      <c r="AH111" s="27" t="n"/>
      <c r="AI111" s="27" t="n"/>
      <c r="AJ111" s="27" t="n"/>
      <c r="AK111" s="27" t="n"/>
      <c r="AL111" s="27" t="n"/>
      <c r="AM111" s="27" t="n"/>
      <c r="AN111" s="27" t="n"/>
      <c r="AO111" s="27" t="n"/>
      <c r="AP111" s="27" t="n"/>
      <c r="AQ111" s="27" t="n"/>
      <c r="AR111" s="27" t="n"/>
      <c r="AS111" s="27" t="n"/>
      <c r="AT111" s="27" t="n"/>
      <c r="AU111" s="27" t="n"/>
      <c r="AV111" s="27" t="n"/>
      <c r="AW111" s="27" t="n"/>
      <c r="AX111" s="27" t="n"/>
      <c r="AY111" s="27" t="n"/>
      <c r="AZ111" s="27" t="n"/>
      <c r="BA111" s="27" t="n"/>
      <c r="BB111" s="27" t="n"/>
      <c r="BC111" s="27" t="n"/>
      <c r="BD111" s="27" t="n"/>
      <c r="BE111" s="27" t="n"/>
      <c r="BF111" s="27" t="n"/>
      <c r="BG111" s="27" t="n"/>
      <c r="BH111" s="27" t="n"/>
      <c r="BI111" s="29" t="n"/>
      <c r="BJ111" s="27" t="n"/>
      <c r="BK111" s="27" t="n"/>
      <c r="BL111" s="27" t="n"/>
      <c r="BM111" s="27" t="n"/>
    </row>
    <row r="112">
      <c r="A112" s="27" t="n"/>
      <c r="B112" s="27" t="n"/>
      <c r="C112" s="28">
        <f>IF(A112="","",$B$2)</f>
        <v/>
      </c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  <c r="AA112" s="27" t="n"/>
      <c r="AB112" s="27" t="n"/>
      <c r="AC112" s="27" t="n"/>
      <c r="AD112" s="27" t="n"/>
      <c r="AE112" s="27" t="n"/>
      <c r="AF112" s="27" t="n"/>
      <c r="AG112" s="27" t="n"/>
      <c r="AH112" s="27" t="n"/>
      <c r="AI112" s="27" t="n"/>
      <c r="AJ112" s="27" t="n"/>
      <c r="AK112" s="27" t="n"/>
      <c r="AL112" s="27" t="n"/>
      <c r="AM112" s="27" t="n"/>
      <c r="AN112" s="27" t="n"/>
      <c r="AO112" s="27" t="n"/>
      <c r="AP112" s="27" t="n"/>
      <c r="AQ112" s="27" t="n"/>
      <c r="AR112" s="27" t="n"/>
      <c r="AS112" s="27" t="n"/>
      <c r="AT112" s="27" t="n"/>
      <c r="AU112" s="27" t="n"/>
      <c r="AV112" s="27" t="n"/>
      <c r="AW112" s="27" t="n"/>
      <c r="AX112" s="27" t="n"/>
      <c r="AY112" s="27" t="n"/>
      <c r="AZ112" s="27" t="n"/>
      <c r="BA112" s="27" t="n"/>
      <c r="BB112" s="27" t="n"/>
      <c r="BC112" s="27" t="n"/>
      <c r="BD112" s="27" t="n"/>
      <c r="BE112" s="27" t="n"/>
      <c r="BF112" s="27" t="n"/>
      <c r="BG112" s="27" t="n"/>
      <c r="BH112" s="27" t="n"/>
      <c r="BI112" s="29" t="n"/>
      <c r="BJ112" s="27" t="n"/>
      <c r="BK112" s="27" t="n"/>
      <c r="BL112" s="27" t="n"/>
      <c r="BM112" s="27" t="n"/>
    </row>
    <row r="113">
      <c r="A113" s="27" t="n"/>
      <c r="B113" s="27" t="n"/>
      <c r="C113" s="28">
        <f>IF(A113="","",$B$2)</f>
        <v/>
      </c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  <c r="AA113" s="27" t="n"/>
      <c r="AB113" s="27" t="n"/>
      <c r="AC113" s="27" t="n"/>
      <c r="AD113" s="27" t="n"/>
      <c r="AE113" s="27" t="n"/>
      <c r="AF113" s="27" t="n"/>
      <c r="AG113" s="27" t="n"/>
      <c r="AH113" s="27" t="n"/>
      <c r="AI113" s="27" t="n"/>
      <c r="AJ113" s="27" t="n"/>
      <c r="AK113" s="27" t="n"/>
      <c r="AL113" s="27" t="n"/>
      <c r="AM113" s="27" t="n"/>
      <c r="AN113" s="27" t="n"/>
      <c r="AO113" s="27" t="n"/>
      <c r="AP113" s="27" t="n"/>
      <c r="AQ113" s="27" t="n"/>
      <c r="AR113" s="27" t="n"/>
      <c r="AS113" s="27" t="n"/>
      <c r="AT113" s="27" t="n"/>
      <c r="AU113" s="27" t="n"/>
      <c r="AV113" s="27" t="n"/>
      <c r="AW113" s="27" t="n"/>
      <c r="AX113" s="27" t="n"/>
      <c r="AY113" s="27" t="n"/>
      <c r="AZ113" s="27" t="n"/>
      <c r="BA113" s="27" t="n"/>
      <c r="BB113" s="27" t="n"/>
      <c r="BC113" s="27" t="n"/>
      <c r="BD113" s="27" t="n"/>
      <c r="BE113" s="27" t="n"/>
      <c r="BF113" s="27" t="n"/>
      <c r="BG113" s="27" t="n"/>
      <c r="BH113" s="27" t="n"/>
      <c r="BI113" s="29" t="n"/>
      <c r="BJ113" s="27" t="n"/>
      <c r="BK113" s="27" t="n"/>
      <c r="BL113" s="27" t="n"/>
      <c r="BM113" s="27" t="n"/>
    </row>
    <row r="114">
      <c r="A114" s="27" t="n"/>
      <c r="B114" s="27" t="n"/>
      <c r="C114" s="28">
        <f>IF(A114="","",$B$2)</f>
        <v/>
      </c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  <c r="AA114" s="27" t="n"/>
      <c r="AB114" s="27" t="n"/>
      <c r="AC114" s="27" t="n"/>
      <c r="AD114" s="27" t="n"/>
      <c r="AE114" s="27" t="n"/>
      <c r="AF114" s="27" t="n"/>
      <c r="AG114" s="27" t="n"/>
      <c r="AH114" s="27" t="n"/>
      <c r="AI114" s="27" t="n"/>
      <c r="AJ114" s="27" t="n"/>
      <c r="AK114" s="27" t="n"/>
      <c r="AL114" s="27" t="n"/>
      <c r="AM114" s="27" t="n"/>
      <c r="AN114" s="27" t="n"/>
      <c r="AO114" s="27" t="n"/>
      <c r="AP114" s="27" t="n"/>
      <c r="AQ114" s="27" t="n"/>
      <c r="AR114" s="27" t="n"/>
      <c r="AS114" s="27" t="n"/>
      <c r="AT114" s="27" t="n"/>
      <c r="AU114" s="27" t="n"/>
      <c r="AV114" s="27" t="n"/>
      <c r="AW114" s="27" t="n"/>
      <c r="AX114" s="27" t="n"/>
      <c r="AY114" s="27" t="n"/>
      <c r="AZ114" s="27" t="n"/>
      <c r="BA114" s="27" t="n"/>
      <c r="BB114" s="27" t="n"/>
      <c r="BC114" s="27" t="n"/>
      <c r="BD114" s="27" t="n"/>
      <c r="BE114" s="27" t="n"/>
      <c r="BF114" s="27" t="n"/>
      <c r="BG114" s="27" t="n"/>
      <c r="BH114" s="27" t="n"/>
      <c r="BI114" s="29" t="n"/>
      <c r="BJ114" s="27" t="n"/>
      <c r="BK114" s="27" t="n"/>
      <c r="BL114" s="27" t="n"/>
      <c r="BM114" s="27" t="n"/>
    </row>
    <row r="115">
      <c r="A115" s="27" t="n"/>
      <c r="B115" s="27" t="n"/>
      <c r="C115" s="28">
        <f>IF(A115="","",$B$2)</f>
        <v/>
      </c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  <c r="AA115" s="27" t="n"/>
      <c r="AB115" s="27" t="n"/>
      <c r="AC115" s="27" t="n"/>
      <c r="AD115" s="27" t="n"/>
      <c r="AE115" s="27" t="n"/>
      <c r="AF115" s="27" t="n"/>
      <c r="AG115" s="27" t="n"/>
      <c r="AH115" s="27" t="n"/>
      <c r="AI115" s="27" t="n"/>
      <c r="AJ115" s="27" t="n"/>
      <c r="AK115" s="27" t="n"/>
      <c r="AL115" s="27" t="n"/>
      <c r="AM115" s="27" t="n"/>
      <c r="AN115" s="27" t="n"/>
      <c r="AO115" s="27" t="n"/>
      <c r="AP115" s="27" t="n"/>
      <c r="AQ115" s="27" t="n"/>
      <c r="AR115" s="27" t="n"/>
      <c r="AS115" s="27" t="n"/>
      <c r="AT115" s="27" t="n"/>
      <c r="AU115" s="27" t="n"/>
      <c r="AV115" s="27" t="n"/>
      <c r="AW115" s="27" t="n"/>
      <c r="AX115" s="27" t="n"/>
      <c r="AY115" s="27" t="n"/>
      <c r="AZ115" s="27" t="n"/>
      <c r="BA115" s="27" t="n"/>
      <c r="BB115" s="27" t="n"/>
      <c r="BC115" s="27" t="n"/>
      <c r="BD115" s="27" t="n"/>
      <c r="BE115" s="27" t="n"/>
      <c r="BF115" s="27" t="n"/>
      <c r="BG115" s="27" t="n"/>
      <c r="BH115" s="27" t="n"/>
      <c r="BI115" s="29" t="n"/>
      <c r="BJ115" s="27" t="n"/>
      <c r="BK115" s="27" t="n"/>
      <c r="BL115" s="27" t="n"/>
      <c r="BM115" s="27" t="n"/>
    </row>
    <row r="116">
      <c r="A116" s="27" t="n"/>
      <c r="B116" s="27" t="n"/>
      <c r="C116" s="28">
        <f>IF(A116="","",$B$2)</f>
        <v/>
      </c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  <c r="AA116" s="27" t="n"/>
      <c r="AB116" s="27" t="n"/>
      <c r="AC116" s="27" t="n"/>
      <c r="AD116" s="27" t="n"/>
      <c r="AE116" s="27" t="n"/>
      <c r="AF116" s="27" t="n"/>
      <c r="AG116" s="27" t="n"/>
      <c r="AH116" s="27" t="n"/>
      <c r="AI116" s="27" t="n"/>
      <c r="AJ116" s="27" t="n"/>
      <c r="AK116" s="27" t="n"/>
      <c r="AL116" s="27" t="n"/>
      <c r="AM116" s="27" t="n"/>
      <c r="AN116" s="27" t="n"/>
      <c r="AO116" s="27" t="n"/>
      <c r="AP116" s="27" t="n"/>
      <c r="AQ116" s="27" t="n"/>
      <c r="AR116" s="27" t="n"/>
      <c r="AS116" s="27" t="n"/>
      <c r="AT116" s="27" t="n"/>
      <c r="AU116" s="27" t="n"/>
      <c r="AV116" s="27" t="n"/>
      <c r="AW116" s="27" t="n"/>
      <c r="AX116" s="27" t="n"/>
      <c r="AY116" s="27" t="n"/>
      <c r="AZ116" s="27" t="n"/>
      <c r="BA116" s="27" t="n"/>
      <c r="BB116" s="27" t="n"/>
      <c r="BC116" s="27" t="n"/>
      <c r="BD116" s="27" t="n"/>
      <c r="BE116" s="27" t="n"/>
      <c r="BF116" s="27" t="n"/>
      <c r="BG116" s="27" t="n"/>
      <c r="BH116" s="27" t="n"/>
      <c r="BI116" s="29" t="n"/>
      <c r="BJ116" s="27" t="n"/>
      <c r="BK116" s="27" t="n"/>
      <c r="BL116" s="27" t="n"/>
      <c r="BM116" s="27" t="n"/>
    </row>
    <row r="117">
      <c r="A117" s="27" t="n"/>
      <c r="B117" s="27" t="n"/>
      <c r="C117" s="28">
        <f>IF(A117="","",$B$2)</f>
        <v/>
      </c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  <c r="AA117" s="27" t="n"/>
      <c r="AB117" s="27" t="n"/>
      <c r="AC117" s="27" t="n"/>
      <c r="AD117" s="27" t="n"/>
      <c r="AE117" s="27" t="n"/>
      <c r="AF117" s="27" t="n"/>
      <c r="AG117" s="27" t="n"/>
      <c r="AH117" s="27" t="n"/>
      <c r="AI117" s="27" t="n"/>
      <c r="AJ117" s="27" t="n"/>
      <c r="AK117" s="27" t="n"/>
      <c r="AL117" s="27" t="n"/>
      <c r="AM117" s="27" t="n"/>
      <c r="AN117" s="27" t="n"/>
      <c r="AO117" s="27" t="n"/>
      <c r="AP117" s="27" t="n"/>
      <c r="AQ117" s="27" t="n"/>
      <c r="AR117" s="27" t="n"/>
      <c r="AS117" s="27" t="n"/>
      <c r="AT117" s="27" t="n"/>
      <c r="AU117" s="27" t="n"/>
      <c r="AV117" s="27" t="n"/>
      <c r="AW117" s="27" t="n"/>
      <c r="AX117" s="27" t="n"/>
      <c r="AY117" s="27" t="n"/>
      <c r="AZ117" s="27" t="n"/>
      <c r="BA117" s="27" t="n"/>
      <c r="BB117" s="27" t="n"/>
      <c r="BC117" s="27" t="n"/>
      <c r="BD117" s="27" t="n"/>
      <c r="BE117" s="27" t="n"/>
      <c r="BF117" s="27" t="n"/>
      <c r="BG117" s="27" t="n"/>
      <c r="BH117" s="27" t="n"/>
      <c r="BI117" s="29" t="n"/>
      <c r="BJ117" s="27" t="n"/>
      <c r="BK117" s="27" t="n"/>
      <c r="BL117" s="27" t="n"/>
      <c r="BM117" s="27" t="n"/>
    </row>
    <row r="118">
      <c r="A118" s="27" t="n"/>
      <c r="B118" s="27" t="n"/>
      <c r="C118" s="28">
        <f>IF(A118="","",$B$2)</f>
        <v/>
      </c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  <c r="AA118" s="27" t="n"/>
      <c r="AB118" s="27" t="n"/>
      <c r="AC118" s="27" t="n"/>
      <c r="AD118" s="27" t="n"/>
      <c r="AE118" s="27" t="n"/>
      <c r="AF118" s="27" t="n"/>
      <c r="AG118" s="27" t="n"/>
      <c r="AH118" s="27" t="n"/>
      <c r="AI118" s="27" t="n"/>
      <c r="AJ118" s="27" t="n"/>
      <c r="AK118" s="27" t="n"/>
      <c r="AL118" s="27" t="n"/>
      <c r="AM118" s="27" t="n"/>
      <c r="AN118" s="27" t="n"/>
      <c r="AO118" s="27" t="n"/>
      <c r="AP118" s="27" t="n"/>
      <c r="AQ118" s="27" t="n"/>
      <c r="AR118" s="27" t="n"/>
      <c r="AS118" s="27" t="n"/>
      <c r="AT118" s="27" t="n"/>
      <c r="AU118" s="27" t="n"/>
      <c r="AV118" s="27" t="n"/>
      <c r="AW118" s="27" t="n"/>
      <c r="AX118" s="27" t="n"/>
      <c r="AY118" s="27" t="n"/>
      <c r="AZ118" s="27" t="n"/>
      <c r="BA118" s="27" t="n"/>
      <c r="BB118" s="27" t="n"/>
      <c r="BC118" s="27" t="n"/>
      <c r="BD118" s="27" t="n"/>
      <c r="BE118" s="27" t="n"/>
      <c r="BF118" s="27" t="n"/>
      <c r="BG118" s="27" t="n"/>
      <c r="BH118" s="27" t="n"/>
      <c r="BI118" s="29" t="n"/>
      <c r="BJ118" s="27" t="n"/>
      <c r="BK118" s="27" t="n"/>
      <c r="BL118" s="27" t="n"/>
      <c r="BM118" s="27" t="n"/>
    </row>
    <row r="119">
      <c r="A119" s="27" t="n"/>
      <c r="B119" s="27" t="n"/>
      <c r="C119" s="28">
        <f>IF(A119="","",$B$2)</f>
        <v/>
      </c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  <c r="AA119" s="27" t="n"/>
      <c r="AB119" s="27" t="n"/>
      <c r="AC119" s="27" t="n"/>
      <c r="AD119" s="27" t="n"/>
      <c r="AE119" s="27" t="n"/>
      <c r="AF119" s="27" t="n"/>
      <c r="AG119" s="27" t="n"/>
      <c r="AH119" s="27" t="n"/>
      <c r="AI119" s="27" t="n"/>
      <c r="AJ119" s="27" t="n"/>
      <c r="AK119" s="27" t="n"/>
      <c r="AL119" s="27" t="n"/>
      <c r="AM119" s="27" t="n"/>
      <c r="AN119" s="27" t="n"/>
      <c r="AO119" s="27" t="n"/>
      <c r="AP119" s="27" t="n"/>
      <c r="AQ119" s="27" t="n"/>
      <c r="AR119" s="27" t="n"/>
      <c r="AS119" s="27" t="n"/>
      <c r="AT119" s="27" t="n"/>
      <c r="AU119" s="27" t="n"/>
      <c r="AV119" s="27" t="n"/>
      <c r="AW119" s="27" t="n"/>
      <c r="AX119" s="27" t="n"/>
      <c r="AY119" s="27" t="n"/>
      <c r="AZ119" s="27" t="n"/>
      <c r="BA119" s="27" t="n"/>
      <c r="BB119" s="27" t="n"/>
      <c r="BC119" s="27" t="n"/>
      <c r="BD119" s="27" t="n"/>
      <c r="BE119" s="27" t="n"/>
      <c r="BF119" s="27" t="n"/>
      <c r="BG119" s="27" t="n"/>
      <c r="BH119" s="27" t="n"/>
      <c r="BI119" s="29" t="n"/>
      <c r="BJ119" s="27" t="n"/>
      <c r="BK119" s="27" t="n"/>
      <c r="BL119" s="27" t="n"/>
      <c r="BM119" s="27" t="n"/>
    </row>
    <row r="120">
      <c r="A120" s="27" t="n"/>
      <c r="B120" s="27" t="n"/>
      <c r="C120" s="28">
        <f>IF(A120="","",$B$2)</f>
        <v/>
      </c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  <c r="AA120" s="27" t="n"/>
      <c r="AB120" s="27" t="n"/>
      <c r="AC120" s="27" t="n"/>
      <c r="AD120" s="27" t="n"/>
      <c r="AE120" s="27" t="n"/>
      <c r="AF120" s="27" t="n"/>
      <c r="AG120" s="27" t="n"/>
      <c r="AH120" s="27" t="n"/>
      <c r="AI120" s="27" t="n"/>
      <c r="AJ120" s="27" t="n"/>
      <c r="AK120" s="27" t="n"/>
      <c r="AL120" s="27" t="n"/>
      <c r="AM120" s="27" t="n"/>
      <c r="AN120" s="27" t="n"/>
      <c r="AO120" s="27" t="n"/>
      <c r="AP120" s="27" t="n"/>
      <c r="AQ120" s="27" t="n"/>
      <c r="AR120" s="27" t="n"/>
      <c r="AS120" s="27" t="n"/>
      <c r="AT120" s="27" t="n"/>
      <c r="AU120" s="27" t="n"/>
      <c r="AV120" s="27" t="n"/>
      <c r="AW120" s="27" t="n"/>
      <c r="AX120" s="27" t="n"/>
      <c r="AY120" s="27" t="n"/>
      <c r="AZ120" s="27" t="n"/>
      <c r="BA120" s="27" t="n"/>
      <c r="BB120" s="27" t="n"/>
      <c r="BC120" s="27" t="n"/>
      <c r="BD120" s="27" t="n"/>
      <c r="BE120" s="27" t="n"/>
      <c r="BF120" s="27" t="n"/>
      <c r="BG120" s="27" t="n"/>
      <c r="BH120" s="27" t="n"/>
      <c r="BI120" s="29" t="n"/>
      <c r="BJ120" s="27" t="n"/>
      <c r="BK120" s="27" t="n"/>
      <c r="BL120" s="27" t="n"/>
      <c r="BM120" s="27" t="n"/>
    </row>
    <row r="121">
      <c r="A121" s="27" t="n"/>
      <c r="B121" s="27" t="n"/>
      <c r="C121" s="28">
        <f>IF(A121="","",$B$2)</f>
        <v/>
      </c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  <c r="AA121" s="27" t="n"/>
      <c r="AB121" s="27" t="n"/>
      <c r="AC121" s="27" t="n"/>
      <c r="AD121" s="27" t="n"/>
      <c r="AE121" s="27" t="n"/>
      <c r="AF121" s="27" t="n"/>
      <c r="AG121" s="27" t="n"/>
      <c r="AH121" s="27" t="n"/>
      <c r="AI121" s="27" t="n"/>
      <c r="AJ121" s="27" t="n"/>
      <c r="AK121" s="27" t="n"/>
      <c r="AL121" s="27" t="n"/>
      <c r="AM121" s="27" t="n"/>
      <c r="AN121" s="27" t="n"/>
      <c r="AO121" s="27" t="n"/>
      <c r="AP121" s="27" t="n"/>
      <c r="AQ121" s="27" t="n"/>
      <c r="AR121" s="27" t="n"/>
      <c r="AS121" s="27" t="n"/>
      <c r="AT121" s="27" t="n"/>
      <c r="AU121" s="27" t="n"/>
      <c r="AV121" s="27" t="n"/>
      <c r="AW121" s="27" t="n"/>
      <c r="AX121" s="27" t="n"/>
      <c r="AY121" s="27" t="n"/>
      <c r="AZ121" s="27" t="n"/>
      <c r="BA121" s="27" t="n"/>
      <c r="BB121" s="27" t="n"/>
      <c r="BC121" s="27" t="n"/>
      <c r="BD121" s="27" t="n"/>
      <c r="BE121" s="27" t="n"/>
      <c r="BF121" s="27" t="n"/>
      <c r="BG121" s="27" t="n"/>
      <c r="BH121" s="27" t="n"/>
      <c r="BI121" s="29" t="n"/>
      <c r="BJ121" s="27" t="n"/>
      <c r="BK121" s="27" t="n"/>
      <c r="BL121" s="27" t="n"/>
      <c r="BM121" s="27" t="n"/>
    </row>
    <row r="122">
      <c r="A122" s="27" t="n"/>
      <c r="B122" s="27" t="n"/>
      <c r="C122" s="28">
        <f>IF(A122="","",$B$2)</f>
        <v/>
      </c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  <c r="AA122" s="27" t="n"/>
      <c r="AB122" s="27" t="n"/>
      <c r="AC122" s="27" t="n"/>
      <c r="AD122" s="27" t="n"/>
      <c r="AE122" s="27" t="n"/>
      <c r="AF122" s="27" t="n"/>
      <c r="AG122" s="27" t="n"/>
      <c r="AH122" s="27" t="n"/>
      <c r="AI122" s="27" t="n"/>
      <c r="AJ122" s="27" t="n"/>
      <c r="AK122" s="27" t="n"/>
      <c r="AL122" s="27" t="n"/>
      <c r="AM122" s="27" t="n"/>
      <c r="AN122" s="27" t="n"/>
      <c r="AO122" s="27" t="n"/>
      <c r="AP122" s="27" t="n"/>
      <c r="AQ122" s="27" t="n"/>
      <c r="AR122" s="27" t="n"/>
      <c r="AS122" s="27" t="n"/>
      <c r="AT122" s="27" t="n"/>
      <c r="AU122" s="27" t="n"/>
      <c r="AV122" s="27" t="n"/>
      <c r="AW122" s="27" t="n"/>
      <c r="AX122" s="27" t="n"/>
      <c r="AY122" s="27" t="n"/>
      <c r="AZ122" s="27" t="n"/>
      <c r="BA122" s="27" t="n"/>
      <c r="BB122" s="27" t="n"/>
      <c r="BC122" s="27" t="n"/>
      <c r="BD122" s="27" t="n"/>
      <c r="BE122" s="27" t="n"/>
      <c r="BF122" s="27" t="n"/>
      <c r="BG122" s="27" t="n"/>
      <c r="BH122" s="27" t="n"/>
      <c r="BI122" s="29" t="n"/>
      <c r="BJ122" s="27" t="n"/>
      <c r="BK122" s="27" t="n"/>
      <c r="BL122" s="27" t="n"/>
      <c r="BM122" s="27" t="n"/>
    </row>
    <row r="123">
      <c r="A123" s="27" t="n"/>
      <c r="B123" s="27" t="n"/>
      <c r="C123" s="28">
        <f>IF(A123="","",$B$2)</f>
        <v/>
      </c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  <c r="AA123" s="27" t="n"/>
      <c r="AB123" s="27" t="n"/>
      <c r="AC123" s="27" t="n"/>
      <c r="AD123" s="27" t="n"/>
      <c r="AE123" s="27" t="n"/>
      <c r="AF123" s="27" t="n"/>
      <c r="AG123" s="27" t="n"/>
      <c r="AH123" s="27" t="n"/>
      <c r="AI123" s="27" t="n"/>
      <c r="AJ123" s="27" t="n"/>
      <c r="AK123" s="27" t="n"/>
      <c r="AL123" s="27" t="n"/>
      <c r="AM123" s="27" t="n"/>
      <c r="AN123" s="27" t="n"/>
      <c r="AO123" s="27" t="n"/>
      <c r="AP123" s="27" t="n"/>
      <c r="AQ123" s="27" t="n"/>
      <c r="AR123" s="27" t="n"/>
      <c r="AS123" s="27" t="n"/>
      <c r="AT123" s="27" t="n"/>
      <c r="AU123" s="27" t="n"/>
      <c r="AV123" s="27" t="n"/>
      <c r="AW123" s="27" t="n"/>
      <c r="AX123" s="27" t="n"/>
      <c r="AY123" s="27" t="n"/>
      <c r="AZ123" s="27" t="n"/>
      <c r="BA123" s="27" t="n"/>
      <c r="BB123" s="27" t="n"/>
      <c r="BC123" s="27" t="n"/>
      <c r="BD123" s="27" t="n"/>
      <c r="BE123" s="27" t="n"/>
      <c r="BF123" s="27" t="n"/>
      <c r="BG123" s="27" t="n"/>
      <c r="BH123" s="27" t="n"/>
      <c r="BI123" s="29" t="n"/>
      <c r="BJ123" s="27" t="n"/>
      <c r="BK123" s="27" t="n"/>
      <c r="BL123" s="27" t="n"/>
      <c r="BM123" s="27" t="n"/>
    </row>
    <row r="124">
      <c r="A124" s="27" t="n"/>
      <c r="B124" s="27" t="n"/>
      <c r="C124" s="28">
        <f>IF(A124="","",$B$2)</f>
        <v/>
      </c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  <c r="AA124" s="27" t="n"/>
      <c r="AB124" s="27" t="n"/>
      <c r="AC124" s="27" t="n"/>
      <c r="AD124" s="27" t="n"/>
      <c r="AE124" s="27" t="n"/>
      <c r="AF124" s="27" t="n"/>
      <c r="AG124" s="27" t="n"/>
      <c r="AH124" s="27" t="n"/>
      <c r="AI124" s="27" t="n"/>
      <c r="AJ124" s="27" t="n"/>
      <c r="AK124" s="27" t="n"/>
      <c r="AL124" s="27" t="n"/>
      <c r="AM124" s="27" t="n"/>
      <c r="AN124" s="27" t="n"/>
      <c r="AO124" s="27" t="n"/>
      <c r="AP124" s="27" t="n"/>
      <c r="AQ124" s="27" t="n"/>
      <c r="AR124" s="27" t="n"/>
      <c r="AS124" s="27" t="n"/>
      <c r="AT124" s="27" t="n"/>
      <c r="AU124" s="27" t="n"/>
      <c r="AV124" s="27" t="n"/>
      <c r="AW124" s="27" t="n"/>
      <c r="AX124" s="27" t="n"/>
      <c r="AY124" s="27" t="n"/>
      <c r="AZ124" s="27" t="n"/>
      <c r="BA124" s="27" t="n"/>
      <c r="BB124" s="27" t="n"/>
      <c r="BC124" s="27" t="n"/>
      <c r="BD124" s="27" t="n"/>
      <c r="BE124" s="27" t="n"/>
      <c r="BF124" s="27" t="n"/>
      <c r="BG124" s="27" t="n"/>
      <c r="BH124" s="27" t="n"/>
      <c r="BI124" s="29" t="n"/>
      <c r="BJ124" s="27" t="n"/>
      <c r="BK124" s="27" t="n"/>
      <c r="BL124" s="27" t="n"/>
      <c r="BM124" s="27" t="n"/>
    </row>
    <row r="125">
      <c r="A125" s="27" t="n"/>
      <c r="B125" s="27" t="n"/>
      <c r="C125" s="28">
        <f>IF(A125="","",$B$2)</f>
        <v/>
      </c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  <c r="AA125" s="27" t="n"/>
      <c r="AB125" s="27" t="n"/>
      <c r="AC125" s="27" t="n"/>
      <c r="AD125" s="27" t="n"/>
      <c r="AE125" s="27" t="n"/>
      <c r="AF125" s="27" t="n"/>
      <c r="AG125" s="27" t="n"/>
      <c r="AH125" s="27" t="n"/>
      <c r="AI125" s="27" t="n"/>
      <c r="AJ125" s="27" t="n"/>
      <c r="AK125" s="27" t="n"/>
      <c r="AL125" s="27" t="n"/>
      <c r="AM125" s="27" t="n"/>
      <c r="AN125" s="27" t="n"/>
      <c r="AO125" s="27" t="n"/>
      <c r="AP125" s="27" t="n"/>
      <c r="AQ125" s="27" t="n"/>
      <c r="AR125" s="27" t="n"/>
      <c r="AS125" s="27" t="n"/>
      <c r="AT125" s="27" t="n"/>
      <c r="AU125" s="27" t="n"/>
      <c r="AV125" s="27" t="n"/>
      <c r="AW125" s="27" t="n"/>
      <c r="AX125" s="27" t="n"/>
      <c r="AY125" s="27" t="n"/>
      <c r="AZ125" s="27" t="n"/>
      <c r="BA125" s="27" t="n"/>
      <c r="BB125" s="27" t="n"/>
      <c r="BC125" s="27" t="n"/>
      <c r="BD125" s="27" t="n"/>
      <c r="BE125" s="27" t="n"/>
      <c r="BF125" s="27" t="n"/>
      <c r="BG125" s="27" t="n"/>
      <c r="BH125" s="27" t="n"/>
      <c r="BI125" s="29" t="n"/>
      <c r="BJ125" s="27" t="n"/>
      <c r="BK125" s="27" t="n"/>
      <c r="BL125" s="27" t="n"/>
      <c r="BM125" s="27" t="n"/>
    </row>
    <row r="126">
      <c r="A126" s="27" t="n"/>
      <c r="B126" s="27" t="n"/>
      <c r="C126" s="28">
        <f>IF(A126="","",$B$2)</f>
        <v/>
      </c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  <c r="AA126" s="27" t="n"/>
      <c r="AB126" s="27" t="n"/>
      <c r="AC126" s="27" t="n"/>
      <c r="AD126" s="27" t="n"/>
      <c r="AE126" s="27" t="n"/>
      <c r="AF126" s="27" t="n"/>
      <c r="AG126" s="27" t="n"/>
      <c r="AH126" s="27" t="n"/>
      <c r="AI126" s="27" t="n"/>
      <c r="AJ126" s="27" t="n"/>
      <c r="AK126" s="27" t="n"/>
      <c r="AL126" s="27" t="n"/>
      <c r="AM126" s="27" t="n"/>
      <c r="AN126" s="27" t="n"/>
      <c r="AO126" s="27" t="n"/>
      <c r="AP126" s="27" t="n"/>
      <c r="AQ126" s="27" t="n"/>
      <c r="AR126" s="27" t="n"/>
      <c r="AS126" s="27" t="n"/>
      <c r="AT126" s="27" t="n"/>
      <c r="AU126" s="27" t="n"/>
      <c r="AV126" s="27" t="n"/>
      <c r="AW126" s="27" t="n"/>
      <c r="AX126" s="27" t="n"/>
      <c r="AY126" s="27" t="n"/>
      <c r="AZ126" s="27" t="n"/>
      <c r="BA126" s="27" t="n"/>
      <c r="BB126" s="27" t="n"/>
      <c r="BC126" s="27" t="n"/>
      <c r="BD126" s="27" t="n"/>
      <c r="BE126" s="27" t="n"/>
      <c r="BF126" s="27" t="n"/>
      <c r="BG126" s="27" t="n"/>
      <c r="BH126" s="27" t="n"/>
      <c r="BI126" s="29" t="n"/>
      <c r="BJ126" s="27" t="n"/>
      <c r="BK126" s="27" t="n"/>
      <c r="BL126" s="27" t="n"/>
      <c r="BM126" s="27" t="n"/>
    </row>
    <row r="127">
      <c r="A127" s="27" t="n"/>
      <c r="B127" s="27" t="n"/>
      <c r="C127" s="28">
        <f>IF(A127="","",$B$2)</f>
        <v/>
      </c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  <c r="AA127" s="27" t="n"/>
      <c r="AB127" s="27" t="n"/>
      <c r="AC127" s="27" t="n"/>
      <c r="AD127" s="27" t="n"/>
      <c r="AE127" s="27" t="n"/>
      <c r="AF127" s="27" t="n"/>
      <c r="AG127" s="27" t="n"/>
      <c r="AH127" s="27" t="n"/>
      <c r="AI127" s="27" t="n"/>
      <c r="AJ127" s="27" t="n"/>
      <c r="AK127" s="27" t="n"/>
      <c r="AL127" s="27" t="n"/>
      <c r="AM127" s="27" t="n"/>
      <c r="AN127" s="27" t="n"/>
      <c r="AO127" s="27" t="n"/>
      <c r="AP127" s="27" t="n"/>
      <c r="AQ127" s="27" t="n"/>
      <c r="AR127" s="27" t="n"/>
      <c r="AS127" s="27" t="n"/>
      <c r="AT127" s="27" t="n"/>
      <c r="AU127" s="27" t="n"/>
      <c r="AV127" s="27" t="n"/>
      <c r="AW127" s="27" t="n"/>
      <c r="AX127" s="27" t="n"/>
      <c r="AY127" s="27" t="n"/>
      <c r="AZ127" s="27" t="n"/>
      <c r="BA127" s="27" t="n"/>
      <c r="BB127" s="27" t="n"/>
      <c r="BC127" s="27" t="n"/>
      <c r="BD127" s="27" t="n"/>
      <c r="BE127" s="27" t="n"/>
      <c r="BF127" s="27" t="n"/>
      <c r="BG127" s="27" t="n"/>
      <c r="BH127" s="27" t="n"/>
      <c r="BI127" s="29" t="n"/>
      <c r="BJ127" s="27" t="n"/>
      <c r="BK127" s="27" t="n"/>
      <c r="BL127" s="27" t="n"/>
      <c r="BM127" s="27" t="n"/>
    </row>
    <row r="128">
      <c r="A128" s="27" t="n"/>
      <c r="B128" s="27" t="n"/>
      <c r="C128" s="28">
        <f>IF(A128="","",$B$2)</f>
        <v/>
      </c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  <c r="AA128" s="27" t="n"/>
      <c r="AB128" s="27" t="n"/>
      <c r="AC128" s="27" t="n"/>
      <c r="AD128" s="27" t="n"/>
      <c r="AE128" s="27" t="n"/>
      <c r="AF128" s="27" t="n"/>
      <c r="AG128" s="27" t="n"/>
      <c r="AH128" s="27" t="n"/>
      <c r="AI128" s="27" t="n"/>
      <c r="AJ128" s="27" t="n"/>
      <c r="AK128" s="27" t="n"/>
      <c r="AL128" s="27" t="n"/>
      <c r="AM128" s="27" t="n"/>
      <c r="AN128" s="27" t="n"/>
      <c r="AO128" s="27" t="n"/>
      <c r="AP128" s="27" t="n"/>
      <c r="AQ128" s="27" t="n"/>
      <c r="AR128" s="27" t="n"/>
      <c r="AS128" s="27" t="n"/>
      <c r="AT128" s="27" t="n"/>
      <c r="AU128" s="27" t="n"/>
      <c r="AV128" s="27" t="n"/>
      <c r="AW128" s="27" t="n"/>
      <c r="AX128" s="27" t="n"/>
      <c r="AY128" s="27" t="n"/>
      <c r="AZ128" s="27" t="n"/>
      <c r="BA128" s="27" t="n"/>
      <c r="BB128" s="27" t="n"/>
      <c r="BC128" s="27" t="n"/>
      <c r="BD128" s="27" t="n"/>
      <c r="BE128" s="27" t="n"/>
      <c r="BF128" s="27" t="n"/>
      <c r="BG128" s="27" t="n"/>
      <c r="BH128" s="27" t="n"/>
      <c r="BI128" s="29" t="n"/>
      <c r="BJ128" s="27" t="n"/>
      <c r="BK128" s="27" t="n"/>
      <c r="BL128" s="27" t="n"/>
      <c r="BM128" s="27" t="n"/>
    </row>
    <row r="129">
      <c r="A129" s="27" t="n"/>
      <c r="B129" s="27" t="n"/>
      <c r="C129" s="28">
        <f>IF(A129="","",$B$2)</f>
        <v/>
      </c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  <c r="AA129" s="27" t="n"/>
      <c r="AB129" s="27" t="n"/>
      <c r="AC129" s="27" t="n"/>
      <c r="AD129" s="27" t="n"/>
      <c r="AE129" s="27" t="n"/>
      <c r="AF129" s="27" t="n"/>
      <c r="AG129" s="27" t="n"/>
      <c r="AH129" s="27" t="n"/>
      <c r="AI129" s="27" t="n"/>
      <c r="AJ129" s="27" t="n"/>
      <c r="AK129" s="27" t="n"/>
      <c r="AL129" s="27" t="n"/>
      <c r="AM129" s="27" t="n"/>
      <c r="AN129" s="27" t="n"/>
      <c r="AO129" s="27" t="n"/>
      <c r="AP129" s="27" t="n"/>
      <c r="AQ129" s="27" t="n"/>
      <c r="AR129" s="27" t="n"/>
      <c r="AS129" s="27" t="n"/>
      <c r="AT129" s="27" t="n"/>
      <c r="AU129" s="27" t="n"/>
      <c r="AV129" s="27" t="n"/>
      <c r="AW129" s="27" t="n"/>
      <c r="AX129" s="27" t="n"/>
      <c r="AY129" s="27" t="n"/>
      <c r="AZ129" s="27" t="n"/>
      <c r="BA129" s="27" t="n"/>
      <c r="BB129" s="27" t="n"/>
      <c r="BC129" s="27" t="n"/>
      <c r="BD129" s="27" t="n"/>
      <c r="BE129" s="27" t="n"/>
      <c r="BF129" s="27" t="n"/>
      <c r="BG129" s="27" t="n"/>
      <c r="BH129" s="27" t="n"/>
      <c r="BI129" s="29" t="n"/>
      <c r="BJ129" s="27" t="n"/>
      <c r="BK129" s="27" t="n"/>
      <c r="BL129" s="27" t="n"/>
      <c r="BM129" s="27" t="n"/>
    </row>
    <row r="130">
      <c r="A130" s="27" t="n"/>
      <c r="B130" s="27" t="n"/>
      <c r="C130" s="28">
        <f>IF(A130="","",$B$2)</f>
        <v/>
      </c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  <c r="AA130" s="27" t="n"/>
      <c r="AB130" s="27" t="n"/>
      <c r="AC130" s="27" t="n"/>
      <c r="AD130" s="27" t="n"/>
      <c r="AE130" s="27" t="n"/>
      <c r="AF130" s="27" t="n"/>
      <c r="AG130" s="27" t="n"/>
      <c r="AH130" s="27" t="n"/>
      <c r="AI130" s="27" t="n"/>
      <c r="AJ130" s="27" t="n"/>
      <c r="AK130" s="27" t="n"/>
      <c r="AL130" s="27" t="n"/>
      <c r="AM130" s="27" t="n"/>
      <c r="AN130" s="27" t="n"/>
      <c r="AO130" s="27" t="n"/>
      <c r="AP130" s="27" t="n"/>
      <c r="AQ130" s="27" t="n"/>
      <c r="AR130" s="27" t="n"/>
      <c r="AS130" s="27" t="n"/>
      <c r="AT130" s="27" t="n"/>
      <c r="AU130" s="27" t="n"/>
      <c r="AV130" s="27" t="n"/>
      <c r="AW130" s="27" t="n"/>
      <c r="AX130" s="27" t="n"/>
      <c r="AY130" s="27" t="n"/>
      <c r="AZ130" s="27" t="n"/>
      <c r="BA130" s="27" t="n"/>
      <c r="BB130" s="27" t="n"/>
      <c r="BC130" s="27" t="n"/>
      <c r="BD130" s="27" t="n"/>
      <c r="BE130" s="27" t="n"/>
      <c r="BF130" s="27" t="n"/>
      <c r="BG130" s="27" t="n"/>
      <c r="BH130" s="27" t="n"/>
      <c r="BI130" s="29" t="n"/>
      <c r="BJ130" s="27" t="n"/>
      <c r="BK130" s="27" t="n"/>
      <c r="BL130" s="27" t="n"/>
      <c r="BM130" s="27" t="n"/>
    </row>
    <row r="131">
      <c r="A131" s="27" t="n"/>
      <c r="B131" s="27" t="n"/>
      <c r="C131" s="28">
        <f>IF(A131="","",$B$2)</f>
        <v/>
      </c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  <c r="AA131" s="27" t="n"/>
      <c r="AB131" s="27" t="n"/>
      <c r="AC131" s="27" t="n"/>
      <c r="AD131" s="27" t="n"/>
      <c r="AE131" s="27" t="n"/>
      <c r="AF131" s="27" t="n"/>
      <c r="AG131" s="27" t="n"/>
      <c r="AH131" s="27" t="n"/>
      <c r="AI131" s="27" t="n"/>
      <c r="AJ131" s="27" t="n"/>
      <c r="AK131" s="27" t="n"/>
      <c r="AL131" s="27" t="n"/>
      <c r="AM131" s="27" t="n"/>
      <c r="AN131" s="27" t="n"/>
      <c r="AO131" s="27" t="n"/>
      <c r="AP131" s="27" t="n"/>
      <c r="AQ131" s="27" t="n"/>
      <c r="AR131" s="27" t="n"/>
      <c r="AS131" s="27" t="n"/>
      <c r="AT131" s="27" t="n"/>
      <c r="AU131" s="27" t="n"/>
      <c r="AV131" s="27" t="n"/>
      <c r="AW131" s="27" t="n"/>
      <c r="AX131" s="27" t="n"/>
      <c r="AY131" s="27" t="n"/>
      <c r="AZ131" s="27" t="n"/>
      <c r="BA131" s="27" t="n"/>
      <c r="BB131" s="27" t="n"/>
      <c r="BC131" s="27" t="n"/>
      <c r="BD131" s="27" t="n"/>
      <c r="BE131" s="27" t="n"/>
      <c r="BF131" s="27" t="n"/>
      <c r="BG131" s="27" t="n"/>
      <c r="BH131" s="27" t="n"/>
      <c r="BI131" s="29" t="n"/>
      <c r="BJ131" s="27" t="n"/>
      <c r="BK131" s="27" t="n"/>
      <c r="BL131" s="27" t="n"/>
      <c r="BM131" s="27" t="n"/>
    </row>
    <row r="132">
      <c r="A132" s="27" t="n"/>
      <c r="B132" s="27" t="n"/>
      <c r="C132" s="28">
        <f>IF(A132="","",$B$2)</f>
        <v/>
      </c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  <c r="AA132" s="27" t="n"/>
      <c r="AB132" s="27" t="n"/>
      <c r="AC132" s="27" t="n"/>
      <c r="AD132" s="27" t="n"/>
      <c r="AE132" s="27" t="n"/>
      <c r="AF132" s="27" t="n"/>
      <c r="AG132" s="27" t="n"/>
      <c r="AH132" s="27" t="n"/>
      <c r="AI132" s="27" t="n"/>
      <c r="AJ132" s="27" t="n"/>
      <c r="AK132" s="27" t="n"/>
      <c r="AL132" s="27" t="n"/>
      <c r="AM132" s="27" t="n"/>
      <c r="AN132" s="27" t="n"/>
      <c r="AO132" s="27" t="n"/>
      <c r="AP132" s="27" t="n"/>
      <c r="AQ132" s="27" t="n"/>
      <c r="AR132" s="27" t="n"/>
      <c r="AS132" s="27" t="n"/>
      <c r="AT132" s="27" t="n"/>
      <c r="AU132" s="27" t="n"/>
      <c r="AV132" s="27" t="n"/>
      <c r="AW132" s="27" t="n"/>
      <c r="AX132" s="27" t="n"/>
      <c r="AY132" s="27" t="n"/>
      <c r="AZ132" s="27" t="n"/>
      <c r="BA132" s="27" t="n"/>
      <c r="BB132" s="27" t="n"/>
      <c r="BC132" s="27" t="n"/>
      <c r="BD132" s="27" t="n"/>
      <c r="BE132" s="27" t="n"/>
      <c r="BF132" s="27" t="n"/>
      <c r="BG132" s="27" t="n"/>
      <c r="BH132" s="27" t="n"/>
      <c r="BI132" s="29" t="n"/>
      <c r="BJ132" s="27" t="n"/>
      <c r="BK132" s="27" t="n"/>
      <c r="BL132" s="27" t="n"/>
      <c r="BM132" s="27" t="n"/>
    </row>
    <row r="133">
      <c r="A133" s="27" t="n"/>
      <c r="B133" s="27" t="n"/>
      <c r="C133" s="28">
        <f>IF(A133="","",$B$2)</f>
        <v/>
      </c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  <c r="AA133" s="27" t="n"/>
      <c r="AB133" s="27" t="n"/>
      <c r="AC133" s="27" t="n"/>
      <c r="AD133" s="27" t="n"/>
      <c r="AE133" s="27" t="n"/>
      <c r="AF133" s="27" t="n"/>
      <c r="AG133" s="27" t="n"/>
      <c r="AH133" s="27" t="n"/>
      <c r="AI133" s="27" t="n"/>
      <c r="AJ133" s="27" t="n"/>
      <c r="AK133" s="27" t="n"/>
      <c r="AL133" s="27" t="n"/>
      <c r="AM133" s="27" t="n"/>
      <c r="AN133" s="27" t="n"/>
      <c r="AO133" s="27" t="n"/>
      <c r="AP133" s="27" t="n"/>
      <c r="AQ133" s="27" t="n"/>
      <c r="AR133" s="27" t="n"/>
      <c r="AS133" s="27" t="n"/>
      <c r="AT133" s="27" t="n"/>
      <c r="AU133" s="27" t="n"/>
      <c r="AV133" s="27" t="n"/>
      <c r="AW133" s="27" t="n"/>
      <c r="AX133" s="27" t="n"/>
      <c r="AY133" s="27" t="n"/>
      <c r="AZ133" s="27" t="n"/>
      <c r="BA133" s="27" t="n"/>
      <c r="BB133" s="27" t="n"/>
      <c r="BC133" s="27" t="n"/>
      <c r="BD133" s="27" t="n"/>
      <c r="BE133" s="27" t="n"/>
      <c r="BF133" s="27" t="n"/>
      <c r="BG133" s="27" t="n"/>
      <c r="BH133" s="27" t="n"/>
      <c r="BI133" s="29" t="n"/>
      <c r="BJ133" s="27" t="n"/>
      <c r="BK133" s="27" t="n"/>
      <c r="BL133" s="27" t="n"/>
      <c r="BM133" s="27" t="n"/>
    </row>
    <row r="134">
      <c r="A134" s="27" t="n"/>
      <c r="B134" s="27" t="n"/>
      <c r="C134" s="28">
        <f>IF(A134="","",$B$2)</f>
        <v/>
      </c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  <c r="AA134" s="27" t="n"/>
      <c r="AB134" s="27" t="n"/>
      <c r="AC134" s="27" t="n"/>
      <c r="AD134" s="27" t="n"/>
      <c r="AE134" s="27" t="n"/>
      <c r="AF134" s="27" t="n"/>
      <c r="AG134" s="27" t="n"/>
      <c r="AH134" s="27" t="n"/>
      <c r="AI134" s="27" t="n"/>
      <c r="AJ134" s="27" t="n"/>
      <c r="AK134" s="27" t="n"/>
      <c r="AL134" s="27" t="n"/>
      <c r="AM134" s="27" t="n"/>
      <c r="AN134" s="27" t="n"/>
      <c r="AO134" s="27" t="n"/>
      <c r="AP134" s="27" t="n"/>
      <c r="AQ134" s="27" t="n"/>
      <c r="AR134" s="27" t="n"/>
      <c r="AS134" s="27" t="n"/>
      <c r="AT134" s="27" t="n"/>
      <c r="AU134" s="27" t="n"/>
      <c r="AV134" s="27" t="n"/>
      <c r="AW134" s="27" t="n"/>
      <c r="AX134" s="27" t="n"/>
      <c r="AY134" s="27" t="n"/>
      <c r="AZ134" s="27" t="n"/>
      <c r="BA134" s="27" t="n"/>
      <c r="BB134" s="27" t="n"/>
      <c r="BC134" s="27" t="n"/>
      <c r="BD134" s="27" t="n"/>
      <c r="BE134" s="27" t="n"/>
      <c r="BF134" s="27" t="n"/>
      <c r="BG134" s="27" t="n"/>
      <c r="BH134" s="27" t="n"/>
      <c r="BI134" s="29" t="n"/>
      <c r="BJ134" s="27" t="n"/>
      <c r="BK134" s="27" t="n"/>
      <c r="BL134" s="27" t="n"/>
      <c r="BM134" s="27" t="n"/>
    </row>
    <row r="135">
      <c r="A135" s="27" t="n"/>
      <c r="B135" s="27" t="n"/>
      <c r="C135" s="28">
        <f>IF(A135="","",$B$2)</f>
        <v/>
      </c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  <c r="AA135" s="27" t="n"/>
      <c r="AB135" s="27" t="n"/>
      <c r="AC135" s="27" t="n"/>
      <c r="AD135" s="27" t="n"/>
      <c r="AE135" s="27" t="n"/>
      <c r="AF135" s="27" t="n"/>
      <c r="AG135" s="27" t="n"/>
      <c r="AH135" s="27" t="n"/>
      <c r="AI135" s="27" t="n"/>
      <c r="AJ135" s="27" t="n"/>
      <c r="AK135" s="27" t="n"/>
      <c r="AL135" s="27" t="n"/>
      <c r="AM135" s="27" t="n"/>
      <c r="AN135" s="27" t="n"/>
      <c r="AO135" s="27" t="n"/>
      <c r="AP135" s="27" t="n"/>
      <c r="AQ135" s="27" t="n"/>
      <c r="AR135" s="27" t="n"/>
      <c r="AS135" s="27" t="n"/>
      <c r="AT135" s="27" t="n"/>
      <c r="AU135" s="27" t="n"/>
      <c r="AV135" s="27" t="n"/>
      <c r="AW135" s="27" t="n"/>
      <c r="AX135" s="27" t="n"/>
      <c r="AY135" s="27" t="n"/>
      <c r="AZ135" s="27" t="n"/>
      <c r="BA135" s="27" t="n"/>
      <c r="BB135" s="27" t="n"/>
      <c r="BC135" s="27" t="n"/>
      <c r="BD135" s="27" t="n"/>
      <c r="BE135" s="27" t="n"/>
      <c r="BF135" s="27" t="n"/>
      <c r="BG135" s="27" t="n"/>
      <c r="BH135" s="27" t="n"/>
      <c r="BI135" s="29" t="n"/>
      <c r="BJ135" s="27" t="n"/>
      <c r="BK135" s="27" t="n"/>
      <c r="BL135" s="27" t="n"/>
      <c r="BM135" s="27" t="n"/>
    </row>
    <row r="136">
      <c r="A136" s="27" t="n"/>
      <c r="B136" s="27" t="n"/>
      <c r="C136" s="28">
        <f>IF(A136="","",$B$2)</f>
        <v/>
      </c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  <c r="AA136" s="27" t="n"/>
      <c r="AB136" s="27" t="n"/>
      <c r="AC136" s="27" t="n"/>
      <c r="AD136" s="27" t="n"/>
      <c r="AE136" s="27" t="n"/>
      <c r="AF136" s="27" t="n"/>
      <c r="AG136" s="27" t="n"/>
      <c r="AH136" s="27" t="n"/>
      <c r="AI136" s="27" t="n"/>
      <c r="AJ136" s="27" t="n"/>
      <c r="AK136" s="27" t="n"/>
      <c r="AL136" s="27" t="n"/>
      <c r="AM136" s="27" t="n"/>
      <c r="AN136" s="27" t="n"/>
      <c r="AO136" s="27" t="n"/>
      <c r="AP136" s="27" t="n"/>
      <c r="AQ136" s="27" t="n"/>
      <c r="AR136" s="27" t="n"/>
      <c r="AS136" s="27" t="n"/>
      <c r="AT136" s="27" t="n"/>
      <c r="AU136" s="27" t="n"/>
      <c r="AV136" s="27" t="n"/>
      <c r="AW136" s="27" t="n"/>
      <c r="AX136" s="27" t="n"/>
      <c r="AY136" s="27" t="n"/>
      <c r="AZ136" s="27" t="n"/>
      <c r="BA136" s="27" t="n"/>
      <c r="BB136" s="27" t="n"/>
      <c r="BC136" s="27" t="n"/>
      <c r="BD136" s="27" t="n"/>
      <c r="BE136" s="27" t="n"/>
      <c r="BF136" s="27" t="n"/>
      <c r="BG136" s="27" t="n"/>
      <c r="BH136" s="27" t="n"/>
      <c r="BI136" s="29" t="n"/>
      <c r="BJ136" s="27" t="n"/>
      <c r="BK136" s="27" t="n"/>
      <c r="BL136" s="27" t="n"/>
      <c r="BM136" s="27" t="n"/>
    </row>
    <row r="137">
      <c r="A137" s="27" t="n"/>
      <c r="B137" s="27" t="n"/>
      <c r="C137" s="28">
        <f>IF(A137="","",$B$2)</f>
        <v/>
      </c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  <c r="AA137" s="27" t="n"/>
      <c r="AB137" s="27" t="n"/>
      <c r="AC137" s="27" t="n"/>
      <c r="AD137" s="27" t="n"/>
      <c r="AE137" s="27" t="n"/>
      <c r="AF137" s="27" t="n"/>
      <c r="AG137" s="27" t="n"/>
      <c r="AH137" s="27" t="n"/>
      <c r="AI137" s="27" t="n"/>
      <c r="AJ137" s="27" t="n"/>
      <c r="AK137" s="27" t="n"/>
      <c r="AL137" s="27" t="n"/>
      <c r="AM137" s="27" t="n"/>
      <c r="AN137" s="27" t="n"/>
      <c r="AO137" s="27" t="n"/>
      <c r="AP137" s="27" t="n"/>
      <c r="AQ137" s="27" t="n"/>
      <c r="AR137" s="27" t="n"/>
      <c r="AS137" s="27" t="n"/>
      <c r="AT137" s="27" t="n"/>
      <c r="AU137" s="27" t="n"/>
      <c r="AV137" s="27" t="n"/>
      <c r="AW137" s="27" t="n"/>
      <c r="AX137" s="27" t="n"/>
      <c r="AY137" s="27" t="n"/>
      <c r="AZ137" s="27" t="n"/>
      <c r="BA137" s="27" t="n"/>
      <c r="BB137" s="27" t="n"/>
      <c r="BC137" s="27" t="n"/>
      <c r="BD137" s="27" t="n"/>
      <c r="BE137" s="27" t="n"/>
      <c r="BF137" s="27" t="n"/>
      <c r="BG137" s="27" t="n"/>
      <c r="BH137" s="27" t="n"/>
      <c r="BI137" s="29" t="n"/>
      <c r="BJ137" s="27" t="n"/>
      <c r="BK137" s="27" t="n"/>
      <c r="BL137" s="27" t="n"/>
      <c r="BM137" s="27" t="n"/>
    </row>
    <row r="138">
      <c r="A138" s="27" t="n"/>
      <c r="B138" s="27" t="n"/>
      <c r="C138" s="28">
        <f>IF(A138="","",$B$2)</f>
        <v/>
      </c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  <c r="AA138" s="27" t="n"/>
      <c r="AB138" s="27" t="n"/>
      <c r="AC138" s="27" t="n"/>
      <c r="AD138" s="27" t="n"/>
      <c r="AE138" s="27" t="n"/>
      <c r="AF138" s="27" t="n"/>
      <c r="AG138" s="27" t="n"/>
      <c r="AH138" s="27" t="n"/>
      <c r="AI138" s="27" t="n"/>
      <c r="AJ138" s="27" t="n"/>
      <c r="AK138" s="27" t="n"/>
      <c r="AL138" s="27" t="n"/>
      <c r="AM138" s="27" t="n"/>
      <c r="AN138" s="27" t="n"/>
      <c r="AO138" s="27" t="n"/>
      <c r="AP138" s="27" t="n"/>
      <c r="AQ138" s="27" t="n"/>
      <c r="AR138" s="27" t="n"/>
      <c r="AS138" s="27" t="n"/>
      <c r="AT138" s="27" t="n"/>
      <c r="AU138" s="27" t="n"/>
      <c r="AV138" s="27" t="n"/>
      <c r="AW138" s="27" t="n"/>
      <c r="AX138" s="27" t="n"/>
      <c r="AY138" s="27" t="n"/>
      <c r="AZ138" s="27" t="n"/>
      <c r="BA138" s="27" t="n"/>
      <c r="BB138" s="27" t="n"/>
      <c r="BC138" s="27" t="n"/>
      <c r="BD138" s="27" t="n"/>
      <c r="BE138" s="27" t="n"/>
      <c r="BF138" s="27" t="n"/>
      <c r="BG138" s="27" t="n"/>
      <c r="BH138" s="27" t="n"/>
      <c r="BI138" s="29" t="n"/>
      <c r="BJ138" s="27" t="n"/>
      <c r="BK138" s="27" t="n"/>
      <c r="BL138" s="27" t="n"/>
      <c r="BM138" s="27" t="n"/>
    </row>
    <row r="139">
      <c r="A139" s="27" t="n"/>
      <c r="B139" s="27" t="n"/>
      <c r="C139" s="28">
        <f>IF(A139="","",$B$2)</f>
        <v/>
      </c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  <c r="AA139" s="27" t="n"/>
      <c r="AB139" s="27" t="n"/>
      <c r="AC139" s="27" t="n"/>
      <c r="AD139" s="27" t="n"/>
      <c r="AE139" s="27" t="n"/>
      <c r="AF139" s="27" t="n"/>
      <c r="AG139" s="27" t="n"/>
      <c r="AH139" s="27" t="n"/>
      <c r="AI139" s="27" t="n"/>
      <c r="AJ139" s="27" t="n"/>
      <c r="AK139" s="27" t="n"/>
      <c r="AL139" s="27" t="n"/>
      <c r="AM139" s="27" t="n"/>
      <c r="AN139" s="27" t="n"/>
      <c r="AO139" s="27" t="n"/>
      <c r="AP139" s="27" t="n"/>
      <c r="AQ139" s="27" t="n"/>
      <c r="AR139" s="27" t="n"/>
      <c r="AS139" s="27" t="n"/>
      <c r="AT139" s="27" t="n"/>
      <c r="AU139" s="27" t="n"/>
      <c r="AV139" s="27" t="n"/>
      <c r="AW139" s="27" t="n"/>
      <c r="AX139" s="27" t="n"/>
      <c r="AY139" s="27" t="n"/>
      <c r="AZ139" s="27" t="n"/>
      <c r="BA139" s="27" t="n"/>
      <c r="BB139" s="27" t="n"/>
      <c r="BC139" s="27" t="n"/>
      <c r="BD139" s="27" t="n"/>
      <c r="BE139" s="27" t="n"/>
      <c r="BF139" s="27" t="n"/>
      <c r="BG139" s="27" t="n"/>
      <c r="BH139" s="27" t="n"/>
      <c r="BI139" s="29" t="n"/>
      <c r="BJ139" s="27" t="n"/>
      <c r="BK139" s="27" t="n"/>
      <c r="BL139" s="27" t="n"/>
      <c r="BM139" s="27" t="n"/>
    </row>
    <row r="140">
      <c r="A140" s="27" t="n"/>
      <c r="B140" s="27" t="n"/>
      <c r="C140" s="28">
        <f>IF(A140="","",$B$2)</f>
        <v/>
      </c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  <c r="AA140" s="27" t="n"/>
      <c r="AB140" s="27" t="n"/>
      <c r="AC140" s="27" t="n"/>
      <c r="AD140" s="27" t="n"/>
      <c r="AE140" s="27" t="n"/>
      <c r="AF140" s="27" t="n"/>
      <c r="AG140" s="27" t="n"/>
      <c r="AH140" s="27" t="n"/>
      <c r="AI140" s="27" t="n"/>
      <c r="AJ140" s="27" t="n"/>
      <c r="AK140" s="27" t="n"/>
      <c r="AL140" s="27" t="n"/>
      <c r="AM140" s="27" t="n"/>
      <c r="AN140" s="27" t="n"/>
      <c r="AO140" s="27" t="n"/>
      <c r="AP140" s="27" t="n"/>
      <c r="AQ140" s="27" t="n"/>
      <c r="AR140" s="27" t="n"/>
      <c r="AS140" s="27" t="n"/>
      <c r="AT140" s="27" t="n"/>
      <c r="AU140" s="27" t="n"/>
      <c r="AV140" s="27" t="n"/>
      <c r="AW140" s="27" t="n"/>
      <c r="AX140" s="27" t="n"/>
      <c r="AY140" s="27" t="n"/>
      <c r="AZ140" s="27" t="n"/>
      <c r="BA140" s="27" t="n"/>
      <c r="BB140" s="27" t="n"/>
      <c r="BC140" s="27" t="n"/>
      <c r="BD140" s="27" t="n"/>
      <c r="BE140" s="27" t="n"/>
      <c r="BF140" s="27" t="n"/>
      <c r="BG140" s="27" t="n"/>
      <c r="BH140" s="27" t="n"/>
      <c r="BI140" s="29" t="n"/>
      <c r="BJ140" s="27" t="n"/>
      <c r="BK140" s="27" t="n"/>
      <c r="BL140" s="27" t="n"/>
      <c r="BM140" s="27" t="n"/>
    </row>
    <row r="141">
      <c r="A141" s="27" t="n"/>
      <c r="B141" s="27" t="n"/>
      <c r="C141" s="28">
        <f>IF(A141="","",$B$2)</f>
        <v/>
      </c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  <c r="AA141" s="27" t="n"/>
      <c r="AB141" s="27" t="n"/>
      <c r="AC141" s="27" t="n"/>
      <c r="AD141" s="27" t="n"/>
      <c r="AE141" s="27" t="n"/>
      <c r="AF141" s="27" t="n"/>
      <c r="AG141" s="27" t="n"/>
      <c r="AH141" s="27" t="n"/>
      <c r="AI141" s="27" t="n"/>
      <c r="AJ141" s="27" t="n"/>
      <c r="AK141" s="27" t="n"/>
      <c r="AL141" s="27" t="n"/>
      <c r="AM141" s="27" t="n"/>
      <c r="AN141" s="27" t="n"/>
      <c r="AO141" s="27" t="n"/>
      <c r="AP141" s="27" t="n"/>
      <c r="AQ141" s="27" t="n"/>
      <c r="AR141" s="27" t="n"/>
      <c r="AS141" s="27" t="n"/>
      <c r="AT141" s="27" t="n"/>
      <c r="AU141" s="27" t="n"/>
      <c r="AV141" s="27" t="n"/>
      <c r="AW141" s="27" t="n"/>
      <c r="AX141" s="27" t="n"/>
      <c r="AY141" s="27" t="n"/>
      <c r="AZ141" s="27" t="n"/>
      <c r="BA141" s="27" t="n"/>
      <c r="BB141" s="27" t="n"/>
      <c r="BC141" s="27" t="n"/>
      <c r="BD141" s="27" t="n"/>
      <c r="BE141" s="27" t="n"/>
      <c r="BF141" s="27" t="n"/>
      <c r="BG141" s="27" t="n"/>
      <c r="BH141" s="27" t="n"/>
      <c r="BI141" s="29" t="n"/>
      <c r="BJ141" s="27" t="n"/>
      <c r="BK141" s="27" t="n"/>
      <c r="BL141" s="27" t="n"/>
      <c r="BM141" s="27" t="n"/>
    </row>
    <row r="142">
      <c r="A142" s="27" t="n"/>
      <c r="B142" s="27" t="n"/>
      <c r="C142" s="28">
        <f>IF(A142="","",$B$2)</f>
        <v/>
      </c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  <c r="AA142" s="27" t="n"/>
      <c r="AB142" s="27" t="n"/>
      <c r="AC142" s="27" t="n"/>
      <c r="AD142" s="27" t="n"/>
      <c r="AE142" s="27" t="n"/>
      <c r="AF142" s="27" t="n"/>
      <c r="AG142" s="27" t="n"/>
      <c r="AH142" s="27" t="n"/>
      <c r="AI142" s="27" t="n"/>
      <c r="AJ142" s="27" t="n"/>
      <c r="AK142" s="27" t="n"/>
      <c r="AL142" s="27" t="n"/>
      <c r="AM142" s="27" t="n"/>
      <c r="AN142" s="27" t="n"/>
      <c r="AO142" s="27" t="n"/>
      <c r="AP142" s="27" t="n"/>
      <c r="AQ142" s="27" t="n"/>
      <c r="AR142" s="27" t="n"/>
      <c r="AS142" s="27" t="n"/>
      <c r="AT142" s="27" t="n"/>
      <c r="AU142" s="27" t="n"/>
      <c r="AV142" s="27" t="n"/>
      <c r="AW142" s="27" t="n"/>
      <c r="AX142" s="27" t="n"/>
      <c r="AY142" s="27" t="n"/>
      <c r="AZ142" s="27" t="n"/>
      <c r="BA142" s="27" t="n"/>
      <c r="BB142" s="27" t="n"/>
      <c r="BC142" s="27" t="n"/>
      <c r="BD142" s="27" t="n"/>
      <c r="BE142" s="27" t="n"/>
      <c r="BF142" s="27" t="n"/>
      <c r="BG142" s="27" t="n"/>
      <c r="BH142" s="27" t="n"/>
      <c r="BI142" s="29" t="n"/>
      <c r="BJ142" s="27" t="n"/>
      <c r="BK142" s="27" t="n"/>
      <c r="BL142" s="27" t="n"/>
      <c r="BM142" s="27" t="n"/>
    </row>
    <row r="143">
      <c r="A143" s="27" t="n"/>
      <c r="B143" s="27" t="n"/>
      <c r="C143" s="28">
        <f>IF(A143="","",$B$2)</f>
        <v/>
      </c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  <c r="AA143" s="27" t="n"/>
      <c r="AB143" s="27" t="n"/>
      <c r="AC143" s="27" t="n"/>
      <c r="AD143" s="27" t="n"/>
      <c r="AE143" s="27" t="n"/>
      <c r="AF143" s="27" t="n"/>
      <c r="AG143" s="27" t="n"/>
      <c r="AH143" s="27" t="n"/>
      <c r="AI143" s="27" t="n"/>
      <c r="AJ143" s="27" t="n"/>
      <c r="AK143" s="27" t="n"/>
      <c r="AL143" s="27" t="n"/>
      <c r="AM143" s="27" t="n"/>
      <c r="AN143" s="27" t="n"/>
      <c r="AO143" s="27" t="n"/>
      <c r="AP143" s="27" t="n"/>
      <c r="AQ143" s="27" t="n"/>
      <c r="AR143" s="27" t="n"/>
      <c r="AS143" s="27" t="n"/>
      <c r="AT143" s="27" t="n"/>
      <c r="AU143" s="27" t="n"/>
      <c r="AV143" s="27" t="n"/>
      <c r="AW143" s="27" t="n"/>
      <c r="AX143" s="27" t="n"/>
      <c r="AY143" s="27" t="n"/>
      <c r="AZ143" s="27" t="n"/>
      <c r="BA143" s="27" t="n"/>
      <c r="BB143" s="27" t="n"/>
      <c r="BC143" s="27" t="n"/>
      <c r="BD143" s="27" t="n"/>
      <c r="BE143" s="27" t="n"/>
      <c r="BF143" s="27" t="n"/>
      <c r="BG143" s="27" t="n"/>
      <c r="BH143" s="27" t="n"/>
      <c r="BI143" s="29" t="n"/>
      <c r="BJ143" s="27" t="n"/>
      <c r="BK143" s="27" t="n"/>
      <c r="BL143" s="27" t="n"/>
      <c r="BM143" s="27" t="n"/>
    </row>
    <row r="144">
      <c r="A144" s="27" t="n"/>
      <c r="B144" s="27" t="n"/>
      <c r="C144" s="28">
        <f>IF(A144="","",$B$2)</f>
        <v/>
      </c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  <c r="AA144" s="27" t="n"/>
      <c r="AB144" s="27" t="n"/>
      <c r="AC144" s="27" t="n"/>
      <c r="AD144" s="27" t="n"/>
      <c r="AE144" s="27" t="n"/>
      <c r="AF144" s="27" t="n"/>
      <c r="AG144" s="27" t="n"/>
      <c r="AH144" s="27" t="n"/>
      <c r="AI144" s="27" t="n"/>
      <c r="AJ144" s="27" t="n"/>
      <c r="AK144" s="27" t="n"/>
      <c r="AL144" s="27" t="n"/>
      <c r="AM144" s="27" t="n"/>
      <c r="AN144" s="27" t="n"/>
      <c r="AO144" s="27" t="n"/>
      <c r="AP144" s="27" t="n"/>
      <c r="AQ144" s="27" t="n"/>
      <c r="AR144" s="27" t="n"/>
      <c r="AS144" s="27" t="n"/>
      <c r="AT144" s="27" t="n"/>
      <c r="AU144" s="27" t="n"/>
      <c r="AV144" s="27" t="n"/>
      <c r="AW144" s="27" t="n"/>
      <c r="AX144" s="27" t="n"/>
      <c r="AY144" s="27" t="n"/>
      <c r="AZ144" s="27" t="n"/>
      <c r="BA144" s="27" t="n"/>
      <c r="BB144" s="27" t="n"/>
      <c r="BC144" s="27" t="n"/>
      <c r="BD144" s="27" t="n"/>
      <c r="BE144" s="27" t="n"/>
      <c r="BF144" s="27" t="n"/>
      <c r="BG144" s="27" t="n"/>
      <c r="BH144" s="27" t="n"/>
      <c r="BI144" s="29" t="n"/>
      <c r="BJ144" s="27" t="n"/>
      <c r="BK144" s="27" t="n"/>
      <c r="BL144" s="27" t="n"/>
      <c r="BM144" s="27" t="n"/>
    </row>
    <row r="145">
      <c r="A145" s="27" t="n"/>
      <c r="B145" s="27" t="n"/>
      <c r="C145" s="28">
        <f>IF(A145="","",$B$2)</f>
        <v/>
      </c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  <c r="AA145" s="27" t="n"/>
      <c r="AB145" s="27" t="n"/>
      <c r="AC145" s="27" t="n"/>
      <c r="AD145" s="27" t="n"/>
      <c r="AE145" s="27" t="n"/>
      <c r="AF145" s="27" t="n"/>
      <c r="AG145" s="27" t="n"/>
      <c r="AH145" s="27" t="n"/>
      <c r="AI145" s="27" t="n"/>
      <c r="AJ145" s="27" t="n"/>
      <c r="AK145" s="27" t="n"/>
      <c r="AL145" s="27" t="n"/>
      <c r="AM145" s="27" t="n"/>
      <c r="AN145" s="27" t="n"/>
      <c r="AO145" s="27" t="n"/>
      <c r="AP145" s="27" t="n"/>
      <c r="AQ145" s="27" t="n"/>
      <c r="AR145" s="27" t="n"/>
      <c r="AS145" s="27" t="n"/>
      <c r="AT145" s="27" t="n"/>
      <c r="AU145" s="27" t="n"/>
      <c r="AV145" s="27" t="n"/>
      <c r="AW145" s="27" t="n"/>
      <c r="AX145" s="27" t="n"/>
      <c r="AY145" s="27" t="n"/>
      <c r="AZ145" s="27" t="n"/>
      <c r="BA145" s="27" t="n"/>
      <c r="BB145" s="27" t="n"/>
      <c r="BC145" s="27" t="n"/>
      <c r="BD145" s="27" t="n"/>
      <c r="BE145" s="27" t="n"/>
      <c r="BF145" s="27" t="n"/>
      <c r="BG145" s="27" t="n"/>
      <c r="BH145" s="27" t="n"/>
      <c r="BI145" s="29" t="n"/>
      <c r="BJ145" s="27" t="n"/>
      <c r="BK145" s="27" t="n"/>
      <c r="BL145" s="27" t="n"/>
      <c r="BM145" s="27" t="n"/>
    </row>
    <row r="146">
      <c r="A146" s="27" t="n"/>
      <c r="B146" s="27" t="n"/>
      <c r="C146" s="28">
        <f>IF(A146="","",$B$2)</f>
        <v/>
      </c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  <c r="AA146" s="27" t="n"/>
      <c r="AB146" s="27" t="n"/>
      <c r="AC146" s="27" t="n"/>
      <c r="AD146" s="27" t="n"/>
      <c r="AE146" s="27" t="n"/>
      <c r="AF146" s="27" t="n"/>
      <c r="AG146" s="27" t="n"/>
      <c r="AH146" s="27" t="n"/>
      <c r="AI146" s="27" t="n"/>
      <c r="AJ146" s="27" t="n"/>
      <c r="AK146" s="27" t="n"/>
      <c r="AL146" s="27" t="n"/>
      <c r="AM146" s="27" t="n"/>
      <c r="AN146" s="27" t="n"/>
      <c r="AO146" s="27" t="n"/>
      <c r="AP146" s="27" t="n"/>
      <c r="AQ146" s="27" t="n"/>
      <c r="AR146" s="27" t="n"/>
      <c r="AS146" s="27" t="n"/>
      <c r="AT146" s="27" t="n"/>
      <c r="AU146" s="27" t="n"/>
      <c r="AV146" s="27" t="n"/>
      <c r="AW146" s="27" t="n"/>
      <c r="AX146" s="27" t="n"/>
      <c r="AY146" s="27" t="n"/>
      <c r="AZ146" s="27" t="n"/>
      <c r="BA146" s="27" t="n"/>
      <c r="BB146" s="27" t="n"/>
      <c r="BC146" s="27" t="n"/>
      <c r="BD146" s="27" t="n"/>
      <c r="BE146" s="27" t="n"/>
      <c r="BF146" s="27" t="n"/>
      <c r="BG146" s="27" t="n"/>
      <c r="BH146" s="27" t="n"/>
      <c r="BI146" s="29" t="n"/>
      <c r="BJ146" s="27" t="n"/>
      <c r="BK146" s="27" t="n"/>
      <c r="BL146" s="27" t="n"/>
      <c r="BM146" s="27" t="n"/>
    </row>
    <row r="147">
      <c r="A147" s="27" t="n"/>
      <c r="B147" s="27" t="n"/>
      <c r="C147" s="28">
        <f>IF(A147="","",$B$2)</f>
        <v/>
      </c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  <c r="AA147" s="27" t="n"/>
      <c r="AB147" s="27" t="n"/>
      <c r="AC147" s="27" t="n"/>
      <c r="AD147" s="27" t="n"/>
      <c r="AE147" s="27" t="n"/>
      <c r="AF147" s="27" t="n"/>
      <c r="AG147" s="27" t="n"/>
      <c r="AH147" s="27" t="n"/>
      <c r="AI147" s="27" t="n"/>
      <c r="AJ147" s="27" t="n"/>
      <c r="AK147" s="27" t="n"/>
      <c r="AL147" s="27" t="n"/>
      <c r="AM147" s="27" t="n"/>
      <c r="AN147" s="27" t="n"/>
      <c r="AO147" s="27" t="n"/>
      <c r="AP147" s="27" t="n"/>
      <c r="AQ147" s="27" t="n"/>
      <c r="AR147" s="27" t="n"/>
      <c r="AS147" s="27" t="n"/>
      <c r="AT147" s="27" t="n"/>
      <c r="AU147" s="27" t="n"/>
      <c r="AV147" s="27" t="n"/>
      <c r="AW147" s="27" t="n"/>
      <c r="AX147" s="27" t="n"/>
      <c r="AY147" s="27" t="n"/>
      <c r="AZ147" s="27" t="n"/>
      <c r="BA147" s="27" t="n"/>
      <c r="BB147" s="27" t="n"/>
      <c r="BC147" s="27" t="n"/>
      <c r="BD147" s="27" t="n"/>
      <c r="BE147" s="27" t="n"/>
      <c r="BF147" s="27" t="n"/>
      <c r="BG147" s="27" t="n"/>
      <c r="BH147" s="27" t="n"/>
      <c r="BI147" s="29" t="n"/>
      <c r="BJ147" s="27" t="n"/>
      <c r="BK147" s="27" t="n"/>
      <c r="BL147" s="27" t="n"/>
      <c r="BM147" s="27" t="n"/>
    </row>
    <row r="148">
      <c r="A148" s="27" t="n"/>
      <c r="B148" s="27" t="n"/>
      <c r="C148" s="28">
        <f>IF(A148="","",$B$2)</f>
        <v/>
      </c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  <c r="AA148" s="27" t="n"/>
      <c r="AB148" s="27" t="n"/>
      <c r="AC148" s="27" t="n"/>
      <c r="AD148" s="27" t="n"/>
      <c r="AE148" s="27" t="n"/>
      <c r="AF148" s="27" t="n"/>
      <c r="AG148" s="27" t="n"/>
      <c r="AH148" s="27" t="n"/>
      <c r="AI148" s="27" t="n"/>
      <c r="AJ148" s="27" t="n"/>
      <c r="AK148" s="27" t="n"/>
      <c r="AL148" s="27" t="n"/>
      <c r="AM148" s="27" t="n"/>
      <c r="AN148" s="27" t="n"/>
      <c r="AO148" s="27" t="n"/>
      <c r="AP148" s="27" t="n"/>
      <c r="AQ148" s="27" t="n"/>
      <c r="AR148" s="27" t="n"/>
      <c r="AS148" s="27" t="n"/>
      <c r="AT148" s="27" t="n"/>
      <c r="AU148" s="27" t="n"/>
      <c r="AV148" s="27" t="n"/>
      <c r="AW148" s="27" t="n"/>
      <c r="AX148" s="27" t="n"/>
      <c r="AY148" s="27" t="n"/>
      <c r="AZ148" s="27" t="n"/>
      <c r="BA148" s="27" t="n"/>
      <c r="BB148" s="27" t="n"/>
      <c r="BC148" s="27" t="n"/>
      <c r="BD148" s="27" t="n"/>
      <c r="BE148" s="27" t="n"/>
      <c r="BF148" s="27" t="n"/>
      <c r="BG148" s="27" t="n"/>
      <c r="BH148" s="27" t="n"/>
      <c r="BI148" s="29" t="n"/>
      <c r="BJ148" s="27" t="n"/>
      <c r="BK148" s="27" t="n"/>
      <c r="BL148" s="27" t="n"/>
      <c r="BM148" s="27" t="n"/>
    </row>
    <row r="149">
      <c r="A149" s="27" t="n"/>
      <c r="B149" s="27" t="n"/>
      <c r="C149" s="28">
        <f>IF(A149="","",$B$2)</f>
        <v/>
      </c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  <c r="AA149" s="27" t="n"/>
      <c r="AB149" s="27" t="n"/>
      <c r="AC149" s="27" t="n"/>
      <c r="AD149" s="27" t="n"/>
      <c r="AE149" s="27" t="n"/>
      <c r="AF149" s="27" t="n"/>
      <c r="AG149" s="27" t="n"/>
      <c r="AH149" s="27" t="n"/>
      <c r="AI149" s="27" t="n"/>
      <c r="AJ149" s="27" t="n"/>
      <c r="AK149" s="27" t="n"/>
      <c r="AL149" s="27" t="n"/>
      <c r="AM149" s="27" t="n"/>
      <c r="AN149" s="27" t="n"/>
      <c r="AO149" s="27" t="n"/>
      <c r="AP149" s="27" t="n"/>
      <c r="AQ149" s="27" t="n"/>
      <c r="AR149" s="27" t="n"/>
      <c r="AS149" s="27" t="n"/>
      <c r="AT149" s="27" t="n"/>
      <c r="AU149" s="27" t="n"/>
      <c r="AV149" s="27" t="n"/>
      <c r="AW149" s="27" t="n"/>
      <c r="AX149" s="27" t="n"/>
      <c r="AY149" s="27" t="n"/>
      <c r="AZ149" s="27" t="n"/>
      <c r="BA149" s="27" t="n"/>
      <c r="BB149" s="27" t="n"/>
      <c r="BC149" s="27" t="n"/>
      <c r="BD149" s="27" t="n"/>
      <c r="BE149" s="27" t="n"/>
      <c r="BF149" s="27" t="n"/>
      <c r="BG149" s="27" t="n"/>
      <c r="BH149" s="27" t="n"/>
      <c r="BI149" s="29" t="n"/>
      <c r="BJ149" s="27" t="n"/>
      <c r="BK149" s="27" t="n"/>
      <c r="BL149" s="27" t="n"/>
      <c r="BM149" s="27" t="n"/>
    </row>
    <row r="150">
      <c r="A150" s="27" t="n"/>
      <c r="B150" s="27" t="n"/>
      <c r="C150" s="28">
        <f>IF(A150="","",$B$2)</f>
        <v/>
      </c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  <c r="AA150" s="27" t="n"/>
      <c r="AB150" s="27" t="n"/>
      <c r="AC150" s="27" t="n"/>
      <c r="AD150" s="27" t="n"/>
      <c r="AE150" s="27" t="n"/>
      <c r="AF150" s="27" t="n"/>
      <c r="AG150" s="27" t="n"/>
      <c r="AH150" s="27" t="n"/>
      <c r="AI150" s="27" t="n"/>
      <c r="AJ150" s="27" t="n"/>
      <c r="AK150" s="27" t="n"/>
      <c r="AL150" s="27" t="n"/>
      <c r="AM150" s="27" t="n"/>
      <c r="AN150" s="27" t="n"/>
      <c r="AO150" s="27" t="n"/>
      <c r="AP150" s="27" t="n"/>
      <c r="AQ150" s="27" t="n"/>
      <c r="AR150" s="27" t="n"/>
      <c r="AS150" s="27" t="n"/>
      <c r="AT150" s="27" t="n"/>
      <c r="AU150" s="27" t="n"/>
      <c r="AV150" s="27" t="n"/>
      <c r="AW150" s="27" t="n"/>
      <c r="AX150" s="27" t="n"/>
      <c r="AY150" s="27" t="n"/>
      <c r="AZ150" s="27" t="n"/>
      <c r="BA150" s="27" t="n"/>
      <c r="BB150" s="27" t="n"/>
      <c r="BC150" s="27" t="n"/>
      <c r="BD150" s="27" t="n"/>
      <c r="BE150" s="27" t="n"/>
      <c r="BF150" s="27" t="n"/>
      <c r="BG150" s="27" t="n"/>
      <c r="BH150" s="27" t="n"/>
      <c r="BI150" s="29" t="n"/>
      <c r="BJ150" s="27" t="n"/>
      <c r="BK150" s="27" t="n"/>
      <c r="BL150" s="27" t="n"/>
      <c r="BM150" s="27" t="n"/>
    </row>
    <row r="151">
      <c r="A151" s="27" t="n"/>
      <c r="B151" s="27" t="n"/>
      <c r="C151" s="28">
        <f>IF(A151="","",$B$2)</f>
        <v/>
      </c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  <c r="AA151" s="27" t="n"/>
      <c r="AB151" s="27" t="n"/>
      <c r="AC151" s="27" t="n"/>
      <c r="AD151" s="27" t="n"/>
      <c r="AE151" s="27" t="n"/>
      <c r="AF151" s="27" t="n"/>
      <c r="AG151" s="27" t="n"/>
      <c r="AH151" s="27" t="n"/>
      <c r="AI151" s="27" t="n"/>
      <c r="AJ151" s="27" t="n"/>
      <c r="AK151" s="27" t="n"/>
      <c r="AL151" s="27" t="n"/>
      <c r="AM151" s="27" t="n"/>
      <c r="AN151" s="27" t="n"/>
      <c r="AO151" s="27" t="n"/>
      <c r="AP151" s="27" t="n"/>
      <c r="AQ151" s="27" t="n"/>
      <c r="AR151" s="27" t="n"/>
      <c r="AS151" s="27" t="n"/>
      <c r="AT151" s="27" t="n"/>
      <c r="AU151" s="27" t="n"/>
      <c r="AV151" s="27" t="n"/>
      <c r="AW151" s="27" t="n"/>
      <c r="AX151" s="27" t="n"/>
      <c r="AY151" s="27" t="n"/>
      <c r="AZ151" s="27" t="n"/>
      <c r="BA151" s="27" t="n"/>
      <c r="BB151" s="27" t="n"/>
      <c r="BC151" s="27" t="n"/>
      <c r="BD151" s="27" t="n"/>
      <c r="BE151" s="27" t="n"/>
      <c r="BF151" s="27" t="n"/>
      <c r="BG151" s="27" t="n"/>
      <c r="BH151" s="27" t="n"/>
      <c r="BI151" s="29" t="n"/>
      <c r="BJ151" s="27" t="n"/>
      <c r="BK151" s="27" t="n"/>
      <c r="BL151" s="27" t="n"/>
      <c r="BM151" s="27" t="n"/>
    </row>
    <row r="152">
      <c r="A152" s="27" t="n"/>
      <c r="B152" s="27" t="n"/>
      <c r="C152" s="28">
        <f>IF(A152="","",$B$2)</f>
        <v/>
      </c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  <c r="AA152" s="27" t="n"/>
      <c r="AB152" s="27" t="n"/>
      <c r="AC152" s="27" t="n"/>
      <c r="AD152" s="27" t="n"/>
      <c r="AE152" s="27" t="n"/>
      <c r="AF152" s="27" t="n"/>
      <c r="AG152" s="27" t="n"/>
      <c r="AH152" s="27" t="n"/>
      <c r="AI152" s="27" t="n"/>
      <c r="AJ152" s="27" t="n"/>
      <c r="AK152" s="27" t="n"/>
      <c r="AL152" s="27" t="n"/>
      <c r="AM152" s="27" t="n"/>
      <c r="AN152" s="27" t="n"/>
      <c r="AO152" s="27" t="n"/>
      <c r="AP152" s="27" t="n"/>
      <c r="AQ152" s="27" t="n"/>
      <c r="AR152" s="27" t="n"/>
      <c r="AS152" s="27" t="n"/>
      <c r="AT152" s="27" t="n"/>
      <c r="AU152" s="27" t="n"/>
      <c r="AV152" s="27" t="n"/>
      <c r="AW152" s="27" t="n"/>
      <c r="AX152" s="27" t="n"/>
      <c r="AY152" s="27" t="n"/>
      <c r="AZ152" s="27" t="n"/>
      <c r="BA152" s="27" t="n"/>
      <c r="BB152" s="27" t="n"/>
      <c r="BC152" s="27" t="n"/>
      <c r="BD152" s="27" t="n"/>
      <c r="BE152" s="27" t="n"/>
      <c r="BF152" s="27" t="n"/>
      <c r="BG152" s="27" t="n"/>
      <c r="BH152" s="27" t="n"/>
      <c r="BI152" s="29" t="n"/>
      <c r="BJ152" s="27" t="n"/>
      <c r="BK152" s="27" t="n"/>
      <c r="BL152" s="27" t="n"/>
      <c r="BM152" s="27" t="n"/>
    </row>
    <row r="153">
      <c r="A153" s="27" t="n"/>
      <c r="B153" s="27" t="n"/>
      <c r="C153" s="28">
        <f>IF(A153="","",$B$2)</f>
        <v/>
      </c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  <c r="AA153" s="27" t="n"/>
      <c r="AB153" s="27" t="n"/>
      <c r="AC153" s="27" t="n"/>
      <c r="AD153" s="27" t="n"/>
      <c r="AE153" s="27" t="n"/>
      <c r="AF153" s="27" t="n"/>
      <c r="AG153" s="27" t="n"/>
      <c r="AH153" s="27" t="n"/>
      <c r="AI153" s="27" t="n"/>
      <c r="AJ153" s="27" t="n"/>
      <c r="AK153" s="27" t="n"/>
      <c r="AL153" s="27" t="n"/>
      <c r="AM153" s="27" t="n"/>
      <c r="AN153" s="27" t="n"/>
      <c r="AO153" s="27" t="n"/>
      <c r="AP153" s="27" t="n"/>
      <c r="AQ153" s="27" t="n"/>
      <c r="AR153" s="27" t="n"/>
      <c r="AS153" s="27" t="n"/>
      <c r="AT153" s="27" t="n"/>
      <c r="AU153" s="27" t="n"/>
      <c r="AV153" s="27" t="n"/>
      <c r="AW153" s="27" t="n"/>
      <c r="AX153" s="27" t="n"/>
      <c r="AY153" s="27" t="n"/>
      <c r="AZ153" s="27" t="n"/>
      <c r="BA153" s="27" t="n"/>
      <c r="BB153" s="27" t="n"/>
      <c r="BC153" s="27" t="n"/>
      <c r="BD153" s="27" t="n"/>
      <c r="BE153" s="27" t="n"/>
      <c r="BF153" s="27" t="n"/>
      <c r="BG153" s="27" t="n"/>
      <c r="BH153" s="27" t="n"/>
      <c r="BI153" s="29" t="n"/>
      <c r="BJ153" s="27" t="n"/>
      <c r="BK153" s="27" t="n"/>
      <c r="BL153" s="27" t="n"/>
      <c r="BM153" s="27" t="n"/>
    </row>
    <row r="154">
      <c r="A154" s="27" t="n"/>
      <c r="B154" s="27" t="n"/>
      <c r="C154" s="28">
        <f>IF(A154="","",$B$2)</f>
        <v/>
      </c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  <c r="AA154" s="27" t="n"/>
      <c r="AB154" s="27" t="n"/>
      <c r="AC154" s="27" t="n"/>
      <c r="AD154" s="27" t="n"/>
      <c r="AE154" s="27" t="n"/>
      <c r="AF154" s="27" t="n"/>
      <c r="AG154" s="27" t="n"/>
      <c r="AH154" s="27" t="n"/>
      <c r="AI154" s="27" t="n"/>
      <c r="AJ154" s="27" t="n"/>
      <c r="AK154" s="27" t="n"/>
      <c r="AL154" s="27" t="n"/>
      <c r="AM154" s="27" t="n"/>
      <c r="AN154" s="27" t="n"/>
      <c r="AO154" s="27" t="n"/>
      <c r="AP154" s="27" t="n"/>
      <c r="AQ154" s="27" t="n"/>
      <c r="AR154" s="27" t="n"/>
      <c r="AS154" s="27" t="n"/>
      <c r="AT154" s="27" t="n"/>
      <c r="AU154" s="27" t="n"/>
      <c r="AV154" s="27" t="n"/>
      <c r="AW154" s="27" t="n"/>
      <c r="AX154" s="27" t="n"/>
      <c r="AY154" s="27" t="n"/>
      <c r="AZ154" s="27" t="n"/>
      <c r="BA154" s="27" t="n"/>
      <c r="BB154" s="27" t="n"/>
      <c r="BC154" s="27" t="n"/>
      <c r="BD154" s="27" t="n"/>
      <c r="BE154" s="27" t="n"/>
      <c r="BF154" s="27" t="n"/>
      <c r="BG154" s="27" t="n"/>
      <c r="BH154" s="27" t="n"/>
      <c r="BI154" s="29" t="n"/>
      <c r="BJ154" s="27" t="n"/>
      <c r="BK154" s="27" t="n"/>
      <c r="BL154" s="27" t="n"/>
      <c r="BM154" s="27" t="n"/>
    </row>
    <row r="155">
      <c r="A155" s="27" t="n"/>
      <c r="B155" s="27" t="n"/>
      <c r="C155" s="28">
        <f>IF(A155="","",$B$2)</f>
        <v/>
      </c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  <c r="AA155" s="27" t="n"/>
      <c r="AB155" s="27" t="n"/>
      <c r="AC155" s="27" t="n"/>
      <c r="AD155" s="27" t="n"/>
      <c r="AE155" s="27" t="n"/>
      <c r="AF155" s="27" t="n"/>
      <c r="AG155" s="27" t="n"/>
      <c r="AH155" s="27" t="n"/>
      <c r="AI155" s="27" t="n"/>
      <c r="AJ155" s="27" t="n"/>
      <c r="AK155" s="27" t="n"/>
      <c r="AL155" s="27" t="n"/>
      <c r="AM155" s="27" t="n"/>
      <c r="AN155" s="27" t="n"/>
      <c r="AO155" s="27" t="n"/>
      <c r="AP155" s="27" t="n"/>
      <c r="AQ155" s="27" t="n"/>
      <c r="AR155" s="27" t="n"/>
      <c r="AS155" s="27" t="n"/>
      <c r="AT155" s="27" t="n"/>
      <c r="AU155" s="27" t="n"/>
      <c r="AV155" s="27" t="n"/>
      <c r="AW155" s="27" t="n"/>
      <c r="AX155" s="27" t="n"/>
      <c r="AY155" s="27" t="n"/>
      <c r="AZ155" s="27" t="n"/>
      <c r="BA155" s="27" t="n"/>
      <c r="BB155" s="27" t="n"/>
      <c r="BC155" s="27" t="n"/>
      <c r="BD155" s="27" t="n"/>
      <c r="BE155" s="27" t="n"/>
      <c r="BF155" s="27" t="n"/>
      <c r="BG155" s="27" t="n"/>
      <c r="BH155" s="27" t="n"/>
      <c r="BI155" s="29" t="n"/>
      <c r="BJ155" s="27" t="n"/>
      <c r="BK155" s="27" t="n"/>
      <c r="BL155" s="27" t="n"/>
      <c r="BM155" s="27" t="n"/>
    </row>
    <row r="156">
      <c r="A156" s="27" t="n"/>
      <c r="B156" s="27" t="n"/>
      <c r="C156" s="28">
        <f>IF(A156="","",$B$2)</f>
        <v/>
      </c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  <c r="AA156" s="27" t="n"/>
      <c r="AB156" s="27" t="n"/>
      <c r="AC156" s="27" t="n"/>
      <c r="AD156" s="27" t="n"/>
      <c r="AE156" s="27" t="n"/>
      <c r="AF156" s="27" t="n"/>
      <c r="AG156" s="27" t="n"/>
      <c r="AH156" s="27" t="n"/>
      <c r="AI156" s="27" t="n"/>
      <c r="AJ156" s="27" t="n"/>
      <c r="AK156" s="27" t="n"/>
      <c r="AL156" s="27" t="n"/>
      <c r="AM156" s="27" t="n"/>
      <c r="AN156" s="27" t="n"/>
      <c r="AO156" s="27" t="n"/>
      <c r="AP156" s="27" t="n"/>
      <c r="AQ156" s="27" t="n"/>
      <c r="AR156" s="27" t="n"/>
      <c r="AS156" s="27" t="n"/>
      <c r="AT156" s="27" t="n"/>
      <c r="AU156" s="27" t="n"/>
      <c r="AV156" s="27" t="n"/>
      <c r="AW156" s="27" t="n"/>
      <c r="AX156" s="27" t="n"/>
      <c r="AY156" s="27" t="n"/>
      <c r="AZ156" s="27" t="n"/>
      <c r="BA156" s="27" t="n"/>
      <c r="BB156" s="27" t="n"/>
      <c r="BC156" s="27" t="n"/>
      <c r="BD156" s="27" t="n"/>
      <c r="BE156" s="27" t="n"/>
      <c r="BF156" s="27" t="n"/>
      <c r="BG156" s="27" t="n"/>
      <c r="BH156" s="27" t="n"/>
      <c r="BI156" s="29" t="n"/>
      <c r="BJ156" s="27" t="n"/>
      <c r="BK156" s="27" t="n"/>
      <c r="BL156" s="27" t="n"/>
      <c r="BM156" s="27" t="n"/>
    </row>
    <row r="157">
      <c r="A157" s="27" t="n"/>
      <c r="B157" s="27" t="n"/>
      <c r="C157" s="28">
        <f>IF(A157="","",$B$2)</f>
        <v/>
      </c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  <c r="AA157" s="27" t="n"/>
      <c r="AB157" s="27" t="n"/>
      <c r="AC157" s="27" t="n"/>
      <c r="AD157" s="27" t="n"/>
      <c r="AE157" s="27" t="n"/>
      <c r="AF157" s="27" t="n"/>
      <c r="AG157" s="27" t="n"/>
      <c r="AH157" s="27" t="n"/>
      <c r="AI157" s="27" t="n"/>
      <c r="AJ157" s="27" t="n"/>
      <c r="AK157" s="27" t="n"/>
      <c r="AL157" s="27" t="n"/>
      <c r="AM157" s="27" t="n"/>
      <c r="AN157" s="27" t="n"/>
      <c r="AO157" s="27" t="n"/>
      <c r="AP157" s="27" t="n"/>
      <c r="AQ157" s="27" t="n"/>
      <c r="AR157" s="27" t="n"/>
      <c r="AS157" s="27" t="n"/>
      <c r="AT157" s="27" t="n"/>
      <c r="AU157" s="27" t="n"/>
      <c r="AV157" s="27" t="n"/>
      <c r="AW157" s="27" t="n"/>
      <c r="AX157" s="27" t="n"/>
      <c r="AY157" s="27" t="n"/>
      <c r="AZ157" s="27" t="n"/>
      <c r="BA157" s="27" t="n"/>
      <c r="BB157" s="27" t="n"/>
      <c r="BC157" s="27" t="n"/>
      <c r="BD157" s="27" t="n"/>
      <c r="BE157" s="27" t="n"/>
      <c r="BF157" s="27" t="n"/>
      <c r="BG157" s="27" t="n"/>
      <c r="BH157" s="27" t="n"/>
      <c r="BI157" s="29" t="n"/>
      <c r="BJ157" s="27" t="n"/>
      <c r="BK157" s="27" t="n"/>
      <c r="BL157" s="27" t="n"/>
      <c r="BM157" s="27" t="n"/>
    </row>
    <row r="158">
      <c r="A158" s="27" t="n"/>
      <c r="B158" s="27" t="n"/>
      <c r="C158" s="28">
        <f>IF(A158="","",$B$2)</f>
        <v/>
      </c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  <c r="AA158" s="27" t="n"/>
      <c r="AB158" s="27" t="n"/>
      <c r="AC158" s="27" t="n"/>
      <c r="AD158" s="27" t="n"/>
      <c r="AE158" s="27" t="n"/>
      <c r="AF158" s="27" t="n"/>
      <c r="AG158" s="27" t="n"/>
      <c r="AH158" s="27" t="n"/>
      <c r="AI158" s="27" t="n"/>
      <c r="AJ158" s="27" t="n"/>
      <c r="AK158" s="27" t="n"/>
      <c r="AL158" s="27" t="n"/>
      <c r="AM158" s="27" t="n"/>
      <c r="AN158" s="27" t="n"/>
      <c r="AO158" s="27" t="n"/>
      <c r="AP158" s="27" t="n"/>
      <c r="AQ158" s="27" t="n"/>
      <c r="AR158" s="27" t="n"/>
      <c r="AS158" s="27" t="n"/>
      <c r="AT158" s="27" t="n"/>
      <c r="AU158" s="27" t="n"/>
      <c r="AV158" s="27" t="n"/>
      <c r="AW158" s="27" t="n"/>
      <c r="AX158" s="27" t="n"/>
      <c r="AY158" s="27" t="n"/>
      <c r="AZ158" s="27" t="n"/>
      <c r="BA158" s="27" t="n"/>
      <c r="BB158" s="27" t="n"/>
      <c r="BC158" s="27" t="n"/>
      <c r="BD158" s="27" t="n"/>
      <c r="BE158" s="27" t="n"/>
      <c r="BF158" s="27" t="n"/>
      <c r="BG158" s="27" t="n"/>
      <c r="BH158" s="27" t="n"/>
      <c r="BI158" s="29" t="n"/>
      <c r="BJ158" s="27" t="n"/>
      <c r="BK158" s="27" t="n"/>
      <c r="BL158" s="27" t="n"/>
      <c r="BM158" s="27" t="n"/>
    </row>
    <row r="159">
      <c r="A159" s="27" t="n"/>
      <c r="B159" s="27" t="n"/>
      <c r="C159" s="28">
        <f>IF(A159="","",$B$2)</f>
        <v/>
      </c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  <c r="AA159" s="27" t="n"/>
      <c r="AB159" s="27" t="n"/>
      <c r="AC159" s="27" t="n"/>
      <c r="AD159" s="27" t="n"/>
      <c r="AE159" s="27" t="n"/>
      <c r="AF159" s="27" t="n"/>
      <c r="AG159" s="27" t="n"/>
      <c r="AH159" s="27" t="n"/>
      <c r="AI159" s="27" t="n"/>
      <c r="AJ159" s="27" t="n"/>
      <c r="AK159" s="27" t="n"/>
      <c r="AL159" s="27" t="n"/>
      <c r="AM159" s="27" t="n"/>
      <c r="AN159" s="27" t="n"/>
      <c r="AO159" s="27" t="n"/>
      <c r="AP159" s="27" t="n"/>
      <c r="AQ159" s="27" t="n"/>
      <c r="AR159" s="27" t="n"/>
      <c r="AS159" s="27" t="n"/>
      <c r="AT159" s="27" t="n"/>
      <c r="AU159" s="27" t="n"/>
      <c r="AV159" s="27" t="n"/>
      <c r="AW159" s="27" t="n"/>
      <c r="AX159" s="27" t="n"/>
      <c r="AY159" s="27" t="n"/>
      <c r="AZ159" s="27" t="n"/>
      <c r="BA159" s="27" t="n"/>
      <c r="BB159" s="27" t="n"/>
      <c r="BC159" s="27" t="n"/>
      <c r="BD159" s="27" t="n"/>
      <c r="BE159" s="27" t="n"/>
      <c r="BF159" s="27" t="n"/>
      <c r="BG159" s="27" t="n"/>
      <c r="BH159" s="27" t="n"/>
      <c r="BI159" s="29" t="n"/>
      <c r="BJ159" s="27" t="n"/>
      <c r="BK159" s="27" t="n"/>
      <c r="BL159" s="27" t="n"/>
      <c r="BM159" s="27" t="n"/>
    </row>
    <row r="160">
      <c r="A160" s="27" t="n"/>
      <c r="B160" s="27" t="n"/>
      <c r="C160" s="28">
        <f>IF(A160="","",$B$2)</f>
        <v/>
      </c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  <c r="AA160" s="27" t="n"/>
      <c r="AB160" s="27" t="n"/>
      <c r="AC160" s="27" t="n"/>
      <c r="AD160" s="27" t="n"/>
      <c r="AE160" s="27" t="n"/>
      <c r="AF160" s="27" t="n"/>
      <c r="AG160" s="27" t="n"/>
      <c r="AH160" s="27" t="n"/>
      <c r="AI160" s="27" t="n"/>
      <c r="AJ160" s="27" t="n"/>
      <c r="AK160" s="27" t="n"/>
      <c r="AL160" s="27" t="n"/>
      <c r="AM160" s="27" t="n"/>
      <c r="AN160" s="27" t="n"/>
      <c r="AO160" s="27" t="n"/>
      <c r="AP160" s="27" t="n"/>
      <c r="AQ160" s="27" t="n"/>
      <c r="AR160" s="27" t="n"/>
      <c r="AS160" s="27" t="n"/>
      <c r="AT160" s="27" t="n"/>
      <c r="AU160" s="27" t="n"/>
      <c r="AV160" s="27" t="n"/>
      <c r="AW160" s="27" t="n"/>
      <c r="AX160" s="27" t="n"/>
      <c r="AY160" s="27" t="n"/>
      <c r="AZ160" s="27" t="n"/>
      <c r="BA160" s="27" t="n"/>
      <c r="BB160" s="27" t="n"/>
      <c r="BC160" s="27" t="n"/>
      <c r="BD160" s="27" t="n"/>
      <c r="BE160" s="27" t="n"/>
      <c r="BF160" s="27" t="n"/>
      <c r="BG160" s="27" t="n"/>
      <c r="BH160" s="27" t="n"/>
      <c r="BI160" s="29" t="n"/>
      <c r="BJ160" s="27" t="n"/>
      <c r="BK160" s="27" t="n"/>
      <c r="BL160" s="27" t="n"/>
      <c r="BM160" s="27" t="n"/>
    </row>
    <row r="161">
      <c r="A161" s="27" t="n"/>
      <c r="B161" s="27" t="n"/>
      <c r="C161" s="28">
        <f>IF(A161="","",$B$2)</f>
        <v/>
      </c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  <c r="AA161" s="27" t="n"/>
      <c r="AB161" s="27" t="n"/>
      <c r="AC161" s="27" t="n"/>
      <c r="AD161" s="27" t="n"/>
      <c r="AE161" s="27" t="n"/>
      <c r="AF161" s="27" t="n"/>
      <c r="AG161" s="27" t="n"/>
      <c r="AH161" s="27" t="n"/>
      <c r="AI161" s="27" t="n"/>
      <c r="AJ161" s="27" t="n"/>
      <c r="AK161" s="27" t="n"/>
      <c r="AL161" s="27" t="n"/>
      <c r="AM161" s="27" t="n"/>
      <c r="AN161" s="27" t="n"/>
      <c r="AO161" s="27" t="n"/>
      <c r="AP161" s="27" t="n"/>
      <c r="AQ161" s="27" t="n"/>
      <c r="AR161" s="27" t="n"/>
      <c r="AS161" s="27" t="n"/>
      <c r="AT161" s="27" t="n"/>
      <c r="AU161" s="27" t="n"/>
      <c r="AV161" s="27" t="n"/>
      <c r="AW161" s="27" t="n"/>
      <c r="AX161" s="27" t="n"/>
      <c r="AY161" s="27" t="n"/>
      <c r="AZ161" s="27" t="n"/>
      <c r="BA161" s="27" t="n"/>
      <c r="BB161" s="27" t="n"/>
      <c r="BC161" s="27" t="n"/>
      <c r="BD161" s="27" t="n"/>
      <c r="BE161" s="27" t="n"/>
      <c r="BF161" s="27" t="n"/>
      <c r="BG161" s="27" t="n"/>
      <c r="BH161" s="27" t="n"/>
      <c r="BI161" s="29" t="n"/>
      <c r="BJ161" s="27" t="n"/>
      <c r="BK161" s="27" t="n"/>
      <c r="BL161" s="27" t="n"/>
      <c r="BM161" s="27" t="n"/>
    </row>
    <row r="162">
      <c r="A162" s="27" t="n"/>
      <c r="B162" s="27" t="n"/>
      <c r="C162" s="28">
        <f>IF(A162="","",$B$2)</f>
        <v/>
      </c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  <c r="AA162" s="27" t="n"/>
      <c r="AB162" s="27" t="n"/>
      <c r="AC162" s="27" t="n"/>
      <c r="AD162" s="27" t="n"/>
      <c r="AE162" s="27" t="n"/>
      <c r="AF162" s="27" t="n"/>
      <c r="AG162" s="27" t="n"/>
      <c r="AH162" s="27" t="n"/>
      <c r="AI162" s="27" t="n"/>
      <c r="AJ162" s="27" t="n"/>
      <c r="AK162" s="27" t="n"/>
      <c r="AL162" s="27" t="n"/>
      <c r="AM162" s="27" t="n"/>
      <c r="AN162" s="27" t="n"/>
      <c r="AO162" s="27" t="n"/>
      <c r="AP162" s="27" t="n"/>
      <c r="AQ162" s="27" t="n"/>
      <c r="AR162" s="27" t="n"/>
      <c r="AS162" s="27" t="n"/>
      <c r="AT162" s="27" t="n"/>
      <c r="AU162" s="27" t="n"/>
      <c r="AV162" s="27" t="n"/>
      <c r="AW162" s="27" t="n"/>
      <c r="AX162" s="27" t="n"/>
      <c r="AY162" s="27" t="n"/>
      <c r="AZ162" s="27" t="n"/>
      <c r="BA162" s="27" t="n"/>
      <c r="BB162" s="27" t="n"/>
      <c r="BC162" s="27" t="n"/>
      <c r="BD162" s="27" t="n"/>
      <c r="BE162" s="27" t="n"/>
      <c r="BF162" s="27" t="n"/>
      <c r="BG162" s="27" t="n"/>
      <c r="BH162" s="27" t="n"/>
      <c r="BI162" s="29" t="n"/>
      <c r="BJ162" s="27" t="n"/>
      <c r="BK162" s="27" t="n"/>
      <c r="BL162" s="27" t="n"/>
      <c r="BM162" s="27" t="n"/>
    </row>
    <row r="163">
      <c r="A163" s="27" t="n"/>
      <c r="B163" s="27" t="n"/>
      <c r="C163" s="28">
        <f>IF(A163="","",$B$2)</f>
        <v/>
      </c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  <c r="AA163" s="27" t="n"/>
      <c r="AB163" s="27" t="n"/>
      <c r="AC163" s="27" t="n"/>
      <c r="AD163" s="27" t="n"/>
      <c r="AE163" s="27" t="n"/>
      <c r="AF163" s="27" t="n"/>
      <c r="AG163" s="27" t="n"/>
      <c r="AH163" s="27" t="n"/>
      <c r="AI163" s="27" t="n"/>
      <c r="AJ163" s="27" t="n"/>
      <c r="AK163" s="27" t="n"/>
      <c r="AL163" s="27" t="n"/>
      <c r="AM163" s="27" t="n"/>
      <c r="AN163" s="27" t="n"/>
      <c r="AO163" s="27" t="n"/>
      <c r="AP163" s="27" t="n"/>
      <c r="AQ163" s="27" t="n"/>
      <c r="AR163" s="27" t="n"/>
      <c r="AS163" s="27" t="n"/>
      <c r="AT163" s="27" t="n"/>
      <c r="AU163" s="27" t="n"/>
      <c r="AV163" s="27" t="n"/>
      <c r="AW163" s="27" t="n"/>
      <c r="AX163" s="27" t="n"/>
      <c r="AY163" s="27" t="n"/>
      <c r="AZ163" s="27" t="n"/>
      <c r="BA163" s="27" t="n"/>
      <c r="BB163" s="27" t="n"/>
      <c r="BC163" s="27" t="n"/>
      <c r="BD163" s="27" t="n"/>
      <c r="BE163" s="27" t="n"/>
      <c r="BF163" s="27" t="n"/>
      <c r="BG163" s="27" t="n"/>
      <c r="BH163" s="27" t="n"/>
      <c r="BI163" s="29" t="n"/>
      <c r="BJ163" s="27" t="n"/>
      <c r="BK163" s="27" t="n"/>
      <c r="BL163" s="27" t="n"/>
      <c r="BM163" s="27" t="n"/>
    </row>
    <row r="164">
      <c r="A164" s="27" t="n"/>
      <c r="B164" s="27" t="n"/>
      <c r="C164" s="28">
        <f>IF(A164="","",$B$2)</f>
        <v/>
      </c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  <c r="AA164" s="27" t="n"/>
      <c r="AB164" s="27" t="n"/>
      <c r="AC164" s="27" t="n"/>
      <c r="AD164" s="27" t="n"/>
      <c r="AE164" s="27" t="n"/>
      <c r="AF164" s="27" t="n"/>
      <c r="AG164" s="27" t="n"/>
      <c r="AH164" s="27" t="n"/>
      <c r="AI164" s="27" t="n"/>
      <c r="AJ164" s="27" t="n"/>
      <c r="AK164" s="27" t="n"/>
      <c r="AL164" s="27" t="n"/>
      <c r="AM164" s="27" t="n"/>
      <c r="AN164" s="27" t="n"/>
      <c r="AO164" s="27" t="n"/>
      <c r="AP164" s="27" t="n"/>
      <c r="AQ164" s="27" t="n"/>
      <c r="AR164" s="27" t="n"/>
      <c r="AS164" s="27" t="n"/>
      <c r="AT164" s="27" t="n"/>
      <c r="AU164" s="27" t="n"/>
      <c r="AV164" s="27" t="n"/>
      <c r="AW164" s="27" t="n"/>
      <c r="AX164" s="27" t="n"/>
      <c r="AY164" s="27" t="n"/>
      <c r="AZ164" s="27" t="n"/>
      <c r="BA164" s="27" t="n"/>
      <c r="BB164" s="27" t="n"/>
      <c r="BC164" s="27" t="n"/>
      <c r="BD164" s="27" t="n"/>
      <c r="BE164" s="27" t="n"/>
      <c r="BF164" s="27" t="n"/>
      <c r="BG164" s="27" t="n"/>
      <c r="BH164" s="27" t="n"/>
      <c r="BI164" s="29" t="n"/>
      <c r="BJ164" s="27" t="n"/>
      <c r="BK164" s="27" t="n"/>
      <c r="BL164" s="27" t="n"/>
      <c r="BM164" s="27" t="n"/>
    </row>
    <row r="165">
      <c r="A165" s="27" t="n"/>
      <c r="B165" s="27" t="n"/>
      <c r="C165" s="28">
        <f>IF(A165="","",$B$2)</f>
        <v/>
      </c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  <c r="AA165" s="27" t="n"/>
      <c r="AB165" s="27" t="n"/>
      <c r="AC165" s="27" t="n"/>
      <c r="AD165" s="27" t="n"/>
      <c r="AE165" s="27" t="n"/>
      <c r="AF165" s="27" t="n"/>
      <c r="AG165" s="27" t="n"/>
      <c r="AH165" s="27" t="n"/>
      <c r="AI165" s="27" t="n"/>
      <c r="AJ165" s="27" t="n"/>
      <c r="AK165" s="27" t="n"/>
      <c r="AL165" s="27" t="n"/>
      <c r="AM165" s="27" t="n"/>
      <c r="AN165" s="27" t="n"/>
      <c r="AO165" s="27" t="n"/>
      <c r="AP165" s="27" t="n"/>
      <c r="AQ165" s="27" t="n"/>
      <c r="AR165" s="27" t="n"/>
      <c r="AS165" s="27" t="n"/>
      <c r="AT165" s="27" t="n"/>
      <c r="AU165" s="27" t="n"/>
      <c r="AV165" s="27" t="n"/>
      <c r="AW165" s="27" t="n"/>
      <c r="AX165" s="27" t="n"/>
      <c r="AY165" s="27" t="n"/>
      <c r="AZ165" s="27" t="n"/>
      <c r="BA165" s="27" t="n"/>
      <c r="BB165" s="27" t="n"/>
      <c r="BC165" s="27" t="n"/>
      <c r="BD165" s="27" t="n"/>
      <c r="BE165" s="27" t="n"/>
      <c r="BF165" s="27" t="n"/>
      <c r="BG165" s="27" t="n"/>
      <c r="BH165" s="27" t="n"/>
      <c r="BI165" s="29" t="n"/>
      <c r="BJ165" s="27" t="n"/>
      <c r="BK165" s="27" t="n"/>
      <c r="BL165" s="27" t="n"/>
      <c r="BM165" s="27" t="n"/>
    </row>
    <row r="166">
      <c r="A166" s="27" t="n"/>
      <c r="B166" s="27" t="n"/>
      <c r="C166" s="28">
        <f>IF(A166="","",$B$2)</f>
        <v/>
      </c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  <c r="AA166" s="27" t="n"/>
      <c r="AB166" s="27" t="n"/>
      <c r="AC166" s="27" t="n"/>
      <c r="AD166" s="27" t="n"/>
      <c r="AE166" s="27" t="n"/>
      <c r="AF166" s="27" t="n"/>
      <c r="AG166" s="27" t="n"/>
      <c r="AH166" s="27" t="n"/>
      <c r="AI166" s="27" t="n"/>
      <c r="AJ166" s="27" t="n"/>
      <c r="AK166" s="27" t="n"/>
      <c r="AL166" s="27" t="n"/>
      <c r="AM166" s="27" t="n"/>
      <c r="AN166" s="27" t="n"/>
      <c r="AO166" s="27" t="n"/>
      <c r="AP166" s="27" t="n"/>
      <c r="AQ166" s="27" t="n"/>
      <c r="AR166" s="27" t="n"/>
      <c r="AS166" s="27" t="n"/>
      <c r="AT166" s="27" t="n"/>
      <c r="AU166" s="27" t="n"/>
      <c r="AV166" s="27" t="n"/>
      <c r="AW166" s="27" t="n"/>
      <c r="AX166" s="27" t="n"/>
      <c r="AY166" s="27" t="n"/>
      <c r="AZ166" s="27" t="n"/>
      <c r="BA166" s="27" t="n"/>
      <c r="BB166" s="27" t="n"/>
      <c r="BC166" s="27" t="n"/>
      <c r="BD166" s="27" t="n"/>
      <c r="BE166" s="27" t="n"/>
      <c r="BF166" s="27" t="n"/>
      <c r="BG166" s="27" t="n"/>
      <c r="BH166" s="27" t="n"/>
      <c r="BI166" s="29" t="n"/>
      <c r="BJ166" s="27" t="n"/>
      <c r="BK166" s="27" t="n"/>
      <c r="BL166" s="27" t="n"/>
      <c r="BM166" s="27" t="n"/>
    </row>
    <row r="167">
      <c r="A167" s="27" t="n"/>
      <c r="B167" s="27" t="n"/>
      <c r="C167" s="28">
        <f>IF(A167="","",$B$2)</f>
        <v/>
      </c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  <c r="AA167" s="27" t="n"/>
      <c r="AB167" s="27" t="n"/>
      <c r="AC167" s="27" t="n"/>
      <c r="AD167" s="27" t="n"/>
      <c r="AE167" s="27" t="n"/>
      <c r="AF167" s="27" t="n"/>
      <c r="AG167" s="27" t="n"/>
      <c r="AH167" s="27" t="n"/>
      <c r="AI167" s="27" t="n"/>
      <c r="AJ167" s="27" t="n"/>
      <c r="AK167" s="27" t="n"/>
      <c r="AL167" s="27" t="n"/>
      <c r="AM167" s="27" t="n"/>
      <c r="AN167" s="27" t="n"/>
      <c r="AO167" s="27" t="n"/>
      <c r="AP167" s="27" t="n"/>
      <c r="AQ167" s="27" t="n"/>
      <c r="AR167" s="27" t="n"/>
      <c r="AS167" s="27" t="n"/>
      <c r="AT167" s="27" t="n"/>
      <c r="AU167" s="27" t="n"/>
      <c r="AV167" s="27" t="n"/>
      <c r="AW167" s="27" t="n"/>
      <c r="AX167" s="27" t="n"/>
      <c r="AY167" s="27" t="n"/>
      <c r="AZ167" s="27" t="n"/>
      <c r="BA167" s="27" t="n"/>
      <c r="BB167" s="27" t="n"/>
      <c r="BC167" s="27" t="n"/>
      <c r="BD167" s="27" t="n"/>
      <c r="BE167" s="27" t="n"/>
      <c r="BF167" s="27" t="n"/>
      <c r="BG167" s="27" t="n"/>
      <c r="BH167" s="27" t="n"/>
      <c r="BI167" s="29" t="n"/>
      <c r="BJ167" s="27" t="n"/>
      <c r="BK167" s="27" t="n"/>
      <c r="BL167" s="27" t="n"/>
      <c r="BM167" s="27" t="n"/>
    </row>
    <row r="168">
      <c r="A168" s="27" t="n"/>
      <c r="B168" s="27" t="n"/>
      <c r="C168" s="28">
        <f>IF(A168="","",$B$2)</f>
        <v/>
      </c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  <c r="AA168" s="27" t="n"/>
      <c r="AB168" s="27" t="n"/>
      <c r="AC168" s="27" t="n"/>
      <c r="AD168" s="27" t="n"/>
      <c r="AE168" s="27" t="n"/>
      <c r="AF168" s="27" t="n"/>
      <c r="AG168" s="27" t="n"/>
      <c r="AH168" s="27" t="n"/>
      <c r="AI168" s="27" t="n"/>
      <c r="AJ168" s="27" t="n"/>
      <c r="AK168" s="27" t="n"/>
      <c r="AL168" s="27" t="n"/>
      <c r="AM168" s="27" t="n"/>
      <c r="AN168" s="27" t="n"/>
      <c r="AO168" s="27" t="n"/>
      <c r="AP168" s="27" t="n"/>
      <c r="AQ168" s="27" t="n"/>
      <c r="AR168" s="27" t="n"/>
      <c r="AS168" s="27" t="n"/>
      <c r="AT168" s="27" t="n"/>
      <c r="AU168" s="27" t="n"/>
      <c r="AV168" s="27" t="n"/>
      <c r="AW168" s="27" t="n"/>
      <c r="AX168" s="27" t="n"/>
      <c r="AY168" s="27" t="n"/>
      <c r="AZ168" s="27" t="n"/>
      <c r="BA168" s="27" t="n"/>
      <c r="BB168" s="27" t="n"/>
      <c r="BC168" s="27" t="n"/>
      <c r="BD168" s="27" t="n"/>
      <c r="BE168" s="27" t="n"/>
      <c r="BF168" s="27" t="n"/>
      <c r="BG168" s="27" t="n"/>
      <c r="BH168" s="27" t="n"/>
      <c r="BI168" s="29" t="n"/>
      <c r="BJ168" s="27" t="n"/>
      <c r="BK168" s="27" t="n"/>
      <c r="BL168" s="27" t="n"/>
      <c r="BM168" s="27" t="n"/>
    </row>
    <row r="169">
      <c r="A169" s="27" t="n"/>
      <c r="B169" s="27" t="n"/>
      <c r="C169" s="28">
        <f>IF(A169="","",$B$2)</f>
        <v/>
      </c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  <c r="AA169" s="27" t="n"/>
      <c r="AB169" s="27" t="n"/>
      <c r="AC169" s="27" t="n"/>
      <c r="AD169" s="27" t="n"/>
      <c r="AE169" s="27" t="n"/>
      <c r="AF169" s="27" t="n"/>
      <c r="AG169" s="27" t="n"/>
      <c r="AH169" s="27" t="n"/>
      <c r="AI169" s="27" t="n"/>
      <c r="AJ169" s="27" t="n"/>
      <c r="AK169" s="27" t="n"/>
      <c r="AL169" s="27" t="n"/>
      <c r="AM169" s="27" t="n"/>
      <c r="AN169" s="27" t="n"/>
      <c r="AO169" s="27" t="n"/>
      <c r="AP169" s="27" t="n"/>
      <c r="AQ169" s="27" t="n"/>
      <c r="AR169" s="27" t="n"/>
      <c r="AS169" s="27" t="n"/>
      <c r="AT169" s="27" t="n"/>
      <c r="AU169" s="27" t="n"/>
      <c r="AV169" s="27" t="n"/>
      <c r="AW169" s="27" t="n"/>
      <c r="AX169" s="27" t="n"/>
      <c r="AY169" s="27" t="n"/>
      <c r="AZ169" s="27" t="n"/>
      <c r="BA169" s="27" t="n"/>
      <c r="BB169" s="27" t="n"/>
      <c r="BC169" s="27" t="n"/>
      <c r="BD169" s="27" t="n"/>
      <c r="BE169" s="27" t="n"/>
      <c r="BF169" s="27" t="n"/>
      <c r="BG169" s="27" t="n"/>
      <c r="BH169" s="27" t="n"/>
      <c r="BI169" s="29" t="n"/>
      <c r="BJ169" s="27" t="n"/>
      <c r="BK169" s="27" t="n"/>
      <c r="BL169" s="27" t="n"/>
      <c r="BM169" s="27" t="n"/>
    </row>
    <row r="170">
      <c r="A170" s="27" t="n"/>
      <c r="B170" s="27" t="n"/>
      <c r="C170" s="28">
        <f>IF(A170="","",$B$2)</f>
        <v/>
      </c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  <c r="AA170" s="27" t="n"/>
      <c r="AB170" s="27" t="n"/>
      <c r="AC170" s="27" t="n"/>
      <c r="AD170" s="27" t="n"/>
      <c r="AE170" s="27" t="n"/>
      <c r="AF170" s="27" t="n"/>
      <c r="AG170" s="27" t="n"/>
      <c r="AH170" s="27" t="n"/>
      <c r="AI170" s="27" t="n"/>
      <c r="AJ170" s="27" t="n"/>
      <c r="AK170" s="27" t="n"/>
      <c r="AL170" s="27" t="n"/>
      <c r="AM170" s="27" t="n"/>
      <c r="AN170" s="27" t="n"/>
      <c r="AO170" s="27" t="n"/>
      <c r="AP170" s="27" t="n"/>
      <c r="AQ170" s="27" t="n"/>
      <c r="AR170" s="27" t="n"/>
      <c r="AS170" s="27" t="n"/>
      <c r="AT170" s="27" t="n"/>
      <c r="AU170" s="27" t="n"/>
      <c r="AV170" s="27" t="n"/>
      <c r="AW170" s="27" t="n"/>
      <c r="AX170" s="27" t="n"/>
      <c r="AY170" s="27" t="n"/>
      <c r="AZ170" s="27" t="n"/>
      <c r="BA170" s="27" t="n"/>
      <c r="BB170" s="27" t="n"/>
      <c r="BC170" s="27" t="n"/>
      <c r="BD170" s="27" t="n"/>
      <c r="BE170" s="27" t="n"/>
      <c r="BF170" s="27" t="n"/>
      <c r="BG170" s="27" t="n"/>
      <c r="BH170" s="27" t="n"/>
      <c r="BI170" s="29" t="n"/>
      <c r="BJ170" s="27" t="n"/>
      <c r="BK170" s="27" t="n"/>
      <c r="BL170" s="27" t="n"/>
      <c r="BM170" s="27" t="n"/>
    </row>
    <row r="171">
      <c r="A171" s="27" t="n"/>
      <c r="B171" s="27" t="n"/>
      <c r="C171" s="28">
        <f>IF(A171="","",$B$2)</f>
        <v/>
      </c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  <c r="AA171" s="27" t="n"/>
      <c r="AB171" s="27" t="n"/>
      <c r="AC171" s="27" t="n"/>
      <c r="AD171" s="27" t="n"/>
      <c r="AE171" s="27" t="n"/>
      <c r="AF171" s="27" t="n"/>
      <c r="AG171" s="27" t="n"/>
      <c r="AH171" s="27" t="n"/>
      <c r="AI171" s="27" t="n"/>
      <c r="AJ171" s="27" t="n"/>
      <c r="AK171" s="27" t="n"/>
      <c r="AL171" s="27" t="n"/>
      <c r="AM171" s="27" t="n"/>
      <c r="AN171" s="27" t="n"/>
      <c r="AO171" s="27" t="n"/>
      <c r="AP171" s="27" t="n"/>
      <c r="AQ171" s="27" t="n"/>
      <c r="AR171" s="27" t="n"/>
      <c r="AS171" s="27" t="n"/>
      <c r="AT171" s="27" t="n"/>
      <c r="AU171" s="27" t="n"/>
      <c r="AV171" s="27" t="n"/>
      <c r="AW171" s="27" t="n"/>
      <c r="AX171" s="27" t="n"/>
      <c r="AY171" s="27" t="n"/>
      <c r="AZ171" s="27" t="n"/>
      <c r="BA171" s="27" t="n"/>
      <c r="BB171" s="27" t="n"/>
      <c r="BC171" s="27" t="n"/>
      <c r="BD171" s="27" t="n"/>
      <c r="BE171" s="27" t="n"/>
      <c r="BF171" s="27" t="n"/>
      <c r="BG171" s="27" t="n"/>
      <c r="BH171" s="27" t="n"/>
      <c r="BI171" s="29" t="n"/>
      <c r="BJ171" s="27" t="n"/>
      <c r="BK171" s="27" t="n"/>
      <c r="BL171" s="27" t="n"/>
      <c r="BM171" s="27" t="n"/>
    </row>
    <row r="172">
      <c r="A172" s="27" t="n"/>
      <c r="B172" s="27" t="n"/>
      <c r="C172" s="28">
        <f>IF(A172="","",$B$2)</f>
        <v/>
      </c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  <c r="AA172" s="27" t="n"/>
      <c r="AB172" s="27" t="n"/>
      <c r="AC172" s="27" t="n"/>
      <c r="AD172" s="27" t="n"/>
      <c r="AE172" s="27" t="n"/>
      <c r="AF172" s="27" t="n"/>
      <c r="AG172" s="27" t="n"/>
      <c r="AH172" s="27" t="n"/>
      <c r="AI172" s="27" t="n"/>
      <c r="AJ172" s="27" t="n"/>
      <c r="AK172" s="27" t="n"/>
      <c r="AL172" s="27" t="n"/>
      <c r="AM172" s="27" t="n"/>
      <c r="AN172" s="27" t="n"/>
      <c r="AO172" s="27" t="n"/>
      <c r="AP172" s="27" t="n"/>
      <c r="AQ172" s="27" t="n"/>
      <c r="AR172" s="27" t="n"/>
      <c r="AS172" s="27" t="n"/>
      <c r="AT172" s="27" t="n"/>
      <c r="AU172" s="27" t="n"/>
      <c r="AV172" s="27" t="n"/>
      <c r="AW172" s="27" t="n"/>
      <c r="AX172" s="27" t="n"/>
      <c r="AY172" s="27" t="n"/>
      <c r="AZ172" s="27" t="n"/>
      <c r="BA172" s="27" t="n"/>
      <c r="BB172" s="27" t="n"/>
      <c r="BC172" s="27" t="n"/>
      <c r="BD172" s="27" t="n"/>
      <c r="BE172" s="27" t="n"/>
      <c r="BF172" s="27" t="n"/>
      <c r="BG172" s="27" t="n"/>
      <c r="BH172" s="27" t="n"/>
      <c r="BI172" s="29" t="n"/>
      <c r="BJ172" s="27" t="n"/>
      <c r="BK172" s="27" t="n"/>
      <c r="BL172" s="27" t="n"/>
      <c r="BM172" s="27" t="n"/>
    </row>
    <row r="173">
      <c r="A173" s="27" t="n"/>
      <c r="B173" s="27" t="n"/>
      <c r="C173" s="28">
        <f>IF(A173="","",$B$2)</f>
        <v/>
      </c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  <c r="AA173" s="27" t="n"/>
      <c r="AB173" s="27" t="n"/>
      <c r="AC173" s="27" t="n"/>
      <c r="AD173" s="27" t="n"/>
      <c r="AE173" s="27" t="n"/>
      <c r="AF173" s="27" t="n"/>
      <c r="AG173" s="27" t="n"/>
      <c r="AH173" s="27" t="n"/>
      <c r="AI173" s="27" t="n"/>
      <c r="AJ173" s="27" t="n"/>
      <c r="AK173" s="27" t="n"/>
      <c r="AL173" s="27" t="n"/>
      <c r="AM173" s="27" t="n"/>
      <c r="AN173" s="27" t="n"/>
      <c r="AO173" s="27" t="n"/>
      <c r="AP173" s="27" t="n"/>
      <c r="AQ173" s="27" t="n"/>
      <c r="AR173" s="27" t="n"/>
      <c r="AS173" s="27" t="n"/>
      <c r="AT173" s="27" t="n"/>
      <c r="AU173" s="27" t="n"/>
      <c r="AV173" s="27" t="n"/>
      <c r="AW173" s="27" t="n"/>
      <c r="AX173" s="27" t="n"/>
      <c r="AY173" s="27" t="n"/>
      <c r="AZ173" s="27" t="n"/>
      <c r="BA173" s="27" t="n"/>
      <c r="BB173" s="27" t="n"/>
      <c r="BC173" s="27" t="n"/>
      <c r="BD173" s="27" t="n"/>
      <c r="BE173" s="27" t="n"/>
      <c r="BF173" s="27" t="n"/>
      <c r="BG173" s="27" t="n"/>
      <c r="BH173" s="27" t="n"/>
      <c r="BI173" s="29" t="n"/>
      <c r="BJ173" s="27" t="n"/>
      <c r="BK173" s="27" t="n"/>
      <c r="BL173" s="27" t="n"/>
      <c r="BM173" s="27" t="n"/>
    </row>
    <row r="174">
      <c r="A174" s="27" t="n"/>
      <c r="B174" s="27" t="n"/>
      <c r="C174" s="28">
        <f>IF(A174="","",$B$2)</f>
        <v/>
      </c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  <c r="AA174" s="27" t="n"/>
      <c r="AB174" s="27" t="n"/>
      <c r="AC174" s="27" t="n"/>
      <c r="AD174" s="27" t="n"/>
      <c r="AE174" s="27" t="n"/>
      <c r="AF174" s="27" t="n"/>
      <c r="AG174" s="27" t="n"/>
      <c r="AH174" s="27" t="n"/>
      <c r="AI174" s="27" t="n"/>
      <c r="AJ174" s="27" t="n"/>
      <c r="AK174" s="27" t="n"/>
      <c r="AL174" s="27" t="n"/>
      <c r="AM174" s="27" t="n"/>
      <c r="AN174" s="27" t="n"/>
      <c r="AO174" s="27" t="n"/>
      <c r="AP174" s="27" t="n"/>
      <c r="AQ174" s="27" t="n"/>
      <c r="AR174" s="27" t="n"/>
      <c r="AS174" s="27" t="n"/>
      <c r="AT174" s="27" t="n"/>
      <c r="AU174" s="27" t="n"/>
      <c r="AV174" s="27" t="n"/>
      <c r="AW174" s="27" t="n"/>
      <c r="AX174" s="27" t="n"/>
      <c r="AY174" s="27" t="n"/>
      <c r="AZ174" s="27" t="n"/>
      <c r="BA174" s="27" t="n"/>
      <c r="BB174" s="27" t="n"/>
      <c r="BC174" s="27" t="n"/>
      <c r="BD174" s="27" t="n"/>
      <c r="BE174" s="27" t="n"/>
      <c r="BF174" s="27" t="n"/>
      <c r="BG174" s="27" t="n"/>
      <c r="BH174" s="27" t="n"/>
      <c r="BI174" s="29" t="n"/>
      <c r="BJ174" s="27" t="n"/>
      <c r="BK174" s="27" t="n"/>
      <c r="BL174" s="27" t="n"/>
      <c r="BM174" s="27" t="n"/>
    </row>
    <row r="175">
      <c r="A175" s="27" t="n"/>
      <c r="B175" s="27" t="n"/>
      <c r="C175" s="28">
        <f>IF(A175="","",$B$2)</f>
        <v/>
      </c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  <c r="AA175" s="27" t="n"/>
      <c r="AB175" s="27" t="n"/>
      <c r="AC175" s="27" t="n"/>
      <c r="AD175" s="27" t="n"/>
      <c r="AE175" s="27" t="n"/>
      <c r="AF175" s="27" t="n"/>
      <c r="AG175" s="27" t="n"/>
      <c r="AH175" s="27" t="n"/>
      <c r="AI175" s="27" t="n"/>
      <c r="AJ175" s="27" t="n"/>
      <c r="AK175" s="27" t="n"/>
      <c r="AL175" s="27" t="n"/>
      <c r="AM175" s="27" t="n"/>
      <c r="AN175" s="27" t="n"/>
      <c r="AO175" s="27" t="n"/>
      <c r="AP175" s="27" t="n"/>
      <c r="AQ175" s="27" t="n"/>
      <c r="AR175" s="27" t="n"/>
      <c r="AS175" s="27" t="n"/>
      <c r="AT175" s="27" t="n"/>
      <c r="AU175" s="27" t="n"/>
      <c r="AV175" s="27" t="n"/>
      <c r="AW175" s="27" t="n"/>
      <c r="AX175" s="27" t="n"/>
      <c r="AY175" s="27" t="n"/>
      <c r="AZ175" s="27" t="n"/>
      <c r="BA175" s="27" t="n"/>
      <c r="BB175" s="27" t="n"/>
      <c r="BC175" s="27" t="n"/>
      <c r="BD175" s="27" t="n"/>
      <c r="BE175" s="27" t="n"/>
      <c r="BF175" s="27" t="n"/>
      <c r="BG175" s="27" t="n"/>
      <c r="BH175" s="27" t="n"/>
      <c r="BI175" s="29" t="n"/>
      <c r="BJ175" s="27" t="n"/>
      <c r="BK175" s="27" t="n"/>
      <c r="BL175" s="27" t="n"/>
      <c r="BM175" s="27" t="n"/>
    </row>
    <row r="176">
      <c r="A176" s="27" t="n"/>
      <c r="B176" s="27" t="n"/>
      <c r="C176" s="28">
        <f>IF(A176="","",$B$2)</f>
        <v/>
      </c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  <c r="AA176" s="27" t="n"/>
      <c r="AB176" s="27" t="n"/>
      <c r="AC176" s="27" t="n"/>
      <c r="AD176" s="27" t="n"/>
      <c r="AE176" s="27" t="n"/>
      <c r="AF176" s="27" t="n"/>
      <c r="AG176" s="27" t="n"/>
      <c r="AH176" s="27" t="n"/>
      <c r="AI176" s="27" t="n"/>
      <c r="AJ176" s="27" t="n"/>
      <c r="AK176" s="27" t="n"/>
      <c r="AL176" s="27" t="n"/>
      <c r="AM176" s="27" t="n"/>
      <c r="AN176" s="27" t="n"/>
      <c r="AO176" s="27" t="n"/>
      <c r="AP176" s="27" t="n"/>
      <c r="AQ176" s="27" t="n"/>
      <c r="AR176" s="27" t="n"/>
      <c r="AS176" s="27" t="n"/>
      <c r="AT176" s="27" t="n"/>
      <c r="AU176" s="27" t="n"/>
      <c r="AV176" s="27" t="n"/>
      <c r="AW176" s="27" t="n"/>
      <c r="AX176" s="27" t="n"/>
      <c r="AY176" s="27" t="n"/>
      <c r="AZ176" s="27" t="n"/>
      <c r="BA176" s="27" t="n"/>
      <c r="BB176" s="27" t="n"/>
      <c r="BC176" s="27" t="n"/>
      <c r="BD176" s="27" t="n"/>
      <c r="BE176" s="27" t="n"/>
      <c r="BF176" s="27" t="n"/>
      <c r="BG176" s="27" t="n"/>
      <c r="BH176" s="27" t="n"/>
      <c r="BI176" s="29" t="n"/>
      <c r="BJ176" s="27" t="n"/>
      <c r="BK176" s="27" t="n"/>
      <c r="BL176" s="27" t="n"/>
      <c r="BM176" s="27" t="n"/>
    </row>
    <row r="177">
      <c r="A177" s="27" t="n"/>
      <c r="B177" s="27" t="n"/>
      <c r="C177" s="28">
        <f>IF(A177="","",$B$2)</f>
        <v/>
      </c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  <c r="AA177" s="27" t="n"/>
      <c r="AB177" s="27" t="n"/>
      <c r="AC177" s="27" t="n"/>
      <c r="AD177" s="27" t="n"/>
      <c r="AE177" s="27" t="n"/>
      <c r="AF177" s="27" t="n"/>
      <c r="AG177" s="27" t="n"/>
      <c r="AH177" s="27" t="n"/>
      <c r="AI177" s="27" t="n"/>
      <c r="AJ177" s="27" t="n"/>
      <c r="AK177" s="27" t="n"/>
      <c r="AL177" s="27" t="n"/>
      <c r="AM177" s="27" t="n"/>
      <c r="AN177" s="27" t="n"/>
      <c r="AO177" s="27" t="n"/>
      <c r="AP177" s="27" t="n"/>
      <c r="AQ177" s="27" t="n"/>
      <c r="AR177" s="27" t="n"/>
      <c r="AS177" s="27" t="n"/>
      <c r="AT177" s="27" t="n"/>
      <c r="AU177" s="27" t="n"/>
      <c r="AV177" s="27" t="n"/>
      <c r="AW177" s="27" t="n"/>
      <c r="AX177" s="27" t="n"/>
      <c r="AY177" s="27" t="n"/>
      <c r="AZ177" s="27" t="n"/>
      <c r="BA177" s="27" t="n"/>
      <c r="BB177" s="27" t="n"/>
      <c r="BC177" s="27" t="n"/>
      <c r="BD177" s="27" t="n"/>
      <c r="BE177" s="27" t="n"/>
      <c r="BF177" s="27" t="n"/>
      <c r="BG177" s="27" t="n"/>
      <c r="BH177" s="27" t="n"/>
      <c r="BI177" s="29" t="n"/>
      <c r="BJ177" s="27" t="n"/>
      <c r="BK177" s="27" t="n"/>
      <c r="BL177" s="27" t="n"/>
      <c r="BM177" s="27" t="n"/>
    </row>
    <row r="178">
      <c r="A178" s="27" t="n"/>
      <c r="B178" s="27" t="n"/>
      <c r="C178" s="28">
        <f>IF(A178="","",$B$2)</f>
        <v/>
      </c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  <c r="AA178" s="27" t="n"/>
      <c r="AB178" s="27" t="n"/>
      <c r="AC178" s="27" t="n"/>
      <c r="AD178" s="27" t="n"/>
      <c r="AE178" s="27" t="n"/>
      <c r="AF178" s="27" t="n"/>
      <c r="AG178" s="27" t="n"/>
      <c r="AH178" s="27" t="n"/>
      <c r="AI178" s="27" t="n"/>
      <c r="AJ178" s="27" t="n"/>
      <c r="AK178" s="27" t="n"/>
      <c r="AL178" s="27" t="n"/>
      <c r="AM178" s="27" t="n"/>
      <c r="AN178" s="27" t="n"/>
      <c r="AO178" s="27" t="n"/>
      <c r="AP178" s="27" t="n"/>
      <c r="AQ178" s="27" t="n"/>
      <c r="AR178" s="27" t="n"/>
      <c r="AS178" s="27" t="n"/>
      <c r="AT178" s="27" t="n"/>
      <c r="AU178" s="27" t="n"/>
      <c r="AV178" s="27" t="n"/>
      <c r="AW178" s="27" t="n"/>
      <c r="AX178" s="27" t="n"/>
      <c r="AY178" s="27" t="n"/>
      <c r="AZ178" s="27" t="n"/>
      <c r="BA178" s="27" t="n"/>
      <c r="BB178" s="27" t="n"/>
      <c r="BC178" s="27" t="n"/>
      <c r="BD178" s="27" t="n"/>
      <c r="BE178" s="27" t="n"/>
      <c r="BF178" s="27" t="n"/>
      <c r="BG178" s="27" t="n"/>
      <c r="BH178" s="27" t="n"/>
      <c r="BI178" s="29" t="n"/>
      <c r="BJ178" s="27" t="n"/>
      <c r="BK178" s="27" t="n"/>
      <c r="BL178" s="27" t="n"/>
      <c r="BM178" s="27" t="n"/>
    </row>
    <row r="179">
      <c r="A179" s="27" t="n"/>
      <c r="B179" s="27" t="n"/>
      <c r="C179" s="28">
        <f>IF(A179="","",$B$2)</f>
        <v/>
      </c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  <c r="AA179" s="27" t="n"/>
      <c r="AB179" s="27" t="n"/>
      <c r="AC179" s="27" t="n"/>
      <c r="AD179" s="27" t="n"/>
      <c r="AE179" s="27" t="n"/>
      <c r="AF179" s="27" t="n"/>
      <c r="AG179" s="27" t="n"/>
      <c r="AH179" s="27" t="n"/>
      <c r="AI179" s="27" t="n"/>
      <c r="AJ179" s="27" t="n"/>
      <c r="AK179" s="27" t="n"/>
      <c r="AL179" s="27" t="n"/>
      <c r="AM179" s="27" t="n"/>
      <c r="AN179" s="27" t="n"/>
      <c r="AO179" s="27" t="n"/>
      <c r="AP179" s="27" t="n"/>
      <c r="AQ179" s="27" t="n"/>
      <c r="AR179" s="27" t="n"/>
      <c r="AS179" s="27" t="n"/>
      <c r="AT179" s="27" t="n"/>
      <c r="AU179" s="27" t="n"/>
      <c r="AV179" s="27" t="n"/>
      <c r="AW179" s="27" t="n"/>
      <c r="AX179" s="27" t="n"/>
      <c r="AY179" s="27" t="n"/>
      <c r="AZ179" s="27" t="n"/>
      <c r="BA179" s="27" t="n"/>
      <c r="BB179" s="27" t="n"/>
      <c r="BC179" s="27" t="n"/>
      <c r="BD179" s="27" t="n"/>
      <c r="BE179" s="27" t="n"/>
      <c r="BF179" s="27" t="n"/>
      <c r="BG179" s="27" t="n"/>
      <c r="BH179" s="27" t="n"/>
      <c r="BI179" s="29" t="n"/>
      <c r="BJ179" s="27" t="n"/>
      <c r="BK179" s="27" t="n"/>
      <c r="BL179" s="27" t="n"/>
      <c r="BM179" s="27" t="n"/>
    </row>
    <row r="180">
      <c r="A180" s="27" t="n"/>
      <c r="B180" s="27" t="n"/>
      <c r="C180" s="28">
        <f>IF(A180="","",$B$2)</f>
        <v/>
      </c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  <c r="AA180" s="27" t="n"/>
      <c r="AB180" s="27" t="n"/>
      <c r="AC180" s="27" t="n"/>
      <c r="AD180" s="27" t="n"/>
      <c r="AE180" s="27" t="n"/>
      <c r="AF180" s="27" t="n"/>
      <c r="AG180" s="27" t="n"/>
      <c r="AH180" s="27" t="n"/>
      <c r="AI180" s="27" t="n"/>
      <c r="AJ180" s="27" t="n"/>
      <c r="AK180" s="27" t="n"/>
      <c r="AL180" s="27" t="n"/>
      <c r="AM180" s="27" t="n"/>
      <c r="AN180" s="27" t="n"/>
      <c r="AO180" s="27" t="n"/>
      <c r="AP180" s="27" t="n"/>
      <c r="AQ180" s="27" t="n"/>
      <c r="AR180" s="27" t="n"/>
      <c r="AS180" s="27" t="n"/>
      <c r="AT180" s="27" t="n"/>
      <c r="AU180" s="27" t="n"/>
      <c r="AV180" s="27" t="n"/>
      <c r="AW180" s="27" t="n"/>
      <c r="AX180" s="27" t="n"/>
      <c r="AY180" s="27" t="n"/>
      <c r="AZ180" s="27" t="n"/>
      <c r="BA180" s="27" t="n"/>
      <c r="BB180" s="27" t="n"/>
      <c r="BC180" s="27" t="n"/>
      <c r="BD180" s="27" t="n"/>
      <c r="BE180" s="27" t="n"/>
      <c r="BF180" s="27" t="n"/>
      <c r="BG180" s="27" t="n"/>
      <c r="BH180" s="27" t="n"/>
      <c r="BI180" s="29" t="n"/>
      <c r="BJ180" s="27" t="n"/>
      <c r="BK180" s="27" t="n"/>
      <c r="BL180" s="27" t="n"/>
      <c r="BM180" s="27" t="n"/>
    </row>
    <row r="181">
      <c r="A181" s="27" t="n"/>
      <c r="B181" s="27" t="n"/>
      <c r="C181" s="28">
        <f>IF(A181="","",$B$2)</f>
        <v/>
      </c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  <c r="AA181" s="27" t="n"/>
      <c r="AB181" s="27" t="n"/>
      <c r="AC181" s="27" t="n"/>
      <c r="AD181" s="27" t="n"/>
      <c r="AE181" s="27" t="n"/>
      <c r="AF181" s="27" t="n"/>
      <c r="AG181" s="27" t="n"/>
      <c r="AH181" s="27" t="n"/>
      <c r="AI181" s="27" t="n"/>
      <c r="AJ181" s="27" t="n"/>
      <c r="AK181" s="27" t="n"/>
      <c r="AL181" s="27" t="n"/>
      <c r="AM181" s="27" t="n"/>
      <c r="AN181" s="27" t="n"/>
      <c r="AO181" s="27" t="n"/>
      <c r="AP181" s="27" t="n"/>
      <c r="AQ181" s="27" t="n"/>
      <c r="AR181" s="27" t="n"/>
      <c r="AS181" s="27" t="n"/>
      <c r="AT181" s="27" t="n"/>
      <c r="AU181" s="27" t="n"/>
      <c r="AV181" s="27" t="n"/>
      <c r="AW181" s="27" t="n"/>
      <c r="AX181" s="27" t="n"/>
      <c r="AY181" s="27" t="n"/>
      <c r="AZ181" s="27" t="n"/>
      <c r="BA181" s="27" t="n"/>
      <c r="BB181" s="27" t="n"/>
      <c r="BC181" s="27" t="n"/>
      <c r="BD181" s="27" t="n"/>
      <c r="BE181" s="27" t="n"/>
      <c r="BF181" s="27" t="n"/>
      <c r="BG181" s="27" t="n"/>
      <c r="BH181" s="27" t="n"/>
      <c r="BI181" s="29" t="n"/>
      <c r="BJ181" s="27" t="n"/>
      <c r="BK181" s="27" t="n"/>
      <c r="BL181" s="27" t="n"/>
      <c r="BM181" s="27" t="n"/>
    </row>
    <row r="182">
      <c r="A182" s="27" t="n"/>
      <c r="B182" s="27" t="n"/>
      <c r="C182" s="28">
        <f>IF(A182="","",$B$2)</f>
        <v/>
      </c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  <c r="AA182" s="27" t="n"/>
      <c r="AB182" s="27" t="n"/>
      <c r="AC182" s="27" t="n"/>
      <c r="AD182" s="27" t="n"/>
      <c r="AE182" s="27" t="n"/>
      <c r="AF182" s="27" t="n"/>
      <c r="AG182" s="27" t="n"/>
      <c r="AH182" s="27" t="n"/>
      <c r="AI182" s="27" t="n"/>
      <c r="AJ182" s="27" t="n"/>
      <c r="AK182" s="27" t="n"/>
      <c r="AL182" s="27" t="n"/>
      <c r="AM182" s="27" t="n"/>
      <c r="AN182" s="27" t="n"/>
      <c r="AO182" s="27" t="n"/>
      <c r="AP182" s="27" t="n"/>
      <c r="AQ182" s="27" t="n"/>
      <c r="AR182" s="27" t="n"/>
      <c r="AS182" s="27" t="n"/>
      <c r="AT182" s="27" t="n"/>
      <c r="AU182" s="27" t="n"/>
      <c r="AV182" s="27" t="n"/>
      <c r="AW182" s="27" t="n"/>
      <c r="AX182" s="27" t="n"/>
      <c r="AY182" s="27" t="n"/>
      <c r="AZ182" s="27" t="n"/>
      <c r="BA182" s="27" t="n"/>
      <c r="BB182" s="27" t="n"/>
      <c r="BC182" s="27" t="n"/>
      <c r="BD182" s="27" t="n"/>
      <c r="BE182" s="27" t="n"/>
      <c r="BF182" s="27" t="n"/>
      <c r="BG182" s="27" t="n"/>
      <c r="BH182" s="27" t="n"/>
      <c r="BI182" s="29" t="n"/>
      <c r="BJ182" s="27" t="n"/>
      <c r="BK182" s="27" t="n"/>
      <c r="BL182" s="27" t="n"/>
      <c r="BM182" s="27" t="n"/>
    </row>
    <row r="183">
      <c r="A183" s="27" t="n"/>
      <c r="B183" s="27" t="n"/>
      <c r="C183" s="28">
        <f>IF(A183="","",$B$2)</f>
        <v/>
      </c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  <c r="AA183" s="27" t="n"/>
      <c r="AB183" s="27" t="n"/>
      <c r="AC183" s="27" t="n"/>
      <c r="AD183" s="27" t="n"/>
      <c r="AE183" s="27" t="n"/>
      <c r="AF183" s="27" t="n"/>
      <c r="AG183" s="27" t="n"/>
      <c r="AH183" s="27" t="n"/>
      <c r="AI183" s="27" t="n"/>
      <c r="AJ183" s="27" t="n"/>
      <c r="AK183" s="27" t="n"/>
      <c r="AL183" s="27" t="n"/>
      <c r="AM183" s="27" t="n"/>
      <c r="AN183" s="27" t="n"/>
      <c r="AO183" s="27" t="n"/>
      <c r="AP183" s="27" t="n"/>
      <c r="AQ183" s="27" t="n"/>
      <c r="AR183" s="27" t="n"/>
      <c r="AS183" s="27" t="n"/>
      <c r="AT183" s="27" t="n"/>
      <c r="AU183" s="27" t="n"/>
      <c r="AV183" s="27" t="n"/>
      <c r="AW183" s="27" t="n"/>
      <c r="AX183" s="27" t="n"/>
      <c r="AY183" s="27" t="n"/>
      <c r="AZ183" s="27" t="n"/>
      <c r="BA183" s="27" t="n"/>
      <c r="BB183" s="27" t="n"/>
      <c r="BC183" s="27" t="n"/>
      <c r="BD183" s="27" t="n"/>
      <c r="BE183" s="27" t="n"/>
      <c r="BF183" s="27" t="n"/>
      <c r="BG183" s="27" t="n"/>
      <c r="BH183" s="27" t="n"/>
      <c r="BI183" s="29" t="n"/>
      <c r="BJ183" s="27" t="n"/>
      <c r="BK183" s="27" t="n"/>
      <c r="BL183" s="27" t="n"/>
      <c r="BM183" s="27" t="n"/>
    </row>
    <row r="184">
      <c r="A184" s="27" t="n"/>
      <c r="B184" s="27" t="n"/>
      <c r="C184" s="28">
        <f>IF(A184="","",$B$2)</f>
        <v/>
      </c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  <c r="AA184" s="27" t="n"/>
      <c r="AB184" s="27" t="n"/>
      <c r="AC184" s="27" t="n"/>
      <c r="AD184" s="27" t="n"/>
      <c r="AE184" s="27" t="n"/>
      <c r="AF184" s="27" t="n"/>
      <c r="AG184" s="27" t="n"/>
      <c r="AH184" s="27" t="n"/>
      <c r="AI184" s="27" t="n"/>
      <c r="AJ184" s="27" t="n"/>
      <c r="AK184" s="27" t="n"/>
      <c r="AL184" s="27" t="n"/>
      <c r="AM184" s="27" t="n"/>
      <c r="AN184" s="27" t="n"/>
      <c r="AO184" s="27" t="n"/>
      <c r="AP184" s="27" t="n"/>
      <c r="AQ184" s="27" t="n"/>
      <c r="AR184" s="27" t="n"/>
      <c r="AS184" s="27" t="n"/>
      <c r="AT184" s="27" t="n"/>
      <c r="AU184" s="27" t="n"/>
      <c r="AV184" s="27" t="n"/>
      <c r="AW184" s="27" t="n"/>
      <c r="AX184" s="27" t="n"/>
      <c r="AY184" s="27" t="n"/>
      <c r="AZ184" s="27" t="n"/>
      <c r="BA184" s="27" t="n"/>
      <c r="BB184" s="27" t="n"/>
      <c r="BC184" s="27" t="n"/>
      <c r="BD184" s="27" t="n"/>
      <c r="BE184" s="27" t="n"/>
      <c r="BF184" s="27" t="n"/>
      <c r="BG184" s="27" t="n"/>
      <c r="BH184" s="27" t="n"/>
      <c r="BI184" s="29" t="n"/>
      <c r="BJ184" s="27" t="n"/>
      <c r="BK184" s="27" t="n"/>
      <c r="BL184" s="27" t="n"/>
      <c r="BM184" s="27" t="n"/>
    </row>
    <row r="185">
      <c r="A185" s="27" t="n"/>
      <c r="B185" s="27" t="n"/>
      <c r="C185" s="28">
        <f>IF(A185="","",$B$2)</f>
        <v/>
      </c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  <c r="AA185" s="27" t="n"/>
      <c r="AB185" s="27" t="n"/>
      <c r="AC185" s="27" t="n"/>
      <c r="AD185" s="27" t="n"/>
      <c r="AE185" s="27" t="n"/>
      <c r="AF185" s="27" t="n"/>
      <c r="AG185" s="27" t="n"/>
      <c r="AH185" s="27" t="n"/>
      <c r="AI185" s="27" t="n"/>
      <c r="AJ185" s="27" t="n"/>
      <c r="AK185" s="27" t="n"/>
      <c r="AL185" s="27" t="n"/>
      <c r="AM185" s="27" t="n"/>
      <c r="AN185" s="27" t="n"/>
      <c r="AO185" s="27" t="n"/>
      <c r="AP185" s="27" t="n"/>
      <c r="AQ185" s="27" t="n"/>
      <c r="AR185" s="27" t="n"/>
      <c r="AS185" s="27" t="n"/>
      <c r="AT185" s="27" t="n"/>
      <c r="AU185" s="27" t="n"/>
      <c r="AV185" s="27" t="n"/>
      <c r="AW185" s="27" t="n"/>
      <c r="AX185" s="27" t="n"/>
      <c r="AY185" s="27" t="n"/>
      <c r="AZ185" s="27" t="n"/>
      <c r="BA185" s="27" t="n"/>
      <c r="BB185" s="27" t="n"/>
      <c r="BC185" s="27" t="n"/>
      <c r="BD185" s="27" t="n"/>
      <c r="BE185" s="27" t="n"/>
      <c r="BF185" s="27" t="n"/>
      <c r="BG185" s="27" t="n"/>
      <c r="BH185" s="27" t="n"/>
      <c r="BI185" s="29" t="n"/>
      <c r="BJ185" s="27" t="n"/>
      <c r="BK185" s="27" t="n"/>
      <c r="BL185" s="27" t="n"/>
      <c r="BM185" s="27" t="n"/>
    </row>
    <row r="186">
      <c r="A186" s="27" t="n"/>
      <c r="B186" s="27" t="n"/>
      <c r="C186" s="28">
        <f>IF(A186="","",$B$2)</f>
        <v/>
      </c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  <c r="AA186" s="27" t="n"/>
      <c r="AB186" s="27" t="n"/>
      <c r="AC186" s="27" t="n"/>
      <c r="AD186" s="27" t="n"/>
      <c r="AE186" s="27" t="n"/>
      <c r="AF186" s="27" t="n"/>
      <c r="AG186" s="27" t="n"/>
      <c r="AH186" s="27" t="n"/>
      <c r="AI186" s="27" t="n"/>
      <c r="AJ186" s="27" t="n"/>
      <c r="AK186" s="27" t="n"/>
      <c r="AL186" s="27" t="n"/>
      <c r="AM186" s="27" t="n"/>
      <c r="AN186" s="27" t="n"/>
      <c r="AO186" s="27" t="n"/>
      <c r="AP186" s="27" t="n"/>
      <c r="AQ186" s="27" t="n"/>
      <c r="AR186" s="27" t="n"/>
      <c r="AS186" s="27" t="n"/>
      <c r="AT186" s="27" t="n"/>
      <c r="AU186" s="27" t="n"/>
      <c r="AV186" s="27" t="n"/>
      <c r="AW186" s="27" t="n"/>
      <c r="AX186" s="27" t="n"/>
      <c r="AY186" s="27" t="n"/>
      <c r="AZ186" s="27" t="n"/>
      <c r="BA186" s="27" t="n"/>
      <c r="BB186" s="27" t="n"/>
      <c r="BC186" s="27" t="n"/>
      <c r="BD186" s="27" t="n"/>
      <c r="BE186" s="27" t="n"/>
      <c r="BF186" s="27" t="n"/>
      <c r="BG186" s="27" t="n"/>
      <c r="BH186" s="27" t="n"/>
      <c r="BI186" s="29" t="n"/>
      <c r="BJ186" s="27" t="n"/>
      <c r="BK186" s="27" t="n"/>
      <c r="BL186" s="27" t="n"/>
      <c r="BM186" s="27" t="n"/>
    </row>
    <row r="187">
      <c r="A187" s="27" t="n"/>
      <c r="B187" s="27" t="n"/>
      <c r="C187" s="28">
        <f>IF(A187="","",$B$2)</f>
        <v/>
      </c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  <c r="AA187" s="27" t="n"/>
      <c r="AB187" s="27" t="n"/>
      <c r="AC187" s="27" t="n"/>
      <c r="AD187" s="27" t="n"/>
      <c r="AE187" s="27" t="n"/>
      <c r="AF187" s="27" t="n"/>
      <c r="AG187" s="27" t="n"/>
      <c r="AH187" s="27" t="n"/>
      <c r="AI187" s="27" t="n"/>
      <c r="AJ187" s="27" t="n"/>
      <c r="AK187" s="27" t="n"/>
      <c r="AL187" s="27" t="n"/>
      <c r="AM187" s="27" t="n"/>
      <c r="AN187" s="27" t="n"/>
      <c r="AO187" s="27" t="n"/>
      <c r="AP187" s="27" t="n"/>
      <c r="AQ187" s="27" t="n"/>
      <c r="AR187" s="27" t="n"/>
      <c r="AS187" s="27" t="n"/>
      <c r="AT187" s="27" t="n"/>
      <c r="AU187" s="27" t="n"/>
      <c r="AV187" s="27" t="n"/>
      <c r="AW187" s="27" t="n"/>
      <c r="AX187" s="27" t="n"/>
      <c r="AY187" s="27" t="n"/>
      <c r="AZ187" s="27" t="n"/>
      <c r="BA187" s="27" t="n"/>
      <c r="BB187" s="27" t="n"/>
      <c r="BC187" s="27" t="n"/>
      <c r="BD187" s="27" t="n"/>
      <c r="BE187" s="27" t="n"/>
      <c r="BF187" s="27" t="n"/>
      <c r="BG187" s="27" t="n"/>
      <c r="BH187" s="27" t="n"/>
      <c r="BI187" s="29" t="n"/>
      <c r="BJ187" s="27" t="n"/>
      <c r="BK187" s="27" t="n"/>
      <c r="BL187" s="27" t="n"/>
      <c r="BM187" s="27" t="n"/>
    </row>
    <row r="188">
      <c r="A188" s="27" t="n"/>
      <c r="B188" s="27" t="n"/>
      <c r="C188" s="28">
        <f>IF(A188="","",$B$2)</f>
        <v/>
      </c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  <c r="AA188" s="27" t="n"/>
      <c r="AB188" s="27" t="n"/>
      <c r="AC188" s="27" t="n"/>
      <c r="AD188" s="27" t="n"/>
      <c r="AE188" s="27" t="n"/>
      <c r="AF188" s="27" t="n"/>
      <c r="AG188" s="27" t="n"/>
      <c r="AH188" s="27" t="n"/>
      <c r="AI188" s="27" t="n"/>
      <c r="AJ188" s="27" t="n"/>
      <c r="AK188" s="27" t="n"/>
      <c r="AL188" s="27" t="n"/>
      <c r="AM188" s="27" t="n"/>
      <c r="AN188" s="27" t="n"/>
      <c r="AO188" s="27" t="n"/>
      <c r="AP188" s="27" t="n"/>
      <c r="AQ188" s="27" t="n"/>
      <c r="AR188" s="27" t="n"/>
      <c r="AS188" s="27" t="n"/>
      <c r="AT188" s="27" t="n"/>
      <c r="AU188" s="27" t="n"/>
      <c r="AV188" s="27" t="n"/>
      <c r="AW188" s="27" t="n"/>
      <c r="AX188" s="27" t="n"/>
      <c r="AY188" s="27" t="n"/>
      <c r="AZ188" s="27" t="n"/>
      <c r="BA188" s="27" t="n"/>
      <c r="BB188" s="27" t="n"/>
      <c r="BC188" s="27" t="n"/>
      <c r="BD188" s="27" t="n"/>
      <c r="BE188" s="27" t="n"/>
      <c r="BF188" s="27" t="n"/>
      <c r="BG188" s="27" t="n"/>
      <c r="BH188" s="27" t="n"/>
      <c r="BI188" s="29" t="n"/>
      <c r="BJ188" s="27" t="n"/>
      <c r="BK188" s="27" t="n"/>
      <c r="BL188" s="27" t="n"/>
      <c r="BM188" s="27" t="n"/>
    </row>
    <row r="189">
      <c r="A189" s="27" t="n"/>
      <c r="B189" s="27" t="n"/>
      <c r="C189" s="28">
        <f>IF(A189="","",$B$2)</f>
        <v/>
      </c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  <c r="AA189" s="27" t="n"/>
      <c r="AB189" s="27" t="n"/>
      <c r="AC189" s="27" t="n"/>
      <c r="AD189" s="27" t="n"/>
      <c r="AE189" s="27" t="n"/>
      <c r="AF189" s="27" t="n"/>
      <c r="AG189" s="27" t="n"/>
      <c r="AH189" s="27" t="n"/>
      <c r="AI189" s="27" t="n"/>
      <c r="AJ189" s="27" t="n"/>
      <c r="AK189" s="27" t="n"/>
      <c r="AL189" s="27" t="n"/>
      <c r="AM189" s="27" t="n"/>
      <c r="AN189" s="27" t="n"/>
      <c r="AO189" s="27" t="n"/>
      <c r="AP189" s="27" t="n"/>
      <c r="AQ189" s="27" t="n"/>
      <c r="AR189" s="27" t="n"/>
      <c r="AS189" s="27" t="n"/>
      <c r="AT189" s="27" t="n"/>
      <c r="AU189" s="27" t="n"/>
      <c r="AV189" s="27" t="n"/>
      <c r="AW189" s="27" t="n"/>
      <c r="AX189" s="27" t="n"/>
      <c r="AY189" s="27" t="n"/>
      <c r="AZ189" s="27" t="n"/>
      <c r="BA189" s="27" t="n"/>
      <c r="BB189" s="27" t="n"/>
      <c r="BC189" s="27" t="n"/>
      <c r="BD189" s="27" t="n"/>
      <c r="BE189" s="27" t="n"/>
      <c r="BF189" s="27" t="n"/>
      <c r="BG189" s="27" t="n"/>
      <c r="BH189" s="27" t="n"/>
      <c r="BI189" s="29" t="n"/>
      <c r="BJ189" s="27" t="n"/>
      <c r="BK189" s="27" t="n"/>
      <c r="BL189" s="27" t="n"/>
      <c r="BM189" s="27" t="n"/>
    </row>
    <row r="190">
      <c r="A190" s="27" t="n"/>
      <c r="B190" s="27" t="n"/>
      <c r="C190" s="28">
        <f>IF(A190="","",$B$2)</f>
        <v/>
      </c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  <c r="AA190" s="27" t="n"/>
      <c r="AB190" s="27" t="n"/>
      <c r="AC190" s="27" t="n"/>
      <c r="AD190" s="27" t="n"/>
      <c r="AE190" s="27" t="n"/>
      <c r="AF190" s="27" t="n"/>
      <c r="AG190" s="27" t="n"/>
      <c r="AH190" s="27" t="n"/>
      <c r="AI190" s="27" t="n"/>
      <c r="AJ190" s="27" t="n"/>
      <c r="AK190" s="27" t="n"/>
      <c r="AL190" s="27" t="n"/>
      <c r="AM190" s="27" t="n"/>
      <c r="AN190" s="27" t="n"/>
      <c r="AO190" s="27" t="n"/>
      <c r="AP190" s="27" t="n"/>
      <c r="AQ190" s="27" t="n"/>
      <c r="AR190" s="27" t="n"/>
      <c r="AS190" s="27" t="n"/>
      <c r="AT190" s="27" t="n"/>
      <c r="AU190" s="27" t="n"/>
      <c r="AV190" s="27" t="n"/>
      <c r="AW190" s="27" t="n"/>
      <c r="AX190" s="27" t="n"/>
      <c r="AY190" s="27" t="n"/>
      <c r="AZ190" s="27" t="n"/>
      <c r="BA190" s="27" t="n"/>
      <c r="BB190" s="27" t="n"/>
      <c r="BC190" s="27" t="n"/>
      <c r="BD190" s="27" t="n"/>
      <c r="BE190" s="27" t="n"/>
      <c r="BF190" s="27" t="n"/>
      <c r="BG190" s="27" t="n"/>
      <c r="BH190" s="27" t="n"/>
      <c r="BI190" s="29" t="n"/>
      <c r="BJ190" s="27" t="n"/>
      <c r="BK190" s="27" t="n"/>
      <c r="BL190" s="27" t="n"/>
      <c r="BM190" s="27" t="n"/>
    </row>
    <row r="191">
      <c r="A191" s="27" t="n"/>
      <c r="B191" s="27" t="n"/>
      <c r="C191" s="28">
        <f>IF(A191="","",$B$2)</f>
        <v/>
      </c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  <c r="AA191" s="27" t="n"/>
      <c r="AB191" s="27" t="n"/>
      <c r="AC191" s="27" t="n"/>
      <c r="AD191" s="27" t="n"/>
      <c r="AE191" s="27" t="n"/>
      <c r="AF191" s="27" t="n"/>
      <c r="AG191" s="27" t="n"/>
      <c r="AH191" s="27" t="n"/>
      <c r="AI191" s="27" t="n"/>
      <c r="AJ191" s="27" t="n"/>
      <c r="AK191" s="27" t="n"/>
      <c r="AL191" s="27" t="n"/>
      <c r="AM191" s="27" t="n"/>
      <c r="AN191" s="27" t="n"/>
      <c r="AO191" s="27" t="n"/>
      <c r="AP191" s="27" t="n"/>
      <c r="AQ191" s="27" t="n"/>
      <c r="AR191" s="27" t="n"/>
      <c r="AS191" s="27" t="n"/>
      <c r="AT191" s="27" t="n"/>
      <c r="AU191" s="27" t="n"/>
      <c r="AV191" s="27" t="n"/>
      <c r="AW191" s="27" t="n"/>
      <c r="AX191" s="27" t="n"/>
      <c r="AY191" s="27" t="n"/>
      <c r="AZ191" s="27" t="n"/>
      <c r="BA191" s="27" t="n"/>
      <c r="BB191" s="27" t="n"/>
      <c r="BC191" s="27" t="n"/>
      <c r="BD191" s="27" t="n"/>
      <c r="BE191" s="27" t="n"/>
      <c r="BF191" s="27" t="n"/>
      <c r="BG191" s="27" t="n"/>
      <c r="BH191" s="27" t="n"/>
      <c r="BI191" s="29" t="n"/>
      <c r="BJ191" s="27" t="n"/>
      <c r="BK191" s="27" t="n"/>
      <c r="BL191" s="27" t="n"/>
      <c r="BM191" s="27" t="n"/>
    </row>
    <row r="192">
      <c r="A192" s="27" t="n"/>
      <c r="B192" s="27" t="n"/>
      <c r="C192" s="28">
        <f>IF(A192="","",$B$2)</f>
        <v/>
      </c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  <c r="AA192" s="27" t="n"/>
      <c r="AB192" s="27" t="n"/>
      <c r="AC192" s="27" t="n"/>
      <c r="AD192" s="27" t="n"/>
      <c r="AE192" s="27" t="n"/>
      <c r="AF192" s="27" t="n"/>
      <c r="AG192" s="27" t="n"/>
      <c r="AH192" s="27" t="n"/>
      <c r="AI192" s="27" t="n"/>
      <c r="AJ192" s="27" t="n"/>
      <c r="AK192" s="27" t="n"/>
      <c r="AL192" s="27" t="n"/>
      <c r="AM192" s="27" t="n"/>
      <c r="AN192" s="27" t="n"/>
      <c r="AO192" s="27" t="n"/>
      <c r="AP192" s="27" t="n"/>
      <c r="AQ192" s="27" t="n"/>
      <c r="AR192" s="27" t="n"/>
      <c r="AS192" s="27" t="n"/>
      <c r="AT192" s="27" t="n"/>
      <c r="AU192" s="27" t="n"/>
      <c r="AV192" s="27" t="n"/>
      <c r="AW192" s="27" t="n"/>
      <c r="AX192" s="27" t="n"/>
      <c r="AY192" s="27" t="n"/>
      <c r="AZ192" s="27" t="n"/>
      <c r="BA192" s="27" t="n"/>
      <c r="BB192" s="27" t="n"/>
      <c r="BC192" s="27" t="n"/>
      <c r="BD192" s="27" t="n"/>
      <c r="BE192" s="27" t="n"/>
      <c r="BF192" s="27" t="n"/>
      <c r="BG192" s="27" t="n"/>
      <c r="BH192" s="27" t="n"/>
      <c r="BI192" s="29" t="n"/>
      <c r="BJ192" s="27" t="n"/>
      <c r="BK192" s="27" t="n"/>
      <c r="BL192" s="27" t="n"/>
      <c r="BM192" s="27" t="n"/>
    </row>
    <row r="193">
      <c r="A193" s="27" t="n"/>
      <c r="B193" s="27" t="n"/>
      <c r="C193" s="28">
        <f>IF(A193="","",$B$2)</f>
        <v/>
      </c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  <c r="AA193" s="27" t="n"/>
      <c r="AB193" s="27" t="n"/>
      <c r="AC193" s="27" t="n"/>
      <c r="AD193" s="27" t="n"/>
      <c r="AE193" s="27" t="n"/>
      <c r="AF193" s="27" t="n"/>
      <c r="AG193" s="27" t="n"/>
      <c r="AH193" s="27" t="n"/>
      <c r="AI193" s="27" t="n"/>
      <c r="AJ193" s="27" t="n"/>
      <c r="AK193" s="27" t="n"/>
      <c r="AL193" s="27" t="n"/>
      <c r="AM193" s="27" t="n"/>
      <c r="AN193" s="27" t="n"/>
      <c r="AO193" s="27" t="n"/>
      <c r="AP193" s="27" t="n"/>
      <c r="AQ193" s="27" t="n"/>
      <c r="AR193" s="27" t="n"/>
      <c r="AS193" s="27" t="n"/>
      <c r="AT193" s="27" t="n"/>
      <c r="AU193" s="27" t="n"/>
      <c r="AV193" s="27" t="n"/>
      <c r="AW193" s="27" t="n"/>
      <c r="AX193" s="27" t="n"/>
      <c r="AY193" s="27" t="n"/>
      <c r="AZ193" s="27" t="n"/>
      <c r="BA193" s="27" t="n"/>
      <c r="BB193" s="27" t="n"/>
      <c r="BC193" s="27" t="n"/>
      <c r="BD193" s="27" t="n"/>
      <c r="BE193" s="27" t="n"/>
      <c r="BF193" s="27" t="n"/>
      <c r="BG193" s="27" t="n"/>
      <c r="BH193" s="27" t="n"/>
      <c r="BI193" s="29" t="n"/>
      <c r="BJ193" s="27" t="n"/>
      <c r="BK193" s="27" t="n"/>
      <c r="BL193" s="27" t="n"/>
      <c r="BM193" s="27" t="n"/>
    </row>
    <row r="194">
      <c r="A194" s="27" t="n"/>
      <c r="B194" s="27" t="n"/>
      <c r="C194" s="28">
        <f>IF(A194="","",$B$2)</f>
        <v/>
      </c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  <c r="AA194" s="27" t="n"/>
      <c r="AB194" s="27" t="n"/>
      <c r="AC194" s="27" t="n"/>
      <c r="AD194" s="27" t="n"/>
      <c r="AE194" s="27" t="n"/>
      <c r="AF194" s="27" t="n"/>
      <c r="AG194" s="27" t="n"/>
      <c r="AH194" s="27" t="n"/>
      <c r="AI194" s="27" t="n"/>
      <c r="AJ194" s="27" t="n"/>
      <c r="AK194" s="27" t="n"/>
      <c r="AL194" s="27" t="n"/>
      <c r="AM194" s="27" t="n"/>
      <c r="AN194" s="27" t="n"/>
      <c r="AO194" s="27" t="n"/>
      <c r="AP194" s="27" t="n"/>
      <c r="AQ194" s="27" t="n"/>
      <c r="AR194" s="27" t="n"/>
      <c r="AS194" s="27" t="n"/>
      <c r="AT194" s="27" t="n"/>
      <c r="AU194" s="27" t="n"/>
      <c r="AV194" s="27" t="n"/>
      <c r="AW194" s="27" t="n"/>
      <c r="AX194" s="27" t="n"/>
      <c r="AY194" s="27" t="n"/>
      <c r="AZ194" s="27" t="n"/>
      <c r="BA194" s="27" t="n"/>
      <c r="BB194" s="27" t="n"/>
      <c r="BC194" s="27" t="n"/>
      <c r="BD194" s="27" t="n"/>
      <c r="BE194" s="27" t="n"/>
      <c r="BF194" s="27" t="n"/>
      <c r="BG194" s="27" t="n"/>
      <c r="BH194" s="27" t="n"/>
      <c r="BI194" s="29" t="n"/>
      <c r="BJ194" s="27" t="n"/>
      <c r="BK194" s="27" t="n"/>
      <c r="BL194" s="27" t="n"/>
      <c r="BM194" s="27" t="n"/>
    </row>
    <row r="195">
      <c r="A195" s="27" t="n"/>
      <c r="B195" s="27" t="n"/>
      <c r="C195" s="28">
        <f>IF(A195="","",$B$2)</f>
        <v/>
      </c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  <c r="AA195" s="27" t="n"/>
      <c r="AB195" s="27" t="n"/>
      <c r="AC195" s="27" t="n"/>
      <c r="AD195" s="27" t="n"/>
      <c r="AE195" s="27" t="n"/>
      <c r="AF195" s="27" t="n"/>
      <c r="AG195" s="27" t="n"/>
      <c r="AH195" s="27" t="n"/>
      <c r="AI195" s="27" t="n"/>
      <c r="AJ195" s="27" t="n"/>
      <c r="AK195" s="27" t="n"/>
      <c r="AL195" s="27" t="n"/>
      <c r="AM195" s="27" t="n"/>
      <c r="AN195" s="27" t="n"/>
      <c r="AO195" s="27" t="n"/>
      <c r="AP195" s="27" t="n"/>
      <c r="AQ195" s="27" t="n"/>
      <c r="AR195" s="27" t="n"/>
      <c r="AS195" s="27" t="n"/>
      <c r="AT195" s="27" t="n"/>
      <c r="AU195" s="27" t="n"/>
      <c r="AV195" s="27" t="n"/>
      <c r="AW195" s="27" t="n"/>
      <c r="AX195" s="27" t="n"/>
      <c r="AY195" s="27" t="n"/>
      <c r="AZ195" s="27" t="n"/>
      <c r="BA195" s="27" t="n"/>
      <c r="BB195" s="27" t="n"/>
      <c r="BC195" s="27" t="n"/>
      <c r="BD195" s="27" t="n"/>
      <c r="BE195" s="27" t="n"/>
      <c r="BF195" s="27" t="n"/>
      <c r="BG195" s="27" t="n"/>
      <c r="BH195" s="27" t="n"/>
      <c r="BI195" s="29" t="n"/>
      <c r="BJ195" s="27" t="n"/>
      <c r="BK195" s="27" t="n"/>
      <c r="BL195" s="27" t="n"/>
      <c r="BM195" s="27" t="n"/>
    </row>
    <row r="196">
      <c r="A196" s="27" t="n"/>
      <c r="B196" s="27" t="n"/>
      <c r="C196" s="28">
        <f>IF(A196="","",$B$2)</f>
        <v/>
      </c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  <c r="AA196" s="27" t="n"/>
      <c r="AB196" s="27" t="n"/>
      <c r="AC196" s="27" t="n"/>
      <c r="AD196" s="27" t="n"/>
      <c r="AE196" s="27" t="n"/>
      <c r="AF196" s="27" t="n"/>
      <c r="AG196" s="27" t="n"/>
      <c r="AH196" s="27" t="n"/>
      <c r="AI196" s="27" t="n"/>
      <c r="AJ196" s="27" t="n"/>
      <c r="AK196" s="27" t="n"/>
      <c r="AL196" s="27" t="n"/>
      <c r="AM196" s="27" t="n"/>
      <c r="AN196" s="27" t="n"/>
      <c r="AO196" s="27" t="n"/>
      <c r="AP196" s="27" t="n"/>
      <c r="AQ196" s="27" t="n"/>
      <c r="AR196" s="27" t="n"/>
      <c r="AS196" s="27" t="n"/>
      <c r="AT196" s="27" t="n"/>
      <c r="AU196" s="27" t="n"/>
      <c r="AV196" s="27" t="n"/>
      <c r="AW196" s="27" t="n"/>
      <c r="AX196" s="27" t="n"/>
      <c r="AY196" s="27" t="n"/>
      <c r="AZ196" s="27" t="n"/>
      <c r="BA196" s="27" t="n"/>
      <c r="BB196" s="27" t="n"/>
      <c r="BC196" s="27" t="n"/>
      <c r="BD196" s="27" t="n"/>
      <c r="BE196" s="27" t="n"/>
      <c r="BF196" s="27" t="n"/>
      <c r="BG196" s="27" t="n"/>
      <c r="BH196" s="27" t="n"/>
      <c r="BI196" s="29" t="n"/>
      <c r="BJ196" s="27" t="n"/>
      <c r="BK196" s="27" t="n"/>
      <c r="BL196" s="27" t="n"/>
      <c r="BM196" s="27" t="n"/>
    </row>
    <row r="197">
      <c r="A197" s="27" t="n"/>
      <c r="B197" s="27" t="n"/>
      <c r="C197" s="28">
        <f>IF(A197="","",$B$2)</f>
        <v/>
      </c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  <c r="AA197" s="27" t="n"/>
      <c r="AB197" s="27" t="n"/>
      <c r="AC197" s="27" t="n"/>
      <c r="AD197" s="27" t="n"/>
      <c r="AE197" s="27" t="n"/>
      <c r="AF197" s="27" t="n"/>
      <c r="AG197" s="27" t="n"/>
      <c r="AH197" s="27" t="n"/>
      <c r="AI197" s="27" t="n"/>
      <c r="AJ197" s="27" t="n"/>
      <c r="AK197" s="27" t="n"/>
      <c r="AL197" s="27" t="n"/>
      <c r="AM197" s="27" t="n"/>
      <c r="AN197" s="27" t="n"/>
      <c r="AO197" s="27" t="n"/>
      <c r="AP197" s="27" t="n"/>
      <c r="AQ197" s="27" t="n"/>
      <c r="AR197" s="27" t="n"/>
      <c r="AS197" s="27" t="n"/>
      <c r="AT197" s="27" t="n"/>
      <c r="AU197" s="27" t="n"/>
      <c r="AV197" s="27" t="n"/>
      <c r="AW197" s="27" t="n"/>
      <c r="AX197" s="27" t="n"/>
      <c r="AY197" s="27" t="n"/>
      <c r="AZ197" s="27" t="n"/>
      <c r="BA197" s="27" t="n"/>
      <c r="BB197" s="27" t="n"/>
      <c r="BC197" s="27" t="n"/>
      <c r="BD197" s="27" t="n"/>
      <c r="BE197" s="27" t="n"/>
      <c r="BF197" s="27" t="n"/>
      <c r="BG197" s="27" t="n"/>
      <c r="BH197" s="27" t="n"/>
      <c r="BI197" s="29" t="n"/>
      <c r="BJ197" s="27" t="n"/>
      <c r="BK197" s="27" t="n"/>
      <c r="BL197" s="27" t="n"/>
      <c r="BM197" s="27" t="n"/>
    </row>
    <row r="198">
      <c r="A198" s="27" t="n"/>
      <c r="B198" s="27" t="n"/>
      <c r="C198" s="28">
        <f>IF(A198="","",$B$2)</f>
        <v/>
      </c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  <c r="AA198" s="27" t="n"/>
      <c r="AB198" s="27" t="n"/>
      <c r="AC198" s="27" t="n"/>
      <c r="AD198" s="27" t="n"/>
      <c r="AE198" s="27" t="n"/>
      <c r="AF198" s="27" t="n"/>
      <c r="AG198" s="27" t="n"/>
      <c r="AH198" s="27" t="n"/>
      <c r="AI198" s="27" t="n"/>
      <c r="AJ198" s="27" t="n"/>
      <c r="AK198" s="27" t="n"/>
      <c r="AL198" s="27" t="n"/>
      <c r="AM198" s="27" t="n"/>
      <c r="AN198" s="27" t="n"/>
      <c r="AO198" s="27" t="n"/>
      <c r="AP198" s="27" t="n"/>
      <c r="AQ198" s="27" t="n"/>
      <c r="AR198" s="27" t="n"/>
      <c r="AS198" s="27" t="n"/>
      <c r="AT198" s="27" t="n"/>
      <c r="AU198" s="27" t="n"/>
      <c r="AV198" s="27" t="n"/>
      <c r="AW198" s="27" t="n"/>
      <c r="AX198" s="27" t="n"/>
      <c r="AY198" s="27" t="n"/>
      <c r="AZ198" s="27" t="n"/>
      <c r="BA198" s="27" t="n"/>
      <c r="BB198" s="27" t="n"/>
      <c r="BC198" s="27" t="n"/>
      <c r="BD198" s="27" t="n"/>
      <c r="BE198" s="27" t="n"/>
      <c r="BF198" s="27" t="n"/>
      <c r="BG198" s="27" t="n"/>
      <c r="BH198" s="27" t="n"/>
      <c r="BI198" s="29" t="n"/>
      <c r="BJ198" s="27" t="n"/>
      <c r="BK198" s="27" t="n"/>
      <c r="BL198" s="27" t="n"/>
      <c r="BM198" s="27" t="n"/>
    </row>
    <row r="199">
      <c r="A199" s="27" t="n"/>
      <c r="B199" s="27" t="n"/>
      <c r="C199" s="28">
        <f>IF(A199="","",$B$2)</f>
        <v/>
      </c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  <c r="AA199" s="27" t="n"/>
      <c r="AB199" s="27" t="n"/>
      <c r="AC199" s="27" t="n"/>
      <c r="AD199" s="27" t="n"/>
      <c r="AE199" s="27" t="n"/>
      <c r="AF199" s="27" t="n"/>
      <c r="AG199" s="27" t="n"/>
      <c r="AH199" s="27" t="n"/>
      <c r="AI199" s="27" t="n"/>
      <c r="AJ199" s="27" t="n"/>
      <c r="AK199" s="27" t="n"/>
      <c r="AL199" s="27" t="n"/>
      <c r="AM199" s="27" t="n"/>
      <c r="AN199" s="27" t="n"/>
      <c r="AO199" s="27" t="n"/>
      <c r="AP199" s="27" t="n"/>
      <c r="AQ199" s="27" t="n"/>
      <c r="AR199" s="27" t="n"/>
      <c r="AS199" s="27" t="n"/>
      <c r="AT199" s="27" t="n"/>
      <c r="AU199" s="27" t="n"/>
      <c r="AV199" s="27" t="n"/>
      <c r="AW199" s="27" t="n"/>
      <c r="AX199" s="27" t="n"/>
      <c r="AY199" s="27" t="n"/>
      <c r="AZ199" s="27" t="n"/>
      <c r="BA199" s="27" t="n"/>
      <c r="BB199" s="27" t="n"/>
      <c r="BC199" s="27" t="n"/>
      <c r="BD199" s="27" t="n"/>
      <c r="BE199" s="27" t="n"/>
      <c r="BF199" s="27" t="n"/>
      <c r="BG199" s="27" t="n"/>
      <c r="BH199" s="27" t="n"/>
      <c r="BI199" s="29" t="n"/>
      <c r="BJ199" s="27" t="n"/>
      <c r="BK199" s="27" t="n"/>
      <c r="BL199" s="27" t="n"/>
      <c r="BM199" s="27" t="n"/>
    </row>
    <row r="200">
      <c r="A200" s="27" t="n"/>
      <c r="B200" s="27" t="n"/>
      <c r="C200" s="28">
        <f>IF(A200="","",$B$2)</f>
        <v/>
      </c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  <c r="AA200" s="27" t="n"/>
      <c r="AB200" s="27" t="n"/>
      <c r="AC200" s="27" t="n"/>
      <c r="AD200" s="27" t="n"/>
      <c r="AE200" s="27" t="n"/>
      <c r="AF200" s="27" t="n"/>
      <c r="AG200" s="27" t="n"/>
      <c r="AH200" s="27" t="n"/>
      <c r="AI200" s="27" t="n"/>
      <c r="AJ200" s="27" t="n"/>
      <c r="AK200" s="27" t="n"/>
      <c r="AL200" s="27" t="n"/>
      <c r="AM200" s="27" t="n"/>
      <c r="AN200" s="27" t="n"/>
      <c r="AO200" s="27" t="n"/>
      <c r="AP200" s="27" t="n"/>
      <c r="AQ200" s="27" t="n"/>
      <c r="AR200" s="27" t="n"/>
      <c r="AS200" s="27" t="n"/>
      <c r="AT200" s="27" t="n"/>
      <c r="AU200" s="27" t="n"/>
      <c r="AV200" s="27" t="n"/>
      <c r="AW200" s="27" t="n"/>
      <c r="AX200" s="27" t="n"/>
      <c r="AY200" s="27" t="n"/>
      <c r="AZ200" s="27" t="n"/>
      <c r="BA200" s="27" t="n"/>
      <c r="BB200" s="27" t="n"/>
      <c r="BC200" s="27" t="n"/>
      <c r="BD200" s="27" t="n"/>
      <c r="BE200" s="27" t="n"/>
      <c r="BF200" s="27" t="n"/>
      <c r="BG200" s="27" t="n"/>
      <c r="BH200" s="27" t="n"/>
      <c r="BI200" s="29" t="n"/>
      <c r="BJ200" s="27" t="n"/>
      <c r="BK200" s="27" t="n"/>
      <c r="BL200" s="27" t="n"/>
      <c r="BM200" s="27" t="n"/>
    </row>
    <row r="201">
      <c r="A201" s="27" t="n"/>
      <c r="B201" s="27" t="n"/>
      <c r="C201" s="28">
        <f>IF(A201="","",$B$2)</f>
        <v/>
      </c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  <c r="AA201" s="27" t="n"/>
      <c r="AB201" s="27" t="n"/>
      <c r="AC201" s="27" t="n"/>
      <c r="AD201" s="27" t="n"/>
      <c r="AE201" s="27" t="n"/>
      <c r="AF201" s="27" t="n"/>
      <c r="AG201" s="27" t="n"/>
      <c r="AH201" s="27" t="n"/>
      <c r="AI201" s="27" t="n"/>
      <c r="AJ201" s="27" t="n"/>
      <c r="AK201" s="27" t="n"/>
      <c r="AL201" s="27" t="n"/>
      <c r="AM201" s="27" t="n"/>
      <c r="AN201" s="27" t="n"/>
      <c r="AO201" s="27" t="n"/>
      <c r="AP201" s="27" t="n"/>
      <c r="AQ201" s="27" t="n"/>
      <c r="AR201" s="27" t="n"/>
      <c r="AS201" s="27" t="n"/>
      <c r="AT201" s="27" t="n"/>
      <c r="AU201" s="27" t="n"/>
      <c r="AV201" s="27" t="n"/>
      <c r="AW201" s="27" t="n"/>
      <c r="AX201" s="27" t="n"/>
      <c r="AY201" s="27" t="n"/>
      <c r="AZ201" s="27" t="n"/>
      <c r="BA201" s="27" t="n"/>
      <c r="BB201" s="27" t="n"/>
      <c r="BC201" s="27" t="n"/>
      <c r="BD201" s="27" t="n"/>
      <c r="BE201" s="27" t="n"/>
      <c r="BF201" s="27" t="n"/>
      <c r="BG201" s="27" t="n"/>
      <c r="BH201" s="27" t="n"/>
      <c r="BI201" s="29" t="n"/>
      <c r="BJ201" s="27" t="n"/>
      <c r="BK201" s="27" t="n"/>
      <c r="BL201" s="27" t="n"/>
      <c r="BM201" s="27" t="n"/>
    </row>
    <row r="202">
      <c r="A202" s="27" t="n"/>
      <c r="B202" s="27" t="n"/>
      <c r="C202" s="28">
        <f>IF(A202="","",$B$2)</f>
        <v/>
      </c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  <c r="AA202" s="27" t="n"/>
      <c r="AB202" s="27" t="n"/>
      <c r="AC202" s="27" t="n"/>
      <c r="AD202" s="27" t="n"/>
      <c r="AE202" s="27" t="n"/>
      <c r="AF202" s="27" t="n"/>
      <c r="AG202" s="27" t="n"/>
      <c r="AH202" s="27" t="n"/>
      <c r="AI202" s="27" t="n"/>
      <c r="AJ202" s="27" t="n"/>
      <c r="AK202" s="27" t="n"/>
      <c r="AL202" s="27" t="n"/>
      <c r="AM202" s="27" t="n"/>
      <c r="AN202" s="27" t="n"/>
      <c r="AO202" s="27" t="n"/>
      <c r="AP202" s="27" t="n"/>
      <c r="AQ202" s="27" t="n"/>
      <c r="AR202" s="27" t="n"/>
      <c r="AS202" s="27" t="n"/>
      <c r="AT202" s="27" t="n"/>
      <c r="AU202" s="27" t="n"/>
      <c r="AV202" s="27" t="n"/>
      <c r="AW202" s="27" t="n"/>
      <c r="AX202" s="27" t="n"/>
      <c r="AY202" s="27" t="n"/>
      <c r="AZ202" s="27" t="n"/>
      <c r="BA202" s="27" t="n"/>
      <c r="BB202" s="27" t="n"/>
      <c r="BC202" s="27" t="n"/>
      <c r="BD202" s="27" t="n"/>
      <c r="BE202" s="27" t="n"/>
      <c r="BF202" s="27" t="n"/>
      <c r="BG202" s="27" t="n"/>
      <c r="BH202" s="27" t="n"/>
      <c r="BI202" s="29" t="n"/>
      <c r="BJ202" s="27" t="n"/>
      <c r="BK202" s="27" t="n"/>
      <c r="BL202" s="27" t="n"/>
      <c r="BM202" s="27" t="n"/>
    </row>
    <row r="203">
      <c r="A203" s="27" t="n"/>
      <c r="B203" s="27" t="n"/>
      <c r="C203" s="28">
        <f>IF(A203="","",$B$2)</f>
        <v/>
      </c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  <c r="AA203" s="27" t="n"/>
      <c r="AB203" s="27" t="n"/>
      <c r="AC203" s="27" t="n"/>
      <c r="AD203" s="27" t="n"/>
      <c r="AE203" s="27" t="n"/>
      <c r="AF203" s="27" t="n"/>
      <c r="AG203" s="27" t="n"/>
      <c r="AH203" s="27" t="n"/>
      <c r="AI203" s="27" t="n"/>
      <c r="AJ203" s="27" t="n"/>
      <c r="AK203" s="27" t="n"/>
      <c r="AL203" s="27" t="n"/>
      <c r="AM203" s="27" t="n"/>
      <c r="AN203" s="27" t="n"/>
      <c r="AO203" s="27" t="n"/>
      <c r="AP203" s="27" t="n"/>
      <c r="AQ203" s="27" t="n"/>
      <c r="AR203" s="27" t="n"/>
      <c r="AS203" s="27" t="n"/>
      <c r="AT203" s="27" t="n"/>
      <c r="AU203" s="27" t="n"/>
      <c r="AV203" s="27" t="n"/>
      <c r="AW203" s="27" t="n"/>
      <c r="AX203" s="27" t="n"/>
      <c r="AY203" s="27" t="n"/>
      <c r="AZ203" s="27" t="n"/>
      <c r="BA203" s="27" t="n"/>
      <c r="BB203" s="27" t="n"/>
      <c r="BC203" s="27" t="n"/>
      <c r="BD203" s="27" t="n"/>
      <c r="BE203" s="27" t="n"/>
      <c r="BF203" s="27" t="n"/>
      <c r="BG203" s="27" t="n"/>
      <c r="BH203" s="27" t="n"/>
      <c r="BI203" s="29" t="n"/>
      <c r="BJ203" s="27" t="n"/>
      <c r="BK203" s="27" t="n"/>
      <c r="BL203" s="27" t="n"/>
      <c r="BM203" s="27" t="n"/>
    </row>
    <row r="204">
      <c r="A204" s="27" t="n"/>
      <c r="B204" s="27" t="n"/>
      <c r="C204" s="28">
        <f>IF(A204="","",$B$2)</f>
        <v/>
      </c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  <c r="AA204" s="27" t="n"/>
      <c r="AB204" s="27" t="n"/>
      <c r="AC204" s="27" t="n"/>
      <c r="AD204" s="27" t="n"/>
      <c r="AE204" s="27" t="n"/>
      <c r="AF204" s="27" t="n"/>
      <c r="AG204" s="27" t="n"/>
      <c r="AH204" s="27" t="n"/>
      <c r="AI204" s="27" t="n"/>
      <c r="AJ204" s="27" t="n"/>
      <c r="AK204" s="27" t="n"/>
      <c r="AL204" s="27" t="n"/>
      <c r="AM204" s="27" t="n"/>
      <c r="AN204" s="27" t="n"/>
      <c r="AO204" s="27" t="n"/>
      <c r="AP204" s="27" t="n"/>
      <c r="AQ204" s="27" t="n"/>
      <c r="AR204" s="27" t="n"/>
      <c r="AS204" s="27" t="n"/>
      <c r="AT204" s="27" t="n"/>
      <c r="AU204" s="27" t="n"/>
      <c r="AV204" s="27" t="n"/>
      <c r="AW204" s="27" t="n"/>
      <c r="AX204" s="27" t="n"/>
      <c r="AY204" s="27" t="n"/>
      <c r="AZ204" s="27" t="n"/>
      <c r="BA204" s="27" t="n"/>
      <c r="BB204" s="27" t="n"/>
      <c r="BC204" s="27" t="n"/>
      <c r="BD204" s="27" t="n"/>
      <c r="BE204" s="27" t="n"/>
      <c r="BF204" s="27" t="n"/>
      <c r="BG204" s="27" t="n"/>
      <c r="BH204" s="27" t="n"/>
      <c r="BI204" s="29" t="n"/>
      <c r="BJ204" s="27" t="n"/>
      <c r="BK204" s="27" t="n"/>
      <c r="BL204" s="27" t="n"/>
      <c r="BM204" s="27" t="n"/>
    </row>
    <row r="205">
      <c r="A205" s="27" t="n"/>
      <c r="B205" s="27" t="n"/>
      <c r="C205" s="28">
        <f>IF(A205="","",$B$2)</f>
        <v/>
      </c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  <c r="AA205" s="27" t="n"/>
      <c r="AB205" s="27" t="n"/>
      <c r="AC205" s="27" t="n"/>
      <c r="AD205" s="27" t="n"/>
      <c r="AE205" s="27" t="n"/>
      <c r="AF205" s="27" t="n"/>
      <c r="AG205" s="27" t="n"/>
      <c r="AH205" s="27" t="n"/>
      <c r="AI205" s="27" t="n"/>
      <c r="AJ205" s="27" t="n"/>
      <c r="AK205" s="27" t="n"/>
      <c r="AL205" s="27" t="n"/>
      <c r="AM205" s="27" t="n"/>
      <c r="AN205" s="27" t="n"/>
      <c r="AO205" s="27" t="n"/>
      <c r="AP205" s="27" t="n"/>
      <c r="AQ205" s="27" t="n"/>
      <c r="AR205" s="27" t="n"/>
      <c r="AS205" s="27" t="n"/>
      <c r="AT205" s="27" t="n"/>
      <c r="AU205" s="27" t="n"/>
      <c r="AV205" s="27" t="n"/>
      <c r="AW205" s="27" t="n"/>
      <c r="AX205" s="27" t="n"/>
      <c r="AY205" s="27" t="n"/>
      <c r="AZ205" s="27" t="n"/>
      <c r="BA205" s="27" t="n"/>
      <c r="BB205" s="27" t="n"/>
      <c r="BC205" s="27" t="n"/>
      <c r="BD205" s="27" t="n"/>
      <c r="BE205" s="27" t="n"/>
      <c r="BF205" s="27" t="n"/>
      <c r="BG205" s="27" t="n"/>
      <c r="BH205" s="27" t="n"/>
      <c r="BI205" s="29" t="n"/>
      <c r="BJ205" s="27" t="n"/>
      <c r="BK205" s="27" t="n"/>
      <c r="BL205" s="27" t="n"/>
      <c r="BM205" s="27" t="n"/>
    </row>
  </sheetData>
  <autoFilter ref="A5:BM205"/>
  <mergeCells count="21">
    <mergeCell ref="BH4:BH5"/>
    <mergeCell ref="C4:C5"/>
    <mergeCell ref="E4:E5"/>
    <mergeCell ref="BE4:BE5"/>
    <mergeCell ref="BG4:BG5"/>
    <mergeCell ref="BK4:BK5"/>
    <mergeCell ref="A3:F3"/>
    <mergeCell ref="D4:D5"/>
    <mergeCell ref="BE3:BH3"/>
    <mergeCell ref="BF4:BF5"/>
    <mergeCell ref="BL4:BL5"/>
    <mergeCell ref="BI3:BM3"/>
    <mergeCell ref="A4:A5"/>
    <mergeCell ref="BO4:DN4"/>
    <mergeCell ref="BI4:BI5"/>
    <mergeCell ref="BM4:BM5"/>
    <mergeCell ref="G3:BD3"/>
    <mergeCell ref="B4:B5"/>
    <mergeCell ref="F4:F5"/>
    <mergeCell ref="BJ4:BJ5"/>
    <mergeCell ref="B2:D2"/>
  </mergeCells>
  <dataValidations count="56">
    <dataValidation sqref="G6:G205" showDropDown="0" showInputMessage="0" showErrorMessage="0" allowBlank="1" type="list">
      <formula1>'テストケース4'!$BO$6:$BO$15</formula1>
    </dataValidation>
    <dataValidation sqref="H6:H205" showDropDown="0" showInputMessage="0" showErrorMessage="0" allowBlank="1" type="list">
      <formula1>'テストケース4'!$BP$6:$BP$15</formula1>
    </dataValidation>
    <dataValidation sqref="I6:I205" showDropDown="0" showInputMessage="0" showErrorMessage="0" allowBlank="1" type="list">
      <formula1>'テストケース4'!$BQ$6:$BQ$15</formula1>
    </dataValidation>
    <dataValidation sqref="J6:J205" showDropDown="0" showInputMessage="0" showErrorMessage="0" allowBlank="1" type="list">
      <formula1>'テストケース4'!$BR$6:$BR$15</formula1>
    </dataValidation>
    <dataValidation sqref="K6:K205" showDropDown="0" showInputMessage="0" showErrorMessage="0" allowBlank="1" type="list">
      <formula1>'テストケース4'!$BS$6:$BS$15</formula1>
    </dataValidation>
    <dataValidation sqref="L6:L205" showDropDown="0" showInputMessage="0" showErrorMessage="0" allowBlank="1" type="list">
      <formula1>'テストケース4'!$BT$6:$BT$15</formula1>
    </dataValidation>
    <dataValidation sqref="M6:M205" showDropDown="0" showInputMessage="0" showErrorMessage="0" allowBlank="1" type="list">
      <formula1>'テストケース4'!$BU$6:$BU$15</formula1>
    </dataValidation>
    <dataValidation sqref="N6:N205" showDropDown="0" showInputMessage="0" showErrorMessage="0" allowBlank="1" type="list">
      <formula1>'テストケース4'!$BV$6:$BV$15</formula1>
    </dataValidation>
    <dataValidation sqref="O6:O205" showDropDown="0" showInputMessage="0" showErrorMessage="0" allowBlank="1" type="list">
      <formula1>'テストケース4'!$BW$6:$BW$15</formula1>
    </dataValidation>
    <dataValidation sqref="P6:P205" showDropDown="0" showInputMessage="0" showErrorMessage="0" allowBlank="1" type="list">
      <formula1>'テストケース4'!$BX$6:$BX$15</formula1>
    </dataValidation>
    <dataValidation sqref="Q6:Q205" showDropDown="0" showInputMessage="0" showErrorMessage="0" allowBlank="1" type="list">
      <formula1>'テストケース4'!$BY$6:$BY$15</formula1>
    </dataValidation>
    <dataValidation sqref="R6:R205" showDropDown="0" showInputMessage="0" showErrorMessage="0" allowBlank="1" type="list">
      <formula1>'テストケース4'!$BZ$6:$BZ$15</formula1>
    </dataValidation>
    <dataValidation sqref="S6:S205" showDropDown="0" showInputMessage="0" showErrorMessage="0" allowBlank="1" type="list">
      <formula1>'テストケース4'!$CA$6:$CA$15</formula1>
    </dataValidation>
    <dataValidation sqref="T6:T205" showDropDown="0" showInputMessage="0" showErrorMessage="0" allowBlank="1" type="list">
      <formula1>'テストケース4'!$CB$6:$CB$15</formula1>
    </dataValidation>
    <dataValidation sqref="U6:U205" showDropDown="0" showInputMessage="0" showErrorMessage="0" allowBlank="1" type="list">
      <formula1>'テストケース4'!$CC$6:$CC$15</formula1>
    </dataValidation>
    <dataValidation sqref="V6:V205" showDropDown="0" showInputMessage="0" showErrorMessage="0" allowBlank="1" type="list">
      <formula1>'テストケース4'!$CD$6:$CD$15</formula1>
    </dataValidation>
    <dataValidation sqref="W6:W205" showDropDown="0" showInputMessage="0" showErrorMessage="0" allowBlank="1" type="list">
      <formula1>'テストケース4'!$CE$6:$CE$15</formula1>
    </dataValidation>
    <dataValidation sqref="X6:X205" showDropDown="0" showInputMessage="0" showErrorMessage="0" allowBlank="1" type="list">
      <formula1>'テストケース4'!$CF$6:$CF$15</formula1>
    </dataValidation>
    <dataValidation sqref="Y6:Y205" showDropDown="0" showInputMessage="0" showErrorMessage="0" allowBlank="1" type="list">
      <formula1>'テストケース4'!$CG$6:$CG$15</formula1>
    </dataValidation>
    <dataValidation sqref="Z6:Z205" showDropDown="0" showInputMessage="0" showErrorMessage="0" allowBlank="1" type="list">
      <formula1>'テストケース4'!$CH$6:$CH$15</formula1>
    </dataValidation>
    <dataValidation sqref="AA6:AA205" showDropDown="0" showInputMessage="0" showErrorMessage="0" allowBlank="1" type="list">
      <formula1>'テストケース4'!$CI$6:$CI$15</formula1>
    </dataValidation>
    <dataValidation sqref="AB6:AB205" showDropDown="0" showInputMessage="0" showErrorMessage="0" allowBlank="1" type="list">
      <formula1>'テストケース4'!$CJ$6:$CJ$15</formula1>
    </dataValidation>
    <dataValidation sqref="AC6:AC205" showDropDown="0" showInputMessage="0" showErrorMessage="0" allowBlank="1" type="list">
      <formula1>'テストケース4'!$CK$6:$CK$15</formula1>
    </dataValidation>
    <dataValidation sqref="AD6:AD205" showDropDown="0" showInputMessage="0" showErrorMessage="0" allowBlank="1" type="list">
      <formula1>'テストケース4'!$CL$6:$CL$15</formula1>
    </dataValidation>
    <dataValidation sqref="AE6:AE205" showDropDown="0" showInputMessage="0" showErrorMessage="0" allowBlank="1" type="list">
      <formula1>'テストケース4'!$CM$6:$CM$15</formula1>
    </dataValidation>
    <dataValidation sqref="AF6:AF205" showDropDown="0" showInputMessage="0" showErrorMessage="0" allowBlank="1" type="list">
      <formula1>'テストケース4'!$CN$6:$CN$15</formula1>
    </dataValidation>
    <dataValidation sqref="AG6:AG205" showDropDown="0" showInputMessage="0" showErrorMessage="0" allowBlank="1" type="list">
      <formula1>'テストケース4'!$CO$6:$CO$15</formula1>
    </dataValidation>
    <dataValidation sqref="AH6:AH205" showDropDown="0" showInputMessage="0" showErrorMessage="0" allowBlank="1" type="list">
      <formula1>'テストケース4'!$CP$6:$CP$15</formula1>
    </dataValidation>
    <dataValidation sqref="AI6:AI205" showDropDown="0" showInputMessage="0" showErrorMessage="0" allowBlank="1" type="list">
      <formula1>'テストケース4'!$CQ$6:$CQ$15</formula1>
    </dataValidation>
    <dataValidation sqref="AJ6:AJ205" showDropDown="0" showInputMessage="0" showErrorMessage="0" allowBlank="1" type="list">
      <formula1>'テストケース4'!$CR$6:$CR$15</formula1>
    </dataValidation>
    <dataValidation sqref="AK6:AK205" showDropDown="0" showInputMessage="0" showErrorMessage="0" allowBlank="1" type="list">
      <formula1>'テストケース4'!$CS$6:$CS$15</formula1>
    </dataValidation>
    <dataValidation sqref="AL6:AL205" showDropDown="0" showInputMessage="0" showErrorMessage="0" allowBlank="1" type="list">
      <formula1>'テストケース4'!$CT$6:$CT$15</formula1>
    </dataValidation>
    <dataValidation sqref="AM6:AM205" showDropDown="0" showInputMessage="0" showErrorMessage="0" allowBlank="1" type="list">
      <formula1>'テストケース4'!$CU$6:$CU$15</formula1>
    </dataValidation>
    <dataValidation sqref="AN6:AN205" showDropDown="0" showInputMessage="0" showErrorMessage="0" allowBlank="1" type="list">
      <formula1>'テストケース4'!$CV$6:$CV$15</formula1>
    </dataValidation>
    <dataValidation sqref="AO6:AO205" showDropDown="0" showInputMessage="0" showErrorMessage="0" allowBlank="1" type="list">
      <formula1>'テストケース4'!$CW$6:$CW$15</formula1>
    </dataValidation>
    <dataValidation sqref="AP6:AP205" showDropDown="0" showInputMessage="0" showErrorMessage="0" allowBlank="1" type="list">
      <formula1>'テストケース4'!$CX$6:$CX$15</formula1>
    </dataValidation>
    <dataValidation sqref="AQ6:AQ205" showDropDown="0" showInputMessage="0" showErrorMessage="0" allowBlank="1" type="list">
      <formula1>'テストケース4'!$CY$6:$CY$15</formula1>
    </dataValidation>
    <dataValidation sqref="AR6:AR205" showDropDown="0" showInputMessage="0" showErrorMessage="0" allowBlank="1" type="list">
      <formula1>'テストケース4'!$CZ$6:$CZ$15</formula1>
    </dataValidation>
    <dataValidation sqref="AS6:AS205" showDropDown="0" showInputMessage="0" showErrorMessage="0" allowBlank="1" type="list">
      <formula1>'テストケース4'!$DA$6:$DA$15</formula1>
    </dataValidation>
    <dataValidation sqref="AT6:AT205" showDropDown="0" showInputMessage="0" showErrorMessage="0" allowBlank="1" type="list">
      <formula1>'テストケース4'!$DB$6:$DB$15</formula1>
    </dataValidation>
    <dataValidation sqref="AU6:AU205" showDropDown="0" showInputMessage="0" showErrorMessage="0" allowBlank="1" type="list">
      <formula1>'テストケース4'!$DC$6:$DC$15</formula1>
    </dataValidation>
    <dataValidation sqref="AV6:AV205" showDropDown="0" showInputMessage="0" showErrorMessage="0" allowBlank="1" type="list">
      <formula1>'テストケース4'!$DD$6:$DD$15</formula1>
    </dataValidation>
    <dataValidation sqref="AW6:AW205" showDropDown="0" showInputMessage="0" showErrorMessage="0" allowBlank="1" type="list">
      <formula1>'テストケース4'!$DE$6:$DE$15</formula1>
    </dataValidation>
    <dataValidation sqref="AX6:AX205" showDropDown="0" showInputMessage="0" showErrorMessage="0" allowBlank="1" type="list">
      <formula1>'テストケース4'!$DF$6:$DF$15</formula1>
    </dataValidation>
    <dataValidation sqref="AY6:AY205" showDropDown="0" showInputMessage="0" showErrorMessage="0" allowBlank="1" type="list">
      <formula1>'テストケース4'!$DG$6:$DG$15</formula1>
    </dataValidation>
    <dataValidation sqref="AZ6:AZ205" showDropDown="0" showInputMessage="0" showErrorMessage="0" allowBlank="1" type="list">
      <formula1>'テストケース4'!$DH$6:$DH$15</formula1>
    </dataValidation>
    <dataValidation sqref="BA6:BA205" showDropDown="0" showInputMessage="0" showErrorMessage="0" allowBlank="1" type="list">
      <formula1>'テストケース4'!$DI$6:$DI$15</formula1>
    </dataValidation>
    <dataValidation sqref="BB6:BB205" showDropDown="0" showInputMessage="0" showErrorMessage="0" allowBlank="1" type="list">
      <formula1>'テストケース4'!$DJ$6:$DJ$15</formula1>
    </dataValidation>
    <dataValidation sqref="BC6:BC205" showDropDown="0" showInputMessage="0" showErrorMessage="0" allowBlank="1" type="list">
      <formula1>'テストケース4'!$DK$6:$DK$15</formula1>
    </dataValidation>
    <dataValidation sqref="BD6:BD205" showDropDown="0" showInputMessage="0" showErrorMessage="0" allowBlank="1" type="list">
      <formula1>'テストケース4'!$DL$6:$DL$15</formula1>
    </dataValidation>
    <dataValidation sqref="C6:C205" showDropDown="0" showInputMessage="0" showErrorMessage="0" allowBlank="1" type="list">
      <formula1>'テストケース4'!$DM$6:$DM$35</formula1>
    </dataValidation>
    <dataValidation sqref="B2" showDropDown="0" showInputMessage="0" showErrorMessage="0" allowBlank="1" type="list">
      <formula1>'テストケース4'!$DM$6:$DM$35</formula1>
    </dataValidation>
    <dataValidation sqref="B6:B205" showDropDown="0" showInputMessage="0" showErrorMessage="0" allowBlank="1" type="list">
      <formula1>'テストケース4'!$DN$6:$DN$105</formula1>
    </dataValidation>
    <dataValidation sqref="E6:E205" showDropDown="0" showInputMessage="0" showErrorMessage="0" allowBlank="1" type="list">
      <formula1>"高,中,低"</formula1>
    </dataValidation>
    <dataValidation sqref="BH6:BH205" showDropDown="0" showInputMessage="0" showErrorMessage="0" allowBlank="1" type="list">
      <formula1>"要,否,済"</formula1>
    </dataValidation>
    <dataValidation sqref="BK6:BK205" showDropDown="0" showInputMessage="0" showErrorMessage="0" allowBlank="1" type="list">
      <formula1>"OK,NG,保留,対象外"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20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8" customWidth="1" min="4" max="4"/>
    <col width="7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30" customWidth="1" min="57" max="57"/>
    <col width="34" customWidth="1" min="58" max="58"/>
    <col width="14" customWidth="1" min="59" max="59"/>
    <col width="9" customWidth="1" min="60" max="60"/>
    <col width="11" customWidth="1" min="61" max="61"/>
    <col width="10" customWidth="1" min="62" max="62"/>
    <col width="9" customWidth="1" min="63" max="63"/>
    <col width="10" customWidth="1" min="64" max="64"/>
    <col width="24" customWidth="1" min="65" max="65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</cols>
  <sheetData>
    <row r="1">
      <c r="A1" s="1" t="inlineStr">
        <is>
          <t>テストケース</t>
        </is>
      </c>
      <c r="E1" s="2" t="inlineStr">
        <is>
          <t>2 行目でカテゴリを選ぶと、そのカテゴリの因子が左から自動で入ります。セルは水準のプルダウンから選べます。</t>
        </is>
      </c>
    </row>
    <row r="2">
      <c r="A2" s="11" t="inlineStr">
        <is>
          <t>カテゴリ</t>
        </is>
      </c>
      <c r="B2" s="8" t="n"/>
      <c r="C2" s="9" t="n"/>
      <c r="D2" s="10" t="n"/>
      <c r="E2" s="18">
        <f>IF($B$2="","",COUNTIF('因子水準表'!$B$5:$KO$5,$B$2)&amp;" 因子")</f>
        <v/>
      </c>
    </row>
    <row r="3">
      <c r="A3" s="21" t="inlineStr">
        <is>
          <t>テストケース</t>
        </is>
      </c>
      <c r="B3" s="9" t="n"/>
      <c r="C3" s="9" t="n"/>
      <c r="D3" s="9" t="n"/>
      <c r="E3" s="9" t="n"/>
      <c r="F3" s="10" t="n"/>
      <c r="G3" s="21" t="inlineStr">
        <is>
          <t>因子の水準（シートのカテゴリの因子が自動で入る）</t>
        </is>
      </c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  <c r="AQ3" s="9" t="n"/>
      <c r="AR3" s="9" t="n"/>
      <c r="AS3" s="9" t="n"/>
      <c r="AT3" s="9" t="n"/>
      <c r="AU3" s="9" t="n"/>
      <c r="AV3" s="9" t="n"/>
      <c r="AW3" s="9" t="n"/>
      <c r="AX3" s="9" t="n"/>
      <c r="AY3" s="9" t="n"/>
      <c r="AZ3" s="9" t="n"/>
      <c r="BA3" s="9" t="n"/>
      <c r="BB3" s="9" t="n"/>
      <c r="BC3" s="9" t="n"/>
      <c r="BD3" s="10" t="n"/>
      <c r="BE3" s="21" t="inlineStr">
        <is>
          <t>内容</t>
        </is>
      </c>
      <c r="BF3" s="9" t="n"/>
      <c r="BG3" s="9" t="n"/>
      <c r="BH3" s="10" t="n"/>
      <c r="BI3" s="21" t="inlineStr">
        <is>
          <t>実行結果</t>
        </is>
      </c>
      <c r="BJ3" s="9" t="n"/>
      <c r="BK3" s="9" t="n"/>
      <c r="BL3" s="9" t="n"/>
      <c r="BM3" s="10" t="n"/>
    </row>
    <row r="4">
      <c r="A4" s="12" t="inlineStr">
        <is>
          <t>ID</t>
        </is>
      </c>
      <c r="B4" s="12" t="inlineStr">
        <is>
          <t>条件ID</t>
        </is>
      </c>
      <c r="C4" s="12" t="inlineStr">
        <is>
          <t>カテゴリ</t>
        </is>
      </c>
      <c r="D4" s="12" t="inlineStr">
        <is>
          <t>テスト観点（目的）</t>
        </is>
      </c>
      <c r="E4" s="12" t="inlineStr">
        <is>
          <t>優先度</t>
        </is>
      </c>
      <c r="F4" s="12" t="inlineStr">
        <is>
          <t>事前条件</t>
        </is>
      </c>
      <c r="G4" s="22">
        <f>IF($B$2="","",IFERROR(INDEX('因子水準表'!$B$4:$KO$4,MATCH($B$2&amp;"|1",'因子水準表'!$B$20:$KO$20,0)),""))</f>
        <v/>
      </c>
      <c r="H4" s="22">
        <f>IF($B$2="","",IFERROR(INDEX('因子水準表'!$B$4:$KO$4,MATCH($B$2&amp;"|2",'因子水準表'!$B$20:$KO$20,0)),""))</f>
        <v/>
      </c>
      <c r="I4" s="22">
        <f>IF($B$2="","",IFERROR(INDEX('因子水準表'!$B$4:$KO$4,MATCH($B$2&amp;"|3",'因子水準表'!$B$20:$KO$20,0)),""))</f>
        <v/>
      </c>
      <c r="J4" s="22">
        <f>IF($B$2="","",IFERROR(INDEX('因子水準表'!$B$4:$KO$4,MATCH($B$2&amp;"|4",'因子水準表'!$B$20:$KO$20,0)),""))</f>
        <v/>
      </c>
      <c r="K4" s="22">
        <f>IF($B$2="","",IFERROR(INDEX('因子水準表'!$B$4:$KO$4,MATCH($B$2&amp;"|5",'因子水準表'!$B$20:$KO$20,0)),""))</f>
        <v/>
      </c>
      <c r="L4" s="22">
        <f>IF($B$2="","",IFERROR(INDEX('因子水準表'!$B$4:$KO$4,MATCH($B$2&amp;"|6",'因子水準表'!$B$20:$KO$20,0)),""))</f>
        <v/>
      </c>
      <c r="M4" s="22">
        <f>IF($B$2="","",IFERROR(INDEX('因子水準表'!$B$4:$KO$4,MATCH($B$2&amp;"|7",'因子水準表'!$B$20:$KO$20,0)),""))</f>
        <v/>
      </c>
      <c r="N4" s="22">
        <f>IF($B$2="","",IFERROR(INDEX('因子水準表'!$B$4:$KO$4,MATCH($B$2&amp;"|8",'因子水準表'!$B$20:$KO$20,0)),""))</f>
        <v/>
      </c>
      <c r="O4" s="22">
        <f>IF($B$2="","",IFERROR(INDEX('因子水準表'!$B$4:$KO$4,MATCH($B$2&amp;"|9",'因子水準表'!$B$20:$KO$20,0)),""))</f>
        <v/>
      </c>
      <c r="P4" s="22">
        <f>IF($B$2="","",IFERROR(INDEX('因子水準表'!$B$4:$KO$4,MATCH($B$2&amp;"|10",'因子水準表'!$B$20:$KO$20,0)),""))</f>
        <v/>
      </c>
      <c r="Q4" s="22">
        <f>IF($B$2="","",IFERROR(INDEX('因子水準表'!$B$4:$KO$4,MATCH($B$2&amp;"|11",'因子水準表'!$B$20:$KO$20,0)),""))</f>
        <v/>
      </c>
      <c r="R4" s="22">
        <f>IF($B$2="","",IFERROR(INDEX('因子水準表'!$B$4:$KO$4,MATCH($B$2&amp;"|12",'因子水準表'!$B$20:$KO$20,0)),""))</f>
        <v/>
      </c>
      <c r="S4" s="22">
        <f>IF($B$2="","",IFERROR(INDEX('因子水準表'!$B$4:$KO$4,MATCH($B$2&amp;"|13",'因子水準表'!$B$20:$KO$20,0)),""))</f>
        <v/>
      </c>
      <c r="T4" s="22">
        <f>IF($B$2="","",IFERROR(INDEX('因子水準表'!$B$4:$KO$4,MATCH($B$2&amp;"|14",'因子水準表'!$B$20:$KO$20,0)),""))</f>
        <v/>
      </c>
      <c r="U4" s="22">
        <f>IF($B$2="","",IFERROR(INDEX('因子水準表'!$B$4:$KO$4,MATCH($B$2&amp;"|15",'因子水準表'!$B$20:$KO$20,0)),""))</f>
        <v/>
      </c>
      <c r="V4" s="22">
        <f>IF($B$2="","",IFERROR(INDEX('因子水準表'!$B$4:$KO$4,MATCH($B$2&amp;"|16",'因子水準表'!$B$20:$KO$20,0)),""))</f>
        <v/>
      </c>
      <c r="W4" s="22">
        <f>IF($B$2="","",IFERROR(INDEX('因子水準表'!$B$4:$KO$4,MATCH($B$2&amp;"|17",'因子水準表'!$B$20:$KO$20,0)),""))</f>
        <v/>
      </c>
      <c r="X4" s="22">
        <f>IF($B$2="","",IFERROR(INDEX('因子水準表'!$B$4:$KO$4,MATCH($B$2&amp;"|18",'因子水準表'!$B$20:$KO$20,0)),""))</f>
        <v/>
      </c>
      <c r="Y4" s="22">
        <f>IF($B$2="","",IFERROR(INDEX('因子水準表'!$B$4:$KO$4,MATCH($B$2&amp;"|19",'因子水準表'!$B$20:$KO$20,0)),""))</f>
        <v/>
      </c>
      <c r="Z4" s="22">
        <f>IF($B$2="","",IFERROR(INDEX('因子水準表'!$B$4:$KO$4,MATCH($B$2&amp;"|20",'因子水準表'!$B$20:$KO$20,0)),""))</f>
        <v/>
      </c>
      <c r="AA4" s="22">
        <f>IF($B$2="","",IFERROR(INDEX('因子水準表'!$B$4:$KO$4,MATCH($B$2&amp;"|21",'因子水準表'!$B$20:$KO$20,0)),""))</f>
        <v/>
      </c>
      <c r="AB4" s="22">
        <f>IF($B$2="","",IFERROR(INDEX('因子水準表'!$B$4:$KO$4,MATCH($B$2&amp;"|22",'因子水準表'!$B$20:$KO$20,0)),""))</f>
        <v/>
      </c>
      <c r="AC4" s="22">
        <f>IF($B$2="","",IFERROR(INDEX('因子水準表'!$B$4:$KO$4,MATCH($B$2&amp;"|23",'因子水準表'!$B$20:$KO$20,0)),""))</f>
        <v/>
      </c>
      <c r="AD4" s="22">
        <f>IF($B$2="","",IFERROR(INDEX('因子水準表'!$B$4:$KO$4,MATCH($B$2&amp;"|24",'因子水準表'!$B$20:$KO$20,0)),""))</f>
        <v/>
      </c>
      <c r="AE4" s="22">
        <f>IF($B$2="","",IFERROR(INDEX('因子水準表'!$B$4:$KO$4,MATCH($B$2&amp;"|25",'因子水準表'!$B$20:$KO$20,0)),""))</f>
        <v/>
      </c>
      <c r="AF4" s="22">
        <f>IF($B$2="","",IFERROR(INDEX('因子水準表'!$B$4:$KO$4,MATCH($B$2&amp;"|26",'因子水準表'!$B$20:$KO$20,0)),""))</f>
        <v/>
      </c>
      <c r="AG4" s="22">
        <f>IF($B$2="","",IFERROR(INDEX('因子水準表'!$B$4:$KO$4,MATCH($B$2&amp;"|27",'因子水準表'!$B$20:$KO$20,0)),""))</f>
        <v/>
      </c>
      <c r="AH4" s="22">
        <f>IF($B$2="","",IFERROR(INDEX('因子水準表'!$B$4:$KO$4,MATCH($B$2&amp;"|28",'因子水準表'!$B$20:$KO$20,0)),""))</f>
        <v/>
      </c>
      <c r="AI4" s="22">
        <f>IF($B$2="","",IFERROR(INDEX('因子水準表'!$B$4:$KO$4,MATCH($B$2&amp;"|29",'因子水準表'!$B$20:$KO$20,0)),""))</f>
        <v/>
      </c>
      <c r="AJ4" s="22">
        <f>IF($B$2="","",IFERROR(INDEX('因子水準表'!$B$4:$KO$4,MATCH($B$2&amp;"|30",'因子水準表'!$B$20:$KO$20,0)),""))</f>
        <v/>
      </c>
      <c r="AK4" s="22">
        <f>IF($B$2="","",IFERROR(INDEX('因子水準表'!$B$4:$KO$4,MATCH($B$2&amp;"|31",'因子水準表'!$B$20:$KO$20,0)),""))</f>
        <v/>
      </c>
      <c r="AL4" s="22">
        <f>IF($B$2="","",IFERROR(INDEX('因子水準表'!$B$4:$KO$4,MATCH($B$2&amp;"|32",'因子水準表'!$B$20:$KO$20,0)),""))</f>
        <v/>
      </c>
      <c r="AM4" s="22">
        <f>IF($B$2="","",IFERROR(INDEX('因子水準表'!$B$4:$KO$4,MATCH($B$2&amp;"|33",'因子水準表'!$B$20:$KO$20,0)),""))</f>
        <v/>
      </c>
      <c r="AN4" s="22">
        <f>IF($B$2="","",IFERROR(INDEX('因子水準表'!$B$4:$KO$4,MATCH($B$2&amp;"|34",'因子水準表'!$B$20:$KO$20,0)),""))</f>
        <v/>
      </c>
      <c r="AO4" s="22">
        <f>IF($B$2="","",IFERROR(INDEX('因子水準表'!$B$4:$KO$4,MATCH($B$2&amp;"|35",'因子水準表'!$B$20:$KO$20,0)),""))</f>
        <v/>
      </c>
      <c r="AP4" s="22">
        <f>IF($B$2="","",IFERROR(INDEX('因子水準表'!$B$4:$KO$4,MATCH($B$2&amp;"|36",'因子水準表'!$B$20:$KO$20,0)),""))</f>
        <v/>
      </c>
      <c r="AQ4" s="22">
        <f>IF($B$2="","",IFERROR(INDEX('因子水準表'!$B$4:$KO$4,MATCH($B$2&amp;"|37",'因子水準表'!$B$20:$KO$20,0)),""))</f>
        <v/>
      </c>
      <c r="AR4" s="22">
        <f>IF($B$2="","",IFERROR(INDEX('因子水準表'!$B$4:$KO$4,MATCH($B$2&amp;"|38",'因子水準表'!$B$20:$KO$20,0)),""))</f>
        <v/>
      </c>
      <c r="AS4" s="22">
        <f>IF($B$2="","",IFERROR(INDEX('因子水準表'!$B$4:$KO$4,MATCH($B$2&amp;"|39",'因子水準表'!$B$20:$KO$20,0)),""))</f>
        <v/>
      </c>
      <c r="AT4" s="22">
        <f>IF($B$2="","",IFERROR(INDEX('因子水準表'!$B$4:$KO$4,MATCH($B$2&amp;"|40",'因子水準表'!$B$20:$KO$20,0)),""))</f>
        <v/>
      </c>
      <c r="AU4" s="22">
        <f>IF($B$2="","",IFERROR(INDEX('因子水準表'!$B$4:$KO$4,MATCH($B$2&amp;"|41",'因子水準表'!$B$20:$KO$20,0)),""))</f>
        <v/>
      </c>
      <c r="AV4" s="22">
        <f>IF($B$2="","",IFERROR(INDEX('因子水準表'!$B$4:$KO$4,MATCH($B$2&amp;"|42",'因子水準表'!$B$20:$KO$20,0)),""))</f>
        <v/>
      </c>
      <c r="AW4" s="22">
        <f>IF($B$2="","",IFERROR(INDEX('因子水準表'!$B$4:$KO$4,MATCH($B$2&amp;"|43",'因子水準表'!$B$20:$KO$20,0)),""))</f>
        <v/>
      </c>
      <c r="AX4" s="22">
        <f>IF($B$2="","",IFERROR(INDEX('因子水準表'!$B$4:$KO$4,MATCH($B$2&amp;"|44",'因子水準表'!$B$20:$KO$20,0)),""))</f>
        <v/>
      </c>
      <c r="AY4" s="22">
        <f>IF($B$2="","",IFERROR(INDEX('因子水準表'!$B$4:$KO$4,MATCH($B$2&amp;"|45",'因子水準表'!$B$20:$KO$20,0)),""))</f>
        <v/>
      </c>
      <c r="AZ4" s="22">
        <f>IF($B$2="","",IFERROR(INDEX('因子水準表'!$B$4:$KO$4,MATCH($B$2&amp;"|46",'因子水準表'!$B$20:$KO$20,0)),""))</f>
        <v/>
      </c>
      <c r="BA4" s="22">
        <f>IF($B$2="","",IFERROR(INDEX('因子水準表'!$B$4:$KO$4,MATCH($B$2&amp;"|47",'因子水準表'!$B$20:$KO$20,0)),""))</f>
        <v/>
      </c>
      <c r="BB4" s="22">
        <f>IF($B$2="","",IFERROR(INDEX('因子水準表'!$B$4:$KO$4,MATCH($B$2&amp;"|48",'因子水準表'!$B$20:$KO$20,0)),""))</f>
        <v/>
      </c>
      <c r="BC4" s="22">
        <f>IF($B$2="","",IFERROR(INDEX('因子水準表'!$B$4:$KO$4,MATCH($B$2&amp;"|49",'因子水準表'!$B$20:$KO$20,0)),""))</f>
        <v/>
      </c>
      <c r="BD4" s="22">
        <f>IF($B$2="","",IFERROR(INDEX('因子水準表'!$B$4:$KO$4,MATCH($B$2&amp;"|50",'因子水準表'!$B$20:$KO$20,0)),""))</f>
        <v/>
      </c>
      <c r="BE4" s="12" t="inlineStr">
        <is>
          <t>手順</t>
        </is>
      </c>
      <c r="BF4" s="12" t="inlineStr">
        <is>
          <t>期待結果</t>
        </is>
      </c>
      <c r="BG4" s="12" t="inlineStr">
        <is>
          <t>技法</t>
        </is>
      </c>
      <c r="BH4" s="12" t="inlineStr">
        <is>
          <t>自動化</t>
        </is>
      </c>
      <c r="BI4" s="12" t="inlineStr">
        <is>
          <t>実行日</t>
        </is>
      </c>
      <c r="BJ4" s="12" t="inlineStr">
        <is>
          <t>実行者</t>
        </is>
      </c>
      <c r="BK4" s="12" t="inlineStr">
        <is>
          <t>結果</t>
        </is>
      </c>
      <c r="BL4" s="12" t="inlineStr">
        <is>
          <t>欠陥ID</t>
        </is>
      </c>
      <c r="BM4" s="12" t="inlineStr">
        <is>
          <t>備考</t>
        </is>
      </c>
      <c r="BO4" s="21" t="inlineStr">
        <is>
          <t>プルダウン用（非表示・編集しない）</t>
        </is>
      </c>
      <c r="BP4" s="9" t="n"/>
      <c r="BQ4" s="9" t="n"/>
      <c r="BR4" s="9" t="n"/>
      <c r="BS4" s="9" t="n"/>
      <c r="BT4" s="9" t="n"/>
      <c r="BU4" s="9" t="n"/>
      <c r="BV4" s="9" t="n"/>
      <c r="BW4" s="9" t="n"/>
      <c r="BX4" s="9" t="n"/>
      <c r="BY4" s="9" t="n"/>
      <c r="BZ4" s="9" t="n"/>
      <c r="CA4" s="9" t="n"/>
      <c r="CB4" s="9" t="n"/>
      <c r="CC4" s="9" t="n"/>
      <c r="CD4" s="9" t="n"/>
      <c r="CE4" s="9" t="n"/>
      <c r="CF4" s="9" t="n"/>
      <c r="CG4" s="9" t="n"/>
      <c r="CH4" s="9" t="n"/>
      <c r="CI4" s="9" t="n"/>
      <c r="CJ4" s="9" t="n"/>
      <c r="CK4" s="9" t="n"/>
      <c r="CL4" s="9" t="n"/>
      <c r="CM4" s="9" t="n"/>
      <c r="CN4" s="9" t="n"/>
      <c r="CO4" s="9" t="n"/>
      <c r="CP4" s="9" t="n"/>
      <c r="CQ4" s="9" t="n"/>
      <c r="CR4" s="9" t="n"/>
      <c r="CS4" s="9" t="n"/>
      <c r="CT4" s="9" t="n"/>
      <c r="CU4" s="9" t="n"/>
      <c r="CV4" s="9" t="n"/>
      <c r="CW4" s="9" t="n"/>
      <c r="CX4" s="9" t="n"/>
      <c r="CY4" s="9" t="n"/>
      <c r="CZ4" s="9" t="n"/>
      <c r="DA4" s="9" t="n"/>
      <c r="DB4" s="9" t="n"/>
      <c r="DC4" s="9" t="n"/>
      <c r="DD4" s="9" t="n"/>
      <c r="DE4" s="9" t="n"/>
      <c r="DF4" s="9" t="n"/>
      <c r="DG4" s="9" t="n"/>
      <c r="DH4" s="9" t="n"/>
      <c r="DI4" s="9" t="n"/>
      <c r="DJ4" s="9" t="n"/>
      <c r="DK4" s="9" t="n"/>
      <c r="DL4" s="9" t="n"/>
      <c r="DM4" s="9" t="n"/>
      <c r="DN4" s="10" t="n"/>
    </row>
    <row r="5">
      <c r="A5" s="23" t="n"/>
      <c r="B5" s="23" t="n"/>
      <c r="C5" s="23" t="n"/>
      <c r="D5" s="23" t="n"/>
      <c r="E5" s="23" t="n"/>
      <c r="F5" s="23" t="n"/>
      <c r="G5" s="12">
        <f>IF(G4="","（未使用）",IFERROR(INDEX('因子水準表'!$B$6:$KO$6,MATCH(G4,'因子水準表'!$B$4:$KO$4,0)),"（ID不明）"))</f>
        <v/>
      </c>
      <c r="H5" s="12">
        <f>IF(H4="","（未使用）",IFERROR(INDEX('因子水準表'!$B$6:$KO$6,MATCH(H4,'因子水準表'!$B$4:$KO$4,0)),"（ID不明）"))</f>
        <v/>
      </c>
      <c r="I5" s="12">
        <f>IF(I4="","（未使用）",IFERROR(INDEX('因子水準表'!$B$6:$KO$6,MATCH(I4,'因子水準表'!$B$4:$KO$4,0)),"（ID不明）"))</f>
        <v/>
      </c>
      <c r="J5" s="12">
        <f>IF(J4="","（未使用）",IFERROR(INDEX('因子水準表'!$B$6:$KO$6,MATCH(J4,'因子水準表'!$B$4:$KO$4,0)),"（ID不明）"))</f>
        <v/>
      </c>
      <c r="K5" s="12">
        <f>IF(K4="","（未使用）",IFERROR(INDEX('因子水準表'!$B$6:$KO$6,MATCH(K4,'因子水準表'!$B$4:$KO$4,0)),"（ID不明）"))</f>
        <v/>
      </c>
      <c r="L5" s="12">
        <f>IF(L4="","（未使用）",IFERROR(INDEX('因子水準表'!$B$6:$KO$6,MATCH(L4,'因子水準表'!$B$4:$KO$4,0)),"（ID不明）"))</f>
        <v/>
      </c>
      <c r="M5" s="12">
        <f>IF(M4="","（未使用）",IFERROR(INDEX('因子水準表'!$B$6:$KO$6,MATCH(M4,'因子水準表'!$B$4:$KO$4,0)),"（ID不明）"))</f>
        <v/>
      </c>
      <c r="N5" s="12">
        <f>IF(N4="","（未使用）",IFERROR(INDEX('因子水準表'!$B$6:$KO$6,MATCH(N4,'因子水準表'!$B$4:$KO$4,0)),"（ID不明）"))</f>
        <v/>
      </c>
      <c r="O5" s="12">
        <f>IF(O4="","（未使用）",IFERROR(INDEX('因子水準表'!$B$6:$KO$6,MATCH(O4,'因子水準表'!$B$4:$KO$4,0)),"（ID不明）"))</f>
        <v/>
      </c>
      <c r="P5" s="12">
        <f>IF(P4="","（未使用）",IFERROR(INDEX('因子水準表'!$B$6:$KO$6,MATCH(P4,'因子水準表'!$B$4:$KO$4,0)),"（ID不明）"))</f>
        <v/>
      </c>
      <c r="Q5" s="12">
        <f>IF(Q4="","（未使用）",IFERROR(INDEX('因子水準表'!$B$6:$KO$6,MATCH(Q4,'因子水準表'!$B$4:$KO$4,0)),"（ID不明）"))</f>
        <v/>
      </c>
      <c r="R5" s="12">
        <f>IF(R4="","（未使用）",IFERROR(INDEX('因子水準表'!$B$6:$KO$6,MATCH(R4,'因子水準表'!$B$4:$KO$4,0)),"（ID不明）"))</f>
        <v/>
      </c>
      <c r="S5" s="12">
        <f>IF(S4="","（未使用）",IFERROR(INDEX('因子水準表'!$B$6:$KO$6,MATCH(S4,'因子水準表'!$B$4:$KO$4,0)),"（ID不明）"))</f>
        <v/>
      </c>
      <c r="T5" s="12">
        <f>IF(T4="","（未使用）",IFERROR(INDEX('因子水準表'!$B$6:$KO$6,MATCH(T4,'因子水準表'!$B$4:$KO$4,0)),"（ID不明）"))</f>
        <v/>
      </c>
      <c r="U5" s="12">
        <f>IF(U4="","（未使用）",IFERROR(INDEX('因子水準表'!$B$6:$KO$6,MATCH(U4,'因子水準表'!$B$4:$KO$4,0)),"（ID不明）"))</f>
        <v/>
      </c>
      <c r="V5" s="12">
        <f>IF(V4="","（未使用）",IFERROR(INDEX('因子水準表'!$B$6:$KO$6,MATCH(V4,'因子水準表'!$B$4:$KO$4,0)),"（ID不明）"))</f>
        <v/>
      </c>
      <c r="W5" s="12">
        <f>IF(W4="","（未使用）",IFERROR(INDEX('因子水準表'!$B$6:$KO$6,MATCH(W4,'因子水準表'!$B$4:$KO$4,0)),"（ID不明）"))</f>
        <v/>
      </c>
      <c r="X5" s="12">
        <f>IF(X4="","（未使用）",IFERROR(INDEX('因子水準表'!$B$6:$KO$6,MATCH(X4,'因子水準表'!$B$4:$KO$4,0)),"（ID不明）"))</f>
        <v/>
      </c>
      <c r="Y5" s="12">
        <f>IF(Y4="","（未使用）",IFERROR(INDEX('因子水準表'!$B$6:$KO$6,MATCH(Y4,'因子水準表'!$B$4:$KO$4,0)),"（ID不明）"))</f>
        <v/>
      </c>
      <c r="Z5" s="12">
        <f>IF(Z4="","（未使用）",IFERROR(INDEX('因子水準表'!$B$6:$KO$6,MATCH(Z4,'因子水準表'!$B$4:$KO$4,0)),"（ID不明）"))</f>
        <v/>
      </c>
      <c r="AA5" s="12">
        <f>IF(AA4="","（未使用）",IFERROR(INDEX('因子水準表'!$B$6:$KO$6,MATCH(AA4,'因子水準表'!$B$4:$KO$4,0)),"（ID不明）"))</f>
        <v/>
      </c>
      <c r="AB5" s="12">
        <f>IF(AB4="","（未使用）",IFERROR(INDEX('因子水準表'!$B$6:$KO$6,MATCH(AB4,'因子水準表'!$B$4:$KO$4,0)),"（ID不明）"))</f>
        <v/>
      </c>
      <c r="AC5" s="12">
        <f>IF(AC4="","（未使用）",IFERROR(INDEX('因子水準表'!$B$6:$KO$6,MATCH(AC4,'因子水準表'!$B$4:$KO$4,0)),"（ID不明）"))</f>
        <v/>
      </c>
      <c r="AD5" s="12">
        <f>IF(AD4="","（未使用）",IFERROR(INDEX('因子水準表'!$B$6:$KO$6,MATCH(AD4,'因子水準表'!$B$4:$KO$4,0)),"（ID不明）"))</f>
        <v/>
      </c>
      <c r="AE5" s="12">
        <f>IF(AE4="","（未使用）",IFERROR(INDEX('因子水準表'!$B$6:$KO$6,MATCH(AE4,'因子水準表'!$B$4:$KO$4,0)),"（ID不明）"))</f>
        <v/>
      </c>
      <c r="AF5" s="12">
        <f>IF(AF4="","（未使用）",IFERROR(INDEX('因子水準表'!$B$6:$KO$6,MATCH(AF4,'因子水準表'!$B$4:$KO$4,0)),"（ID不明）"))</f>
        <v/>
      </c>
      <c r="AG5" s="12">
        <f>IF(AG4="","（未使用）",IFERROR(INDEX('因子水準表'!$B$6:$KO$6,MATCH(AG4,'因子水準表'!$B$4:$KO$4,0)),"（ID不明）"))</f>
        <v/>
      </c>
      <c r="AH5" s="12">
        <f>IF(AH4="","（未使用）",IFERROR(INDEX('因子水準表'!$B$6:$KO$6,MATCH(AH4,'因子水準表'!$B$4:$KO$4,0)),"（ID不明）"))</f>
        <v/>
      </c>
      <c r="AI5" s="12">
        <f>IF(AI4="","（未使用）",IFERROR(INDEX('因子水準表'!$B$6:$KO$6,MATCH(AI4,'因子水準表'!$B$4:$KO$4,0)),"（ID不明）"))</f>
        <v/>
      </c>
      <c r="AJ5" s="12">
        <f>IF(AJ4="","（未使用）",IFERROR(INDEX('因子水準表'!$B$6:$KO$6,MATCH(AJ4,'因子水準表'!$B$4:$KO$4,0)),"（ID不明）"))</f>
        <v/>
      </c>
      <c r="AK5" s="12">
        <f>IF(AK4="","（未使用）",IFERROR(INDEX('因子水準表'!$B$6:$KO$6,MATCH(AK4,'因子水準表'!$B$4:$KO$4,0)),"（ID不明）"))</f>
        <v/>
      </c>
      <c r="AL5" s="12">
        <f>IF(AL4="","（未使用）",IFERROR(INDEX('因子水準表'!$B$6:$KO$6,MATCH(AL4,'因子水準表'!$B$4:$KO$4,0)),"（ID不明）"))</f>
        <v/>
      </c>
      <c r="AM5" s="12">
        <f>IF(AM4="","（未使用）",IFERROR(INDEX('因子水準表'!$B$6:$KO$6,MATCH(AM4,'因子水準表'!$B$4:$KO$4,0)),"（ID不明）"))</f>
        <v/>
      </c>
      <c r="AN5" s="12">
        <f>IF(AN4="","（未使用）",IFERROR(INDEX('因子水準表'!$B$6:$KO$6,MATCH(AN4,'因子水準表'!$B$4:$KO$4,0)),"（ID不明）"))</f>
        <v/>
      </c>
      <c r="AO5" s="12">
        <f>IF(AO4="","（未使用）",IFERROR(INDEX('因子水準表'!$B$6:$KO$6,MATCH(AO4,'因子水準表'!$B$4:$KO$4,0)),"（ID不明）"))</f>
        <v/>
      </c>
      <c r="AP5" s="12">
        <f>IF(AP4="","（未使用）",IFERROR(INDEX('因子水準表'!$B$6:$KO$6,MATCH(AP4,'因子水準表'!$B$4:$KO$4,0)),"（ID不明）"))</f>
        <v/>
      </c>
      <c r="AQ5" s="12">
        <f>IF(AQ4="","（未使用）",IFERROR(INDEX('因子水準表'!$B$6:$KO$6,MATCH(AQ4,'因子水準表'!$B$4:$KO$4,0)),"（ID不明）"))</f>
        <v/>
      </c>
      <c r="AR5" s="12">
        <f>IF(AR4="","（未使用）",IFERROR(INDEX('因子水準表'!$B$6:$KO$6,MATCH(AR4,'因子水準表'!$B$4:$KO$4,0)),"（ID不明）"))</f>
        <v/>
      </c>
      <c r="AS5" s="12">
        <f>IF(AS4="","（未使用）",IFERROR(INDEX('因子水準表'!$B$6:$KO$6,MATCH(AS4,'因子水準表'!$B$4:$KO$4,0)),"（ID不明）"))</f>
        <v/>
      </c>
      <c r="AT5" s="12">
        <f>IF(AT4="","（未使用）",IFERROR(INDEX('因子水準表'!$B$6:$KO$6,MATCH(AT4,'因子水準表'!$B$4:$KO$4,0)),"（ID不明）"))</f>
        <v/>
      </c>
      <c r="AU5" s="12">
        <f>IF(AU4="","（未使用）",IFERROR(INDEX('因子水準表'!$B$6:$KO$6,MATCH(AU4,'因子水準表'!$B$4:$KO$4,0)),"（ID不明）"))</f>
        <v/>
      </c>
      <c r="AV5" s="12">
        <f>IF(AV4="","（未使用）",IFERROR(INDEX('因子水準表'!$B$6:$KO$6,MATCH(AV4,'因子水準表'!$B$4:$KO$4,0)),"（ID不明）"))</f>
        <v/>
      </c>
      <c r="AW5" s="12">
        <f>IF(AW4="","（未使用）",IFERROR(INDEX('因子水準表'!$B$6:$KO$6,MATCH(AW4,'因子水準表'!$B$4:$KO$4,0)),"（ID不明）"))</f>
        <v/>
      </c>
      <c r="AX5" s="12">
        <f>IF(AX4="","（未使用）",IFERROR(INDEX('因子水準表'!$B$6:$KO$6,MATCH(AX4,'因子水準表'!$B$4:$KO$4,0)),"（ID不明）"))</f>
        <v/>
      </c>
      <c r="AY5" s="12">
        <f>IF(AY4="","（未使用）",IFERROR(INDEX('因子水準表'!$B$6:$KO$6,MATCH(AY4,'因子水準表'!$B$4:$KO$4,0)),"（ID不明）"))</f>
        <v/>
      </c>
      <c r="AZ5" s="12">
        <f>IF(AZ4="","（未使用）",IFERROR(INDEX('因子水準表'!$B$6:$KO$6,MATCH(AZ4,'因子水準表'!$B$4:$KO$4,0)),"（ID不明）"))</f>
        <v/>
      </c>
      <c r="BA5" s="12">
        <f>IF(BA4="","（未使用）",IFERROR(INDEX('因子水準表'!$B$6:$KO$6,MATCH(BA4,'因子水準表'!$B$4:$KO$4,0)),"（ID不明）"))</f>
        <v/>
      </c>
      <c r="BB5" s="12">
        <f>IF(BB4="","（未使用）",IFERROR(INDEX('因子水準表'!$B$6:$KO$6,MATCH(BB4,'因子水準表'!$B$4:$KO$4,0)),"（ID不明）"))</f>
        <v/>
      </c>
      <c r="BC5" s="12">
        <f>IF(BC4="","（未使用）",IFERROR(INDEX('因子水準表'!$B$6:$KO$6,MATCH(BC4,'因子水準表'!$B$4:$KO$4,0)),"（ID不明）"))</f>
        <v/>
      </c>
      <c r="BD5" s="12">
        <f>IF(BD4="","（未使用）",IFERROR(INDEX('因子水準表'!$B$6:$KO$6,MATCH(BD4,'因子水準表'!$B$4:$KO$4,0)),"（ID不明）"))</f>
        <v/>
      </c>
      <c r="BE5" s="23" t="n"/>
      <c r="BF5" s="23" t="n"/>
      <c r="BG5" s="23" t="n"/>
      <c r="BH5" s="23" t="n"/>
      <c r="BI5" s="23" t="n"/>
      <c r="BJ5" s="23" t="n"/>
      <c r="BK5" s="23" t="n"/>
      <c r="BL5" s="23" t="n"/>
      <c r="BM5" s="23" t="n"/>
      <c r="BO5" s="12" t="inlineStr">
        <is>
          <t>1列目の水準</t>
        </is>
      </c>
      <c r="BP5" s="12" t="inlineStr">
        <is>
          <t>2列目の水準</t>
        </is>
      </c>
      <c r="BQ5" s="12" t="inlineStr">
        <is>
          <t>3列目の水準</t>
        </is>
      </c>
      <c r="BR5" s="12" t="inlineStr">
        <is>
          <t>4列目の水準</t>
        </is>
      </c>
      <c r="BS5" s="12" t="inlineStr">
        <is>
          <t>5列目の水準</t>
        </is>
      </c>
      <c r="BT5" s="12" t="inlineStr">
        <is>
          <t>6列目の水準</t>
        </is>
      </c>
      <c r="BU5" s="12" t="inlineStr">
        <is>
          <t>7列目の水準</t>
        </is>
      </c>
      <c r="BV5" s="12" t="inlineStr">
        <is>
          <t>8列目の水準</t>
        </is>
      </c>
      <c r="BW5" s="12" t="inlineStr">
        <is>
          <t>9列目の水準</t>
        </is>
      </c>
      <c r="BX5" s="12" t="inlineStr">
        <is>
          <t>10列目の水準</t>
        </is>
      </c>
      <c r="BY5" s="12" t="inlineStr">
        <is>
          <t>11列目の水準</t>
        </is>
      </c>
      <c r="BZ5" s="12" t="inlineStr">
        <is>
          <t>12列目の水準</t>
        </is>
      </c>
      <c r="CA5" s="12" t="inlineStr">
        <is>
          <t>13列目の水準</t>
        </is>
      </c>
      <c r="CB5" s="12" t="inlineStr">
        <is>
          <t>14列目の水準</t>
        </is>
      </c>
      <c r="CC5" s="12" t="inlineStr">
        <is>
          <t>15列目の水準</t>
        </is>
      </c>
      <c r="CD5" s="12" t="inlineStr">
        <is>
          <t>16列目の水準</t>
        </is>
      </c>
      <c r="CE5" s="12" t="inlineStr">
        <is>
          <t>17列目の水準</t>
        </is>
      </c>
      <c r="CF5" s="12" t="inlineStr">
        <is>
          <t>18列目の水準</t>
        </is>
      </c>
      <c r="CG5" s="12" t="inlineStr">
        <is>
          <t>19列目の水準</t>
        </is>
      </c>
      <c r="CH5" s="12" t="inlineStr">
        <is>
          <t>20列目の水準</t>
        </is>
      </c>
      <c r="CI5" s="12" t="inlineStr">
        <is>
          <t>21列目の水準</t>
        </is>
      </c>
      <c r="CJ5" s="12" t="inlineStr">
        <is>
          <t>22列目の水準</t>
        </is>
      </c>
      <c r="CK5" s="12" t="inlineStr">
        <is>
          <t>23列目の水準</t>
        </is>
      </c>
      <c r="CL5" s="12" t="inlineStr">
        <is>
          <t>24列目の水準</t>
        </is>
      </c>
      <c r="CM5" s="12" t="inlineStr">
        <is>
          <t>25列目の水準</t>
        </is>
      </c>
      <c r="CN5" s="12" t="inlineStr">
        <is>
          <t>26列目の水準</t>
        </is>
      </c>
      <c r="CO5" s="12" t="inlineStr">
        <is>
          <t>27列目の水準</t>
        </is>
      </c>
      <c r="CP5" s="12" t="inlineStr">
        <is>
          <t>28列目の水準</t>
        </is>
      </c>
      <c r="CQ5" s="12" t="inlineStr">
        <is>
          <t>29列目の水準</t>
        </is>
      </c>
      <c r="CR5" s="12" t="inlineStr">
        <is>
          <t>30列目の水準</t>
        </is>
      </c>
      <c r="CS5" s="12" t="inlineStr">
        <is>
          <t>31列目の水準</t>
        </is>
      </c>
      <c r="CT5" s="12" t="inlineStr">
        <is>
          <t>32列目の水準</t>
        </is>
      </c>
      <c r="CU5" s="12" t="inlineStr">
        <is>
          <t>33列目の水準</t>
        </is>
      </c>
      <c r="CV5" s="12" t="inlineStr">
        <is>
          <t>34列目の水準</t>
        </is>
      </c>
      <c r="CW5" s="12" t="inlineStr">
        <is>
          <t>35列目の水準</t>
        </is>
      </c>
      <c r="CX5" s="12" t="inlineStr">
        <is>
          <t>36列目の水準</t>
        </is>
      </c>
      <c r="CY5" s="12" t="inlineStr">
        <is>
          <t>37列目の水準</t>
        </is>
      </c>
      <c r="CZ5" s="12" t="inlineStr">
        <is>
          <t>38列目の水準</t>
        </is>
      </c>
      <c r="DA5" s="12" t="inlineStr">
        <is>
          <t>39列目の水準</t>
        </is>
      </c>
      <c r="DB5" s="12" t="inlineStr">
        <is>
          <t>40列目の水準</t>
        </is>
      </c>
      <c r="DC5" s="12" t="inlineStr">
        <is>
          <t>41列目の水準</t>
        </is>
      </c>
      <c r="DD5" s="12" t="inlineStr">
        <is>
          <t>42列目の水準</t>
        </is>
      </c>
      <c r="DE5" s="12" t="inlineStr">
        <is>
          <t>43列目の水準</t>
        </is>
      </c>
      <c r="DF5" s="12" t="inlineStr">
        <is>
          <t>44列目の水準</t>
        </is>
      </c>
      <c r="DG5" s="12" t="inlineStr">
        <is>
          <t>45列目の水準</t>
        </is>
      </c>
      <c r="DH5" s="12" t="inlineStr">
        <is>
          <t>46列目の水準</t>
        </is>
      </c>
      <c r="DI5" s="12" t="inlineStr">
        <is>
          <t>47列目の水準</t>
        </is>
      </c>
      <c r="DJ5" s="12" t="inlineStr">
        <is>
          <t>48列目の水準</t>
        </is>
      </c>
      <c r="DK5" s="12" t="inlineStr">
        <is>
          <t>49列目の水準</t>
        </is>
      </c>
      <c r="DL5" s="12" t="inlineStr">
        <is>
          <t>50列目の水準</t>
        </is>
      </c>
      <c r="DM5" s="12" t="inlineStr">
        <is>
          <t>カテゴリ</t>
        </is>
      </c>
      <c r="DN5" s="12" t="inlineStr">
        <is>
          <t>条件ID</t>
        </is>
      </c>
    </row>
    <row r="6">
      <c r="A6" s="27" t="n"/>
      <c r="B6" s="27" t="n"/>
      <c r="C6" s="28">
        <f>IF(A6="","",$B$2)</f>
        <v/>
      </c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  <c r="AI6" s="27" t="n"/>
      <c r="AJ6" s="27" t="n"/>
      <c r="AK6" s="27" t="n"/>
      <c r="AL6" s="27" t="n"/>
      <c r="AM6" s="27" t="n"/>
      <c r="AN6" s="27" t="n"/>
      <c r="AO6" s="27" t="n"/>
      <c r="AP6" s="27" t="n"/>
      <c r="AQ6" s="27" t="n"/>
      <c r="AR6" s="27" t="n"/>
      <c r="AS6" s="27" t="n"/>
      <c r="AT6" s="27" t="n"/>
      <c r="AU6" s="27" t="n"/>
      <c r="AV6" s="27" t="n"/>
      <c r="AW6" s="27" t="n"/>
      <c r="AX6" s="27" t="n"/>
      <c r="AY6" s="27" t="n"/>
      <c r="AZ6" s="27" t="n"/>
      <c r="BA6" s="27" t="n"/>
      <c r="BB6" s="27" t="n"/>
      <c r="BC6" s="27" t="n"/>
      <c r="BD6" s="27" t="n"/>
      <c r="BE6" s="27" t="n"/>
      <c r="BF6" s="27" t="n"/>
      <c r="BG6" s="27" t="n"/>
      <c r="BH6" s="27" t="n"/>
      <c r="BI6" s="29" t="n"/>
      <c r="BJ6" s="27" t="n"/>
      <c r="BK6" s="27" t="n"/>
      <c r="BL6" s="27" t="n"/>
      <c r="BM6" s="27" t="n"/>
      <c r="BO6" s="26">
        <f>IF(G$4="","",IFERROR(INDEX('因子水準表'!$B$9:$KO$18,1,MATCH(G$4,'因子水準表'!$B$4:$KO$4,0))&amp;"",""))</f>
        <v/>
      </c>
      <c r="BP6" s="26">
        <f>IF(H$4="","",IFERROR(INDEX('因子水準表'!$B$9:$KO$18,1,MATCH(H$4,'因子水準表'!$B$4:$KO$4,0))&amp;"",""))</f>
        <v/>
      </c>
      <c r="BQ6" s="26">
        <f>IF(I$4="","",IFERROR(INDEX('因子水準表'!$B$9:$KO$18,1,MATCH(I$4,'因子水準表'!$B$4:$KO$4,0))&amp;"",""))</f>
        <v/>
      </c>
      <c r="BR6" s="26">
        <f>IF(J$4="","",IFERROR(INDEX('因子水準表'!$B$9:$KO$18,1,MATCH(J$4,'因子水準表'!$B$4:$KO$4,0))&amp;"",""))</f>
        <v/>
      </c>
      <c r="BS6" s="26">
        <f>IF(K$4="","",IFERROR(INDEX('因子水準表'!$B$9:$KO$18,1,MATCH(K$4,'因子水準表'!$B$4:$KO$4,0))&amp;"",""))</f>
        <v/>
      </c>
      <c r="BT6" s="26">
        <f>IF(L$4="","",IFERROR(INDEX('因子水準表'!$B$9:$KO$18,1,MATCH(L$4,'因子水準表'!$B$4:$KO$4,0))&amp;"",""))</f>
        <v/>
      </c>
      <c r="BU6" s="26">
        <f>IF(M$4="","",IFERROR(INDEX('因子水準表'!$B$9:$KO$18,1,MATCH(M$4,'因子水準表'!$B$4:$KO$4,0))&amp;"",""))</f>
        <v/>
      </c>
      <c r="BV6" s="26">
        <f>IF(N$4="","",IFERROR(INDEX('因子水準表'!$B$9:$KO$18,1,MATCH(N$4,'因子水準表'!$B$4:$KO$4,0))&amp;"",""))</f>
        <v/>
      </c>
      <c r="BW6" s="26">
        <f>IF(O$4="","",IFERROR(INDEX('因子水準表'!$B$9:$KO$18,1,MATCH(O$4,'因子水準表'!$B$4:$KO$4,0))&amp;"",""))</f>
        <v/>
      </c>
      <c r="BX6" s="26">
        <f>IF(P$4="","",IFERROR(INDEX('因子水準表'!$B$9:$KO$18,1,MATCH(P$4,'因子水準表'!$B$4:$KO$4,0))&amp;"",""))</f>
        <v/>
      </c>
      <c r="BY6" s="26">
        <f>IF(Q$4="","",IFERROR(INDEX('因子水準表'!$B$9:$KO$18,1,MATCH(Q$4,'因子水準表'!$B$4:$KO$4,0))&amp;"",""))</f>
        <v/>
      </c>
      <c r="BZ6" s="26">
        <f>IF(R$4="","",IFERROR(INDEX('因子水準表'!$B$9:$KO$18,1,MATCH(R$4,'因子水準表'!$B$4:$KO$4,0))&amp;"",""))</f>
        <v/>
      </c>
      <c r="CA6" s="26">
        <f>IF(S$4="","",IFERROR(INDEX('因子水準表'!$B$9:$KO$18,1,MATCH(S$4,'因子水準表'!$B$4:$KO$4,0))&amp;"",""))</f>
        <v/>
      </c>
      <c r="CB6" s="26">
        <f>IF(T$4="","",IFERROR(INDEX('因子水準表'!$B$9:$KO$18,1,MATCH(T$4,'因子水準表'!$B$4:$KO$4,0))&amp;"",""))</f>
        <v/>
      </c>
      <c r="CC6" s="26">
        <f>IF(U$4="","",IFERROR(INDEX('因子水準表'!$B$9:$KO$18,1,MATCH(U$4,'因子水準表'!$B$4:$KO$4,0))&amp;"",""))</f>
        <v/>
      </c>
      <c r="CD6" s="26">
        <f>IF(V$4="","",IFERROR(INDEX('因子水準表'!$B$9:$KO$18,1,MATCH(V$4,'因子水準表'!$B$4:$KO$4,0))&amp;"",""))</f>
        <v/>
      </c>
      <c r="CE6" s="26">
        <f>IF(W$4="","",IFERROR(INDEX('因子水準表'!$B$9:$KO$18,1,MATCH(W$4,'因子水準表'!$B$4:$KO$4,0))&amp;"",""))</f>
        <v/>
      </c>
      <c r="CF6" s="26">
        <f>IF(X$4="","",IFERROR(INDEX('因子水準表'!$B$9:$KO$18,1,MATCH(X$4,'因子水準表'!$B$4:$KO$4,0))&amp;"",""))</f>
        <v/>
      </c>
      <c r="CG6" s="26">
        <f>IF(Y$4="","",IFERROR(INDEX('因子水準表'!$B$9:$KO$18,1,MATCH(Y$4,'因子水準表'!$B$4:$KO$4,0))&amp;"",""))</f>
        <v/>
      </c>
      <c r="CH6" s="26">
        <f>IF(Z$4="","",IFERROR(INDEX('因子水準表'!$B$9:$KO$18,1,MATCH(Z$4,'因子水準表'!$B$4:$KO$4,0))&amp;"",""))</f>
        <v/>
      </c>
      <c r="CI6" s="26">
        <f>IF(AA$4="","",IFERROR(INDEX('因子水準表'!$B$9:$KO$18,1,MATCH(AA$4,'因子水準表'!$B$4:$KO$4,0))&amp;"",""))</f>
        <v/>
      </c>
      <c r="CJ6" s="26">
        <f>IF(AB$4="","",IFERROR(INDEX('因子水準表'!$B$9:$KO$18,1,MATCH(AB$4,'因子水準表'!$B$4:$KO$4,0))&amp;"",""))</f>
        <v/>
      </c>
      <c r="CK6" s="26">
        <f>IF(AC$4="","",IFERROR(INDEX('因子水準表'!$B$9:$KO$18,1,MATCH(AC$4,'因子水準表'!$B$4:$KO$4,0))&amp;"",""))</f>
        <v/>
      </c>
      <c r="CL6" s="26">
        <f>IF(AD$4="","",IFERROR(INDEX('因子水準表'!$B$9:$KO$18,1,MATCH(AD$4,'因子水準表'!$B$4:$KO$4,0))&amp;"",""))</f>
        <v/>
      </c>
      <c r="CM6" s="26">
        <f>IF(AE$4="","",IFERROR(INDEX('因子水準表'!$B$9:$KO$18,1,MATCH(AE$4,'因子水準表'!$B$4:$KO$4,0))&amp;"",""))</f>
        <v/>
      </c>
      <c r="CN6" s="26">
        <f>IF(AF$4="","",IFERROR(INDEX('因子水準表'!$B$9:$KO$18,1,MATCH(AF$4,'因子水準表'!$B$4:$KO$4,0))&amp;"",""))</f>
        <v/>
      </c>
      <c r="CO6" s="26">
        <f>IF(AG$4="","",IFERROR(INDEX('因子水準表'!$B$9:$KO$18,1,MATCH(AG$4,'因子水準表'!$B$4:$KO$4,0))&amp;"",""))</f>
        <v/>
      </c>
      <c r="CP6" s="26">
        <f>IF(AH$4="","",IFERROR(INDEX('因子水準表'!$B$9:$KO$18,1,MATCH(AH$4,'因子水準表'!$B$4:$KO$4,0))&amp;"",""))</f>
        <v/>
      </c>
      <c r="CQ6" s="26">
        <f>IF(AI$4="","",IFERROR(INDEX('因子水準表'!$B$9:$KO$18,1,MATCH(AI$4,'因子水準表'!$B$4:$KO$4,0))&amp;"",""))</f>
        <v/>
      </c>
      <c r="CR6" s="26">
        <f>IF(AJ$4="","",IFERROR(INDEX('因子水準表'!$B$9:$KO$18,1,MATCH(AJ$4,'因子水準表'!$B$4:$KO$4,0))&amp;"",""))</f>
        <v/>
      </c>
      <c r="CS6" s="26">
        <f>IF(AK$4="","",IFERROR(INDEX('因子水準表'!$B$9:$KO$18,1,MATCH(AK$4,'因子水準表'!$B$4:$KO$4,0))&amp;"",""))</f>
        <v/>
      </c>
      <c r="CT6" s="26">
        <f>IF(AL$4="","",IFERROR(INDEX('因子水準表'!$B$9:$KO$18,1,MATCH(AL$4,'因子水準表'!$B$4:$KO$4,0))&amp;"",""))</f>
        <v/>
      </c>
      <c r="CU6" s="26">
        <f>IF(AM$4="","",IFERROR(INDEX('因子水準表'!$B$9:$KO$18,1,MATCH(AM$4,'因子水準表'!$B$4:$KO$4,0))&amp;"",""))</f>
        <v/>
      </c>
      <c r="CV6" s="26">
        <f>IF(AN$4="","",IFERROR(INDEX('因子水準表'!$B$9:$KO$18,1,MATCH(AN$4,'因子水準表'!$B$4:$KO$4,0))&amp;"",""))</f>
        <v/>
      </c>
      <c r="CW6" s="26">
        <f>IF(AO$4="","",IFERROR(INDEX('因子水準表'!$B$9:$KO$18,1,MATCH(AO$4,'因子水準表'!$B$4:$KO$4,0))&amp;"",""))</f>
        <v/>
      </c>
      <c r="CX6" s="26">
        <f>IF(AP$4="","",IFERROR(INDEX('因子水準表'!$B$9:$KO$18,1,MATCH(AP$4,'因子水準表'!$B$4:$KO$4,0))&amp;"",""))</f>
        <v/>
      </c>
      <c r="CY6" s="26">
        <f>IF(AQ$4="","",IFERROR(INDEX('因子水準表'!$B$9:$KO$18,1,MATCH(AQ$4,'因子水準表'!$B$4:$KO$4,0))&amp;"",""))</f>
        <v/>
      </c>
      <c r="CZ6" s="26">
        <f>IF(AR$4="","",IFERROR(INDEX('因子水準表'!$B$9:$KO$18,1,MATCH(AR$4,'因子水準表'!$B$4:$KO$4,0))&amp;"",""))</f>
        <v/>
      </c>
      <c r="DA6" s="26">
        <f>IF(AS$4="","",IFERROR(INDEX('因子水準表'!$B$9:$KO$18,1,MATCH(AS$4,'因子水準表'!$B$4:$KO$4,0))&amp;"",""))</f>
        <v/>
      </c>
      <c r="DB6" s="26">
        <f>IF(AT$4="","",IFERROR(INDEX('因子水準表'!$B$9:$KO$18,1,MATCH(AT$4,'因子水準表'!$B$4:$KO$4,0))&amp;"",""))</f>
        <v/>
      </c>
      <c r="DC6" s="26">
        <f>IF(AU$4="","",IFERROR(INDEX('因子水準表'!$B$9:$KO$18,1,MATCH(AU$4,'因子水準表'!$B$4:$KO$4,0))&amp;"",""))</f>
        <v/>
      </c>
      <c r="DD6" s="26">
        <f>IF(AV$4="","",IFERROR(INDEX('因子水準表'!$B$9:$KO$18,1,MATCH(AV$4,'因子水準表'!$B$4:$KO$4,0))&amp;"",""))</f>
        <v/>
      </c>
      <c r="DE6" s="26">
        <f>IF(AW$4="","",IFERROR(INDEX('因子水準表'!$B$9:$KO$18,1,MATCH(AW$4,'因子水準表'!$B$4:$KO$4,0))&amp;"",""))</f>
        <v/>
      </c>
      <c r="DF6" s="26">
        <f>IF(AX$4="","",IFERROR(INDEX('因子水準表'!$B$9:$KO$18,1,MATCH(AX$4,'因子水準表'!$B$4:$KO$4,0))&amp;"",""))</f>
        <v/>
      </c>
      <c r="DG6" s="26">
        <f>IF(AY$4="","",IFERROR(INDEX('因子水準表'!$B$9:$KO$18,1,MATCH(AY$4,'因子水準表'!$B$4:$KO$4,0))&amp;"",""))</f>
        <v/>
      </c>
      <c r="DH6" s="26">
        <f>IF(AZ$4="","",IFERROR(INDEX('因子水準表'!$B$9:$KO$18,1,MATCH(AZ$4,'因子水準表'!$B$4:$KO$4,0))&amp;"",""))</f>
        <v/>
      </c>
      <c r="DI6" s="26">
        <f>IF(BA$4="","",IFERROR(INDEX('因子水準表'!$B$9:$KO$18,1,MATCH(BA$4,'因子水準表'!$B$4:$KO$4,0))&amp;"",""))</f>
        <v/>
      </c>
      <c r="DJ6" s="26">
        <f>IF(BB$4="","",IFERROR(INDEX('因子水準表'!$B$9:$KO$18,1,MATCH(BB$4,'因子水準表'!$B$4:$KO$4,0))&amp;"",""))</f>
        <v/>
      </c>
      <c r="DK6" s="26">
        <f>IF(BC$4="","",IFERROR(INDEX('因子水準表'!$B$9:$KO$18,1,MATCH(BC$4,'因子水準表'!$B$4:$KO$4,0))&amp;"",""))</f>
        <v/>
      </c>
      <c r="DL6" s="26">
        <f>IF(BD$4="","",IFERROR(INDEX('因子水準表'!$B$9:$KO$18,1,MATCH(BD$4,'因子水準表'!$B$4:$KO$4,0))&amp;"",""))</f>
        <v/>
      </c>
      <c r="DM6" s="26">
        <f>IF('因子水準表'!B29="","",'因子水準表'!B29)</f>
        <v/>
      </c>
      <c r="DN6" s="26">
        <f>IF('テスト条件'!A5="","",'テスト条件'!A5)</f>
        <v/>
      </c>
    </row>
    <row r="7">
      <c r="A7" s="27" t="n"/>
      <c r="B7" s="27" t="n"/>
      <c r="C7" s="28">
        <f>IF(A7="","",$B$2)</f>
        <v/>
      </c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7" t="n"/>
      <c r="BE7" s="27" t="n"/>
      <c r="BF7" s="27" t="n"/>
      <c r="BG7" s="27" t="n"/>
      <c r="BH7" s="27" t="n"/>
      <c r="BI7" s="29" t="n"/>
      <c r="BJ7" s="27" t="n"/>
      <c r="BK7" s="27" t="n"/>
      <c r="BL7" s="27" t="n"/>
      <c r="BM7" s="27" t="n"/>
      <c r="BO7" s="26">
        <f>IF(G$4="","",IFERROR(INDEX('因子水準表'!$B$9:$KO$18,2,MATCH(G$4,'因子水準表'!$B$4:$KO$4,0))&amp;"",""))</f>
        <v/>
      </c>
      <c r="BP7" s="26">
        <f>IF(H$4="","",IFERROR(INDEX('因子水準表'!$B$9:$KO$18,2,MATCH(H$4,'因子水準表'!$B$4:$KO$4,0))&amp;"",""))</f>
        <v/>
      </c>
      <c r="BQ7" s="26">
        <f>IF(I$4="","",IFERROR(INDEX('因子水準表'!$B$9:$KO$18,2,MATCH(I$4,'因子水準表'!$B$4:$KO$4,0))&amp;"",""))</f>
        <v/>
      </c>
      <c r="BR7" s="26">
        <f>IF(J$4="","",IFERROR(INDEX('因子水準表'!$B$9:$KO$18,2,MATCH(J$4,'因子水準表'!$B$4:$KO$4,0))&amp;"",""))</f>
        <v/>
      </c>
      <c r="BS7" s="26">
        <f>IF(K$4="","",IFERROR(INDEX('因子水準表'!$B$9:$KO$18,2,MATCH(K$4,'因子水準表'!$B$4:$KO$4,0))&amp;"",""))</f>
        <v/>
      </c>
      <c r="BT7" s="26">
        <f>IF(L$4="","",IFERROR(INDEX('因子水準表'!$B$9:$KO$18,2,MATCH(L$4,'因子水準表'!$B$4:$KO$4,0))&amp;"",""))</f>
        <v/>
      </c>
      <c r="BU7" s="26">
        <f>IF(M$4="","",IFERROR(INDEX('因子水準表'!$B$9:$KO$18,2,MATCH(M$4,'因子水準表'!$B$4:$KO$4,0))&amp;"",""))</f>
        <v/>
      </c>
      <c r="BV7" s="26">
        <f>IF(N$4="","",IFERROR(INDEX('因子水準表'!$B$9:$KO$18,2,MATCH(N$4,'因子水準表'!$B$4:$KO$4,0))&amp;"",""))</f>
        <v/>
      </c>
      <c r="BW7" s="26">
        <f>IF(O$4="","",IFERROR(INDEX('因子水準表'!$B$9:$KO$18,2,MATCH(O$4,'因子水準表'!$B$4:$KO$4,0))&amp;"",""))</f>
        <v/>
      </c>
      <c r="BX7" s="26">
        <f>IF(P$4="","",IFERROR(INDEX('因子水準表'!$B$9:$KO$18,2,MATCH(P$4,'因子水準表'!$B$4:$KO$4,0))&amp;"",""))</f>
        <v/>
      </c>
      <c r="BY7" s="26">
        <f>IF(Q$4="","",IFERROR(INDEX('因子水準表'!$B$9:$KO$18,2,MATCH(Q$4,'因子水準表'!$B$4:$KO$4,0))&amp;"",""))</f>
        <v/>
      </c>
      <c r="BZ7" s="26">
        <f>IF(R$4="","",IFERROR(INDEX('因子水準表'!$B$9:$KO$18,2,MATCH(R$4,'因子水準表'!$B$4:$KO$4,0))&amp;"",""))</f>
        <v/>
      </c>
      <c r="CA7" s="26">
        <f>IF(S$4="","",IFERROR(INDEX('因子水準表'!$B$9:$KO$18,2,MATCH(S$4,'因子水準表'!$B$4:$KO$4,0))&amp;"",""))</f>
        <v/>
      </c>
      <c r="CB7" s="26">
        <f>IF(T$4="","",IFERROR(INDEX('因子水準表'!$B$9:$KO$18,2,MATCH(T$4,'因子水準表'!$B$4:$KO$4,0))&amp;"",""))</f>
        <v/>
      </c>
      <c r="CC7" s="26">
        <f>IF(U$4="","",IFERROR(INDEX('因子水準表'!$B$9:$KO$18,2,MATCH(U$4,'因子水準表'!$B$4:$KO$4,0))&amp;"",""))</f>
        <v/>
      </c>
      <c r="CD7" s="26">
        <f>IF(V$4="","",IFERROR(INDEX('因子水準表'!$B$9:$KO$18,2,MATCH(V$4,'因子水準表'!$B$4:$KO$4,0))&amp;"",""))</f>
        <v/>
      </c>
      <c r="CE7" s="26">
        <f>IF(W$4="","",IFERROR(INDEX('因子水準表'!$B$9:$KO$18,2,MATCH(W$4,'因子水準表'!$B$4:$KO$4,0))&amp;"",""))</f>
        <v/>
      </c>
      <c r="CF7" s="26">
        <f>IF(X$4="","",IFERROR(INDEX('因子水準表'!$B$9:$KO$18,2,MATCH(X$4,'因子水準表'!$B$4:$KO$4,0))&amp;"",""))</f>
        <v/>
      </c>
      <c r="CG7" s="26">
        <f>IF(Y$4="","",IFERROR(INDEX('因子水準表'!$B$9:$KO$18,2,MATCH(Y$4,'因子水準表'!$B$4:$KO$4,0))&amp;"",""))</f>
        <v/>
      </c>
      <c r="CH7" s="26">
        <f>IF(Z$4="","",IFERROR(INDEX('因子水準表'!$B$9:$KO$18,2,MATCH(Z$4,'因子水準表'!$B$4:$KO$4,0))&amp;"",""))</f>
        <v/>
      </c>
      <c r="CI7" s="26">
        <f>IF(AA$4="","",IFERROR(INDEX('因子水準表'!$B$9:$KO$18,2,MATCH(AA$4,'因子水準表'!$B$4:$KO$4,0))&amp;"",""))</f>
        <v/>
      </c>
      <c r="CJ7" s="26">
        <f>IF(AB$4="","",IFERROR(INDEX('因子水準表'!$B$9:$KO$18,2,MATCH(AB$4,'因子水準表'!$B$4:$KO$4,0))&amp;"",""))</f>
        <v/>
      </c>
      <c r="CK7" s="26">
        <f>IF(AC$4="","",IFERROR(INDEX('因子水準表'!$B$9:$KO$18,2,MATCH(AC$4,'因子水準表'!$B$4:$KO$4,0))&amp;"",""))</f>
        <v/>
      </c>
      <c r="CL7" s="26">
        <f>IF(AD$4="","",IFERROR(INDEX('因子水準表'!$B$9:$KO$18,2,MATCH(AD$4,'因子水準表'!$B$4:$KO$4,0))&amp;"",""))</f>
        <v/>
      </c>
      <c r="CM7" s="26">
        <f>IF(AE$4="","",IFERROR(INDEX('因子水準表'!$B$9:$KO$18,2,MATCH(AE$4,'因子水準表'!$B$4:$KO$4,0))&amp;"",""))</f>
        <v/>
      </c>
      <c r="CN7" s="26">
        <f>IF(AF$4="","",IFERROR(INDEX('因子水準表'!$B$9:$KO$18,2,MATCH(AF$4,'因子水準表'!$B$4:$KO$4,0))&amp;"",""))</f>
        <v/>
      </c>
      <c r="CO7" s="26">
        <f>IF(AG$4="","",IFERROR(INDEX('因子水準表'!$B$9:$KO$18,2,MATCH(AG$4,'因子水準表'!$B$4:$KO$4,0))&amp;"",""))</f>
        <v/>
      </c>
      <c r="CP7" s="26">
        <f>IF(AH$4="","",IFERROR(INDEX('因子水準表'!$B$9:$KO$18,2,MATCH(AH$4,'因子水準表'!$B$4:$KO$4,0))&amp;"",""))</f>
        <v/>
      </c>
      <c r="CQ7" s="26">
        <f>IF(AI$4="","",IFERROR(INDEX('因子水準表'!$B$9:$KO$18,2,MATCH(AI$4,'因子水準表'!$B$4:$KO$4,0))&amp;"",""))</f>
        <v/>
      </c>
      <c r="CR7" s="26">
        <f>IF(AJ$4="","",IFERROR(INDEX('因子水準表'!$B$9:$KO$18,2,MATCH(AJ$4,'因子水準表'!$B$4:$KO$4,0))&amp;"",""))</f>
        <v/>
      </c>
      <c r="CS7" s="26">
        <f>IF(AK$4="","",IFERROR(INDEX('因子水準表'!$B$9:$KO$18,2,MATCH(AK$4,'因子水準表'!$B$4:$KO$4,0))&amp;"",""))</f>
        <v/>
      </c>
      <c r="CT7" s="26">
        <f>IF(AL$4="","",IFERROR(INDEX('因子水準表'!$B$9:$KO$18,2,MATCH(AL$4,'因子水準表'!$B$4:$KO$4,0))&amp;"",""))</f>
        <v/>
      </c>
      <c r="CU7" s="26">
        <f>IF(AM$4="","",IFERROR(INDEX('因子水準表'!$B$9:$KO$18,2,MATCH(AM$4,'因子水準表'!$B$4:$KO$4,0))&amp;"",""))</f>
        <v/>
      </c>
      <c r="CV7" s="26">
        <f>IF(AN$4="","",IFERROR(INDEX('因子水準表'!$B$9:$KO$18,2,MATCH(AN$4,'因子水準表'!$B$4:$KO$4,0))&amp;"",""))</f>
        <v/>
      </c>
      <c r="CW7" s="26">
        <f>IF(AO$4="","",IFERROR(INDEX('因子水準表'!$B$9:$KO$18,2,MATCH(AO$4,'因子水準表'!$B$4:$KO$4,0))&amp;"",""))</f>
        <v/>
      </c>
      <c r="CX7" s="26">
        <f>IF(AP$4="","",IFERROR(INDEX('因子水準表'!$B$9:$KO$18,2,MATCH(AP$4,'因子水準表'!$B$4:$KO$4,0))&amp;"",""))</f>
        <v/>
      </c>
      <c r="CY7" s="26">
        <f>IF(AQ$4="","",IFERROR(INDEX('因子水準表'!$B$9:$KO$18,2,MATCH(AQ$4,'因子水準表'!$B$4:$KO$4,0))&amp;"",""))</f>
        <v/>
      </c>
      <c r="CZ7" s="26">
        <f>IF(AR$4="","",IFERROR(INDEX('因子水準表'!$B$9:$KO$18,2,MATCH(AR$4,'因子水準表'!$B$4:$KO$4,0))&amp;"",""))</f>
        <v/>
      </c>
      <c r="DA7" s="26">
        <f>IF(AS$4="","",IFERROR(INDEX('因子水準表'!$B$9:$KO$18,2,MATCH(AS$4,'因子水準表'!$B$4:$KO$4,0))&amp;"",""))</f>
        <v/>
      </c>
      <c r="DB7" s="26">
        <f>IF(AT$4="","",IFERROR(INDEX('因子水準表'!$B$9:$KO$18,2,MATCH(AT$4,'因子水準表'!$B$4:$KO$4,0))&amp;"",""))</f>
        <v/>
      </c>
      <c r="DC7" s="26">
        <f>IF(AU$4="","",IFERROR(INDEX('因子水準表'!$B$9:$KO$18,2,MATCH(AU$4,'因子水準表'!$B$4:$KO$4,0))&amp;"",""))</f>
        <v/>
      </c>
      <c r="DD7" s="26">
        <f>IF(AV$4="","",IFERROR(INDEX('因子水準表'!$B$9:$KO$18,2,MATCH(AV$4,'因子水準表'!$B$4:$KO$4,0))&amp;"",""))</f>
        <v/>
      </c>
      <c r="DE7" s="26">
        <f>IF(AW$4="","",IFERROR(INDEX('因子水準表'!$B$9:$KO$18,2,MATCH(AW$4,'因子水準表'!$B$4:$KO$4,0))&amp;"",""))</f>
        <v/>
      </c>
      <c r="DF7" s="26">
        <f>IF(AX$4="","",IFERROR(INDEX('因子水準表'!$B$9:$KO$18,2,MATCH(AX$4,'因子水準表'!$B$4:$KO$4,0))&amp;"",""))</f>
        <v/>
      </c>
      <c r="DG7" s="26">
        <f>IF(AY$4="","",IFERROR(INDEX('因子水準表'!$B$9:$KO$18,2,MATCH(AY$4,'因子水準表'!$B$4:$KO$4,0))&amp;"",""))</f>
        <v/>
      </c>
      <c r="DH7" s="26">
        <f>IF(AZ$4="","",IFERROR(INDEX('因子水準表'!$B$9:$KO$18,2,MATCH(AZ$4,'因子水準表'!$B$4:$KO$4,0))&amp;"",""))</f>
        <v/>
      </c>
      <c r="DI7" s="26">
        <f>IF(BA$4="","",IFERROR(INDEX('因子水準表'!$B$9:$KO$18,2,MATCH(BA$4,'因子水準表'!$B$4:$KO$4,0))&amp;"",""))</f>
        <v/>
      </c>
      <c r="DJ7" s="26">
        <f>IF(BB$4="","",IFERROR(INDEX('因子水準表'!$B$9:$KO$18,2,MATCH(BB$4,'因子水準表'!$B$4:$KO$4,0))&amp;"",""))</f>
        <v/>
      </c>
      <c r="DK7" s="26">
        <f>IF(BC$4="","",IFERROR(INDEX('因子水準表'!$B$9:$KO$18,2,MATCH(BC$4,'因子水準表'!$B$4:$KO$4,0))&amp;"",""))</f>
        <v/>
      </c>
      <c r="DL7" s="26">
        <f>IF(BD$4="","",IFERROR(INDEX('因子水準表'!$B$9:$KO$18,2,MATCH(BD$4,'因子水準表'!$B$4:$KO$4,0))&amp;"",""))</f>
        <v/>
      </c>
      <c r="DM7" s="26">
        <f>IF('因子水準表'!B30="","",'因子水準表'!B30)</f>
        <v/>
      </c>
      <c r="DN7" s="26">
        <f>IF('テスト条件'!A6="","",'テスト条件'!A6)</f>
        <v/>
      </c>
    </row>
    <row r="8">
      <c r="A8" s="27" t="n"/>
      <c r="B8" s="27" t="n"/>
      <c r="C8" s="28">
        <f>IF(A8="","",$B$2)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  <c r="AJ8" s="27" t="n"/>
      <c r="AK8" s="27" t="n"/>
      <c r="AL8" s="27" t="n"/>
      <c r="AM8" s="27" t="n"/>
      <c r="AN8" s="27" t="n"/>
      <c r="AO8" s="27" t="n"/>
      <c r="AP8" s="27" t="n"/>
      <c r="AQ8" s="27" t="n"/>
      <c r="AR8" s="27" t="n"/>
      <c r="AS8" s="27" t="n"/>
      <c r="AT8" s="27" t="n"/>
      <c r="AU8" s="27" t="n"/>
      <c r="AV8" s="27" t="n"/>
      <c r="AW8" s="27" t="n"/>
      <c r="AX8" s="27" t="n"/>
      <c r="AY8" s="27" t="n"/>
      <c r="AZ8" s="27" t="n"/>
      <c r="BA8" s="27" t="n"/>
      <c r="BB8" s="27" t="n"/>
      <c r="BC8" s="27" t="n"/>
      <c r="BD8" s="27" t="n"/>
      <c r="BE8" s="27" t="n"/>
      <c r="BF8" s="27" t="n"/>
      <c r="BG8" s="27" t="n"/>
      <c r="BH8" s="27" t="n"/>
      <c r="BI8" s="29" t="n"/>
      <c r="BJ8" s="27" t="n"/>
      <c r="BK8" s="27" t="n"/>
      <c r="BL8" s="27" t="n"/>
      <c r="BM8" s="27" t="n"/>
      <c r="BO8" s="26">
        <f>IF(G$4="","",IFERROR(INDEX('因子水準表'!$B$9:$KO$18,3,MATCH(G$4,'因子水準表'!$B$4:$KO$4,0))&amp;"",""))</f>
        <v/>
      </c>
      <c r="BP8" s="26">
        <f>IF(H$4="","",IFERROR(INDEX('因子水準表'!$B$9:$KO$18,3,MATCH(H$4,'因子水準表'!$B$4:$KO$4,0))&amp;"",""))</f>
        <v/>
      </c>
      <c r="BQ8" s="26">
        <f>IF(I$4="","",IFERROR(INDEX('因子水準表'!$B$9:$KO$18,3,MATCH(I$4,'因子水準表'!$B$4:$KO$4,0))&amp;"",""))</f>
        <v/>
      </c>
      <c r="BR8" s="26">
        <f>IF(J$4="","",IFERROR(INDEX('因子水準表'!$B$9:$KO$18,3,MATCH(J$4,'因子水準表'!$B$4:$KO$4,0))&amp;"",""))</f>
        <v/>
      </c>
      <c r="BS8" s="26">
        <f>IF(K$4="","",IFERROR(INDEX('因子水準表'!$B$9:$KO$18,3,MATCH(K$4,'因子水準表'!$B$4:$KO$4,0))&amp;"",""))</f>
        <v/>
      </c>
      <c r="BT8" s="26">
        <f>IF(L$4="","",IFERROR(INDEX('因子水準表'!$B$9:$KO$18,3,MATCH(L$4,'因子水準表'!$B$4:$KO$4,0))&amp;"",""))</f>
        <v/>
      </c>
      <c r="BU8" s="26">
        <f>IF(M$4="","",IFERROR(INDEX('因子水準表'!$B$9:$KO$18,3,MATCH(M$4,'因子水準表'!$B$4:$KO$4,0))&amp;"",""))</f>
        <v/>
      </c>
      <c r="BV8" s="26">
        <f>IF(N$4="","",IFERROR(INDEX('因子水準表'!$B$9:$KO$18,3,MATCH(N$4,'因子水準表'!$B$4:$KO$4,0))&amp;"",""))</f>
        <v/>
      </c>
      <c r="BW8" s="26">
        <f>IF(O$4="","",IFERROR(INDEX('因子水準表'!$B$9:$KO$18,3,MATCH(O$4,'因子水準表'!$B$4:$KO$4,0))&amp;"",""))</f>
        <v/>
      </c>
      <c r="BX8" s="26">
        <f>IF(P$4="","",IFERROR(INDEX('因子水準表'!$B$9:$KO$18,3,MATCH(P$4,'因子水準表'!$B$4:$KO$4,0))&amp;"",""))</f>
        <v/>
      </c>
      <c r="BY8" s="26">
        <f>IF(Q$4="","",IFERROR(INDEX('因子水準表'!$B$9:$KO$18,3,MATCH(Q$4,'因子水準表'!$B$4:$KO$4,0))&amp;"",""))</f>
        <v/>
      </c>
      <c r="BZ8" s="26">
        <f>IF(R$4="","",IFERROR(INDEX('因子水準表'!$B$9:$KO$18,3,MATCH(R$4,'因子水準表'!$B$4:$KO$4,0))&amp;"",""))</f>
        <v/>
      </c>
      <c r="CA8" s="26">
        <f>IF(S$4="","",IFERROR(INDEX('因子水準表'!$B$9:$KO$18,3,MATCH(S$4,'因子水準表'!$B$4:$KO$4,0))&amp;"",""))</f>
        <v/>
      </c>
      <c r="CB8" s="26">
        <f>IF(T$4="","",IFERROR(INDEX('因子水準表'!$B$9:$KO$18,3,MATCH(T$4,'因子水準表'!$B$4:$KO$4,0))&amp;"",""))</f>
        <v/>
      </c>
      <c r="CC8" s="26">
        <f>IF(U$4="","",IFERROR(INDEX('因子水準表'!$B$9:$KO$18,3,MATCH(U$4,'因子水準表'!$B$4:$KO$4,0))&amp;"",""))</f>
        <v/>
      </c>
      <c r="CD8" s="26">
        <f>IF(V$4="","",IFERROR(INDEX('因子水準表'!$B$9:$KO$18,3,MATCH(V$4,'因子水準表'!$B$4:$KO$4,0))&amp;"",""))</f>
        <v/>
      </c>
      <c r="CE8" s="26">
        <f>IF(W$4="","",IFERROR(INDEX('因子水準表'!$B$9:$KO$18,3,MATCH(W$4,'因子水準表'!$B$4:$KO$4,0))&amp;"",""))</f>
        <v/>
      </c>
      <c r="CF8" s="26">
        <f>IF(X$4="","",IFERROR(INDEX('因子水準表'!$B$9:$KO$18,3,MATCH(X$4,'因子水準表'!$B$4:$KO$4,0))&amp;"",""))</f>
        <v/>
      </c>
      <c r="CG8" s="26">
        <f>IF(Y$4="","",IFERROR(INDEX('因子水準表'!$B$9:$KO$18,3,MATCH(Y$4,'因子水準表'!$B$4:$KO$4,0))&amp;"",""))</f>
        <v/>
      </c>
      <c r="CH8" s="26">
        <f>IF(Z$4="","",IFERROR(INDEX('因子水準表'!$B$9:$KO$18,3,MATCH(Z$4,'因子水準表'!$B$4:$KO$4,0))&amp;"",""))</f>
        <v/>
      </c>
      <c r="CI8" s="26">
        <f>IF(AA$4="","",IFERROR(INDEX('因子水準表'!$B$9:$KO$18,3,MATCH(AA$4,'因子水準表'!$B$4:$KO$4,0))&amp;"",""))</f>
        <v/>
      </c>
      <c r="CJ8" s="26">
        <f>IF(AB$4="","",IFERROR(INDEX('因子水準表'!$B$9:$KO$18,3,MATCH(AB$4,'因子水準表'!$B$4:$KO$4,0))&amp;"",""))</f>
        <v/>
      </c>
      <c r="CK8" s="26">
        <f>IF(AC$4="","",IFERROR(INDEX('因子水準表'!$B$9:$KO$18,3,MATCH(AC$4,'因子水準表'!$B$4:$KO$4,0))&amp;"",""))</f>
        <v/>
      </c>
      <c r="CL8" s="26">
        <f>IF(AD$4="","",IFERROR(INDEX('因子水準表'!$B$9:$KO$18,3,MATCH(AD$4,'因子水準表'!$B$4:$KO$4,0))&amp;"",""))</f>
        <v/>
      </c>
      <c r="CM8" s="26">
        <f>IF(AE$4="","",IFERROR(INDEX('因子水準表'!$B$9:$KO$18,3,MATCH(AE$4,'因子水準表'!$B$4:$KO$4,0))&amp;"",""))</f>
        <v/>
      </c>
      <c r="CN8" s="26">
        <f>IF(AF$4="","",IFERROR(INDEX('因子水準表'!$B$9:$KO$18,3,MATCH(AF$4,'因子水準表'!$B$4:$KO$4,0))&amp;"",""))</f>
        <v/>
      </c>
      <c r="CO8" s="26">
        <f>IF(AG$4="","",IFERROR(INDEX('因子水準表'!$B$9:$KO$18,3,MATCH(AG$4,'因子水準表'!$B$4:$KO$4,0))&amp;"",""))</f>
        <v/>
      </c>
      <c r="CP8" s="26">
        <f>IF(AH$4="","",IFERROR(INDEX('因子水準表'!$B$9:$KO$18,3,MATCH(AH$4,'因子水準表'!$B$4:$KO$4,0))&amp;"",""))</f>
        <v/>
      </c>
      <c r="CQ8" s="26">
        <f>IF(AI$4="","",IFERROR(INDEX('因子水準表'!$B$9:$KO$18,3,MATCH(AI$4,'因子水準表'!$B$4:$KO$4,0))&amp;"",""))</f>
        <v/>
      </c>
      <c r="CR8" s="26">
        <f>IF(AJ$4="","",IFERROR(INDEX('因子水準表'!$B$9:$KO$18,3,MATCH(AJ$4,'因子水準表'!$B$4:$KO$4,0))&amp;"",""))</f>
        <v/>
      </c>
      <c r="CS8" s="26">
        <f>IF(AK$4="","",IFERROR(INDEX('因子水準表'!$B$9:$KO$18,3,MATCH(AK$4,'因子水準表'!$B$4:$KO$4,0))&amp;"",""))</f>
        <v/>
      </c>
      <c r="CT8" s="26">
        <f>IF(AL$4="","",IFERROR(INDEX('因子水準表'!$B$9:$KO$18,3,MATCH(AL$4,'因子水準表'!$B$4:$KO$4,0))&amp;"",""))</f>
        <v/>
      </c>
      <c r="CU8" s="26">
        <f>IF(AM$4="","",IFERROR(INDEX('因子水準表'!$B$9:$KO$18,3,MATCH(AM$4,'因子水準表'!$B$4:$KO$4,0))&amp;"",""))</f>
        <v/>
      </c>
      <c r="CV8" s="26">
        <f>IF(AN$4="","",IFERROR(INDEX('因子水準表'!$B$9:$KO$18,3,MATCH(AN$4,'因子水準表'!$B$4:$KO$4,0))&amp;"",""))</f>
        <v/>
      </c>
      <c r="CW8" s="26">
        <f>IF(AO$4="","",IFERROR(INDEX('因子水準表'!$B$9:$KO$18,3,MATCH(AO$4,'因子水準表'!$B$4:$KO$4,0))&amp;"",""))</f>
        <v/>
      </c>
      <c r="CX8" s="26">
        <f>IF(AP$4="","",IFERROR(INDEX('因子水準表'!$B$9:$KO$18,3,MATCH(AP$4,'因子水準表'!$B$4:$KO$4,0))&amp;"",""))</f>
        <v/>
      </c>
      <c r="CY8" s="26">
        <f>IF(AQ$4="","",IFERROR(INDEX('因子水準表'!$B$9:$KO$18,3,MATCH(AQ$4,'因子水準表'!$B$4:$KO$4,0))&amp;"",""))</f>
        <v/>
      </c>
      <c r="CZ8" s="26">
        <f>IF(AR$4="","",IFERROR(INDEX('因子水準表'!$B$9:$KO$18,3,MATCH(AR$4,'因子水準表'!$B$4:$KO$4,0))&amp;"",""))</f>
        <v/>
      </c>
      <c r="DA8" s="26">
        <f>IF(AS$4="","",IFERROR(INDEX('因子水準表'!$B$9:$KO$18,3,MATCH(AS$4,'因子水準表'!$B$4:$KO$4,0))&amp;"",""))</f>
        <v/>
      </c>
      <c r="DB8" s="26">
        <f>IF(AT$4="","",IFERROR(INDEX('因子水準表'!$B$9:$KO$18,3,MATCH(AT$4,'因子水準表'!$B$4:$KO$4,0))&amp;"",""))</f>
        <v/>
      </c>
      <c r="DC8" s="26">
        <f>IF(AU$4="","",IFERROR(INDEX('因子水準表'!$B$9:$KO$18,3,MATCH(AU$4,'因子水準表'!$B$4:$KO$4,0))&amp;"",""))</f>
        <v/>
      </c>
      <c r="DD8" s="26">
        <f>IF(AV$4="","",IFERROR(INDEX('因子水準表'!$B$9:$KO$18,3,MATCH(AV$4,'因子水準表'!$B$4:$KO$4,0))&amp;"",""))</f>
        <v/>
      </c>
      <c r="DE8" s="26">
        <f>IF(AW$4="","",IFERROR(INDEX('因子水準表'!$B$9:$KO$18,3,MATCH(AW$4,'因子水準表'!$B$4:$KO$4,0))&amp;"",""))</f>
        <v/>
      </c>
      <c r="DF8" s="26">
        <f>IF(AX$4="","",IFERROR(INDEX('因子水準表'!$B$9:$KO$18,3,MATCH(AX$4,'因子水準表'!$B$4:$KO$4,0))&amp;"",""))</f>
        <v/>
      </c>
      <c r="DG8" s="26">
        <f>IF(AY$4="","",IFERROR(INDEX('因子水準表'!$B$9:$KO$18,3,MATCH(AY$4,'因子水準表'!$B$4:$KO$4,0))&amp;"",""))</f>
        <v/>
      </c>
      <c r="DH8" s="26">
        <f>IF(AZ$4="","",IFERROR(INDEX('因子水準表'!$B$9:$KO$18,3,MATCH(AZ$4,'因子水準表'!$B$4:$KO$4,0))&amp;"",""))</f>
        <v/>
      </c>
      <c r="DI8" s="26">
        <f>IF(BA$4="","",IFERROR(INDEX('因子水準表'!$B$9:$KO$18,3,MATCH(BA$4,'因子水準表'!$B$4:$KO$4,0))&amp;"",""))</f>
        <v/>
      </c>
      <c r="DJ8" s="26">
        <f>IF(BB$4="","",IFERROR(INDEX('因子水準表'!$B$9:$KO$18,3,MATCH(BB$4,'因子水準表'!$B$4:$KO$4,0))&amp;"",""))</f>
        <v/>
      </c>
      <c r="DK8" s="26">
        <f>IF(BC$4="","",IFERROR(INDEX('因子水準表'!$B$9:$KO$18,3,MATCH(BC$4,'因子水準表'!$B$4:$KO$4,0))&amp;"",""))</f>
        <v/>
      </c>
      <c r="DL8" s="26">
        <f>IF(BD$4="","",IFERROR(INDEX('因子水準表'!$B$9:$KO$18,3,MATCH(BD$4,'因子水準表'!$B$4:$KO$4,0))&amp;"",""))</f>
        <v/>
      </c>
      <c r="DM8" s="26">
        <f>IF('因子水準表'!B31="","",'因子水準表'!B31)</f>
        <v/>
      </c>
      <c r="DN8" s="26">
        <f>IF('テスト条件'!A7="","",'テスト条件'!A7)</f>
        <v/>
      </c>
    </row>
    <row r="9">
      <c r="A9" s="27" t="n"/>
      <c r="B9" s="27" t="n"/>
      <c r="C9" s="28">
        <f>IF(A9="","",$B$2)</f>
        <v/>
      </c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  <c r="AA9" s="27" t="n"/>
      <c r="AB9" s="27" t="n"/>
      <c r="AC9" s="27" t="n"/>
      <c r="AD9" s="27" t="n"/>
      <c r="AE9" s="27" t="n"/>
      <c r="AF9" s="27" t="n"/>
      <c r="AG9" s="27" t="n"/>
      <c r="AH9" s="27" t="n"/>
      <c r="AI9" s="27" t="n"/>
      <c r="AJ9" s="27" t="n"/>
      <c r="AK9" s="27" t="n"/>
      <c r="AL9" s="27" t="n"/>
      <c r="AM9" s="27" t="n"/>
      <c r="AN9" s="27" t="n"/>
      <c r="AO9" s="27" t="n"/>
      <c r="AP9" s="27" t="n"/>
      <c r="AQ9" s="27" t="n"/>
      <c r="AR9" s="27" t="n"/>
      <c r="AS9" s="27" t="n"/>
      <c r="AT9" s="27" t="n"/>
      <c r="AU9" s="27" t="n"/>
      <c r="AV9" s="27" t="n"/>
      <c r="AW9" s="27" t="n"/>
      <c r="AX9" s="27" t="n"/>
      <c r="AY9" s="27" t="n"/>
      <c r="AZ9" s="27" t="n"/>
      <c r="BA9" s="27" t="n"/>
      <c r="BB9" s="27" t="n"/>
      <c r="BC9" s="27" t="n"/>
      <c r="BD9" s="27" t="n"/>
      <c r="BE9" s="27" t="n"/>
      <c r="BF9" s="27" t="n"/>
      <c r="BG9" s="27" t="n"/>
      <c r="BH9" s="27" t="n"/>
      <c r="BI9" s="29" t="n"/>
      <c r="BJ9" s="27" t="n"/>
      <c r="BK9" s="27" t="n"/>
      <c r="BL9" s="27" t="n"/>
      <c r="BM9" s="27" t="n"/>
      <c r="BO9" s="26">
        <f>IF(G$4="","",IFERROR(INDEX('因子水準表'!$B$9:$KO$18,4,MATCH(G$4,'因子水準表'!$B$4:$KO$4,0))&amp;"",""))</f>
        <v/>
      </c>
      <c r="BP9" s="26">
        <f>IF(H$4="","",IFERROR(INDEX('因子水準表'!$B$9:$KO$18,4,MATCH(H$4,'因子水準表'!$B$4:$KO$4,0))&amp;"",""))</f>
        <v/>
      </c>
      <c r="BQ9" s="26">
        <f>IF(I$4="","",IFERROR(INDEX('因子水準表'!$B$9:$KO$18,4,MATCH(I$4,'因子水準表'!$B$4:$KO$4,0))&amp;"",""))</f>
        <v/>
      </c>
      <c r="BR9" s="26">
        <f>IF(J$4="","",IFERROR(INDEX('因子水準表'!$B$9:$KO$18,4,MATCH(J$4,'因子水準表'!$B$4:$KO$4,0))&amp;"",""))</f>
        <v/>
      </c>
      <c r="BS9" s="26">
        <f>IF(K$4="","",IFERROR(INDEX('因子水準表'!$B$9:$KO$18,4,MATCH(K$4,'因子水準表'!$B$4:$KO$4,0))&amp;"",""))</f>
        <v/>
      </c>
      <c r="BT9" s="26">
        <f>IF(L$4="","",IFERROR(INDEX('因子水準表'!$B$9:$KO$18,4,MATCH(L$4,'因子水準表'!$B$4:$KO$4,0))&amp;"",""))</f>
        <v/>
      </c>
      <c r="BU9" s="26">
        <f>IF(M$4="","",IFERROR(INDEX('因子水準表'!$B$9:$KO$18,4,MATCH(M$4,'因子水準表'!$B$4:$KO$4,0))&amp;"",""))</f>
        <v/>
      </c>
      <c r="BV9" s="26">
        <f>IF(N$4="","",IFERROR(INDEX('因子水準表'!$B$9:$KO$18,4,MATCH(N$4,'因子水準表'!$B$4:$KO$4,0))&amp;"",""))</f>
        <v/>
      </c>
      <c r="BW9" s="26">
        <f>IF(O$4="","",IFERROR(INDEX('因子水準表'!$B$9:$KO$18,4,MATCH(O$4,'因子水準表'!$B$4:$KO$4,0))&amp;"",""))</f>
        <v/>
      </c>
      <c r="BX9" s="26">
        <f>IF(P$4="","",IFERROR(INDEX('因子水準表'!$B$9:$KO$18,4,MATCH(P$4,'因子水準表'!$B$4:$KO$4,0))&amp;"",""))</f>
        <v/>
      </c>
      <c r="BY9" s="26">
        <f>IF(Q$4="","",IFERROR(INDEX('因子水準表'!$B$9:$KO$18,4,MATCH(Q$4,'因子水準表'!$B$4:$KO$4,0))&amp;"",""))</f>
        <v/>
      </c>
      <c r="BZ9" s="26">
        <f>IF(R$4="","",IFERROR(INDEX('因子水準表'!$B$9:$KO$18,4,MATCH(R$4,'因子水準表'!$B$4:$KO$4,0))&amp;"",""))</f>
        <v/>
      </c>
      <c r="CA9" s="26">
        <f>IF(S$4="","",IFERROR(INDEX('因子水準表'!$B$9:$KO$18,4,MATCH(S$4,'因子水準表'!$B$4:$KO$4,0))&amp;"",""))</f>
        <v/>
      </c>
      <c r="CB9" s="26">
        <f>IF(T$4="","",IFERROR(INDEX('因子水準表'!$B$9:$KO$18,4,MATCH(T$4,'因子水準表'!$B$4:$KO$4,0))&amp;"",""))</f>
        <v/>
      </c>
      <c r="CC9" s="26">
        <f>IF(U$4="","",IFERROR(INDEX('因子水準表'!$B$9:$KO$18,4,MATCH(U$4,'因子水準表'!$B$4:$KO$4,0))&amp;"",""))</f>
        <v/>
      </c>
      <c r="CD9" s="26">
        <f>IF(V$4="","",IFERROR(INDEX('因子水準表'!$B$9:$KO$18,4,MATCH(V$4,'因子水準表'!$B$4:$KO$4,0))&amp;"",""))</f>
        <v/>
      </c>
      <c r="CE9" s="26">
        <f>IF(W$4="","",IFERROR(INDEX('因子水準表'!$B$9:$KO$18,4,MATCH(W$4,'因子水準表'!$B$4:$KO$4,0))&amp;"",""))</f>
        <v/>
      </c>
      <c r="CF9" s="26">
        <f>IF(X$4="","",IFERROR(INDEX('因子水準表'!$B$9:$KO$18,4,MATCH(X$4,'因子水準表'!$B$4:$KO$4,0))&amp;"",""))</f>
        <v/>
      </c>
      <c r="CG9" s="26">
        <f>IF(Y$4="","",IFERROR(INDEX('因子水準表'!$B$9:$KO$18,4,MATCH(Y$4,'因子水準表'!$B$4:$KO$4,0))&amp;"",""))</f>
        <v/>
      </c>
      <c r="CH9" s="26">
        <f>IF(Z$4="","",IFERROR(INDEX('因子水準表'!$B$9:$KO$18,4,MATCH(Z$4,'因子水準表'!$B$4:$KO$4,0))&amp;"",""))</f>
        <v/>
      </c>
      <c r="CI9" s="26">
        <f>IF(AA$4="","",IFERROR(INDEX('因子水準表'!$B$9:$KO$18,4,MATCH(AA$4,'因子水準表'!$B$4:$KO$4,0))&amp;"",""))</f>
        <v/>
      </c>
      <c r="CJ9" s="26">
        <f>IF(AB$4="","",IFERROR(INDEX('因子水準表'!$B$9:$KO$18,4,MATCH(AB$4,'因子水準表'!$B$4:$KO$4,0))&amp;"",""))</f>
        <v/>
      </c>
      <c r="CK9" s="26">
        <f>IF(AC$4="","",IFERROR(INDEX('因子水準表'!$B$9:$KO$18,4,MATCH(AC$4,'因子水準表'!$B$4:$KO$4,0))&amp;"",""))</f>
        <v/>
      </c>
      <c r="CL9" s="26">
        <f>IF(AD$4="","",IFERROR(INDEX('因子水準表'!$B$9:$KO$18,4,MATCH(AD$4,'因子水準表'!$B$4:$KO$4,0))&amp;"",""))</f>
        <v/>
      </c>
      <c r="CM9" s="26">
        <f>IF(AE$4="","",IFERROR(INDEX('因子水準表'!$B$9:$KO$18,4,MATCH(AE$4,'因子水準表'!$B$4:$KO$4,0))&amp;"",""))</f>
        <v/>
      </c>
      <c r="CN9" s="26">
        <f>IF(AF$4="","",IFERROR(INDEX('因子水準表'!$B$9:$KO$18,4,MATCH(AF$4,'因子水準表'!$B$4:$KO$4,0))&amp;"",""))</f>
        <v/>
      </c>
      <c r="CO9" s="26">
        <f>IF(AG$4="","",IFERROR(INDEX('因子水準表'!$B$9:$KO$18,4,MATCH(AG$4,'因子水準表'!$B$4:$KO$4,0))&amp;"",""))</f>
        <v/>
      </c>
      <c r="CP9" s="26">
        <f>IF(AH$4="","",IFERROR(INDEX('因子水準表'!$B$9:$KO$18,4,MATCH(AH$4,'因子水準表'!$B$4:$KO$4,0))&amp;"",""))</f>
        <v/>
      </c>
      <c r="CQ9" s="26">
        <f>IF(AI$4="","",IFERROR(INDEX('因子水準表'!$B$9:$KO$18,4,MATCH(AI$4,'因子水準表'!$B$4:$KO$4,0))&amp;"",""))</f>
        <v/>
      </c>
      <c r="CR9" s="26">
        <f>IF(AJ$4="","",IFERROR(INDEX('因子水準表'!$B$9:$KO$18,4,MATCH(AJ$4,'因子水準表'!$B$4:$KO$4,0))&amp;"",""))</f>
        <v/>
      </c>
      <c r="CS9" s="26">
        <f>IF(AK$4="","",IFERROR(INDEX('因子水準表'!$B$9:$KO$18,4,MATCH(AK$4,'因子水準表'!$B$4:$KO$4,0))&amp;"",""))</f>
        <v/>
      </c>
      <c r="CT9" s="26">
        <f>IF(AL$4="","",IFERROR(INDEX('因子水準表'!$B$9:$KO$18,4,MATCH(AL$4,'因子水準表'!$B$4:$KO$4,0))&amp;"",""))</f>
        <v/>
      </c>
      <c r="CU9" s="26">
        <f>IF(AM$4="","",IFERROR(INDEX('因子水準表'!$B$9:$KO$18,4,MATCH(AM$4,'因子水準表'!$B$4:$KO$4,0))&amp;"",""))</f>
        <v/>
      </c>
      <c r="CV9" s="26">
        <f>IF(AN$4="","",IFERROR(INDEX('因子水準表'!$B$9:$KO$18,4,MATCH(AN$4,'因子水準表'!$B$4:$KO$4,0))&amp;"",""))</f>
        <v/>
      </c>
      <c r="CW9" s="26">
        <f>IF(AO$4="","",IFERROR(INDEX('因子水準表'!$B$9:$KO$18,4,MATCH(AO$4,'因子水準表'!$B$4:$KO$4,0))&amp;"",""))</f>
        <v/>
      </c>
      <c r="CX9" s="26">
        <f>IF(AP$4="","",IFERROR(INDEX('因子水準表'!$B$9:$KO$18,4,MATCH(AP$4,'因子水準表'!$B$4:$KO$4,0))&amp;"",""))</f>
        <v/>
      </c>
      <c r="CY9" s="26">
        <f>IF(AQ$4="","",IFERROR(INDEX('因子水準表'!$B$9:$KO$18,4,MATCH(AQ$4,'因子水準表'!$B$4:$KO$4,0))&amp;"",""))</f>
        <v/>
      </c>
      <c r="CZ9" s="26">
        <f>IF(AR$4="","",IFERROR(INDEX('因子水準表'!$B$9:$KO$18,4,MATCH(AR$4,'因子水準表'!$B$4:$KO$4,0))&amp;"",""))</f>
        <v/>
      </c>
      <c r="DA9" s="26">
        <f>IF(AS$4="","",IFERROR(INDEX('因子水準表'!$B$9:$KO$18,4,MATCH(AS$4,'因子水準表'!$B$4:$KO$4,0))&amp;"",""))</f>
        <v/>
      </c>
      <c r="DB9" s="26">
        <f>IF(AT$4="","",IFERROR(INDEX('因子水準表'!$B$9:$KO$18,4,MATCH(AT$4,'因子水準表'!$B$4:$KO$4,0))&amp;"",""))</f>
        <v/>
      </c>
      <c r="DC9" s="26">
        <f>IF(AU$4="","",IFERROR(INDEX('因子水準表'!$B$9:$KO$18,4,MATCH(AU$4,'因子水準表'!$B$4:$KO$4,0))&amp;"",""))</f>
        <v/>
      </c>
      <c r="DD9" s="26">
        <f>IF(AV$4="","",IFERROR(INDEX('因子水準表'!$B$9:$KO$18,4,MATCH(AV$4,'因子水準表'!$B$4:$KO$4,0))&amp;"",""))</f>
        <v/>
      </c>
      <c r="DE9" s="26">
        <f>IF(AW$4="","",IFERROR(INDEX('因子水準表'!$B$9:$KO$18,4,MATCH(AW$4,'因子水準表'!$B$4:$KO$4,0))&amp;"",""))</f>
        <v/>
      </c>
      <c r="DF9" s="26">
        <f>IF(AX$4="","",IFERROR(INDEX('因子水準表'!$B$9:$KO$18,4,MATCH(AX$4,'因子水準表'!$B$4:$KO$4,0))&amp;"",""))</f>
        <v/>
      </c>
      <c r="DG9" s="26">
        <f>IF(AY$4="","",IFERROR(INDEX('因子水準表'!$B$9:$KO$18,4,MATCH(AY$4,'因子水準表'!$B$4:$KO$4,0))&amp;"",""))</f>
        <v/>
      </c>
      <c r="DH9" s="26">
        <f>IF(AZ$4="","",IFERROR(INDEX('因子水準表'!$B$9:$KO$18,4,MATCH(AZ$4,'因子水準表'!$B$4:$KO$4,0))&amp;"",""))</f>
        <v/>
      </c>
      <c r="DI9" s="26">
        <f>IF(BA$4="","",IFERROR(INDEX('因子水準表'!$B$9:$KO$18,4,MATCH(BA$4,'因子水準表'!$B$4:$KO$4,0))&amp;"",""))</f>
        <v/>
      </c>
      <c r="DJ9" s="26">
        <f>IF(BB$4="","",IFERROR(INDEX('因子水準表'!$B$9:$KO$18,4,MATCH(BB$4,'因子水準表'!$B$4:$KO$4,0))&amp;"",""))</f>
        <v/>
      </c>
      <c r="DK9" s="26">
        <f>IF(BC$4="","",IFERROR(INDEX('因子水準表'!$B$9:$KO$18,4,MATCH(BC$4,'因子水準表'!$B$4:$KO$4,0))&amp;"",""))</f>
        <v/>
      </c>
      <c r="DL9" s="26">
        <f>IF(BD$4="","",IFERROR(INDEX('因子水準表'!$B$9:$KO$18,4,MATCH(BD$4,'因子水準表'!$B$4:$KO$4,0))&amp;"",""))</f>
        <v/>
      </c>
      <c r="DM9" s="26">
        <f>IF('因子水準表'!B32="","",'因子水準表'!B32)</f>
        <v/>
      </c>
      <c r="DN9" s="26">
        <f>IF('テスト条件'!A8="","",'テスト条件'!A8)</f>
        <v/>
      </c>
    </row>
    <row r="10">
      <c r="A10" s="27" t="n"/>
      <c r="B10" s="27" t="n"/>
      <c r="C10" s="28">
        <f>IF(A10="","",$B$2)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  <c r="AI10" s="27" t="n"/>
      <c r="AJ10" s="27" t="n"/>
      <c r="AK10" s="27" t="n"/>
      <c r="AL10" s="27" t="n"/>
      <c r="AM10" s="27" t="n"/>
      <c r="AN10" s="27" t="n"/>
      <c r="AO10" s="27" t="n"/>
      <c r="AP10" s="27" t="n"/>
      <c r="AQ10" s="27" t="n"/>
      <c r="AR10" s="27" t="n"/>
      <c r="AS10" s="27" t="n"/>
      <c r="AT10" s="27" t="n"/>
      <c r="AU10" s="27" t="n"/>
      <c r="AV10" s="27" t="n"/>
      <c r="AW10" s="27" t="n"/>
      <c r="AX10" s="27" t="n"/>
      <c r="AY10" s="27" t="n"/>
      <c r="AZ10" s="27" t="n"/>
      <c r="BA10" s="27" t="n"/>
      <c r="BB10" s="27" t="n"/>
      <c r="BC10" s="27" t="n"/>
      <c r="BD10" s="27" t="n"/>
      <c r="BE10" s="27" t="n"/>
      <c r="BF10" s="27" t="n"/>
      <c r="BG10" s="27" t="n"/>
      <c r="BH10" s="27" t="n"/>
      <c r="BI10" s="29" t="n"/>
      <c r="BJ10" s="27" t="n"/>
      <c r="BK10" s="27" t="n"/>
      <c r="BL10" s="27" t="n"/>
      <c r="BM10" s="27" t="n"/>
      <c r="BO10" s="26">
        <f>IF(G$4="","",IFERROR(INDEX('因子水準表'!$B$9:$KO$18,5,MATCH(G$4,'因子水準表'!$B$4:$KO$4,0))&amp;"",""))</f>
        <v/>
      </c>
      <c r="BP10" s="26">
        <f>IF(H$4="","",IFERROR(INDEX('因子水準表'!$B$9:$KO$18,5,MATCH(H$4,'因子水準表'!$B$4:$KO$4,0))&amp;"",""))</f>
        <v/>
      </c>
      <c r="BQ10" s="26">
        <f>IF(I$4="","",IFERROR(INDEX('因子水準表'!$B$9:$KO$18,5,MATCH(I$4,'因子水準表'!$B$4:$KO$4,0))&amp;"",""))</f>
        <v/>
      </c>
      <c r="BR10" s="26">
        <f>IF(J$4="","",IFERROR(INDEX('因子水準表'!$B$9:$KO$18,5,MATCH(J$4,'因子水準表'!$B$4:$KO$4,0))&amp;"",""))</f>
        <v/>
      </c>
      <c r="BS10" s="26">
        <f>IF(K$4="","",IFERROR(INDEX('因子水準表'!$B$9:$KO$18,5,MATCH(K$4,'因子水準表'!$B$4:$KO$4,0))&amp;"",""))</f>
        <v/>
      </c>
      <c r="BT10" s="26">
        <f>IF(L$4="","",IFERROR(INDEX('因子水準表'!$B$9:$KO$18,5,MATCH(L$4,'因子水準表'!$B$4:$KO$4,0))&amp;"",""))</f>
        <v/>
      </c>
      <c r="BU10" s="26">
        <f>IF(M$4="","",IFERROR(INDEX('因子水準表'!$B$9:$KO$18,5,MATCH(M$4,'因子水準表'!$B$4:$KO$4,0))&amp;"",""))</f>
        <v/>
      </c>
      <c r="BV10" s="26">
        <f>IF(N$4="","",IFERROR(INDEX('因子水準表'!$B$9:$KO$18,5,MATCH(N$4,'因子水準表'!$B$4:$KO$4,0))&amp;"",""))</f>
        <v/>
      </c>
      <c r="BW10" s="26">
        <f>IF(O$4="","",IFERROR(INDEX('因子水準表'!$B$9:$KO$18,5,MATCH(O$4,'因子水準表'!$B$4:$KO$4,0))&amp;"",""))</f>
        <v/>
      </c>
      <c r="BX10" s="26">
        <f>IF(P$4="","",IFERROR(INDEX('因子水準表'!$B$9:$KO$18,5,MATCH(P$4,'因子水準表'!$B$4:$KO$4,0))&amp;"",""))</f>
        <v/>
      </c>
      <c r="BY10" s="26">
        <f>IF(Q$4="","",IFERROR(INDEX('因子水準表'!$B$9:$KO$18,5,MATCH(Q$4,'因子水準表'!$B$4:$KO$4,0))&amp;"",""))</f>
        <v/>
      </c>
      <c r="BZ10" s="26">
        <f>IF(R$4="","",IFERROR(INDEX('因子水準表'!$B$9:$KO$18,5,MATCH(R$4,'因子水準表'!$B$4:$KO$4,0))&amp;"",""))</f>
        <v/>
      </c>
      <c r="CA10" s="26">
        <f>IF(S$4="","",IFERROR(INDEX('因子水準表'!$B$9:$KO$18,5,MATCH(S$4,'因子水準表'!$B$4:$KO$4,0))&amp;"",""))</f>
        <v/>
      </c>
      <c r="CB10" s="26">
        <f>IF(T$4="","",IFERROR(INDEX('因子水準表'!$B$9:$KO$18,5,MATCH(T$4,'因子水準表'!$B$4:$KO$4,0))&amp;"",""))</f>
        <v/>
      </c>
      <c r="CC10" s="26">
        <f>IF(U$4="","",IFERROR(INDEX('因子水準表'!$B$9:$KO$18,5,MATCH(U$4,'因子水準表'!$B$4:$KO$4,0))&amp;"",""))</f>
        <v/>
      </c>
      <c r="CD10" s="26">
        <f>IF(V$4="","",IFERROR(INDEX('因子水準表'!$B$9:$KO$18,5,MATCH(V$4,'因子水準表'!$B$4:$KO$4,0))&amp;"",""))</f>
        <v/>
      </c>
      <c r="CE10" s="26">
        <f>IF(W$4="","",IFERROR(INDEX('因子水準表'!$B$9:$KO$18,5,MATCH(W$4,'因子水準表'!$B$4:$KO$4,0))&amp;"",""))</f>
        <v/>
      </c>
      <c r="CF10" s="26">
        <f>IF(X$4="","",IFERROR(INDEX('因子水準表'!$B$9:$KO$18,5,MATCH(X$4,'因子水準表'!$B$4:$KO$4,0))&amp;"",""))</f>
        <v/>
      </c>
      <c r="CG10" s="26">
        <f>IF(Y$4="","",IFERROR(INDEX('因子水準表'!$B$9:$KO$18,5,MATCH(Y$4,'因子水準表'!$B$4:$KO$4,0))&amp;"",""))</f>
        <v/>
      </c>
      <c r="CH10" s="26">
        <f>IF(Z$4="","",IFERROR(INDEX('因子水準表'!$B$9:$KO$18,5,MATCH(Z$4,'因子水準表'!$B$4:$KO$4,0))&amp;"",""))</f>
        <v/>
      </c>
      <c r="CI10" s="26">
        <f>IF(AA$4="","",IFERROR(INDEX('因子水準表'!$B$9:$KO$18,5,MATCH(AA$4,'因子水準表'!$B$4:$KO$4,0))&amp;"",""))</f>
        <v/>
      </c>
      <c r="CJ10" s="26">
        <f>IF(AB$4="","",IFERROR(INDEX('因子水準表'!$B$9:$KO$18,5,MATCH(AB$4,'因子水準表'!$B$4:$KO$4,0))&amp;"",""))</f>
        <v/>
      </c>
      <c r="CK10" s="26">
        <f>IF(AC$4="","",IFERROR(INDEX('因子水準表'!$B$9:$KO$18,5,MATCH(AC$4,'因子水準表'!$B$4:$KO$4,0))&amp;"",""))</f>
        <v/>
      </c>
      <c r="CL10" s="26">
        <f>IF(AD$4="","",IFERROR(INDEX('因子水準表'!$B$9:$KO$18,5,MATCH(AD$4,'因子水準表'!$B$4:$KO$4,0))&amp;"",""))</f>
        <v/>
      </c>
      <c r="CM10" s="26">
        <f>IF(AE$4="","",IFERROR(INDEX('因子水準表'!$B$9:$KO$18,5,MATCH(AE$4,'因子水準表'!$B$4:$KO$4,0))&amp;"",""))</f>
        <v/>
      </c>
      <c r="CN10" s="26">
        <f>IF(AF$4="","",IFERROR(INDEX('因子水準表'!$B$9:$KO$18,5,MATCH(AF$4,'因子水準表'!$B$4:$KO$4,0))&amp;"",""))</f>
        <v/>
      </c>
      <c r="CO10" s="26">
        <f>IF(AG$4="","",IFERROR(INDEX('因子水準表'!$B$9:$KO$18,5,MATCH(AG$4,'因子水準表'!$B$4:$KO$4,0))&amp;"",""))</f>
        <v/>
      </c>
      <c r="CP10" s="26">
        <f>IF(AH$4="","",IFERROR(INDEX('因子水準表'!$B$9:$KO$18,5,MATCH(AH$4,'因子水準表'!$B$4:$KO$4,0))&amp;"",""))</f>
        <v/>
      </c>
      <c r="CQ10" s="26">
        <f>IF(AI$4="","",IFERROR(INDEX('因子水準表'!$B$9:$KO$18,5,MATCH(AI$4,'因子水準表'!$B$4:$KO$4,0))&amp;"",""))</f>
        <v/>
      </c>
      <c r="CR10" s="26">
        <f>IF(AJ$4="","",IFERROR(INDEX('因子水準表'!$B$9:$KO$18,5,MATCH(AJ$4,'因子水準表'!$B$4:$KO$4,0))&amp;"",""))</f>
        <v/>
      </c>
      <c r="CS10" s="26">
        <f>IF(AK$4="","",IFERROR(INDEX('因子水準表'!$B$9:$KO$18,5,MATCH(AK$4,'因子水準表'!$B$4:$KO$4,0))&amp;"",""))</f>
        <v/>
      </c>
      <c r="CT10" s="26">
        <f>IF(AL$4="","",IFERROR(INDEX('因子水準表'!$B$9:$KO$18,5,MATCH(AL$4,'因子水準表'!$B$4:$KO$4,0))&amp;"",""))</f>
        <v/>
      </c>
      <c r="CU10" s="26">
        <f>IF(AM$4="","",IFERROR(INDEX('因子水準表'!$B$9:$KO$18,5,MATCH(AM$4,'因子水準表'!$B$4:$KO$4,0))&amp;"",""))</f>
        <v/>
      </c>
      <c r="CV10" s="26">
        <f>IF(AN$4="","",IFERROR(INDEX('因子水準表'!$B$9:$KO$18,5,MATCH(AN$4,'因子水準表'!$B$4:$KO$4,0))&amp;"",""))</f>
        <v/>
      </c>
      <c r="CW10" s="26">
        <f>IF(AO$4="","",IFERROR(INDEX('因子水準表'!$B$9:$KO$18,5,MATCH(AO$4,'因子水準表'!$B$4:$KO$4,0))&amp;"",""))</f>
        <v/>
      </c>
      <c r="CX10" s="26">
        <f>IF(AP$4="","",IFERROR(INDEX('因子水準表'!$B$9:$KO$18,5,MATCH(AP$4,'因子水準表'!$B$4:$KO$4,0))&amp;"",""))</f>
        <v/>
      </c>
      <c r="CY10" s="26">
        <f>IF(AQ$4="","",IFERROR(INDEX('因子水準表'!$B$9:$KO$18,5,MATCH(AQ$4,'因子水準表'!$B$4:$KO$4,0))&amp;"",""))</f>
        <v/>
      </c>
      <c r="CZ10" s="26">
        <f>IF(AR$4="","",IFERROR(INDEX('因子水準表'!$B$9:$KO$18,5,MATCH(AR$4,'因子水準表'!$B$4:$KO$4,0))&amp;"",""))</f>
        <v/>
      </c>
      <c r="DA10" s="26">
        <f>IF(AS$4="","",IFERROR(INDEX('因子水準表'!$B$9:$KO$18,5,MATCH(AS$4,'因子水準表'!$B$4:$KO$4,0))&amp;"",""))</f>
        <v/>
      </c>
      <c r="DB10" s="26">
        <f>IF(AT$4="","",IFERROR(INDEX('因子水準表'!$B$9:$KO$18,5,MATCH(AT$4,'因子水準表'!$B$4:$KO$4,0))&amp;"",""))</f>
        <v/>
      </c>
      <c r="DC10" s="26">
        <f>IF(AU$4="","",IFERROR(INDEX('因子水準表'!$B$9:$KO$18,5,MATCH(AU$4,'因子水準表'!$B$4:$KO$4,0))&amp;"",""))</f>
        <v/>
      </c>
      <c r="DD10" s="26">
        <f>IF(AV$4="","",IFERROR(INDEX('因子水準表'!$B$9:$KO$18,5,MATCH(AV$4,'因子水準表'!$B$4:$KO$4,0))&amp;"",""))</f>
        <v/>
      </c>
      <c r="DE10" s="26">
        <f>IF(AW$4="","",IFERROR(INDEX('因子水準表'!$B$9:$KO$18,5,MATCH(AW$4,'因子水準表'!$B$4:$KO$4,0))&amp;"",""))</f>
        <v/>
      </c>
      <c r="DF10" s="26">
        <f>IF(AX$4="","",IFERROR(INDEX('因子水準表'!$B$9:$KO$18,5,MATCH(AX$4,'因子水準表'!$B$4:$KO$4,0))&amp;"",""))</f>
        <v/>
      </c>
      <c r="DG10" s="26">
        <f>IF(AY$4="","",IFERROR(INDEX('因子水準表'!$B$9:$KO$18,5,MATCH(AY$4,'因子水準表'!$B$4:$KO$4,0))&amp;"",""))</f>
        <v/>
      </c>
      <c r="DH10" s="26">
        <f>IF(AZ$4="","",IFERROR(INDEX('因子水準表'!$B$9:$KO$18,5,MATCH(AZ$4,'因子水準表'!$B$4:$KO$4,0))&amp;"",""))</f>
        <v/>
      </c>
      <c r="DI10" s="26">
        <f>IF(BA$4="","",IFERROR(INDEX('因子水準表'!$B$9:$KO$18,5,MATCH(BA$4,'因子水準表'!$B$4:$KO$4,0))&amp;"",""))</f>
        <v/>
      </c>
      <c r="DJ10" s="26">
        <f>IF(BB$4="","",IFERROR(INDEX('因子水準表'!$B$9:$KO$18,5,MATCH(BB$4,'因子水準表'!$B$4:$KO$4,0))&amp;"",""))</f>
        <v/>
      </c>
      <c r="DK10" s="26">
        <f>IF(BC$4="","",IFERROR(INDEX('因子水準表'!$B$9:$KO$18,5,MATCH(BC$4,'因子水準表'!$B$4:$KO$4,0))&amp;"",""))</f>
        <v/>
      </c>
      <c r="DL10" s="26">
        <f>IF(BD$4="","",IFERROR(INDEX('因子水準表'!$B$9:$KO$18,5,MATCH(BD$4,'因子水準表'!$B$4:$KO$4,0))&amp;"",""))</f>
        <v/>
      </c>
      <c r="DM10" s="26">
        <f>IF('因子水準表'!B33="","",'因子水準表'!B33)</f>
        <v/>
      </c>
      <c r="DN10" s="26">
        <f>IF('テスト条件'!A9="","",'テスト条件'!A9)</f>
        <v/>
      </c>
    </row>
    <row r="11">
      <c r="A11" s="27" t="n"/>
      <c r="B11" s="27" t="n"/>
      <c r="C11" s="28">
        <f>IF(A11="","",$B$2)</f>
        <v/>
      </c>
      <c r="D11" s="27" t="n"/>
      <c r="E11" s="27" t="n"/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  <c r="AA11" s="27" t="n"/>
      <c r="AB11" s="27" t="n"/>
      <c r="AC11" s="27" t="n"/>
      <c r="AD11" s="27" t="n"/>
      <c r="AE11" s="27" t="n"/>
      <c r="AF11" s="27" t="n"/>
      <c r="AG11" s="27" t="n"/>
      <c r="AH11" s="27" t="n"/>
      <c r="AI11" s="27" t="n"/>
      <c r="AJ11" s="27" t="n"/>
      <c r="AK11" s="27" t="n"/>
      <c r="AL11" s="27" t="n"/>
      <c r="AM11" s="27" t="n"/>
      <c r="AN11" s="27" t="n"/>
      <c r="AO11" s="27" t="n"/>
      <c r="AP11" s="27" t="n"/>
      <c r="AQ11" s="27" t="n"/>
      <c r="AR11" s="27" t="n"/>
      <c r="AS11" s="27" t="n"/>
      <c r="AT11" s="27" t="n"/>
      <c r="AU11" s="27" t="n"/>
      <c r="AV11" s="27" t="n"/>
      <c r="AW11" s="27" t="n"/>
      <c r="AX11" s="27" t="n"/>
      <c r="AY11" s="27" t="n"/>
      <c r="AZ11" s="27" t="n"/>
      <c r="BA11" s="27" t="n"/>
      <c r="BB11" s="27" t="n"/>
      <c r="BC11" s="27" t="n"/>
      <c r="BD11" s="27" t="n"/>
      <c r="BE11" s="27" t="n"/>
      <c r="BF11" s="27" t="n"/>
      <c r="BG11" s="27" t="n"/>
      <c r="BH11" s="27" t="n"/>
      <c r="BI11" s="29" t="n"/>
      <c r="BJ11" s="27" t="n"/>
      <c r="BK11" s="27" t="n"/>
      <c r="BL11" s="27" t="n"/>
      <c r="BM11" s="27" t="n"/>
      <c r="BO11" s="26">
        <f>IF(G$4="","",IFERROR(INDEX('因子水準表'!$B$9:$KO$18,6,MATCH(G$4,'因子水準表'!$B$4:$KO$4,0))&amp;"",""))</f>
        <v/>
      </c>
      <c r="BP11" s="26">
        <f>IF(H$4="","",IFERROR(INDEX('因子水準表'!$B$9:$KO$18,6,MATCH(H$4,'因子水準表'!$B$4:$KO$4,0))&amp;"",""))</f>
        <v/>
      </c>
      <c r="BQ11" s="26">
        <f>IF(I$4="","",IFERROR(INDEX('因子水準表'!$B$9:$KO$18,6,MATCH(I$4,'因子水準表'!$B$4:$KO$4,0))&amp;"",""))</f>
        <v/>
      </c>
      <c r="BR11" s="26">
        <f>IF(J$4="","",IFERROR(INDEX('因子水準表'!$B$9:$KO$18,6,MATCH(J$4,'因子水準表'!$B$4:$KO$4,0))&amp;"",""))</f>
        <v/>
      </c>
      <c r="BS11" s="26">
        <f>IF(K$4="","",IFERROR(INDEX('因子水準表'!$B$9:$KO$18,6,MATCH(K$4,'因子水準表'!$B$4:$KO$4,0))&amp;"",""))</f>
        <v/>
      </c>
      <c r="BT11" s="26">
        <f>IF(L$4="","",IFERROR(INDEX('因子水準表'!$B$9:$KO$18,6,MATCH(L$4,'因子水準表'!$B$4:$KO$4,0))&amp;"",""))</f>
        <v/>
      </c>
      <c r="BU11" s="26">
        <f>IF(M$4="","",IFERROR(INDEX('因子水準表'!$B$9:$KO$18,6,MATCH(M$4,'因子水準表'!$B$4:$KO$4,0))&amp;"",""))</f>
        <v/>
      </c>
      <c r="BV11" s="26">
        <f>IF(N$4="","",IFERROR(INDEX('因子水準表'!$B$9:$KO$18,6,MATCH(N$4,'因子水準表'!$B$4:$KO$4,0))&amp;"",""))</f>
        <v/>
      </c>
      <c r="BW11" s="26">
        <f>IF(O$4="","",IFERROR(INDEX('因子水準表'!$B$9:$KO$18,6,MATCH(O$4,'因子水準表'!$B$4:$KO$4,0))&amp;"",""))</f>
        <v/>
      </c>
      <c r="BX11" s="26">
        <f>IF(P$4="","",IFERROR(INDEX('因子水準表'!$B$9:$KO$18,6,MATCH(P$4,'因子水準表'!$B$4:$KO$4,0))&amp;"",""))</f>
        <v/>
      </c>
      <c r="BY11" s="26">
        <f>IF(Q$4="","",IFERROR(INDEX('因子水準表'!$B$9:$KO$18,6,MATCH(Q$4,'因子水準表'!$B$4:$KO$4,0))&amp;"",""))</f>
        <v/>
      </c>
      <c r="BZ11" s="26">
        <f>IF(R$4="","",IFERROR(INDEX('因子水準表'!$B$9:$KO$18,6,MATCH(R$4,'因子水準表'!$B$4:$KO$4,0))&amp;"",""))</f>
        <v/>
      </c>
      <c r="CA11" s="26">
        <f>IF(S$4="","",IFERROR(INDEX('因子水準表'!$B$9:$KO$18,6,MATCH(S$4,'因子水準表'!$B$4:$KO$4,0))&amp;"",""))</f>
        <v/>
      </c>
      <c r="CB11" s="26">
        <f>IF(T$4="","",IFERROR(INDEX('因子水準表'!$B$9:$KO$18,6,MATCH(T$4,'因子水準表'!$B$4:$KO$4,0))&amp;"",""))</f>
        <v/>
      </c>
      <c r="CC11" s="26">
        <f>IF(U$4="","",IFERROR(INDEX('因子水準表'!$B$9:$KO$18,6,MATCH(U$4,'因子水準表'!$B$4:$KO$4,0))&amp;"",""))</f>
        <v/>
      </c>
      <c r="CD11" s="26">
        <f>IF(V$4="","",IFERROR(INDEX('因子水準表'!$B$9:$KO$18,6,MATCH(V$4,'因子水準表'!$B$4:$KO$4,0))&amp;"",""))</f>
        <v/>
      </c>
      <c r="CE11" s="26">
        <f>IF(W$4="","",IFERROR(INDEX('因子水準表'!$B$9:$KO$18,6,MATCH(W$4,'因子水準表'!$B$4:$KO$4,0))&amp;"",""))</f>
        <v/>
      </c>
      <c r="CF11" s="26">
        <f>IF(X$4="","",IFERROR(INDEX('因子水準表'!$B$9:$KO$18,6,MATCH(X$4,'因子水準表'!$B$4:$KO$4,0))&amp;"",""))</f>
        <v/>
      </c>
      <c r="CG11" s="26">
        <f>IF(Y$4="","",IFERROR(INDEX('因子水準表'!$B$9:$KO$18,6,MATCH(Y$4,'因子水準表'!$B$4:$KO$4,0))&amp;"",""))</f>
        <v/>
      </c>
      <c r="CH11" s="26">
        <f>IF(Z$4="","",IFERROR(INDEX('因子水準表'!$B$9:$KO$18,6,MATCH(Z$4,'因子水準表'!$B$4:$KO$4,0))&amp;"",""))</f>
        <v/>
      </c>
      <c r="CI11" s="26">
        <f>IF(AA$4="","",IFERROR(INDEX('因子水準表'!$B$9:$KO$18,6,MATCH(AA$4,'因子水準表'!$B$4:$KO$4,0))&amp;"",""))</f>
        <v/>
      </c>
      <c r="CJ11" s="26">
        <f>IF(AB$4="","",IFERROR(INDEX('因子水準表'!$B$9:$KO$18,6,MATCH(AB$4,'因子水準表'!$B$4:$KO$4,0))&amp;"",""))</f>
        <v/>
      </c>
      <c r="CK11" s="26">
        <f>IF(AC$4="","",IFERROR(INDEX('因子水準表'!$B$9:$KO$18,6,MATCH(AC$4,'因子水準表'!$B$4:$KO$4,0))&amp;"",""))</f>
        <v/>
      </c>
      <c r="CL11" s="26">
        <f>IF(AD$4="","",IFERROR(INDEX('因子水準表'!$B$9:$KO$18,6,MATCH(AD$4,'因子水準表'!$B$4:$KO$4,0))&amp;"",""))</f>
        <v/>
      </c>
      <c r="CM11" s="26">
        <f>IF(AE$4="","",IFERROR(INDEX('因子水準表'!$B$9:$KO$18,6,MATCH(AE$4,'因子水準表'!$B$4:$KO$4,0))&amp;"",""))</f>
        <v/>
      </c>
      <c r="CN11" s="26">
        <f>IF(AF$4="","",IFERROR(INDEX('因子水準表'!$B$9:$KO$18,6,MATCH(AF$4,'因子水準表'!$B$4:$KO$4,0))&amp;"",""))</f>
        <v/>
      </c>
      <c r="CO11" s="26">
        <f>IF(AG$4="","",IFERROR(INDEX('因子水準表'!$B$9:$KO$18,6,MATCH(AG$4,'因子水準表'!$B$4:$KO$4,0))&amp;"",""))</f>
        <v/>
      </c>
      <c r="CP11" s="26">
        <f>IF(AH$4="","",IFERROR(INDEX('因子水準表'!$B$9:$KO$18,6,MATCH(AH$4,'因子水準表'!$B$4:$KO$4,0))&amp;"",""))</f>
        <v/>
      </c>
      <c r="CQ11" s="26">
        <f>IF(AI$4="","",IFERROR(INDEX('因子水準表'!$B$9:$KO$18,6,MATCH(AI$4,'因子水準表'!$B$4:$KO$4,0))&amp;"",""))</f>
        <v/>
      </c>
      <c r="CR11" s="26">
        <f>IF(AJ$4="","",IFERROR(INDEX('因子水準表'!$B$9:$KO$18,6,MATCH(AJ$4,'因子水準表'!$B$4:$KO$4,0))&amp;"",""))</f>
        <v/>
      </c>
      <c r="CS11" s="26">
        <f>IF(AK$4="","",IFERROR(INDEX('因子水準表'!$B$9:$KO$18,6,MATCH(AK$4,'因子水準表'!$B$4:$KO$4,0))&amp;"",""))</f>
        <v/>
      </c>
      <c r="CT11" s="26">
        <f>IF(AL$4="","",IFERROR(INDEX('因子水準表'!$B$9:$KO$18,6,MATCH(AL$4,'因子水準表'!$B$4:$KO$4,0))&amp;"",""))</f>
        <v/>
      </c>
      <c r="CU11" s="26">
        <f>IF(AM$4="","",IFERROR(INDEX('因子水準表'!$B$9:$KO$18,6,MATCH(AM$4,'因子水準表'!$B$4:$KO$4,0))&amp;"",""))</f>
        <v/>
      </c>
      <c r="CV11" s="26">
        <f>IF(AN$4="","",IFERROR(INDEX('因子水準表'!$B$9:$KO$18,6,MATCH(AN$4,'因子水準表'!$B$4:$KO$4,0))&amp;"",""))</f>
        <v/>
      </c>
      <c r="CW11" s="26">
        <f>IF(AO$4="","",IFERROR(INDEX('因子水準表'!$B$9:$KO$18,6,MATCH(AO$4,'因子水準表'!$B$4:$KO$4,0))&amp;"",""))</f>
        <v/>
      </c>
      <c r="CX11" s="26">
        <f>IF(AP$4="","",IFERROR(INDEX('因子水準表'!$B$9:$KO$18,6,MATCH(AP$4,'因子水準表'!$B$4:$KO$4,0))&amp;"",""))</f>
        <v/>
      </c>
      <c r="CY11" s="26">
        <f>IF(AQ$4="","",IFERROR(INDEX('因子水準表'!$B$9:$KO$18,6,MATCH(AQ$4,'因子水準表'!$B$4:$KO$4,0))&amp;"",""))</f>
        <v/>
      </c>
      <c r="CZ11" s="26">
        <f>IF(AR$4="","",IFERROR(INDEX('因子水準表'!$B$9:$KO$18,6,MATCH(AR$4,'因子水準表'!$B$4:$KO$4,0))&amp;"",""))</f>
        <v/>
      </c>
      <c r="DA11" s="26">
        <f>IF(AS$4="","",IFERROR(INDEX('因子水準表'!$B$9:$KO$18,6,MATCH(AS$4,'因子水準表'!$B$4:$KO$4,0))&amp;"",""))</f>
        <v/>
      </c>
      <c r="DB11" s="26">
        <f>IF(AT$4="","",IFERROR(INDEX('因子水準表'!$B$9:$KO$18,6,MATCH(AT$4,'因子水準表'!$B$4:$KO$4,0))&amp;"",""))</f>
        <v/>
      </c>
      <c r="DC11" s="26">
        <f>IF(AU$4="","",IFERROR(INDEX('因子水準表'!$B$9:$KO$18,6,MATCH(AU$4,'因子水準表'!$B$4:$KO$4,0))&amp;"",""))</f>
        <v/>
      </c>
      <c r="DD11" s="26">
        <f>IF(AV$4="","",IFERROR(INDEX('因子水準表'!$B$9:$KO$18,6,MATCH(AV$4,'因子水準表'!$B$4:$KO$4,0))&amp;"",""))</f>
        <v/>
      </c>
      <c r="DE11" s="26">
        <f>IF(AW$4="","",IFERROR(INDEX('因子水準表'!$B$9:$KO$18,6,MATCH(AW$4,'因子水準表'!$B$4:$KO$4,0))&amp;"",""))</f>
        <v/>
      </c>
      <c r="DF11" s="26">
        <f>IF(AX$4="","",IFERROR(INDEX('因子水準表'!$B$9:$KO$18,6,MATCH(AX$4,'因子水準表'!$B$4:$KO$4,0))&amp;"",""))</f>
        <v/>
      </c>
      <c r="DG11" s="26">
        <f>IF(AY$4="","",IFERROR(INDEX('因子水準表'!$B$9:$KO$18,6,MATCH(AY$4,'因子水準表'!$B$4:$KO$4,0))&amp;"",""))</f>
        <v/>
      </c>
      <c r="DH11" s="26">
        <f>IF(AZ$4="","",IFERROR(INDEX('因子水準表'!$B$9:$KO$18,6,MATCH(AZ$4,'因子水準表'!$B$4:$KO$4,0))&amp;"",""))</f>
        <v/>
      </c>
      <c r="DI11" s="26">
        <f>IF(BA$4="","",IFERROR(INDEX('因子水準表'!$B$9:$KO$18,6,MATCH(BA$4,'因子水準表'!$B$4:$KO$4,0))&amp;"",""))</f>
        <v/>
      </c>
      <c r="DJ11" s="26">
        <f>IF(BB$4="","",IFERROR(INDEX('因子水準表'!$B$9:$KO$18,6,MATCH(BB$4,'因子水準表'!$B$4:$KO$4,0))&amp;"",""))</f>
        <v/>
      </c>
      <c r="DK11" s="26">
        <f>IF(BC$4="","",IFERROR(INDEX('因子水準表'!$B$9:$KO$18,6,MATCH(BC$4,'因子水準表'!$B$4:$KO$4,0))&amp;"",""))</f>
        <v/>
      </c>
      <c r="DL11" s="26">
        <f>IF(BD$4="","",IFERROR(INDEX('因子水準表'!$B$9:$KO$18,6,MATCH(BD$4,'因子水準表'!$B$4:$KO$4,0))&amp;"",""))</f>
        <v/>
      </c>
      <c r="DM11" s="26">
        <f>IF('因子水準表'!B34="","",'因子水準表'!B34)</f>
        <v/>
      </c>
      <c r="DN11" s="26">
        <f>IF('テスト条件'!A10="","",'テスト条件'!A10)</f>
        <v/>
      </c>
    </row>
    <row r="12">
      <c r="A12" s="27" t="n"/>
      <c r="B12" s="27" t="n"/>
      <c r="C12" s="28">
        <f>IF(A12="","",$B$2)</f>
        <v/>
      </c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  <c r="AJ12" s="27" t="n"/>
      <c r="AK12" s="27" t="n"/>
      <c r="AL12" s="27" t="n"/>
      <c r="AM12" s="27" t="n"/>
      <c r="AN12" s="27" t="n"/>
      <c r="AO12" s="27" t="n"/>
      <c r="AP12" s="27" t="n"/>
      <c r="AQ12" s="27" t="n"/>
      <c r="AR12" s="27" t="n"/>
      <c r="AS12" s="27" t="n"/>
      <c r="AT12" s="27" t="n"/>
      <c r="AU12" s="27" t="n"/>
      <c r="AV12" s="27" t="n"/>
      <c r="AW12" s="27" t="n"/>
      <c r="AX12" s="27" t="n"/>
      <c r="AY12" s="27" t="n"/>
      <c r="AZ12" s="27" t="n"/>
      <c r="BA12" s="27" t="n"/>
      <c r="BB12" s="27" t="n"/>
      <c r="BC12" s="27" t="n"/>
      <c r="BD12" s="27" t="n"/>
      <c r="BE12" s="27" t="n"/>
      <c r="BF12" s="27" t="n"/>
      <c r="BG12" s="27" t="n"/>
      <c r="BH12" s="27" t="n"/>
      <c r="BI12" s="29" t="n"/>
      <c r="BJ12" s="27" t="n"/>
      <c r="BK12" s="27" t="n"/>
      <c r="BL12" s="27" t="n"/>
      <c r="BM12" s="27" t="n"/>
      <c r="BO12" s="26">
        <f>IF(G$4="","",IFERROR(INDEX('因子水準表'!$B$9:$KO$18,7,MATCH(G$4,'因子水準表'!$B$4:$KO$4,0))&amp;"",""))</f>
        <v/>
      </c>
      <c r="BP12" s="26">
        <f>IF(H$4="","",IFERROR(INDEX('因子水準表'!$B$9:$KO$18,7,MATCH(H$4,'因子水準表'!$B$4:$KO$4,0))&amp;"",""))</f>
        <v/>
      </c>
      <c r="BQ12" s="26">
        <f>IF(I$4="","",IFERROR(INDEX('因子水準表'!$B$9:$KO$18,7,MATCH(I$4,'因子水準表'!$B$4:$KO$4,0))&amp;"",""))</f>
        <v/>
      </c>
      <c r="BR12" s="26">
        <f>IF(J$4="","",IFERROR(INDEX('因子水準表'!$B$9:$KO$18,7,MATCH(J$4,'因子水準表'!$B$4:$KO$4,0))&amp;"",""))</f>
        <v/>
      </c>
      <c r="BS12" s="26">
        <f>IF(K$4="","",IFERROR(INDEX('因子水準表'!$B$9:$KO$18,7,MATCH(K$4,'因子水準表'!$B$4:$KO$4,0))&amp;"",""))</f>
        <v/>
      </c>
      <c r="BT12" s="26">
        <f>IF(L$4="","",IFERROR(INDEX('因子水準表'!$B$9:$KO$18,7,MATCH(L$4,'因子水準表'!$B$4:$KO$4,0))&amp;"",""))</f>
        <v/>
      </c>
      <c r="BU12" s="26">
        <f>IF(M$4="","",IFERROR(INDEX('因子水準表'!$B$9:$KO$18,7,MATCH(M$4,'因子水準表'!$B$4:$KO$4,0))&amp;"",""))</f>
        <v/>
      </c>
      <c r="BV12" s="26">
        <f>IF(N$4="","",IFERROR(INDEX('因子水準表'!$B$9:$KO$18,7,MATCH(N$4,'因子水準表'!$B$4:$KO$4,0))&amp;"",""))</f>
        <v/>
      </c>
      <c r="BW12" s="26">
        <f>IF(O$4="","",IFERROR(INDEX('因子水準表'!$B$9:$KO$18,7,MATCH(O$4,'因子水準表'!$B$4:$KO$4,0))&amp;"",""))</f>
        <v/>
      </c>
      <c r="BX12" s="26">
        <f>IF(P$4="","",IFERROR(INDEX('因子水準表'!$B$9:$KO$18,7,MATCH(P$4,'因子水準表'!$B$4:$KO$4,0))&amp;"",""))</f>
        <v/>
      </c>
      <c r="BY12" s="26">
        <f>IF(Q$4="","",IFERROR(INDEX('因子水準表'!$B$9:$KO$18,7,MATCH(Q$4,'因子水準表'!$B$4:$KO$4,0))&amp;"",""))</f>
        <v/>
      </c>
      <c r="BZ12" s="26">
        <f>IF(R$4="","",IFERROR(INDEX('因子水準表'!$B$9:$KO$18,7,MATCH(R$4,'因子水準表'!$B$4:$KO$4,0))&amp;"",""))</f>
        <v/>
      </c>
      <c r="CA12" s="26">
        <f>IF(S$4="","",IFERROR(INDEX('因子水準表'!$B$9:$KO$18,7,MATCH(S$4,'因子水準表'!$B$4:$KO$4,0))&amp;"",""))</f>
        <v/>
      </c>
      <c r="CB12" s="26">
        <f>IF(T$4="","",IFERROR(INDEX('因子水準表'!$B$9:$KO$18,7,MATCH(T$4,'因子水準表'!$B$4:$KO$4,0))&amp;"",""))</f>
        <v/>
      </c>
      <c r="CC12" s="26">
        <f>IF(U$4="","",IFERROR(INDEX('因子水準表'!$B$9:$KO$18,7,MATCH(U$4,'因子水準表'!$B$4:$KO$4,0))&amp;"",""))</f>
        <v/>
      </c>
      <c r="CD12" s="26">
        <f>IF(V$4="","",IFERROR(INDEX('因子水準表'!$B$9:$KO$18,7,MATCH(V$4,'因子水準表'!$B$4:$KO$4,0))&amp;"",""))</f>
        <v/>
      </c>
      <c r="CE12" s="26">
        <f>IF(W$4="","",IFERROR(INDEX('因子水準表'!$B$9:$KO$18,7,MATCH(W$4,'因子水準表'!$B$4:$KO$4,0))&amp;"",""))</f>
        <v/>
      </c>
      <c r="CF12" s="26">
        <f>IF(X$4="","",IFERROR(INDEX('因子水準表'!$B$9:$KO$18,7,MATCH(X$4,'因子水準表'!$B$4:$KO$4,0))&amp;"",""))</f>
        <v/>
      </c>
      <c r="CG12" s="26">
        <f>IF(Y$4="","",IFERROR(INDEX('因子水準表'!$B$9:$KO$18,7,MATCH(Y$4,'因子水準表'!$B$4:$KO$4,0))&amp;"",""))</f>
        <v/>
      </c>
      <c r="CH12" s="26">
        <f>IF(Z$4="","",IFERROR(INDEX('因子水準表'!$B$9:$KO$18,7,MATCH(Z$4,'因子水準表'!$B$4:$KO$4,0))&amp;"",""))</f>
        <v/>
      </c>
      <c r="CI12" s="26">
        <f>IF(AA$4="","",IFERROR(INDEX('因子水準表'!$B$9:$KO$18,7,MATCH(AA$4,'因子水準表'!$B$4:$KO$4,0))&amp;"",""))</f>
        <v/>
      </c>
      <c r="CJ12" s="26">
        <f>IF(AB$4="","",IFERROR(INDEX('因子水準表'!$B$9:$KO$18,7,MATCH(AB$4,'因子水準表'!$B$4:$KO$4,0))&amp;"",""))</f>
        <v/>
      </c>
      <c r="CK12" s="26">
        <f>IF(AC$4="","",IFERROR(INDEX('因子水準表'!$B$9:$KO$18,7,MATCH(AC$4,'因子水準表'!$B$4:$KO$4,0))&amp;"",""))</f>
        <v/>
      </c>
      <c r="CL12" s="26">
        <f>IF(AD$4="","",IFERROR(INDEX('因子水準表'!$B$9:$KO$18,7,MATCH(AD$4,'因子水準表'!$B$4:$KO$4,0))&amp;"",""))</f>
        <v/>
      </c>
      <c r="CM12" s="26">
        <f>IF(AE$4="","",IFERROR(INDEX('因子水準表'!$B$9:$KO$18,7,MATCH(AE$4,'因子水準表'!$B$4:$KO$4,0))&amp;"",""))</f>
        <v/>
      </c>
      <c r="CN12" s="26">
        <f>IF(AF$4="","",IFERROR(INDEX('因子水準表'!$B$9:$KO$18,7,MATCH(AF$4,'因子水準表'!$B$4:$KO$4,0))&amp;"",""))</f>
        <v/>
      </c>
      <c r="CO12" s="26">
        <f>IF(AG$4="","",IFERROR(INDEX('因子水準表'!$B$9:$KO$18,7,MATCH(AG$4,'因子水準表'!$B$4:$KO$4,0))&amp;"",""))</f>
        <v/>
      </c>
      <c r="CP12" s="26">
        <f>IF(AH$4="","",IFERROR(INDEX('因子水準表'!$B$9:$KO$18,7,MATCH(AH$4,'因子水準表'!$B$4:$KO$4,0))&amp;"",""))</f>
        <v/>
      </c>
      <c r="CQ12" s="26">
        <f>IF(AI$4="","",IFERROR(INDEX('因子水準表'!$B$9:$KO$18,7,MATCH(AI$4,'因子水準表'!$B$4:$KO$4,0))&amp;"",""))</f>
        <v/>
      </c>
      <c r="CR12" s="26">
        <f>IF(AJ$4="","",IFERROR(INDEX('因子水準表'!$B$9:$KO$18,7,MATCH(AJ$4,'因子水準表'!$B$4:$KO$4,0))&amp;"",""))</f>
        <v/>
      </c>
      <c r="CS12" s="26">
        <f>IF(AK$4="","",IFERROR(INDEX('因子水準表'!$B$9:$KO$18,7,MATCH(AK$4,'因子水準表'!$B$4:$KO$4,0))&amp;"",""))</f>
        <v/>
      </c>
      <c r="CT12" s="26">
        <f>IF(AL$4="","",IFERROR(INDEX('因子水準表'!$B$9:$KO$18,7,MATCH(AL$4,'因子水準表'!$B$4:$KO$4,0))&amp;"",""))</f>
        <v/>
      </c>
      <c r="CU12" s="26">
        <f>IF(AM$4="","",IFERROR(INDEX('因子水準表'!$B$9:$KO$18,7,MATCH(AM$4,'因子水準表'!$B$4:$KO$4,0))&amp;"",""))</f>
        <v/>
      </c>
      <c r="CV12" s="26">
        <f>IF(AN$4="","",IFERROR(INDEX('因子水準表'!$B$9:$KO$18,7,MATCH(AN$4,'因子水準表'!$B$4:$KO$4,0))&amp;"",""))</f>
        <v/>
      </c>
      <c r="CW12" s="26">
        <f>IF(AO$4="","",IFERROR(INDEX('因子水準表'!$B$9:$KO$18,7,MATCH(AO$4,'因子水準表'!$B$4:$KO$4,0))&amp;"",""))</f>
        <v/>
      </c>
      <c r="CX12" s="26">
        <f>IF(AP$4="","",IFERROR(INDEX('因子水準表'!$B$9:$KO$18,7,MATCH(AP$4,'因子水準表'!$B$4:$KO$4,0))&amp;"",""))</f>
        <v/>
      </c>
      <c r="CY12" s="26">
        <f>IF(AQ$4="","",IFERROR(INDEX('因子水準表'!$B$9:$KO$18,7,MATCH(AQ$4,'因子水準表'!$B$4:$KO$4,0))&amp;"",""))</f>
        <v/>
      </c>
      <c r="CZ12" s="26">
        <f>IF(AR$4="","",IFERROR(INDEX('因子水準表'!$B$9:$KO$18,7,MATCH(AR$4,'因子水準表'!$B$4:$KO$4,0))&amp;"",""))</f>
        <v/>
      </c>
      <c r="DA12" s="26">
        <f>IF(AS$4="","",IFERROR(INDEX('因子水準表'!$B$9:$KO$18,7,MATCH(AS$4,'因子水準表'!$B$4:$KO$4,0))&amp;"",""))</f>
        <v/>
      </c>
      <c r="DB12" s="26">
        <f>IF(AT$4="","",IFERROR(INDEX('因子水準表'!$B$9:$KO$18,7,MATCH(AT$4,'因子水準表'!$B$4:$KO$4,0))&amp;"",""))</f>
        <v/>
      </c>
      <c r="DC12" s="26">
        <f>IF(AU$4="","",IFERROR(INDEX('因子水準表'!$B$9:$KO$18,7,MATCH(AU$4,'因子水準表'!$B$4:$KO$4,0))&amp;"",""))</f>
        <v/>
      </c>
      <c r="DD12" s="26">
        <f>IF(AV$4="","",IFERROR(INDEX('因子水準表'!$B$9:$KO$18,7,MATCH(AV$4,'因子水準表'!$B$4:$KO$4,0))&amp;"",""))</f>
        <v/>
      </c>
      <c r="DE12" s="26">
        <f>IF(AW$4="","",IFERROR(INDEX('因子水準表'!$B$9:$KO$18,7,MATCH(AW$4,'因子水準表'!$B$4:$KO$4,0))&amp;"",""))</f>
        <v/>
      </c>
      <c r="DF12" s="26">
        <f>IF(AX$4="","",IFERROR(INDEX('因子水準表'!$B$9:$KO$18,7,MATCH(AX$4,'因子水準表'!$B$4:$KO$4,0))&amp;"",""))</f>
        <v/>
      </c>
      <c r="DG12" s="26">
        <f>IF(AY$4="","",IFERROR(INDEX('因子水準表'!$B$9:$KO$18,7,MATCH(AY$4,'因子水準表'!$B$4:$KO$4,0))&amp;"",""))</f>
        <v/>
      </c>
      <c r="DH12" s="26">
        <f>IF(AZ$4="","",IFERROR(INDEX('因子水準表'!$B$9:$KO$18,7,MATCH(AZ$4,'因子水準表'!$B$4:$KO$4,0))&amp;"",""))</f>
        <v/>
      </c>
      <c r="DI12" s="26">
        <f>IF(BA$4="","",IFERROR(INDEX('因子水準表'!$B$9:$KO$18,7,MATCH(BA$4,'因子水準表'!$B$4:$KO$4,0))&amp;"",""))</f>
        <v/>
      </c>
      <c r="DJ12" s="26">
        <f>IF(BB$4="","",IFERROR(INDEX('因子水準表'!$B$9:$KO$18,7,MATCH(BB$4,'因子水準表'!$B$4:$KO$4,0))&amp;"",""))</f>
        <v/>
      </c>
      <c r="DK12" s="26">
        <f>IF(BC$4="","",IFERROR(INDEX('因子水準表'!$B$9:$KO$18,7,MATCH(BC$4,'因子水準表'!$B$4:$KO$4,0))&amp;"",""))</f>
        <v/>
      </c>
      <c r="DL12" s="26">
        <f>IF(BD$4="","",IFERROR(INDEX('因子水準表'!$B$9:$KO$18,7,MATCH(BD$4,'因子水準表'!$B$4:$KO$4,0))&amp;"",""))</f>
        <v/>
      </c>
      <c r="DM12" s="26">
        <f>IF('因子水準表'!B35="","",'因子水準表'!B35)</f>
        <v/>
      </c>
      <c r="DN12" s="26">
        <f>IF('テスト条件'!A11="","",'テスト条件'!A11)</f>
        <v/>
      </c>
    </row>
    <row r="13">
      <c r="A13" s="27" t="n"/>
      <c r="B13" s="27" t="n"/>
      <c r="C13" s="28">
        <f>IF(A13="","",$B$2)</f>
        <v/>
      </c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  <c r="AA13" s="27" t="n"/>
      <c r="AB13" s="27" t="n"/>
      <c r="AC13" s="27" t="n"/>
      <c r="AD13" s="27" t="n"/>
      <c r="AE13" s="27" t="n"/>
      <c r="AF13" s="27" t="n"/>
      <c r="AG13" s="27" t="n"/>
      <c r="AH13" s="27" t="n"/>
      <c r="AI13" s="27" t="n"/>
      <c r="AJ13" s="27" t="n"/>
      <c r="AK13" s="27" t="n"/>
      <c r="AL13" s="27" t="n"/>
      <c r="AM13" s="27" t="n"/>
      <c r="AN13" s="27" t="n"/>
      <c r="AO13" s="27" t="n"/>
      <c r="AP13" s="27" t="n"/>
      <c r="AQ13" s="27" t="n"/>
      <c r="AR13" s="27" t="n"/>
      <c r="AS13" s="27" t="n"/>
      <c r="AT13" s="27" t="n"/>
      <c r="AU13" s="27" t="n"/>
      <c r="AV13" s="27" t="n"/>
      <c r="AW13" s="27" t="n"/>
      <c r="AX13" s="27" t="n"/>
      <c r="AY13" s="27" t="n"/>
      <c r="AZ13" s="27" t="n"/>
      <c r="BA13" s="27" t="n"/>
      <c r="BB13" s="27" t="n"/>
      <c r="BC13" s="27" t="n"/>
      <c r="BD13" s="27" t="n"/>
      <c r="BE13" s="27" t="n"/>
      <c r="BF13" s="27" t="n"/>
      <c r="BG13" s="27" t="n"/>
      <c r="BH13" s="27" t="n"/>
      <c r="BI13" s="29" t="n"/>
      <c r="BJ13" s="27" t="n"/>
      <c r="BK13" s="27" t="n"/>
      <c r="BL13" s="27" t="n"/>
      <c r="BM13" s="27" t="n"/>
      <c r="BO13" s="26">
        <f>IF(G$4="","",IFERROR(INDEX('因子水準表'!$B$9:$KO$18,8,MATCH(G$4,'因子水準表'!$B$4:$KO$4,0))&amp;"",""))</f>
        <v/>
      </c>
      <c r="BP13" s="26">
        <f>IF(H$4="","",IFERROR(INDEX('因子水準表'!$B$9:$KO$18,8,MATCH(H$4,'因子水準表'!$B$4:$KO$4,0))&amp;"",""))</f>
        <v/>
      </c>
      <c r="BQ13" s="26">
        <f>IF(I$4="","",IFERROR(INDEX('因子水準表'!$B$9:$KO$18,8,MATCH(I$4,'因子水準表'!$B$4:$KO$4,0))&amp;"",""))</f>
        <v/>
      </c>
      <c r="BR13" s="26">
        <f>IF(J$4="","",IFERROR(INDEX('因子水準表'!$B$9:$KO$18,8,MATCH(J$4,'因子水準表'!$B$4:$KO$4,0))&amp;"",""))</f>
        <v/>
      </c>
      <c r="BS13" s="26">
        <f>IF(K$4="","",IFERROR(INDEX('因子水準表'!$B$9:$KO$18,8,MATCH(K$4,'因子水準表'!$B$4:$KO$4,0))&amp;"",""))</f>
        <v/>
      </c>
      <c r="BT13" s="26">
        <f>IF(L$4="","",IFERROR(INDEX('因子水準表'!$B$9:$KO$18,8,MATCH(L$4,'因子水準表'!$B$4:$KO$4,0))&amp;"",""))</f>
        <v/>
      </c>
      <c r="BU13" s="26">
        <f>IF(M$4="","",IFERROR(INDEX('因子水準表'!$B$9:$KO$18,8,MATCH(M$4,'因子水準表'!$B$4:$KO$4,0))&amp;"",""))</f>
        <v/>
      </c>
      <c r="BV13" s="26">
        <f>IF(N$4="","",IFERROR(INDEX('因子水準表'!$B$9:$KO$18,8,MATCH(N$4,'因子水準表'!$B$4:$KO$4,0))&amp;"",""))</f>
        <v/>
      </c>
      <c r="BW13" s="26">
        <f>IF(O$4="","",IFERROR(INDEX('因子水準表'!$B$9:$KO$18,8,MATCH(O$4,'因子水準表'!$B$4:$KO$4,0))&amp;"",""))</f>
        <v/>
      </c>
      <c r="BX13" s="26">
        <f>IF(P$4="","",IFERROR(INDEX('因子水準表'!$B$9:$KO$18,8,MATCH(P$4,'因子水準表'!$B$4:$KO$4,0))&amp;"",""))</f>
        <v/>
      </c>
      <c r="BY13" s="26">
        <f>IF(Q$4="","",IFERROR(INDEX('因子水準表'!$B$9:$KO$18,8,MATCH(Q$4,'因子水準表'!$B$4:$KO$4,0))&amp;"",""))</f>
        <v/>
      </c>
      <c r="BZ13" s="26">
        <f>IF(R$4="","",IFERROR(INDEX('因子水準表'!$B$9:$KO$18,8,MATCH(R$4,'因子水準表'!$B$4:$KO$4,0))&amp;"",""))</f>
        <v/>
      </c>
      <c r="CA13" s="26">
        <f>IF(S$4="","",IFERROR(INDEX('因子水準表'!$B$9:$KO$18,8,MATCH(S$4,'因子水準表'!$B$4:$KO$4,0))&amp;"",""))</f>
        <v/>
      </c>
      <c r="CB13" s="26">
        <f>IF(T$4="","",IFERROR(INDEX('因子水準表'!$B$9:$KO$18,8,MATCH(T$4,'因子水準表'!$B$4:$KO$4,0))&amp;"",""))</f>
        <v/>
      </c>
      <c r="CC13" s="26">
        <f>IF(U$4="","",IFERROR(INDEX('因子水準表'!$B$9:$KO$18,8,MATCH(U$4,'因子水準表'!$B$4:$KO$4,0))&amp;"",""))</f>
        <v/>
      </c>
      <c r="CD13" s="26">
        <f>IF(V$4="","",IFERROR(INDEX('因子水準表'!$B$9:$KO$18,8,MATCH(V$4,'因子水準表'!$B$4:$KO$4,0))&amp;"",""))</f>
        <v/>
      </c>
      <c r="CE13" s="26">
        <f>IF(W$4="","",IFERROR(INDEX('因子水準表'!$B$9:$KO$18,8,MATCH(W$4,'因子水準表'!$B$4:$KO$4,0))&amp;"",""))</f>
        <v/>
      </c>
      <c r="CF13" s="26">
        <f>IF(X$4="","",IFERROR(INDEX('因子水準表'!$B$9:$KO$18,8,MATCH(X$4,'因子水準表'!$B$4:$KO$4,0))&amp;"",""))</f>
        <v/>
      </c>
      <c r="CG13" s="26">
        <f>IF(Y$4="","",IFERROR(INDEX('因子水準表'!$B$9:$KO$18,8,MATCH(Y$4,'因子水準表'!$B$4:$KO$4,0))&amp;"",""))</f>
        <v/>
      </c>
      <c r="CH13" s="26">
        <f>IF(Z$4="","",IFERROR(INDEX('因子水準表'!$B$9:$KO$18,8,MATCH(Z$4,'因子水準表'!$B$4:$KO$4,0))&amp;"",""))</f>
        <v/>
      </c>
      <c r="CI13" s="26">
        <f>IF(AA$4="","",IFERROR(INDEX('因子水準表'!$B$9:$KO$18,8,MATCH(AA$4,'因子水準表'!$B$4:$KO$4,0))&amp;"",""))</f>
        <v/>
      </c>
      <c r="CJ13" s="26">
        <f>IF(AB$4="","",IFERROR(INDEX('因子水準表'!$B$9:$KO$18,8,MATCH(AB$4,'因子水準表'!$B$4:$KO$4,0))&amp;"",""))</f>
        <v/>
      </c>
      <c r="CK13" s="26">
        <f>IF(AC$4="","",IFERROR(INDEX('因子水準表'!$B$9:$KO$18,8,MATCH(AC$4,'因子水準表'!$B$4:$KO$4,0))&amp;"",""))</f>
        <v/>
      </c>
      <c r="CL13" s="26">
        <f>IF(AD$4="","",IFERROR(INDEX('因子水準表'!$B$9:$KO$18,8,MATCH(AD$4,'因子水準表'!$B$4:$KO$4,0))&amp;"",""))</f>
        <v/>
      </c>
      <c r="CM13" s="26">
        <f>IF(AE$4="","",IFERROR(INDEX('因子水準表'!$B$9:$KO$18,8,MATCH(AE$4,'因子水準表'!$B$4:$KO$4,0))&amp;"",""))</f>
        <v/>
      </c>
      <c r="CN13" s="26">
        <f>IF(AF$4="","",IFERROR(INDEX('因子水準表'!$B$9:$KO$18,8,MATCH(AF$4,'因子水準表'!$B$4:$KO$4,0))&amp;"",""))</f>
        <v/>
      </c>
      <c r="CO13" s="26">
        <f>IF(AG$4="","",IFERROR(INDEX('因子水準表'!$B$9:$KO$18,8,MATCH(AG$4,'因子水準表'!$B$4:$KO$4,0))&amp;"",""))</f>
        <v/>
      </c>
      <c r="CP13" s="26">
        <f>IF(AH$4="","",IFERROR(INDEX('因子水準表'!$B$9:$KO$18,8,MATCH(AH$4,'因子水準表'!$B$4:$KO$4,0))&amp;"",""))</f>
        <v/>
      </c>
      <c r="CQ13" s="26">
        <f>IF(AI$4="","",IFERROR(INDEX('因子水準表'!$B$9:$KO$18,8,MATCH(AI$4,'因子水準表'!$B$4:$KO$4,0))&amp;"",""))</f>
        <v/>
      </c>
      <c r="CR13" s="26">
        <f>IF(AJ$4="","",IFERROR(INDEX('因子水準表'!$B$9:$KO$18,8,MATCH(AJ$4,'因子水準表'!$B$4:$KO$4,0))&amp;"",""))</f>
        <v/>
      </c>
      <c r="CS13" s="26">
        <f>IF(AK$4="","",IFERROR(INDEX('因子水準表'!$B$9:$KO$18,8,MATCH(AK$4,'因子水準表'!$B$4:$KO$4,0))&amp;"",""))</f>
        <v/>
      </c>
      <c r="CT13" s="26">
        <f>IF(AL$4="","",IFERROR(INDEX('因子水準表'!$B$9:$KO$18,8,MATCH(AL$4,'因子水準表'!$B$4:$KO$4,0))&amp;"",""))</f>
        <v/>
      </c>
      <c r="CU13" s="26">
        <f>IF(AM$4="","",IFERROR(INDEX('因子水準表'!$B$9:$KO$18,8,MATCH(AM$4,'因子水準表'!$B$4:$KO$4,0))&amp;"",""))</f>
        <v/>
      </c>
      <c r="CV13" s="26">
        <f>IF(AN$4="","",IFERROR(INDEX('因子水準表'!$B$9:$KO$18,8,MATCH(AN$4,'因子水準表'!$B$4:$KO$4,0))&amp;"",""))</f>
        <v/>
      </c>
      <c r="CW13" s="26">
        <f>IF(AO$4="","",IFERROR(INDEX('因子水準表'!$B$9:$KO$18,8,MATCH(AO$4,'因子水準表'!$B$4:$KO$4,0))&amp;"",""))</f>
        <v/>
      </c>
      <c r="CX13" s="26">
        <f>IF(AP$4="","",IFERROR(INDEX('因子水準表'!$B$9:$KO$18,8,MATCH(AP$4,'因子水準表'!$B$4:$KO$4,0))&amp;"",""))</f>
        <v/>
      </c>
      <c r="CY13" s="26">
        <f>IF(AQ$4="","",IFERROR(INDEX('因子水準表'!$B$9:$KO$18,8,MATCH(AQ$4,'因子水準表'!$B$4:$KO$4,0))&amp;"",""))</f>
        <v/>
      </c>
      <c r="CZ13" s="26">
        <f>IF(AR$4="","",IFERROR(INDEX('因子水準表'!$B$9:$KO$18,8,MATCH(AR$4,'因子水準表'!$B$4:$KO$4,0))&amp;"",""))</f>
        <v/>
      </c>
      <c r="DA13" s="26">
        <f>IF(AS$4="","",IFERROR(INDEX('因子水準表'!$B$9:$KO$18,8,MATCH(AS$4,'因子水準表'!$B$4:$KO$4,0))&amp;"",""))</f>
        <v/>
      </c>
      <c r="DB13" s="26">
        <f>IF(AT$4="","",IFERROR(INDEX('因子水準表'!$B$9:$KO$18,8,MATCH(AT$4,'因子水準表'!$B$4:$KO$4,0))&amp;"",""))</f>
        <v/>
      </c>
      <c r="DC13" s="26">
        <f>IF(AU$4="","",IFERROR(INDEX('因子水準表'!$B$9:$KO$18,8,MATCH(AU$4,'因子水準表'!$B$4:$KO$4,0))&amp;"",""))</f>
        <v/>
      </c>
      <c r="DD13" s="26">
        <f>IF(AV$4="","",IFERROR(INDEX('因子水準表'!$B$9:$KO$18,8,MATCH(AV$4,'因子水準表'!$B$4:$KO$4,0))&amp;"",""))</f>
        <v/>
      </c>
      <c r="DE13" s="26">
        <f>IF(AW$4="","",IFERROR(INDEX('因子水準表'!$B$9:$KO$18,8,MATCH(AW$4,'因子水準表'!$B$4:$KO$4,0))&amp;"",""))</f>
        <v/>
      </c>
      <c r="DF13" s="26">
        <f>IF(AX$4="","",IFERROR(INDEX('因子水準表'!$B$9:$KO$18,8,MATCH(AX$4,'因子水準表'!$B$4:$KO$4,0))&amp;"",""))</f>
        <v/>
      </c>
      <c r="DG13" s="26">
        <f>IF(AY$4="","",IFERROR(INDEX('因子水準表'!$B$9:$KO$18,8,MATCH(AY$4,'因子水準表'!$B$4:$KO$4,0))&amp;"",""))</f>
        <v/>
      </c>
      <c r="DH13" s="26">
        <f>IF(AZ$4="","",IFERROR(INDEX('因子水準表'!$B$9:$KO$18,8,MATCH(AZ$4,'因子水準表'!$B$4:$KO$4,0))&amp;"",""))</f>
        <v/>
      </c>
      <c r="DI13" s="26">
        <f>IF(BA$4="","",IFERROR(INDEX('因子水準表'!$B$9:$KO$18,8,MATCH(BA$4,'因子水準表'!$B$4:$KO$4,0))&amp;"",""))</f>
        <v/>
      </c>
      <c r="DJ13" s="26">
        <f>IF(BB$4="","",IFERROR(INDEX('因子水準表'!$B$9:$KO$18,8,MATCH(BB$4,'因子水準表'!$B$4:$KO$4,0))&amp;"",""))</f>
        <v/>
      </c>
      <c r="DK13" s="26">
        <f>IF(BC$4="","",IFERROR(INDEX('因子水準表'!$B$9:$KO$18,8,MATCH(BC$4,'因子水準表'!$B$4:$KO$4,0))&amp;"",""))</f>
        <v/>
      </c>
      <c r="DL13" s="26">
        <f>IF(BD$4="","",IFERROR(INDEX('因子水準表'!$B$9:$KO$18,8,MATCH(BD$4,'因子水準表'!$B$4:$KO$4,0))&amp;"",""))</f>
        <v/>
      </c>
      <c r="DM13" s="26">
        <f>IF('因子水準表'!B36="","",'因子水準表'!B36)</f>
        <v/>
      </c>
      <c r="DN13" s="26">
        <f>IF('テスト条件'!A12="","",'テスト条件'!A12)</f>
        <v/>
      </c>
    </row>
    <row r="14">
      <c r="A14" s="27" t="n"/>
      <c r="B14" s="27" t="n"/>
      <c r="C14" s="28">
        <f>IF(A14="","",$B$2)</f>
        <v/>
      </c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7" t="n"/>
      <c r="AO14" s="27" t="n"/>
      <c r="AP14" s="27" t="n"/>
      <c r="AQ14" s="27" t="n"/>
      <c r="AR14" s="27" t="n"/>
      <c r="AS14" s="27" t="n"/>
      <c r="AT14" s="27" t="n"/>
      <c r="AU14" s="27" t="n"/>
      <c r="AV14" s="27" t="n"/>
      <c r="AW14" s="27" t="n"/>
      <c r="AX14" s="27" t="n"/>
      <c r="AY14" s="27" t="n"/>
      <c r="AZ14" s="27" t="n"/>
      <c r="BA14" s="27" t="n"/>
      <c r="BB14" s="27" t="n"/>
      <c r="BC14" s="27" t="n"/>
      <c r="BD14" s="27" t="n"/>
      <c r="BE14" s="27" t="n"/>
      <c r="BF14" s="27" t="n"/>
      <c r="BG14" s="27" t="n"/>
      <c r="BH14" s="27" t="n"/>
      <c r="BI14" s="29" t="n"/>
      <c r="BJ14" s="27" t="n"/>
      <c r="BK14" s="27" t="n"/>
      <c r="BL14" s="27" t="n"/>
      <c r="BM14" s="27" t="n"/>
      <c r="BO14" s="26">
        <f>IF(G$4="","",IFERROR(INDEX('因子水準表'!$B$9:$KO$18,9,MATCH(G$4,'因子水準表'!$B$4:$KO$4,0))&amp;"",""))</f>
        <v/>
      </c>
      <c r="BP14" s="26">
        <f>IF(H$4="","",IFERROR(INDEX('因子水準表'!$B$9:$KO$18,9,MATCH(H$4,'因子水準表'!$B$4:$KO$4,0))&amp;"",""))</f>
        <v/>
      </c>
      <c r="BQ14" s="26">
        <f>IF(I$4="","",IFERROR(INDEX('因子水準表'!$B$9:$KO$18,9,MATCH(I$4,'因子水準表'!$B$4:$KO$4,0))&amp;"",""))</f>
        <v/>
      </c>
      <c r="BR14" s="26">
        <f>IF(J$4="","",IFERROR(INDEX('因子水準表'!$B$9:$KO$18,9,MATCH(J$4,'因子水準表'!$B$4:$KO$4,0))&amp;"",""))</f>
        <v/>
      </c>
      <c r="BS14" s="26">
        <f>IF(K$4="","",IFERROR(INDEX('因子水準表'!$B$9:$KO$18,9,MATCH(K$4,'因子水準表'!$B$4:$KO$4,0))&amp;"",""))</f>
        <v/>
      </c>
      <c r="BT14" s="26">
        <f>IF(L$4="","",IFERROR(INDEX('因子水準表'!$B$9:$KO$18,9,MATCH(L$4,'因子水準表'!$B$4:$KO$4,0))&amp;"",""))</f>
        <v/>
      </c>
      <c r="BU14" s="26">
        <f>IF(M$4="","",IFERROR(INDEX('因子水準表'!$B$9:$KO$18,9,MATCH(M$4,'因子水準表'!$B$4:$KO$4,0))&amp;"",""))</f>
        <v/>
      </c>
      <c r="BV14" s="26">
        <f>IF(N$4="","",IFERROR(INDEX('因子水準表'!$B$9:$KO$18,9,MATCH(N$4,'因子水準表'!$B$4:$KO$4,0))&amp;"",""))</f>
        <v/>
      </c>
      <c r="BW14" s="26">
        <f>IF(O$4="","",IFERROR(INDEX('因子水準表'!$B$9:$KO$18,9,MATCH(O$4,'因子水準表'!$B$4:$KO$4,0))&amp;"",""))</f>
        <v/>
      </c>
      <c r="BX14" s="26">
        <f>IF(P$4="","",IFERROR(INDEX('因子水準表'!$B$9:$KO$18,9,MATCH(P$4,'因子水準表'!$B$4:$KO$4,0))&amp;"",""))</f>
        <v/>
      </c>
      <c r="BY14" s="26">
        <f>IF(Q$4="","",IFERROR(INDEX('因子水準表'!$B$9:$KO$18,9,MATCH(Q$4,'因子水準表'!$B$4:$KO$4,0))&amp;"",""))</f>
        <v/>
      </c>
      <c r="BZ14" s="26">
        <f>IF(R$4="","",IFERROR(INDEX('因子水準表'!$B$9:$KO$18,9,MATCH(R$4,'因子水準表'!$B$4:$KO$4,0))&amp;"",""))</f>
        <v/>
      </c>
      <c r="CA14" s="26">
        <f>IF(S$4="","",IFERROR(INDEX('因子水準表'!$B$9:$KO$18,9,MATCH(S$4,'因子水準表'!$B$4:$KO$4,0))&amp;"",""))</f>
        <v/>
      </c>
      <c r="CB14" s="26">
        <f>IF(T$4="","",IFERROR(INDEX('因子水準表'!$B$9:$KO$18,9,MATCH(T$4,'因子水準表'!$B$4:$KO$4,0))&amp;"",""))</f>
        <v/>
      </c>
      <c r="CC14" s="26">
        <f>IF(U$4="","",IFERROR(INDEX('因子水準表'!$B$9:$KO$18,9,MATCH(U$4,'因子水準表'!$B$4:$KO$4,0))&amp;"",""))</f>
        <v/>
      </c>
      <c r="CD14" s="26">
        <f>IF(V$4="","",IFERROR(INDEX('因子水準表'!$B$9:$KO$18,9,MATCH(V$4,'因子水準表'!$B$4:$KO$4,0))&amp;"",""))</f>
        <v/>
      </c>
      <c r="CE14" s="26">
        <f>IF(W$4="","",IFERROR(INDEX('因子水準表'!$B$9:$KO$18,9,MATCH(W$4,'因子水準表'!$B$4:$KO$4,0))&amp;"",""))</f>
        <v/>
      </c>
      <c r="CF14" s="26">
        <f>IF(X$4="","",IFERROR(INDEX('因子水準表'!$B$9:$KO$18,9,MATCH(X$4,'因子水準表'!$B$4:$KO$4,0))&amp;"",""))</f>
        <v/>
      </c>
      <c r="CG14" s="26">
        <f>IF(Y$4="","",IFERROR(INDEX('因子水準表'!$B$9:$KO$18,9,MATCH(Y$4,'因子水準表'!$B$4:$KO$4,0))&amp;"",""))</f>
        <v/>
      </c>
      <c r="CH14" s="26">
        <f>IF(Z$4="","",IFERROR(INDEX('因子水準表'!$B$9:$KO$18,9,MATCH(Z$4,'因子水準表'!$B$4:$KO$4,0))&amp;"",""))</f>
        <v/>
      </c>
      <c r="CI14" s="26">
        <f>IF(AA$4="","",IFERROR(INDEX('因子水準表'!$B$9:$KO$18,9,MATCH(AA$4,'因子水準表'!$B$4:$KO$4,0))&amp;"",""))</f>
        <v/>
      </c>
      <c r="CJ14" s="26">
        <f>IF(AB$4="","",IFERROR(INDEX('因子水準表'!$B$9:$KO$18,9,MATCH(AB$4,'因子水準表'!$B$4:$KO$4,0))&amp;"",""))</f>
        <v/>
      </c>
      <c r="CK14" s="26">
        <f>IF(AC$4="","",IFERROR(INDEX('因子水準表'!$B$9:$KO$18,9,MATCH(AC$4,'因子水準表'!$B$4:$KO$4,0))&amp;"",""))</f>
        <v/>
      </c>
      <c r="CL14" s="26">
        <f>IF(AD$4="","",IFERROR(INDEX('因子水準表'!$B$9:$KO$18,9,MATCH(AD$4,'因子水準表'!$B$4:$KO$4,0))&amp;"",""))</f>
        <v/>
      </c>
      <c r="CM14" s="26">
        <f>IF(AE$4="","",IFERROR(INDEX('因子水準表'!$B$9:$KO$18,9,MATCH(AE$4,'因子水準表'!$B$4:$KO$4,0))&amp;"",""))</f>
        <v/>
      </c>
      <c r="CN14" s="26">
        <f>IF(AF$4="","",IFERROR(INDEX('因子水準表'!$B$9:$KO$18,9,MATCH(AF$4,'因子水準表'!$B$4:$KO$4,0))&amp;"",""))</f>
        <v/>
      </c>
      <c r="CO14" s="26">
        <f>IF(AG$4="","",IFERROR(INDEX('因子水準表'!$B$9:$KO$18,9,MATCH(AG$4,'因子水準表'!$B$4:$KO$4,0))&amp;"",""))</f>
        <v/>
      </c>
      <c r="CP14" s="26">
        <f>IF(AH$4="","",IFERROR(INDEX('因子水準表'!$B$9:$KO$18,9,MATCH(AH$4,'因子水準表'!$B$4:$KO$4,0))&amp;"",""))</f>
        <v/>
      </c>
      <c r="CQ14" s="26">
        <f>IF(AI$4="","",IFERROR(INDEX('因子水準表'!$B$9:$KO$18,9,MATCH(AI$4,'因子水準表'!$B$4:$KO$4,0))&amp;"",""))</f>
        <v/>
      </c>
      <c r="CR14" s="26">
        <f>IF(AJ$4="","",IFERROR(INDEX('因子水準表'!$B$9:$KO$18,9,MATCH(AJ$4,'因子水準表'!$B$4:$KO$4,0))&amp;"",""))</f>
        <v/>
      </c>
      <c r="CS14" s="26">
        <f>IF(AK$4="","",IFERROR(INDEX('因子水準表'!$B$9:$KO$18,9,MATCH(AK$4,'因子水準表'!$B$4:$KO$4,0))&amp;"",""))</f>
        <v/>
      </c>
      <c r="CT14" s="26">
        <f>IF(AL$4="","",IFERROR(INDEX('因子水準表'!$B$9:$KO$18,9,MATCH(AL$4,'因子水準表'!$B$4:$KO$4,0))&amp;"",""))</f>
        <v/>
      </c>
      <c r="CU14" s="26">
        <f>IF(AM$4="","",IFERROR(INDEX('因子水準表'!$B$9:$KO$18,9,MATCH(AM$4,'因子水準表'!$B$4:$KO$4,0))&amp;"",""))</f>
        <v/>
      </c>
      <c r="CV14" s="26">
        <f>IF(AN$4="","",IFERROR(INDEX('因子水準表'!$B$9:$KO$18,9,MATCH(AN$4,'因子水準表'!$B$4:$KO$4,0))&amp;"",""))</f>
        <v/>
      </c>
      <c r="CW14" s="26">
        <f>IF(AO$4="","",IFERROR(INDEX('因子水準表'!$B$9:$KO$18,9,MATCH(AO$4,'因子水準表'!$B$4:$KO$4,0))&amp;"",""))</f>
        <v/>
      </c>
      <c r="CX14" s="26">
        <f>IF(AP$4="","",IFERROR(INDEX('因子水準表'!$B$9:$KO$18,9,MATCH(AP$4,'因子水準表'!$B$4:$KO$4,0))&amp;"",""))</f>
        <v/>
      </c>
      <c r="CY14" s="26">
        <f>IF(AQ$4="","",IFERROR(INDEX('因子水準表'!$B$9:$KO$18,9,MATCH(AQ$4,'因子水準表'!$B$4:$KO$4,0))&amp;"",""))</f>
        <v/>
      </c>
      <c r="CZ14" s="26">
        <f>IF(AR$4="","",IFERROR(INDEX('因子水準表'!$B$9:$KO$18,9,MATCH(AR$4,'因子水準表'!$B$4:$KO$4,0))&amp;"",""))</f>
        <v/>
      </c>
      <c r="DA14" s="26">
        <f>IF(AS$4="","",IFERROR(INDEX('因子水準表'!$B$9:$KO$18,9,MATCH(AS$4,'因子水準表'!$B$4:$KO$4,0))&amp;"",""))</f>
        <v/>
      </c>
      <c r="DB14" s="26">
        <f>IF(AT$4="","",IFERROR(INDEX('因子水準表'!$B$9:$KO$18,9,MATCH(AT$4,'因子水準表'!$B$4:$KO$4,0))&amp;"",""))</f>
        <v/>
      </c>
      <c r="DC14" s="26">
        <f>IF(AU$4="","",IFERROR(INDEX('因子水準表'!$B$9:$KO$18,9,MATCH(AU$4,'因子水準表'!$B$4:$KO$4,0))&amp;"",""))</f>
        <v/>
      </c>
      <c r="DD14" s="26">
        <f>IF(AV$4="","",IFERROR(INDEX('因子水準表'!$B$9:$KO$18,9,MATCH(AV$4,'因子水準表'!$B$4:$KO$4,0))&amp;"",""))</f>
        <v/>
      </c>
      <c r="DE14" s="26">
        <f>IF(AW$4="","",IFERROR(INDEX('因子水準表'!$B$9:$KO$18,9,MATCH(AW$4,'因子水準表'!$B$4:$KO$4,0))&amp;"",""))</f>
        <v/>
      </c>
      <c r="DF14" s="26">
        <f>IF(AX$4="","",IFERROR(INDEX('因子水準表'!$B$9:$KO$18,9,MATCH(AX$4,'因子水準表'!$B$4:$KO$4,0))&amp;"",""))</f>
        <v/>
      </c>
      <c r="DG14" s="26">
        <f>IF(AY$4="","",IFERROR(INDEX('因子水準表'!$B$9:$KO$18,9,MATCH(AY$4,'因子水準表'!$B$4:$KO$4,0))&amp;"",""))</f>
        <v/>
      </c>
      <c r="DH14" s="26">
        <f>IF(AZ$4="","",IFERROR(INDEX('因子水準表'!$B$9:$KO$18,9,MATCH(AZ$4,'因子水準表'!$B$4:$KO$4,0))&amp;"",""))</f>
        <v/>
      </c>
      <c r="DI14" s="26">
        <f>IF(BA$4="","",IFERROR(INDEX('因子水準表'!$B$9:$KO$18,9,MATCH(BA$4,'因子水準表'!$B$4:$KO$4,0))&amp;"",""))</f>
        <v/>
      </c>
      <c r="DJ14" s="26">
        <f>IF(BB$4="","",IFERROR(INDEX('因子水準表'!$B$9:$KO$18,9,MATCH(BB$4,'因子水準表'!$B$4:$KO$4,0))&amp;"",""))</f>
        <v/>
      </c>
      <c r="DK14" s="26">
        <f>IF(BC$4="","",IFERROR(INDEX('因子水準表'!$B$9:$KO$18,9,MATCH(BC$4,'因子水準表'!$B$4:$KO$4,0))&amp;"",""))</f>
        <v/>
      </c>
      <c r="DL14" s="26">
        <f>IF(BD$4="","",IFERROR(INDEX('因子水準表'!$B$9:$KO$18,9,MATCH(BD$4,'因子水準表'!$B$4:$KO$4,0))&amp;"",""))</f>
        <v/>
      </c>
      <c r="DM14" s="26">
        <f>IF('因子水準表'!B37="","",'因子水準表'!B37)</f>
        <v/>
      </c>
      <c r="DN14" s="26">
        <f>IF('テスト条件'!A13="","",'テスト条件'!A13)</f>
        <v/>
      </c>
    </row>
    <row r="15">
      <c r="A15" s="27" t="n"/>
      <c r="B15" s="27" t="n"/>
      <c r="C15" s="28">
        <f>IF(A15="","",$B$2)</f>
        <v/>
      </c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  <c r="AI15" s="27" t="n"/>
      <c r="AJ15" s="27" t="n"/>
      <c r="AK15" s="27" t="n"/>
      <c r="AL15" s="27" t="n"/>
      <c r="AM15" s="27" t="n"/>
      <c r="AN15" s="27" t="n"/>
      <c r="AO15" s="27" t="n"/>
      <c r="AP15" s="27" t="n"/>
      <c r="AQ15" s="27" t="n"/>
      <c r="AR15" s="27" t="n"/>
      <c r="AS15" s="27" t="n"/>
      <c r="AT15" s="27" t="n"/>
      <c r="AU15" s="27" t="n"/>
      <c r="AV15" s="27" t="n"/>
      <c r="AW15" s="27" t="n"/>
      <c r="AX15" s="27" t="n"/>
      <c r="AY15" s="27" t="n"/>
      <c r="AZ15" s="27" t="n"/>
      <c r="BA15" s="27" t="n"/>
      <c r="BB15" s="27" t="n"/>
      <c r="BC15" s="27" t="n"/>
      <c r="BD15" s="27" t="n"/>
      <c r="BE15" s="27" t="n"/>
      <c r="BF15" s="27" t="n"/>
      <c r="BG15" s="27" t="n"/>
      <c r="BH15" s="27" t="n"/>
      <c r="BI15" s="29" t="n"/>
      <c r="BJ15" s="27" t="n"/>
      <c r="BK15" s="27" t="n"/>
      <c r="BL15" s="27" t="n"/>
      <c r="BM15" s="27" t="n"/>
      <c r="BO15" s="26">
        <f>IF(G$4="","",IFERROR(INDEX('因子水準表'!$B$9:$KO$18,10,MATCH(G$4,'因子水準表'!$B$4:$KO$4,0))&amp;"",""))</f>
        <v/>
      </c>
      <c r="BP15" s="26">
        <f>IF(H$4="","",IFERROR(INDEX('因子水準表'!$B$9:$KO$18,10,MATCH(H$4,'因子水準表'!$B$4:$KO$4,0))&amp;"",""))</f>
        <v/>
      </c>
      <c r="BQ15" s="26">
        <f>IF(I$4="","",IFERROR(INDEX('因子水準表'!$B$9:$KO$18,10,MATCH(I$4,'因子水準表'!$B$4:$KO$4,0))&amp;"",""))</f>
        <v/>
      </c>
      <c r="BR15" s="26">
        <f>IF(J$4="","",IFERROR(INDEX('因子水準表'!$B$9:$KO$18,10,MATCH(J$4,'因子水準表'!$B$4:$KO$4,0))&amp;"",""))</f>
        <v/>
      </c>
      <c r="BS15" s="26">
        <f>IF(K$4="","",IFERROR(INDEX('因子水準表'!$B$9:$KO$18,10,MATCH(K$4,'因子水準表'!$B$4:$KO$4,0))&amp;"",""))</f>
        <v/>
      </c>
      <c r="BT15" s="26">
        <f>IF(L$4="","",IFERROR(INDEX('因子水準表'!$B$9:$KO$18,10,MATCH(L$4,'因子水準表'!$B$4:$KO$4,0))&amp;"",""))</f>
        <v/>
      </c>
      <c r="BU15" s="26">
        <f>IF(M$4="","",IFERROR(INDEX('因子水準表'!$B$9:$KO$18,10,MATCH(M$4,'因子水準表'!$B$4:$KO$4,0))&amp;"",""))</f>
        <v/>
      </c>
      <c r="BV15" s="26">
        <f>IF(N$4="","",IFERROR(INDEX('因子水準表'!$B$9:$KO$18,10,MATCH(N$4,'因子水準表'!$B$4:$KO$4,0))&amp;"",""))</f>
        <v/>
      </c>
      <c r="BW15" s="26">
        <f>IF(O$4="","",IFERROR(INDEX('因子水準表'!$B$9:$KO$18,10,MATCH(O$4,'因子水準表'!$B$4:$KO$4,0))&amp;"",""))</f>
        <v/>
      </c>
      <c r="BX15" s="26">
        <f>IF(P$4="","",IFERROR(INDEX('因子水準表'!$B$9:$KO$18,10,MATCH(P$4,'因子水準表'!$B$4:$KO$4,0))&amp;"",""))</f>
        <v/>
      </c>
      <c r="BY15" s="26">
        <f>IF(Q$4="","",IFERROR(INDEX('因子水準表'!$B$9:$KO$18,10,MATCH(Q$4,'因子水準表'!$B$4:$KO$4,0))&amp;"",""))</f>
        <v/>
      </c>
      <c r="BZ15" s="26">
        <f>IF(R$4="","",IFERROR(INDEX('因子水準表'!$B$9:$KO$18,10,MATCH(R$4,'因子水準表'!$B$4:$KO$4,0))&amp;"",""))</f>
        <v/>
      </c>
      <c r="CA15" s="26">
        <f>IF(S$4="","",IFERROR(INDEX('因子水準表'!$B$9:$KO$18,10,MATCH(S$4,'因子水準表'!$B$4:$KO$4,0))&amp;"",""))</f>
        <v/>
      </c>
      <c r="CB15" s="26">
        <f>IF(T$4="","",IFERROR(INDEX('因子水準表'!$B$9:$KO$18,10,MATCH(T$4,'因子水準表'!$B$4:$KO$4,0))&amp;"",""))</f>
        <v/>
      </c>
      <c r="CC15" s="26">
        <f>IF(U$4="","",IFERROR(INDEX('因子水準表'!$B$9:$KO$18,10,MATCH(U$4,'因子水準表'!$B$4:$KO$4,0))&amp;"",""))</f>
        <v/>
      </c>
      <c r="CD15" s="26">
        <f>IF(V$4="","",IFERROR(INDEX('因子水準表'!$B$9:$KO$18,10,MATCH(V$4,'因子水準表'!$B$4:$KO$4,0))&amp;"",""))</f>
        <v/>
      </c>
      <c r="CE15" s="26">
        <f>IF(W$4="","",IFERROR(INDEX('因子水準表'!$B$9:$KO$18,10,MATCH(W$4,'因子水準表'!$B$4:$KO$4,0))&amp;"",""))</f>
        <v/>
      </c>
      <c r="CF15" s="26">
        <f>IF(X$4="","",IFERROR(INDEX('因子水準表'!$B$9:$KO$18,10,MATCH(X$4,'因子水準表'!$B$4:$KO$4,0))&amp;"",""))</f>
        <v/>
      </c>
      <c r="CG15" s="26">
        <f>IF(Y$4="","",IFERROR(INDEX('因子水準表'!$B$9:$KO$18,10,MATCH(Y$4,'因子水準表'!$B$4:$KO$4,0))&amp;"",""))</f>
        <v/>
      </c>
      <c r="CH15" s="26">
        <f>IF(Z$4="","",IFERROR(INDEX('因子水準表'!$B$9:$KO$18,10,MATCH(Z$4,'因子水準表'!$B$4:$KO$4,0))&amp;"",""))</f>
        <v/>
      </c>
      <c r="CI15" s="26">
        <f>IF(AA$4="","",IFERROR(INDEX('因子水準表'!$B$9:$KO$18,10,MATCH(AA$4,'因子水準表'!$B$4:$KO$4,0))&amp;"",""))</f>
        <v/>
      </c>
      <c r="CJ15" s="26">
        <f>IF(AB$4="","",IFERROR(INDEX('因子水準表'!$B$9:$KO$18,10,MATCH(AB$4,'因子水準表'!$B$4:$KO$4,0))&amp;"",""))</f>
        <v/>
      </c>
      <c r="CK15" s="26">
        <f>IF(AC$4="","",IFERROR(INDEX('因子水準表'!$B$9:$KO$18,10,MATCH(AC$4,'因子水準表'!$B$4:$KO$4,0))&amp;"",""))</f>
        <v/>
      </c>
      <c r="CL15" s="26">
        <f>IF(AD$4="","",IFERROR(INDEX('因子水準表'!$B$9:$KO$18,10,MATCH(AD$4,'因子水準表'!$B$4:$KO$4,0))&amp;"",""))</f>
        <v/>
      </c>
      <c r="CM15" s="26">
        <f>IF(AE$4="","",IFERROR(INDEX('因子水準表'!$B$9:$KO$18,10,MATCH(AE$4,'因子水準表'!$B$4:$KO$4,0))&amp;"",""))</f>
        <v/>
      </c>
      <c r="CN15" s="26">
        <f>IF(AF$4="","",IFERROR(INDEX('因子水準表'!$B$9:$KO$18,10,MATCH(AF$4,'因子水準表'!$B$4:$KO$4,0))&amp;"",""))</f>
        <v/>
      </c>
      <c r="CO15" s="26">
        <f>IF(AG$4="","",IFERROR(INDEX('因子水準表'!$B$9:$KO$18,10,MATCH(AG$4,'因子水準表'!$B$4:$KO$4,0))&amp;"",""))</f>
        <v/>
      </c>
      <c r="CP15" s="26">
        <f>IF(AH$4="","",IFERROR(INDEX('因子水準表'!$B$9:$KO$18,10,MATCH(AH$4,'因子水準表'!$B$4:$KO$4,0))&amp;"",""))</f>
        <v/>
      </c>
      <c r="CQ15" s="26">
        <f>IF(AI$4="","",IFERROR(INDEX('因子水準表'!$B$9:$KO$18,10,MATCH(AI$4,'因子水準表'!$B$4:$KO$4,0))&amp;"",""))</f>
        <v/>
      </c>
      <c r="CR15" s="26">
        <f>IF(AJ$4="","",IFERROR(INDEX('因子水準表'!$B$9:$KO$18,10,MATCH(AJ$4,'因子水準表'!$B$4:$KO$4,0))&amp;"",""))</f>
        <v/>
      </c>
      <c r="CS15" s="26">
        <f>IF(AK$4="","",IFERROR(INDEX('因子水準表'!$B$9:$KO$18,10,MATCH(AK$4,'因子水準表'!$B$4:$KO$4,0))&amp;"",""))</f>
        <v/>
      </c>
      <c r="CT15" s="26">
        <f>IF(AL$4="","",IFERROR(INDEX('因子水準表'!$B$9:$KO$18,10,MATCH(AL$4,'因子水準表'!$B$4:$KO$4,0))&amp;"",""))</f>
        <v/>
      </c>
      <c r="CU15" s="26">
        <f>IF(AM$4="","",IFERROR(INDEX('因子水準表'!$B$9:$KO$18,10,MATCH(AM$4,'因子水準表'!$B$4:$KO$4,0))&amp;"",""))</f>
        <v/>
      </c>
      <c r="CV15" s="26">
        <f>IF(AN$4="","",IFERROR(INDEX('因子水準表'!$B$9:$KO$18,10,MATCH(AN$4,'因子水準表'!$B$4:$KO$4,0))&amp;"",""))</f>
        <v/>
      </c>
      <c r="CW15" s="26">
        <f>IF(AO$4="","",IFERROR(INDEX('因子水準表'!$B$9:$KO$18,10,MATCH(AO$4,'因子水準表'!$B$4:$KO$4,0))&amp;"",""))</f>
        <v/>
      </c>
      <c r="CX15" s="26">
        <f>IF(AP$4="","",IFERROR(INDEX('因子水準表'!$B$9:$KO$18,10,MATCH(AP$4,'因子水準表'!$B$4:$KO$4,0))&amp;"",""))</f>
        <v/>
      </c>
      <c r="CY15" s="26">
        <f>IF(AQ$4="","",IFERROR(INDEX('因子水準表'!$B$9:$KO$18,10,MATCH(AQ$4,'因子水準表'!$B$4:$KO$4,0))&amp;"",""))</f>
        <v/>
      </c>
      <c r="CZ15" s="26">
        <f>IF(AR$4="","",IFERROR(INDEX('因子水準表'!$B$9:$KO$18,10,MATCH(AR$4,'因子水準表'!$B$4:$KO$4,0))&amp;"",""))</f>
        <v/>
      </c>
      <c r="DA15" s="26">
        <f>IF(AS$4="","",IFERROR(INDEX('因子水準表'!$B$9:$KO$18,10,MATCH(AS$4,'因子水準表'!$B$4:$KO$4,0))&amp;"",""))</f>
        <v/>
      </c>
      <c r="DB15" s="26">
        <f>IF(AT$4="","",IFERROR(INDEX('因子水準表'!$B$9:$KO$18,10,MATCH(AT$4,'因子水準表'!$B$4:$KO$4,0))&amp;"",""))</f>
        <v/>
      </c>
      <c r="DC15" s="26">
        <f>IF(AU$4="","",IFERROR(INDEX('因子水準表'!$B$9:$KO$18,10,MATCH(AU$4,'因子水準表'!$B$4:$KO$4,0))&amp;"",""))</f>
        <v/>
      </c>
      <c r="DD15" s="26">
        <f>IF(AV$4="","",IFERROR(INDEX('因子水準表'!$B$9:$KO$18,10,MATCH(AV$4,'因子水準表'!$B$4:$KO$4,0))&amp;"",""))</f>
        <v/>
      </c>
      <c r="DE15" s="26">
        <f>IF(AW$4="","",IFERROR(INDEX('因子水準表'!$B$9:$KO$18,10,MATCH(AW$4,'因子水準表'!$B$4:$KO$4,0))&amp;"",""))</f>
        <v/>
      </c>
      <c r="DF15" s="26">
        <f>IF(AX$4="","",IFERROR(INDEX('因子水準表'!$B$9:$KO$18,10,MATCH(AX$4,'因子水準表'!$B$4:$KO$4,0))&amp;"",""))</f>
        <v/>
      </c>
      <c r="DG15" s="26">
        <f>IF(AY$4="","",IFERROR(INDEX('因子水準表'!$B$9:$KO$18,10,MATCH(AY$4,'因子水準表'!$B$4:$KO$4,0))&amp;"",""))</f>
        <v/>
      </c>
      <c r="DH15" s="26">
        <f>IF(AZ$4="","",IFERROR(INDEX('因子水準表'!$B$9:$KO$18,10,MATCH(AZ$4,'因子水準表'!$B$4:$KO$4,0))&amp;"",""))</f>
        <v/>
      </c>
      <c r="DI15" s="26">
        <f>IF(BA$4="","",IFERROR(INDEX('因子水準表'!$B$9:$KO$18,10,MATCH(BA$4,'因子水準表'!$B$4:$KO$4,0))&amp;"",""))</f>
        <v/>
      </c>
      <c r="DJ15" s="26">
        <f>IF(BB$4="","",IFERROR(INDEX('因子水準表'!$B$9:$KO$18,10,MATCH(BB$4,'因子水準表'!$B$4:$KO$4,0))&amp;"",""))</f>
        <v/>
      </c>
      <c r="DK15" s="26">
        <f>IF(BC$4="","",IFERROR(INDEX('因子水準表'!$B$9:$KO$18,10,MATCH(BC$4,'因子水準表'!$B$4:$KO$4,0))&amp;"",""))</f>
        <v/>
      </c>
      <c r="DL15" s="26">
        <f>IF(BD$4="","",IFERROR(INDEX('因子水準表'!$B$9:$KO$18,10,MATCH(BD$4,'因子水準表'!$B$4:$KO$4,0))&amp;"",""))</f>
        <v/>
      </c>
      <c r="DM15" s="26">
        <f>IF('因子水準表'!B38="","",'因子水準表'!B38)</f>
        <v/>
      </c>
      <c r="DN15" s="26">
        <f>IF('テスト条件'!A14="","",'テスト条件'!A14)</f>
        <v/>
      </c>
    </row>
    <row r="16">
      <c r="A16" s="27" t="n"/>
      <c r="B16" s="27" t="n"/>
      <c r="C16" s="28">
        <f>IF(A16="","",$B$2)</f>
        <v/>
      </c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  <c r="AA16" s="27" t="n"/>
      <c r="AB16" s="27" t="n"/>
      <c r="AC16" s="27" t="n"/>
      <c r="AD16" s="27" t="n"/>
      <c r="AE16" s="27" t="n"/>
      <c r="AF16" s="27" t="n"/>
      <c r="AG16" s="27" t="n"/>
      <c r="AH16" s="27" t="n"/>
      <c r="AI16" s="27" t="n"/>
      <c r="AJ16" s="27" t="n"/>
      <c r="AK16" s="27" t="n"/>
      <c r="AL16" s="27" t="n"/>
      <c r="AM16" s="27" t="n"/>
      <c r="AN16" s="27" t="n"/>
      <c r="AO16" s="27" t="n"/>
      <c r="AP16" s="27" t="n"/>
      <c r="AQ16" s="27" t="n"/>
      <c r="AR16" s="27" t="n"/>
      <c r="AS16" s="27" t="n"/>
      <c r="AT16" s="27" t="n"/>
      <c r="AU16" s="27" t="n"/>
      <c r="AV16" s="27" t="n"/>
      <c r="AW16" s="27" t="n"/>
      <c r="AX16" s="27" t="n"/>
      <c r="AY16" s="27" t="n"/>
      <c r="AZ16" s="27" t="n"/>
      <c r="BA16" s="27" t="n"/>
      <c r="BB16" s="27" t="n"/>
      <c r="BC16" s="27" t="n"/>
      <c r="BD16" s="27" t="n"/>
      <c r="BE16" s="27" t="n"/>
      <c r="BF16" s="27" t="n"/>
      <c r="BG16" s="27" t="n"/>
      <c r="BH16" s="27" t="n"/>
      <c r="BI16" s="29" t="n"/>
      <c r="BJ16" s="27" t="n"/>
      <c r="BK16" s="27" t="n"/>
      <c r="BL16" s="27" t="n"/>
      <c r="BM16" s="27" t="n"/>
      <c r="DM16" s="26">
        <f>IF('因子水準表'!B39="","",'因子水準表'!B39)</f>
        <v/>
      </c>
      <c r="DN16" s="26">
        <f>IF('テスト条件'!A15="","",'テスト条件'!A15)</f>
        <v/>
      </c>
    </row>
    <row r="17">
      <c r="A17" s="27" t="n"/>
      <c r="B17" s="27" t="n"/>
      <c r="C17" s="28">
        <f>IF(A17="","",$B$2)</f>
        <v/>
      </c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  <c r="AI17" s="27" t="n"/>
      <c r="AJ17" s="27" t="n"/>
      <c r="AK17" s="27" t="n"/>
      <c r="AL17" s="27" t="n"/>
      <c r="AM17" s="27" t="n"/>
      <c r="AN17" s="27" t="n"/>
      <c r="AO17" s="27" t="n"/>
      <c r="AP17" s="27" t="n"/>
      <c r="AQ17" s="27" t="n"/>
      <c r="AR17" s="27" t="n"/>
      <c r="AS17" s="27" t="n"/>
      <c r="AT17" s="27" t="n"/>
      <c r="AU17" s="27" t="n"/>
      <c r="AV17" s="27" t="n"/>
      <c r="AW17" s="27" t="n"/>
      <c r="AX17" s="27" t="n"/>
      <c r="AY17" s="27" t="n"/>
      <c r="AZ17" s="27" t="n"/>
      <c r="BA17" s="27" t="n"/>
      <c r="BB17" s="27" t="n"/>
      <c r="BC17" s="27" t="n"/>
      <c r="BD17" s="27" t="n"/>
      <c r="BE17" s="27" t="n"/>
      <c r="BF17" s="27" t="n"/>
      <c r="BG17" s="27" t="n"/>
      <c r="BH17" s="27" t="n"/>
      <c r="BI17" s="29" t="n"/>
      <c r="BJ17" s="27" t="n"/>
      <c r="BK17" s="27" t="n"/>
      <c r="BL17" s="27" t="n"/>
      <c r="BM17" s="27" t="n"/>
      <c r="DM17" s="26">
        <f>IF('因子水準表'!B40="","",'因子水準表'!B40)</f>
        <v/>
      </c>
      <c r="DN17" s="26">
        <f>IF('テスト条件'!A16="","",'テスト条件'!A16)</f>
        <v/>
      </c>
    </row>
    <row r="18">
      <c r="A18" s="27" t="n"/>
      <c r="B18" s="27" t="n"/>
      <c r="C18" s="28">
        <f>IF(A18="","",$B$2)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  <c r="AJ18" s="27" t="n"/>
      <c r="AK18" s="27" t="n"/>
      <c r="AL18" s="27" t="n"/>
      <c r="AM18" s="27" t="n"/>
      <c r="AN18" s="27" t="n"/>
      <c r="AO18" s="27" t="n"/>
      <c r="AP18" s="27" t="n"/>
      <c r="AQ18" s="27" t="n"/>
      <c r="AR18" s="27" t="n"/>
      <c r="AS18" s="27" t="n"/>
      <c r="AT18" s="27" t="n"/>
      <c r="AU18" s="27" t="n"/>
      <c r="AV18" s="27" t="n"/>
      <c r="AW18" s="27" t="n"/>
      <c r="AX18" s="27" t="n"/>
      <c r="AY18" s="27" t="n"/>
      <c r="AZ18" s="27" t="n"/>
      <c r="BA18" s="27" t="n"/>
      <c r="BB18" s="27" t="n"/>
      <c r="BC18" s="27" t="n"/>
      <c r="BD18" s="27" t="n"/>
      <c r="BE18" s="27" t="n"/>
      <c r="BF18" s="27" t="n"/>
      <c r="BG18" s="27" t="n"/>
      <c r="BH18" s="27" t="n"/>
      <c r="BI18" s="29" t="n"/>
      <c r="BJ18" s="27" t="n"/>
      <c r="BK18" s="27" t="n"/>
      <c r="BL18" s="27" t="n"/>
      <c r="BM18" s="27" t="n"/>
      <c r="DM18" s="26">
        <f>IF('因子水準表'!B41="","",'因子水準表'!B41)</f>
        <v/>
      </c>
      <c r="DN18" s="26">
        <f>IF('テスト条件'!A17="","",'テスト条件'!A17)</f>
        <v/>
      </c>
    </row>
    <row r="19">
      <c r="A19" s="27" t="n"/>
      <c r="B19" s="27" t="n"/>
      <c r="C19" s="28">
        <f>IF(A19="","",$B$2)</f>
        <v/>
      </c>
      <c r="D19" s="27" t="n"/>
      <c r="E19" s="27" t="n"/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  <c r="AA19" s="27" t="n"/>
      <c r="AB19" s="27" t="n"/>
      <c r="AC19" s="27" t="n"/>
      <c r="AD19" s="27" t="n"/>
      <c r="AE19" s="27" t="n"/>
      <c r="AF19" s="27" t="n"/>
      <c r="AG19" s="27" t="n"/>
      <c r="AH19" s="27" t="n"/>
      <c r="AI19" s="27" t="n"/>
      <c r="AJ19" s="27" t="n"/>
      <c r="AK19" s="27" t="n"/>
      <c r="AL19" s="27" t="n"/>
      <c r="AM19" s="27" t="n"/>
      <c r="AN19" s="27" t="n"/>
      <c r="AO19" s="27" t="n"/>
      <c r="AP19" s="27" t="n"/>
      <c r="AQ19" s="27" t="n"/>
      <c r="AR19" s="27" t="n"/>
      <c r="AS19" s="27" t="n"/>
      <c r="AT19" s="27" t="n"/>
      <c r="AU19" s="27" t="n"/>
      <c r="AV19" s="27" t="n"/>
      <c r="AW19" s="27" t="n"/>
      <c r="AX19" s="27" t="n"/>
      <c r="AY19" s="27" t="n"/>
      <c r="AZ19" s="27" t="n"/>
      <c r="BA19" s="27" t="n"/>
      <c r="BB19" s="27" t="n"/>
      <c r="BC19" s="27" t="n"/>
      <c r="BD19" s="27" t="n"/>
      <c r="BE19" s="27" t="n"/>
      <c r="BF19" s="27" t="n"/>
      <c r="BG19" s="27" t="n"/>
      <c r="BH19" s="27" t="n"/>
      <c r="BI19" s="29" t="n"/>
      <c r="BJ19" s="27" t="n"/>
      <c r="BK19" s="27" t="n"/>
      <c r="BL19" s="27" t="n"/>
      <c r="BM19" s="27" t="n"/>
      <c r="DM19" s="26">
        <f>IF('因子水準表'!B42="","",'因子水準表'!B42)</f>
        <v/>
      </c>
      <c r="DN19" s="26">
        <f>IF('テスト条件'!A18="","",'テスト条件'!A18)</f>
        <v/>
      </c>
    </row>
    <row r="20">
      <c r="A20" s="27" t="n"/>
      <c r="B20" s="27" t="n"/>
      <c r="C20" s="28">
        <f>IF(A20="","",$B$2)</f>
        <v/>
      </c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7" t="n"/>
      <c r="AI20" s="27" t="n"/>
      <c r="AJ20" s="27" t="n"/>
      <c r="AK20" s="27" t="n"/>
      <c r="AL20" s="27" t="n"/>
      <c r="AM20" s="27" t="n"/>
      <c r="AN20" s="27" t="n"/>
      <c r="AO20" s="27" t="n"/>
      <c r="AP20" s="27" t="n"/>
      <c r="AQ20" s="27" t="n"/>
      <c r="AR20" s="27" t="n"/>
      <c r="AS20" s="27" t="n"/>
      <c r="AT20" s="27" t="n"/>
      <c r="AU20" s="27" t="n"/>
      <c r="AV20" s="27" t="n"/>
      <c r="AW20" s="27" t="n"/>
      <c r="AX20" s="27" t="n"/>
      <c r="AY20" s="27" t="n"/>
      <c r="AZ20" s="27" t="n"/>
      <c r="BA20" s="27" t="n"/>
      <c r="BB20" s="27" t="n"/>
      <c r="BC20" s="27" t="n"/>
      <c r="BD20" s="27" t="n"/>
      <c r="BE20" s="27" t="n"/>
      <c r="BF20" s="27" t="n"/>
      <c r="BG20" s="27" t="n"/>
      <c r="BH20" s="27" t="n"/>
      <c r="BI20" s="29" t="n"/>
      <c r="BJ20" s="27" t="n"/>
      <c r="BK20" s="27" t="n"/>
      <c r="BL20" s="27" t="n"/>
      <c r="BM20" s="27" t="n"/>
      <c r="DM20" s="26">
        <f>IF('因子水準表'!B43="","",'因子水準表'!B43)</f>
        <v/>
      </c>
      <c r="DN20" s="26">
        <f>IF('テスト条件'!A19="","",'テスト条件'!A19)</f>
        <v/>
      </c>
    </row>
    <row r="21">
      <c r="A21" s="27" t="n"/>
      <c r="B21" s="27" t="n"/>
      <c r="C21" s="28">
        <f>IF(A21="","",$B$2)</f>
        <v/>
      </c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  <c r="AI21" s="27" t="n"/>
      <c r="AJ21" s="27" t="n"/>
      <c r="AK21" s="27" t="n"/>
      <c r="AL21" s="27" t="n"/>
      <c r="AM21" s="27" t="n"/>
      <c r="AN21" s="27" t="n"/>
      <c r="AO21" s="27" t="n"/>
      <c r="AP21" s="27" t="n"/>
      <c r="AQ21" s="27" t="n"/>
      <c r="AR21" s="27" t="n"/>
      <c r="AS21" s="27" t="n"/>
      <c r="AT21" s="27" t="n"/>
      <c r="AU21" s="27" t="n"/>
      <c r="AV21" s="27" t="n"/>
      <c r="AW21" s="27" t="n"/>
      <c r="AX21" s="27" t="n"/>
      <c r="AY21" s="27" t="n"/>
      <c r="AZ21" s="27" t="n"/>
      <c r="BA21" s="27" t="n"/>
      <c r="BB21" s="27" t="n"/>
      <c r="BC21" s="27" t="n"/>
      <c r="BD21" s="27" t="n"/>
      <c r="BE21" s="27" t="n"/>
      <c r="BF21" s="27" t="n"/>
      <c r="BG21" s="27" t="n"/>
      <c r="BH21" s="27" t="n"/>
      <c r="BI21" s="29" t="n"/>
      <c r="BJ21" s="27" t="n"/>
      <c r="BK21" s="27" t="n"/>
      <c r="BL21" s="27" t="n"/>
      <c r="BM21" s="27" t="n"/>
      <c r="DM21" s="26">
        <f>IF('因子水準表'!B44="","",'因子水準表'!B44)</f>
        <v/>
      </c>
      <c r="DN21" s="26">
        <f>IF('テスト条件'!A20="","",'テスト条件'!A20)</f>
        <v/>
      </c>
    </row>
    <row r="22">
      <c r="A22" s="27" t="n"/>
      <c r="B22" s="27" t="n"/>
      <c r="C22" s="28">
        <f>IF(A22="","",$B$2)</f>
        <v/>
      </c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  <c r="AA22" s="27" t="n"/>
      <c r="AB22" s="27" t="n"/>
      <c r="AC22" s="27" t="n"/>
      <c r="AD22" s="27" t="n"/>
      <c r="AE22" s="27" t="n"/>
      <c r="AF22" s="27" t="n"/>
      <c r="AG22" s="27" t="n"/>
      <c r="AH22" s="27" t="n"/>
      <c r="AI22" s="27" t="n"/>
      <c r="AJ22" s="27" t="n"/>
      <c r="AK22" s="27" t="n"/>
      <c r="AL22" s="27" t="n"/>
      <c r="AM22" s="27" t="n"/>
      <c r="AN22" s="27" t="n"/>
      <c r="AO22" s="27" t="n"/>
      <c r="AP22" s="27" t="n"/>
      <c r="AQ22" s="27" t="n"/>
      <c r="AR22" s="27" t="n"/>
      <c r="AS22" s="27" t="n"/>
      <c r="AT22" s="27" t="n"/>
      <c r="AU22" s="27" t="n"/>
      <c r="AV22" s="27" t="n"/>
      <c r="AW22" s="27" t="n"/>
      <c r="AX22" s="27" t="n"/>
      <c r="AY22" s="27" t="n"/>
      <c r="AZ22" s="27" t="n"/>
      <c r="BA22" s="27" t="n"/>
      <c r="BB22" s="27" t="n"/>
      <c r="BC22" s="27" t="n"/>
      <c r="BD22" s="27" t="n"/>
      <c r="BE22" s="27" t="n"/>
      <c r="BF22" s="27" t="n"/>
      <c r="BG22" s="27" t="n"/>
      <c r="BH22" s="27" t="n"/>
      <c r="BI22" s="29" t="n"/>
      <c r="BJ22" s="27" t="n"/>
      <c r="BK22" s="27" t="n"/>
      <c r="BL22" s="27" t="n"/>
      <c r="BM22" s="27" t="n"/>
      <c r="DM22" s="26">
        <f>IF('因子水準表'!B45="","",'因子水準表'!B45)</f>
        <v/>
      </c>
      <c r="DN22" s="26">
        <f>IF('テスト条件'!A21="","",'テスト条件'!A21)</f>
        <v/>
      </c>
    </row>
    <row r="23">
      <c r="A23" s="27" t="n"/>
      <c r="B23" s="27" t="n"/>
      <c r="C23" s="28">
        <f>IF(A23="","",$B$2)</f>
        <v/>
      </c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  <c r="AI23" s="27" t="n"/>
      <c r="AJ23" s="27" t="n"/>
      <c r="AK23" s="27" t="n"/>
      <c r="AL23" s="27" t="n"/>
      <c r="AM23" s="27" t="n"/>
      <c r="AN23" s="27" t="n"/>
      <c r="AO23" s="27" t="n"/>
      <c r="AP23" s="27" t="n"/>
      <c r="AQ23" s="27" t="n"/>
      <c r="AR23" s="27" t="n"/>
      <c r="AS23" s="27" t="n"/>
      <c r="AT23" s="27" t="n"/>
      <c r="AU23" s="27" t="n"/>
      <c r="AV23" s="27" t="n"/>
      <c r="AW23" s="27" t="n"/>
      <c r="AX23" s="27" t="n"/>
      <c r="AY23" s="27" t="n"/>
      <c r="AZ23" s="27" t="n"/>
      <c r="BA23" s="27" t="n"/>
      <c r="BB23" s="27" t="n"/>
      <c r="BC23" s="27" t="n"/>
      <c r="BD23" s="27" t="n"/>
      <c r="BE23" s="27" t="n"/>
      <c r="BF23" s="27" t="n"/>
      <c r="BG23" s="27" t="n"/>
      <c r="BH23" s="27" t="n"/>
      <c r="BI23" s="29" t="n"/>
      <c r="BJ23" s="27" t="n"/>
      <c r="BK23" s="27" t="n"/>
      <c r="BL23" s="27" t="n"/>
      <c r="BM23" s="27" t="n"/>
      <c r="DM23" s="26">
        <f>IF('因子水準表'!B46="","",'因子水準表'!B46)</f>
        <v/>
      </c>
      <c r="DN23" s="26">
        <f>IF('テスト条件'!A22="","",'テスト条件'!A22)</f>
        <v/>
      </c>
    </row>
    <row r="24">
      <c r="A24" s="27" t="n"/>
      <c r="B24" s="27" t="n"/>
      <c r="C24" s="28">
        <f>IF(A24="","",$B$2)</f>
        <v/>
      </c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7" t="n"/>
      <c r="AB24" s="27" t="n"/>
      <c r="AC24" s="27" t="n"/>
      <c r="AD24" s="27" t="n"/>
      <c r="AE24" s="27" t="n"/>
      <c r="AF24" s="27" t="n"/>
      <c r="AG24" s="27" t="n"/>
      <c r="AH24" s="27" t="n"/>
      <c r="AI24" s="27" t="n"/>
      <c r="AJ24" s="27" t="n"/>
      <c r="AK24" s="27" t="n"/>
      <c r="AL24" s="27" t="n"/>
      <c r="AM24" s="27" t="n"/>
      <c r="AN24" s="27" t="n"/>
      <c r="AO24" s="27" t="n"/>
      <c r="AP24" s="27" t="n"/>
      <c r="AQ24" s="27" t="n"/>
      <c r="AR24" s="27" t="n"/>
      <c r="AS24" s="27" t="n"/>
      <c r="AT24" s="27" t="n"/>
      <c r="AU24" s="27" t="n"/>
      <c r="AV24" s="27" t="n"/>
      <c r="AW24" s="27" t="n"/>
      <c r="AX24" s="27" t="n"/>
      <c r="AY24" s="27" t="n"/>
      <c r="AZ24" s="27" t="n"/>
      <c r="BA24" s="27" t="n"/>
      <c r="BB24" s="27" t="n"/>
      <c r="BC24" s="27" t="n"/>
      <c r="BD24" s="27" t="n"/>
      <c r="BE24" s="27" t="n"/>
      <c r="BF24" s="27" t="n"/>
      <c r="BG24" s="27" t="n"/>
      <c r="BH24" s="27" t="n"/>
      <c r="BI24" s="29" t="n"/>
      <c r="BJ24" s="27" t="n"/>
      <c r="BK24" s="27" t="n"/>
      <c r="BL24" s="27" t="n"/>
      <c r="BM24" s="27" t="n"/>
      <c r="DM24" s="26">
        <f>IF('因子水準表'!B47="","",'因子水準表'!B47)</f>
        <v/>
      </c>
      <c r="DN24" s="26">
        <f>IF('テスト条件'!A23="","",'テスト条件'!A23)</f>
        <v/>
      </c>
    </row>
    <row r="25">
      <c r="A25" s="27" t="n"/>
      <c r="B25" s="27" t="n"/>
      <c r="C25" s="28">
        <f>IF(A25="","",$B$2)</f>
        <v/>
      </c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  <c r="AI25" s="27" t="n"/>
      <c r="AJ25" s="27" t="n"/>
      <c r="AK25" s="27" t="n"/>
      <c r="AL25" s="27" t="n"/>
      <c r="AM25" s="27" t="n"/>
      <c r="AN25" s="27" t="n"/>
      <c r="AO25" s="27" t="n"/>
      <c r="AP25" s="27" t="n"/>
      <c r="AQ25" s="27" t="n"/>
      <c r="AR25" s="27" t="n"/>
      <c r="AS25" s="27" t="n"/>
      <c r="AT25" s="27" t="n"/>
      <c r="AU25" s="27" t="n"/>
      <c r="AV25" s="27" t="n"/>
      <c r="AW25" s="27" t="n"/>
      <c r="AX25" s="27" t="n"/>
      <c r="AY25" s="27" t="n"/>
      <c r="AZ25" s="27" t="n"/>
      <c r="BA25" s="27" t="n"/>
      <c r="BB25" s="27" t="n"/>
      <c r="BC25" s="27" t="n"/>
      <c r="BD25" s="27" t="n"/>
      <c r="BE25" s="27" t="n"/>
      <c r="BF25" s="27" t="n"/>
      <c r="BG25" s="27" t="n"/>
      <c r="BH25" s="27" t="n"/>
      <c r="BI25" s="29" t="n"/>
      <c r="BJ25" s="27" t="n"/>
      <c r="BK25" s="27" t="n"/>
      <c r="BL25" s="27" t="n"/>
      <c r="BM25" s="27" t="n"/>
      <c r="DM25" s="26">
        <f>IF('因子水準表'!B48="","",'因子水準表'!B48)</f>
        <v/>
      </c>
      <c r="DN25" s="26">
        <f>IF('テスト条件'!A24="","",'テスト条件'!A24)</f>
        <v/>
      </c>
    </row>
    <row r="26">
      <c r="A26" s="27" t="n"/>
      <c r="B26" s="27" t="n"/>
      <c r="C26" s="28">
        <f>IF(A26="","",$B$2)</f>
        <v/>
      </c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  <c r="AA26" s="27" t="n"/>
      <c r="AB26" s="27" t="n"/>
      <c r="AC26" s="27" t="n"/>
      <c r="AD26" s="27" t="n"/>
      <c r="AE26" s="27" t="n"/>
      <c r="AF26" s="27" t="n"/>
      <c r="AG26" s="27" t="n"/>
      <c r="AH26" s="27" t="n"/>
      <c r="AI26" s="27" t="n"/>
      <c r="AJ26" s="27" t="n"/>
      <c r="AK26" s="27" t="n"/>
      <c r="AL26" s="27" t="n"/>
      <c r="AM26" s="27" t="n"/>
      <c r="AN26" s="27" t="n"/>
      <c r="AO26" s="27" t="n"/>
      <c r="AP26" s="27" t="n"/>
      <c r="AQ26" s="27" t="n"/>
      <c r="AR26" s="27" t="n"/>
      <c r="AS26" s="27" t="n"/>
      <c r="AT26" s="27" t="n"/>
      <c r="AU26" s="27" t="n"/>
      <c r="AV26" s="27" t="n"/>
      <c r="AW26" s="27" t="n"/>
      <c r="AX26" s="27" t="n"/>
      <c r="AY26" s="27" t="n"/>
      <c r="AZ26" s="27" t="n"/>
      <c r="BA26" s="27" t="n"/>
      <c r="BB26" s="27" t="n"/>
      <c r="BC26" s="27" t="n"/>
      <c r="BD26" s="27" t="n"/>
      <c r="BE26" s="27" t="n"/>
      <c r="BF26" s="27" t="n"/>
      <c r="BG26" s="27" t="n"/>
      <c r="BH26" s="27" t="n"/>
      <c r="BI26" s="29" t="n"/>
      <c r="BJ26" s="27" t="n"/>
      <c r="BK26" s="27" t="n"/>
      <c r="BL26" s="27" t="n"/>
      <c r="BM26" s="27" t="n"/>
      <c r="DM26" s="26">
        <f>IF('因子水準表'!B49="","",'因子水準表'!B49)</f>
        <v/>
      </c>
      <c r="DN26" s="26">
        <f>IF('テスト条件'!A25="","",'テスト条件'!A25)</f>
        <v/>
      </c>
    </row>
    <row r="27">
      <c r="A27" s="27" t="n"/>
      <c r="B27" s="27" t="n"/>
      <c r="C27" s="28">
        <f>IF(A27="","",$B$2)</f>
        <v/>
      </c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  <c r="AI27" s="27" t="n"/>
      <c r="AJ27" s="27" t="n"/>
      <c r="AK27" s="27" t="n"/>
      <c r="AL27" s="27" t="n"/>
      <c r="AM27" s="27" t="n"/>
      <c r="AN27" s="27" t="n"/>
      <c r="AO27" s="27" t="n"/>
      <c r="AP27" s="27" t="n"/>
      <c r="AQ27" s="27" t="n"/>
      <c r="AR27" s="27" t="n"/>
      <c r="AS27" s="27" t="n"/>
      <c r="AT27" s="27" t="n"/>
      <c r="AU27" s="27" t="n"/>
      <c r="AV27" s="27" t="n"/>
      <c r="AW27" s="27" t="n"/>
      <c r="AX27" s="27" t="n"/>
      <c r="AY27" s="27" t="n"/>
      <c r="AZ27" s="27" t="n"/>
      <c r="BA27" s="27" t="n"/>
      <c r="BB27" s="27" t="n"/>
      <c r="BC27" s="27" t="n"/>
      <c r="BD27" s="27" t="n"/>
      <c r="BE27" s="27" t="n"/>
      <c r="BF27" s="27" t="n"/>
      <c r="BG27" s="27" t="n"/>
      <c r="BH27" s="27" t="n"/>
      <c r="BI27" s="29" t="n"/>
      <c r="BJ27" s="27" t="n"/>
      <c r="BK27" s="27" t="n"/>
      <c r="BL27" s="27" t="n"/>
      <c r="BM27" s="27" t="n"/>
      <c r="DM27" s="26">
        <f>IF('因子水準表'!B50="","",'因子水準表'!B50)</f>
        <v/>
      </c>
      <c r="DN27" s="26">
        <f>IF('テスト条件'!A26="","",'テスト条件'!A26)</f>
        <v/>
      </c>
    </row>
    <row r="28">
      <c r="A28" s="27" t="n"/>
      <c r="B28" s="27" t="n"/>
      <c r="C28" s="28">
        <f>IF(A28="","",$B$2)</f>
        <v/>
      </c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  <c r="AA28" s="27" t="n"/>
      <c r="AB28" s="27" t="n"/>
      <c r="AC28" s="27" t="n"/>
      <c r="AD28" s="27" t="n"/>
      <c r="AE28" s="27" t="n"/>
      <c r="AF28" s="27" t="n"/>
      <c r="AG28" s="27" t="n"/>
      <c r="AH28" s="27" t="n"/>
      <c r="AI28" s="27" t="n"/>
      <c r="AJ28" s="27" t="n"/>
      <c r="AK28" s="27" t="n"/>
      <c r="AL28" s="27" t="n"/>
      <c r="AM28" s="27" t="n"/>
      <c r="AN28" s="27" t="n"/>
      <c r="AO28" s="27" t="n"/>
      <c r="AP28" s="27" t="n"/>
      <c r="AQ28" s="27" t="n"/>
      <c r="AR28" s="27" t="n"/>
      <c r="AS28" s="27" t="n"/>
      <c r="AT28" s="27" t="n"/>
      <c r="AU28" s="27" t="n"/>
      <c r="AV28" s="27" t="n"/>
      <c r="AW28" s="27" t="n"/>
      <c r="AX28" s="27" t="n"/>
      <c r="AY28" s="27" t="n"/>
      <c r="AZ28" s="27" t="n"/>
      <c r="BA28" s="27" t="n"/>
      <c r="BB28" s="27" t="n"/>
      <c r="BC28" s="27" t="n"/>
      <c r="BD28" s="27" t="n"/>
      <c r="BE28" s="27" t="n"/>
      <c r="BF28" s="27" t="n"/>
      <c r="BG28" s="27" t="n"/>
      <c r="BH28" s="27" t="n"/>
      <c r="BI28" s="29" t="n"/>
      <c r="BJ28" s="27" t="n"/>
      <c r="BK28" s="27" t="n"/>
      <c r="BL28" s="27" t="n"/>
      <c r="BM28" s="27" t="n"/>
      <c r="DM28" s="26">
        <f>IF('因子水準表'!B51="","",'因子水準表'!B51)</f>
        <v/>
      </c>
      <c r="DN28" s="26">
        <f>IF('テスト条件'!A27="","",'テスト条件'!A27)</f>
        <v/>
      </c>
    </row>
    <row r="29">
      <c r="A29" s="27" t="n"/>
      <c r="B29" s="27" t="n"/>
      <c r="C29" s="28">
        <f>IF(A29="","",$B$2)</f>
        <v/>
      </c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  <c r="AI29" s="27" t="n"/>
      <c r="AJ29" s="27" t="n"/>
      <c r="AK29" s="27" t="n"/>
      <c r="AL29" s="27" t="n"/>
      <c r="AM29" s="27" t="n"/>
      <c r="AN29" s="27" t="n"/>
      <c r="AO29" s="27" t="n"/>
      <c r="AP29" s="27" t="n"/>
      <c r="AQ29" s="27" t="n"/>
      <c r="AR29" s="27" t="n"/>
      <c r="AS29" s="27" t="n"/>
      <c r="AT29" s="27" t="n"/>
      <c r="AU29" s="27" t="n"/>
      <c r="AV29" s="27" t="n"/>
      <c r="AW29" s="27" t="n"/>
      <c r="AX29" s="27" t="n"/>
      <c r="AY29" s="27" t="n"/>
      <c r="AZ29" s="27" t="n"/>
      <c r="BA29" s="27" t="n"/>
      <c r="BB29" s="27" t="n"/>
      <c r="BC29" s="27" t="n"/>
      <c r="BD29" s="27" t="n"/>
      <c r="BE29" s="27" t="n"/>
      <c r="BF29" s="27" t="n"/>
      <c r="BG29" s="27" t="n"/>
      <c r="BH29" s="27" t="n"/>
      <c r="BI29" s="29" t="n"/>
      <c r="BJ29" s="27" t="n"/>
      <c r="BK29" s="27" t="n"/>
      <c r="BL29" s="27" t="n"/>
      <c r="BM29" s="27" t="n"/>
      <c r="DM29" s="26">
        <f>IF('因子水準表'!B52="","",'因子水準表'!B52)</f>
        <v/>
      </c>
      <c r="DN29" s="26">
        <f>IF('テスト条件'!A28="","",'テスト条件'!A28)</f>
        <v/>
      </c>
    </row>
    <row r="30">
      <c r="A30" s="27" t="n"/>
      <c r="B30" s="27" t="n"/>
      <c r="C30" s="28">
        <f>IF(A30="","",$B$2)</f>
        <v/>
      </c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7" t="n"/>
      <c r="AF30" s="27" t="n"/>
      <c r="AG30" s="27" t="n"/>
      <c r="AH30" s="27" t="n"/>
      <c r="AI30" s="27" t="n"/>
      <c r="AJ30" s="27" t="n"/>
      <c r="AK30" s="27" t="n"/>
      <c r="AL30" s="27" t="n"/>
      <c r="AM30" s="27" t="n"/>
      <c r="AN30" s="27" t="n"/>
      <c r="AO30" s="27" t="n"/>
      <c r="AP30" s="27" t="n"/>
      <c r="AQ30" s="27" t="n"/>
      <c r="AR30" s="27" t="n"/>
      <c r="AS30" s="27" t="n"/>
      <c r="AT30" s="27" t="n"/>
      <c r="AU30" s="27" t="n"/>
      <c r="AV30" s="27" t="n"/>
      <c r="AW30" s="27" t="n"/>
      <c r="AX30" s="27" t="n"/>
      <c r="AY30" s="27" t="n"/>
      <c r="AZ30" s="27" t="n"/>
      <c r="BA30" s="27" t="n"/>
      <c r="BB30" s="27" t="n"/>
      <c r="BC30" s="27" t="n"/>
      <c r="BD30" s="27" t="n"/>
      <c r="BE30" s="27" t="n"/>
      <c r="BF30" s="27" t="n"/>
      <c r="BG30" s="27" t="n"/>
      <c r="BH30" s="27" t="n"/>
      <c r="BI30" s="29" t="n"/>
      <c r="BJ30" s="27" t="n"/>
      <c r="BK30" s="27" t="n"/>
      <c r="BL30" s="27" t="n"/>
      <c r="BM30" s="27" t="n"/>
      <c r="DM30" s="26">
        <f>IF('因子水準表'!B53="","",'因子水準表'!B53)</f>
        <v/>
      </c>
      <c r="DN30" s="26">
        <f>IF('テスト条件'!A29="","",'テスト条件'!A29)</f>
        <v/>
      </c>
    </row>
    <row r="31">
      <c r="A31" s="27" t="n"/>
      <c r="B31" s="27" t="n"/>
      <c r="C31" s="28">
        <f>IF(A31="","",$B$2)</f>
        <v/>
      </c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27" t="n"/>
      <c r="AJ31" s="27" t="n"/>
      <c r="AK31" s="27" t="n"/>
      <c r="AL31" s="27" t="n"/>
      <c r="AM31" s="27" t="n"/>
      <c r="AN31" s="27" t="n"/>
      <c r="AO31" s="27" t="n"/>
      <c r="AP31" s="27" t="n"/>
      <c r="AQ31" s="27" t="n"/>
      <c r="AR31" s="27" t="n"/>
      <c r="AS31" s="27" t="n"/>
      <c r="AT31" s="27" t="n"/>
      <c r="AU31" s="27" t="n"/>
      <c r="AV31" s="27" t="n"/>
      <c r="AW31" s="27" t="n"/>
      <c r="AX31" s="27" t="n"/>
      <c r="AY31" s="27" t="n"/>
      <c r="AZ31" s="27" t="n"/>
      <c r="BA31" s="27" t="n"/>
      <c r="BB31" s="27" t="n"/>
      <c r="BC31" s="27" t="n"/>
      <c r="BD31" s="27" t="n"/>
      <c r="BE31" s="27" t="n"/>
      <c r="BF31" s="27" t="n"/>
      <c r="BG31" s="27" t="n"/>
      <c r="BH31" s="27" t="n"/>
      <c r="BI31" s="29" t="n"/>
      <c r="BJ31" s="27" t="n"/>
      <c r="BK31" s="27" t="n"/>
      <c r="BL31" s="27" t="n"/>
      <c r="BM31" s="27" t="n"/>
      <c r="DM31" s="26">
        <f>IF('因子水準表'!B54="","",'因子水準表'!B54)</f>
        <v/>
      </c>
      <c r="DN31" s="26">
        <f>IF('テスト条件'!A30="","",'テスト条件'!A30)</f>
        <v/>
      </c>
    </row>
    <row r="32">
      <c r="A32" s="27" t="n"/>
      <c r="B32" s="27" t="n"/>
      <c r="C32" s="28">
        <f>IF(A32="","",$B$2)</f>
        <v/>
      </c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27" t="n"/>
      <c r="AJ32" s="27" t="n"/>
      <c r="AK32" s="27" t="n"/>
      <c r="AL32" s="27" t="n"/>
      <c r="AM32" s="27" t="n"/>
      <c r="AN32" s="27" t="n"/>
      <c r="AO32" s="27" t="n"/>
      <c r="AP32" s="27" t="n"/>
      <c r="AQ32" s="27" t="n"/>
      <c r="AR32" s="27" t="n"/>
      <c r="AS32" s="27" t="n"/>
      <c r="AT32" s="27" t="n"/>
      <c r="AU32" s="27" t="n"/>
      <c r="AV32" s="27" t="n"/>
      <c r="AW32" s="27" t="n"/>
      <c r="AX32" s="27" t="n"/>
      <c r="AY32" s="27" t="n"/>
      <c r="AZ32" s="27" t="n"/>
      <c r="BA32" s="27" t="n"/>
      <c r="BB32" s="27" t="n"/>
      <c r="BC32" s="27" t="n"/>
      <c r="BD32" s="27" t="n"/>
      <c r="BE32" s="27" t="n"/>
      <c r="BF32" s="27" t="n"/>
      <c r="BG32" s="27" t="n"/>
      <c r="BH32" s="27" t="n"/>
      <c r="BI32" s="29" t="n"/>
      <c r="BJ32" s="27" t="n"/>
      <c r="BK32" s="27" t="n"/>
      <c r="BL32" s="27" t="n"/>
      <c r="BM32" s="27" t="n"/>
      <c r="DM32" s="26">
        <f>IF('因子水準表'!B55="","",'因子水準表'!B55)</f>
        <v/>
      </c>
      <c r="DN32" s="26">
        <f>IF('テスト条件'!A31="","",'テスト条件'!A31)</f>
        <v/>
      </c>
    </row>
    <row r="33">
      <c r="A33" s="27" t="n"/>
      <c r="B33" s="27" t="n"/>
      <c r="C33" s="28">
        <f>IF(A33="","",$B$2)</f>
        <v/>
      </c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  <c r="AJ33" s="27" t="n"/>
      <c r="AK33" s="27" t="n"/>
      <c r="AL33" s="27" t="n"/>
      <c r="AM33" s="27" t="n"/>
      <c r="AN33" s="27" t="n"/>
      <c r="AO33" s="27" t="n"/>
      <c r="AP33" s="27" t="n"/>
      <c r="AQ33" s="27" t="n"/>
      <c r="AR33" s="27" t="n"/>
      <c r="AS33" s="27" t="n"/>
      <c r="AT33" s="27" t="n"/>
      <c r="AU33" s="27" t="n"/>
      <c r="AV33" s="27" t="n"/>
      <c r="AW33" s="27" t="n"/>
      <c r="AX33" s="27" t="n"/>
      <c r="AY33" s="27" t="n"/>
      <c r="AZ33" s="27" t="n"/>
      <c r="BA33" s="27" t="n"/>
      <c r="BB33" s="27" t="n"/>
      <c r="BC33" s="27" t="n"/>
      <c r="BD33" s="27" t="n"/>
      <c r="BE33" s="27" t="n"/>
      <c r="BF33" s="27" t="n"/>
      <c r="BG33" s="27" t="n"/>
      <c r="BH33" s="27" t="n"/>
      <c r="BI33" s="29" t="n"/>
      <c r="BJ33" s="27" t="n"/>
      <c r="BK33" s="27" t="n"/>
      <c r="BL33" s="27" t="n"/>
      <c r="BM33" s="27" t="n"/>
      <c r="DM33" s="26">
        <f>IF('因子水準表'!B56="","",'因子水準表'!B56)</f>
        <v/>
      </c>
      <c r="DN33" s="26">
        <f>IF('テスト条件'!A32="","",'テスト条件'!A32)</f>
        <v/>
      </c>
    </row>
    <row r="34">
      <c r="A34" s="27" t="n"/>
      <c r="B34" s="27" t="n"/>
      <c r="C34" s="28">
        <f>IF(A34="","",$B$2)</f>
        <v/>
      </c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  <c r="AJ34" s="27" t="n"/>
      <c r="AK34" s="27" t="n"/>
      <c r="AL34" s="27" t="n"/>
      <c r="AM34" s="27" t="n"/>
      <c r="AN34" s="27" t="n"/>
      <c r="AO34" s="27" t="n"/>
      <c r="AP34" s="27" t="n"/>
      <c r="AQ34" s="27" t="n"/>
      <c r="AR34" s="27" t="n"/>
      <c r="AS34" s="27" t="n"/>
      <c r="AT34" s="27" t="n"/>
      <c r="AU34" s="27" t="n"/>
      <c r="AV34" s="27" t="n"/>
      <c r="AW34" s="27" t="n"/>
      <c r="AX34" s="27" t="n"/>
      <c r="AY34" s="27" t="n"/>
      <c r="AZ34" s="27" t="n"/>
      <c r="BA34" s="27" t="n"/>
      <c r="BB34" s="27" t="n"/>
      <c r="BC34" s="27" t="n"/>
      <c r="BD34" s="27" t="n"/>
      <c r="BE34" s="27" t="n"/>
      <c r="BF34" s="27" t="n"/>
      <c r="BG34" s="27" t="n"/>
      <c r="BH34" s="27" t="n"/>
      <c r="BI34" s="29" t="n"/>
      <c r="BJ34" s="27" t="n"/>
      <c r="BK34" s="27" t="n"/>
      <c r="BL34" s="27" t="n"/>
      <c r="BM34" s="27" t="n"/>
      <c r="DM34" s="26">
        <f>IF('因子水準表'!B57="","",'因子水準表'!B57)</f>
        <v/>
      </c>
      <c r="DN34" s="26">
        <f>IF('テスト条件'!A33="","",'テスト条件'!A33)</f>
        <v/>
      </c>
    </row>
    <row r="35">
      <c r="A35" s="27" t="n"/>
      <c r="B35" s="27" t="n"/>
      <c r="C35" s="28">
        <f>IF(A35="","",$B$2)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27" t="n"/>
      <c r="AJ35" s="27" t="n"/>
      <c r="AK35" s="27" t="n"/>
      <c r="AL35" s="27" t="n"/>
      <c r="AM35" s="27" t="n"/>
      <c r="AN35" s="27" t="n"/>
      <c r="AO35" s="27" t="n"/>
      <c r="AP35" s="27" t="n"/>
      <c r="AQ35" s="27" t="n"/>
      <c r="AR35" s="27" t="n"/>
      <c r="AS35" s="27" t="n"/>
      <c r="AT35" s="27" t="n"/>
      <c r="AU35" s="27" t="n"/>
      <c r="AV35" s="27" t="n"/>
      <c r="AW35" s="27" t="n"/>
      <c r="AX35" s="27" t="n"/>
      <c r="AY35" s="27" t="n"/>
      <c r="AZ35" s="27" t="n"/>
      <c r="BA35" s="27" t="n"/>
      <c r="BB35" s="27" t="n"/>
      <c r="BC35" s="27" t="n"/>
      <c r="BD35" s="27" t="n"/>
      <c r="BE35" s="27" t="n"/>
      <c r="BF35" s="27" t="n"/>
      <c r="BG35" s="27" t="n"/>
      <c r="BH35" s="27" t="n"/>
      <c r="BI35" s="29" t="n"/>
      <c r="BJ35" s="27" t="n"/>
      <c r="BK35" s="27" t="n"/>
      <c r="BL35" s="27" t="n"/>
      <c r="BM35" s="27" t="n"/>
      <c r="DM35" s="26">
        <f>IF('因子水準表'!B58="","",'因子水準表'!B58)</f>
        <v/>
      </c>
      <c r="DN35" s="26">
        <f>IF('テスト条件'!A34="","",'テスト条件'!A34)</f>
        <v/>
      </c>
    </row>
    <row r="36">
      <c r="A36" s="27" t="n"/>
      <c r="B36" s="27" t="n"/>
      <c r="C36" s="28">
        <f>IF(A36="","",$B$2)</f>
        <v/>
      </c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27" t="n"/>
      <c r="AJ36" s="27" t="n"/>
      <c r="AK36" s="27" t="n"/>
      <c r="AL36" s="27" t="n"/>
      <c r="AM36" s="27" t="n"/>
      <c r="AN36" s="27" t="n"/>
      <c r="AO36" s="27" t="n"/>
      <c r="AP36" s="27" t="n"/>
      <c r="AQ36" s="27" t="n"/>
      <c r="AR36" s="27" t="n"/>
      <c r="AS36" s="27" t="n"/>
      <c r="AT36" s="27" t="n"/>
      <c r="AU36" s="27" t="n"/>
      <c r="AV36" s="27" t="n"/>
      <c r="AW36" s="27" t="n"/>
      <c r="AX36" s="27" t="n"/>
      <c r="AY36" s="27" t="n"/>
      <c r="AZ36" s="27" t="n"/>
      <c r="BA36" s="27" t="n"/>
      <c r="BB36" s="27" t="n"/>
      <c r="BC36" s="27" t="n"/>
      <c r="BD36" s="27" t="n"/>
      <c r="BE36" s="27" t="n"/>
      <c r="BF36" s="27" t="n"/>
      <c r="BG36" s="27" t="n"/>
      <c r="BH36" s="27" t="n"/>
      <c r="BI36" s="29" t="n"/>
      <c r="BJ36" s="27" t="n"/>
      <c r="BK36" s="27" t="n"/>
      <c r="BL36" s="27" t="n"/>
      <c r="BM36" s="27" t="n"/>
      <c r="DN36" s="26">
        <f>IF('テスト条件'!A35="","",'テスト条件'!A35)</f>
        <v/>
      </c>
    </row>
    <row r="37">
      <c r="A37" s="27" t="n"/>
      <c r="B37" s="27" t="n"/>
      <c r="C37" s="28">
        <f>IF(A37="","",$B$2)</f>
        <v/>
      </c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27" t="n"/>
      <c r="AJ37" s="27" t="n"/>
      <c r="AK37" s="27" t="n"/>
      <c r="AL37" s="27" t="n"/>
      <c r="AM37" s="27" t="n"/>
      <c r="AN37" s="27" t="n"/>
      <c r="AO37" s="27" t="n"/>
      <c r="AP37" s="27" t="n"/>
      <c r="AQ37" s="27" t="n"/>
      <c r="AR37" s="27" t="n"/>
      <c r="AS37" s="27" t="n"/>
      <c r="AT37" s="27" t="n"/>
      <c r="AU37" s="27" t="n"/>
      <c r="AV37" s="27" t="n"/>
      <c r="AW37" s="27" t="n"/>
      <c r="AX37" s="27" t="n"/>
      <c r="AY37" s="27" t="n"/>
      <c r="AZ37" s="27" t="n"/>
      <c r="BA37" s="27" t="n"/>
      <c r="BB37" s="27" t="n"/>
      <c r="BC37" s="27" t="n"/>
      <c r="BD37" s="27" t="n"/>
      <c r="BE37" s="27" t="n"/>
      <c r="BF37" s="27" t="n"/>
      <c r="BG37" s="27" t="n"/>
      <c r="BH37" s="27" t="n"/>
      <c r="BI37" s="29" t="n"/>
      <c r="BJ37" s="27" t="n"/>
      <c r="BK37" s="27" t="n"/>
      <c r="BL37" s="27" t="n"/>
      <c r="BM37" s="27" t="n"/>
      <c r="DN37" s="26">
        <f>IF('テスト条件'!A36="","",'テスト条件'!A36)</f>
        <v/>
      </c>
    </row>
    <row r="38">
      <c r="A38" s="27" t="n"/>
      <c r="B38" s="27" t="n"/>
      <c r="C38" s="28">
        <f>IF(A38="","",$B$2)</f>
        <v/>
      </c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27" t="n"/>
      <c r="AJ38" s="27" t="n"/>
      <c r="AK38" s="27" t="n"/>
      <c r="AL38" s="27" t="n"/>
      <c r="AM38" s="27" t="n"/>
      <c r="AN38" s="27" t="n"/>
      <c r="AO38" s="27" t="n"/>
      <c r="AP38" s="27" t="n"/>
      <c r="AQ38" s="27" t="n"/>
      <c r="AR38" s="27" t="n"/>
      <c r="AS38" s="27" t="n"/>
      <c r="AT38" s="27" t="n"/>
      <c r="AU38" s="27" t="n"/>
      <c r="AV38" s="27" t="n"/>
      <c r="AW38" s="27" t="n"/>
      <c r="AX38" s="27" t="n"/>
      <c r="AY38" s="27" t="n"/>
      <c r="AZ38" s="27" t="n"/>
      <c r="BA38" s="27" t="n"/>
      <c r="BB38" s="27" t="n"/>
      <c r="BC38" s="27" t="n"/>
      <c r="BD38" s="27" t="n"/>
      <c r="BE38" s="27" t="n"/>
      <c r="BF38" s="27" t="n"/>
      <c r="BG38" s="27" t="n"/>
      <c r="BH38" s="27" t="n"/>
      <c r="BI38" s="29" t="n"/>
      <c r="BJ38" s="27" t="n"/>
      <c r="BK38" s="27" t="n"/>
      <c r="BL38" s="27" t="n"/>
      <c r="BM38" s="27" t="n"/>
      <c r="DN38" s="26">
        <f>IF('テスト条件'!A37="","",'テスト条件'!A37)</f>
        <v/>
      </c>
    </row>
    <row r="39">
      <c r="A39" s="27" t="n"/>
      <c r="B39" s="27" t="n"/>
      <c r="C39" s="28">
        <f>IF(A39="","",$B$2)</f>
        <v/>
      </c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27" t="n"/>
      <c r="AJ39" s="27" t="n"/>
      <c r="AK39" s="27" t="n"/>
      <c r="AL39" s="27" t="n"/>
      <c r="AM39" s="27" t="n"/>
      <c r="AN39" s="27" t="n"/>
      <c r="AO39" s="27" t="n"/>
      <c r="AP39" s="27" t="n"/>
      <c r="AQ39" s="27" t="n"/>
      <c r="AR39" s="27" t="n"/>
      <c r="AS39" s="27" t="n"/>
      <c r="AT39" s="27" t="n"/>
      <c r="AU39" s="27" t="n"/>
      <c r="AV39" s="27" t="n"/>
      <c r="AW39" s="27" t="n"/>
      <c r="AX39" s="27" t="n"/>
      <c r="AY39" s="27" t="n"/>
      <c r="AZ39" s="27" t="n"/>
      <c r="BA39" s="27" t="n"/>
      <c r="BB39" s="27" t="n"/>
      <c r="BC39" s="27" t="n"/>
      <c r="BD39" s="27" t="n"/>
      <c r="BE39" s="27" t="n"/>
      <c r="BF39" s="27" t="n"/>
      <c r="BG39" s="27" t="n"/>
      <c r="BH39" s="27" t="n"/>
      <c r="BI39" s="29" t="n"/>
      <c r="BJ39" s="27" t="n"/>
      <c r="BK39" s="27" t="n"/>
      <c r="BL39" s="27" t="n"/>
      <c r="BM39" s="27" t="n"/>
      <c r="DN39" s="26">
        <f>IF('テスト条件'!A38="","",'テスト条件'!A38)</f>
        <v/>
      </c>
    </row>
    <row r="40">
      <c r="A40" s="27" t="n"/>
      <c r="B40" s="27" t="n"/>
      <c r="C40" s="28">
        <f>IF(A40="","",$B$2)</f>
        <v/>
      </c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7" t="n"/>
      <c r="AJ40" s="27" t="n"/>
      <c r="AK40" s="27" t="n"/>
      <c r="AL40" s="27" t="n"/>
      <c r="AM40" s="27" t="n"/>
      <c r="AN40" s="27" t="n"/>
      <c r="AO40" s="27" t="n"/>
      <c r="AP40" s="27" t="n"/>
      <c r="AQ40" s="27" t="n"/>
      <c r="AR40" s="27" t="n"/>
      <c r="AS40" s="27" t="n"/>
      <c r="AT40" s="27" t="n"/>
      <c r="AU40" s="27" t="n"/>
      <c r="AV40" s="27" t="n"/>
      <c r="AW40" s="27" t="n"/>
      <c r="AX40" s="27" t="n"/>
      <c r="AY40" s="27" t="n"/>
      <c r="AZ40" s="27" t="n"/>
      <c r="BA40" s="27" t="n"/>
      <c r="BB40" s="27" t="n"/>
      <c r="BC40" s="27" t="n"/>
      <c r="BD40" s="27" t="n"/>
      <c r="BE40" s="27" t="n"/>
      <c r="BF40" s="27" t="n"/>
      <c r="BG40" s="27" t="n"/>
      <c r="BH40" s="27" t="n"/>
      <c r="BI40" s="29" t="n"/>
      <c r="BJ40" s="27" t="n"/>
      <c r="BK40" s="27" t="n"/>
      <c r="BL40" s="27" t="n"/>
      <c r="BM40" s="27" t="n"/>
      <c r="DN40" s="26">
        <f>IF('テスト条件'!A39="","",'テスト条件'!A39)</f>
        <v/>
      </c>
    </row>
    <row r="41">
      <c r="A41" s="27" t="n"/>
      <c r="B41" s="27" t="n"/>
      <c r="C41" s="28">
        <f>IF(A41="","",$B$2)</f>
        <v/>
      </c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27" t="n"/>
      <c r="AJ41" s="27" t="n"/>
      <c r="AK41" s="27" t="n"/>
      <c r="AL41" s="27" t="n"/>
      <c r="AM41" s="27" t="n"/>
      <c r="AN41" s="27" t="n"/>
      <c r="AO41" s="27" t="n"/>
      <c r="AP41" s="27" t="n"/>
      <c r="AQ41" s="27" t="n"/>
      <c r="AR41" s="27" t="n"/>
      <c r="AS41" s="27" t="n"/>
      <c r="AT41" s="27" t="n"/>
      <c r="AU41" s="27" t="n"/>
      <c r="AV41" s="27" t="n"/>
      <c r="AW41" s="27" t="n"/>
      <c r="AX41" s="27" t="n"/>
      <c r="AY41" s="27" t="n"/>
      <c r="AZ41" s="27" t="n"/>
      <c r="BA41" s="27" t="n"/>
      <c r="BB41" s="27" t="n"/>
      <c r="BC41" s="27" t="n"/>
      <c r="BD41" s="27" t="n"/>
      <c r="BE41" s="27" t="n"/>
      <c r="BF41" s="27" t="n"/>
      <c r="BG41" s="27" t="n"/>
      <c r="BH41" s="27" t="n"/>
      <c r="BI41" s="29" t="n"/>
      <c r="BJ41" s="27" t="n"/>
      <c r="BK41" s="27" t="n"/>
      <c r="BL41" s="27" t="n"/>
      <c r="BM41" s="27" t="n"/>
      <c r="DN41" s="26">
        <f>IF('テスト条件'!A40="","",'テスト条件'!A40)</f>
        <v/>
      </c>
    </row>
    <row r="42">
      <c r="A42" s="27" t="n"/>
      <c r="B42" s="27" t="n"/>
      <c r="C42" s="28">
        <f>IF(A42="","",$B$2)</f>
        <v/>
      </c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27" t="n"/>
      <c r="AJ42" s="27" t="n"/>
      <c r="AK42" s="27" t="n"/>
      <c r="AL42" s="27" t="n"/>
      <c r="AM42" s="27" t="n"/>
      <c r="AN42" s="27" t="n"/>
      <c r="AO42" s="27" t="n"/>
      <c r="AP42" s="27" t="n"/>
      <c r="AQ42" s="27" t="n"/>
      <c r="AR42" s="27" t="n"/>
      <c r="AS42" s="27" t="n"/>
      <c r="AT42" s="27" t="n"/>
      <c r="AU42" s="27" t="n"/>
      <c r="AV42" s="27" t="n"/>
      <c r="AW42" s="27" t="n"/>
      <c r="AX42" s="27" t="n"/>
      <c r="AY42" s="27" t="n"/>
      <c r="AZ42" s="27" t="n"/>
      <c r="BA42" s="27" t="n"/>
      <c r="BB42" s="27" t="n"/>
      <c r="BC42" s="27" t="n"/>
      <c r="BD42" s="27" t="n"/>
      <c r="BE42" s="27" t="n"/>
      <c r="BF42" s="27" t="n"/>
      <c r="BG42" s="27" t="n"/>
      <c r="BH42" s="27" t="n"/>
      <c r="BI42" s="29" t="n"/>
      <c r="BJ42" s="27" t="n"/>
      <c r="BK42" s="27" t="n"/>
      <c r="BL42" s="27" t="n"/>
      <c r="BM42" s="27" t="n"/>
      <c r="DN42" s="26">
        <f>IF('テスト条件'!A41="","",'テスト条件'!A41)</f>
        <v/>
      </c>
    </row>
    <row r="43">
      <c r="A43" s="27" t="n"/>
      <c r="B43" s="27" t="n"/>
      <c r="C43" s="28">
        <f>IF(A43="","",$B$2)</f>
        <v/>
      </c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27" t="n"/>
      <c r="AJ43" s="27" t="n"/>
      <c r="AK43" s="27" t="n"/>
      <c r="AL43" s="27" t="n"/>
      <c r="AM43" s="27" t="n"/>
      <c r="AN43" s="27" t="n"/>
      <c r="AO43" s="27" t="n"/>
      <c r="AP43" s="27" t="n"/>
      <c r="AQ43" s="27" t="n"/>
      <c r="AR43" s="27" t="n"/>
      <c r="AS43" s="27" t="n"/>
      <c r="AT43" s="27" t="n"/>
      <c r="AU43" s="27" t="n"/>
      <c r="AV43" s="27" t="n"/>
      <c r="AW43" s="27" t="n"/>
      <c r="AX43" s="27" t="n"/>
      <c r="AY43" s="27" t="n"/>
      <c r="AZ43" s="27" t="n"/>
      <c r="BA43" s="27" t="n"/>
      <c r="BB43" s="27" t="n"/>
      <c r="BC43" s="27" t="n"/>
      <c r="BD43" s="27" t="n"/>
      <c r="BE43" s="27" t="n"/>
      <c r="BF43" s="27" t="n"/>
      <c r="BG43" s="27" t="n"/>
      <c r="BH43" s="27" t="n"/>
      <c r="BI43" s="29" t="n"/>
      <c r="BJ43" s="27" t="n"/>
      <c r="BK43" s="27" t="n"/>
      <c r="BL43" s="27" t="n"/>
      <c r="BM43" s="27" t="n"/>
      <c r="DN43" s="26">
        <f>IF('テスト条件'!A42="","",'テスト条件'!A42)</f>
        <v/>
      </c>
    </row>
    <row r="44">
      <c r="A44" s="27" t="n"/>
      <c r="B44" s="27" t="n"/>
      <c r="C44" s="28">
        <f>IF(A44="","",$B$2)</f>
        <v/>
      </c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  <c r="AJ44" s="27" t="n"/>
      <c r="AK44" s="27" t="n"/>
      <c r="AL44" s="27" t="n"/>
      <c r="AM44" s="27" t="n"/>
      <c r="AN44" s="27" t="n"/>
      <c r="AO44" s="27" t="n"/>
      <c r="AP44" s="27" t="n"/>
      <c r="AQ44" s="27" t="n"/>
      <c r="AR44" s="27" t="n"/>
      <c r="AS44" s="27" t="n"/>
      <c r="AT44" s="27" t="n"/>
      <c r="AU44" s="27" t="n"/>
      <c r="AV44" s="27" t="n"/>
      <c r="AW44" s="27" t="n"/>
      <c r="AX44" s="27" t="n"/>
      <c r="AY44" s="27" t="n"/>
      <c r="AZ44" s="27" t="n"/>
      <c r="BA44" s="27" t="n"/>
      <c r="BB44" s="27" t="n"/>
      <c r="BC44" s="27" t="n"/>
      <c r="BD44" s="27" t="n"/>
      <c r="BE44" s="27" t="n"/>
      <c r="BF44" s="27" t="n"/>
      <c r="BG44" s="27" t="n"/>
      <c r="BH44" s="27" t="n"/>
      <c r="BI44" s="29" t="n"/>
      <c r="BJ44" s="27" t="n"/>
      <c r="BK44" s="27" t="n"/>
      <c r="BL44" s="27" t="n"/>
      <c r="BM44" s="27" t="n"/>
      <c r="DN44" s="26">
        <f>IF('テスト条件'!A43="","",'テスト条件'!A43)</f>
        <v/>
      </c>
    </row>
    <row r="45">
      <c r="A45" s="27" t="n"/>
      <c r="B45" s="27" t="n"/>
      <c r="C45" s="28">
        <f>IF(A45="","",$B$2)</f>
        <v/>
      </c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27" t="n"/>
      <c r="AJ45" s="27" t="n"/>
      <c r="AK45" s="27" t="n"/>
      <c r="AL45" s="27" t="n"/>
      <c r="AM45" s="27" t="n"/>
      <c r="AN45" s="27" t="n"/>
      <c r="AO45" s="27" t="n"/>
      <c r="AP45" s="27" t="n"/>
      <c r="AQ45" s="27" t="n"/>
      <c r="AR45" s="27" t="n"/>
      <c r="AS45" s="27" t="n"/>
      <c r="AT45" s="27" t="n"/>
      <c r="AU45" s="27" t="n"/>
      <c r="AV45" s="27" t="n"/>
      <c r="AW45" s="27" t="n"/>
      <c r="AX45" s="27" t="n"/>
      <c r="AY45" s="27" t="n"/>
      <c r="AZ45" s="27" t="n"/>
      <c r="BA45" s="27" t="n"/>
      <c r="BB45" s="27" t="n"/>
      <c r="BC45" s="27" t="n"/>
      <c r="BD45" s="27" t="n"/>
      <c r="BE45" s="27" t="n"/>
      <c r="BF45" s="27" t="n"/>
      <c r="BG45" s="27" t="n"/>
      <c r="BH45" s="27" t="n"/>
      <c r="BI45" s="29" t="n"/>
      <c r="BJ45" s="27" t="n"/>
      <c r="BK45" s="27" t="n"/>
      <c r="BL45" s="27" t="n"/>
      <c r="BM45" s="27" t="n"/>
      <c r="DN45" s="26">
        <f>IF('テスト条件'!A44="","",'テスト条件'!A44)</f>
        <v/>
      </c>
    </row>
    <row r="46">
      <c r="A46" s="27" t="n"/>
      <c r="B46" s="27" t="n"/>
      <c r="C46" s="28">
        <f>IF(A46="","",$B$2)</f>
        <v/>
      </c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  <c r="AJ46" s="27" t="n"/>
      <c r="AK46" s="27" t="n"/>
      <c r="AL46" s="27" t="n"/>
      <c r="AM46" s="27" t="n"/>
      <c r="AN46" s="27" t="n"/>
      <c r="AO46" s="27" t="n"/>
      <c r="AP46" s="27" t="n"/>
      <c r="AQ46" s="27" t="n"/>
      <c r="AR46" s="27" t="n"/>
      <c r="AS46" s="27" t="n"/>
      <c r="AT46" s="27" t="n"/>
      <c r="AU46" s="27" t="n"/>
      <c r="AV46" s="27" t="n"/>
      <c r="AW46" s="27" t="n"/>
      <c r="AX46" s="27" t="n"/>
      <c r="AY46" s="27" t="n"/>
      <c r="AZ46" s="27" t="n"/>
      <c r="BA46" s="27" t="n"/>
      <c r="BB46" s="27" t="n"/>
      <c r="BC46" s="27" t="n"/>
      <c r="BD46" s="27" t="n"/>
      <c r="BE46" s="27" t="n"/>
      <c r="BF46" s="27" t="n"/>
      <c r="BG46" s="27" t="n"/>
      <c r="BH46" s="27" t="n"/>
      <c r="BI46" s="29" t="n"/>
      <c r="BJ46" s="27" t="n"/>
      <c r="BK46" s="27" t="n"/>
      <c r="BL46" s="27" t="n"/>
      <c r="BM46" s="27" t="n"/>
      <c r="DN46" s="26">
        <f>IF('テスト条件'!A45="","",'テスト条件'!A45)</f>
        <v/>
      </c>
    </row>
    <row r="47">
      <c r="A47" s="27" t="n"/>
      <c r="B47" s="27" t="n"/>
      <c r="C47" s="28">
        <f>IF(A47="","",$B$2)</f>
        <v/>
      </c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  <c r="AJ47" s="27" t="n"/>
      <c r="AK47" s="27" t="n"/>
      <c r="AL47" s="27" t="n"/>
      <c r="AM47" s="27" t="n"/>
      <c r="AN47" s="27" t="n"/>
      <c r="AO47" s="27" t="n"/>
      <c r="AP47" s="27" t="n"/>
      <c r="AQ47" s="27" t="n"/>
      <c r="AR47" s="27" t="n"/>
      <c r="AS47" s="27" t="n"/>
      <c r="AT47" s="27" t="n"/>
      <c r="AU47" s="27" t="n"/>
      <c r="AV47" s="27" t="n"/>
      <c r="AW47" s="27" t="n"/>
      <c r="AX47" s="27" t="n"/>
      <c r="AY47" s="27" t="n"/>
      <c r="AZ47" s="27" t="n"/>
      <c r="BA47" s="27" t="n"/>
      <c r="BB47" s="27" t="n"/>
      <c r="BC47" s="27" t="n"/>
      <c r="BD47" s="27" t="n"/>
      <c r="BE47" s="27" t="n"/>
      <c r="BF47" s="27" t="n"/>
      <c r="BG47" s="27" t="n"/>
      <c r="BH47" s="27" t="n"/>
      <c r="BI47" s="29" t="n"/>
      <c r="BJ47" s="27" t="n"/>
      <c r="BK47" s="27" t="n"/>
      <c r="BL47" s="27" t="n"/>
      <c r="BM47" s="27" t="n"/>
      <c r="DN47" s="26">
        <f>IF('テスト条件'!A46="","",'テスト条件'!A46)</f>
        <v/>
      </c>
    </row>
    <row r="48">
      <c r="A48" s="27" t="n"/>
      <c r="B48" s="27" t="n"/>
      <c r="C48" s="28">
        <f>IF(A48="","",$B$2)</f>
        <v/>
      </c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27" t="n"/>
      <c r="AJ48" s="27" t="n"/>
      <c r="AK48" s="27" t="n"/>
      <c r="AL48" s="27" t="n"/>
      <c r="AM48" s="27" t="n"/>
      <c r="AN48" s="27" t="n"/>
      <c r="AO48" s="27" t="n"/>
      <c r="AP48" s="27" t="n"/>
      <c r="AQ48" s="27" t="n"/>
      <c r="AR48" s="27" t="n"/>
      <c r="AS48" s="27" t="n"/>
      <c r="AT48" s="27" t="n"/>
      <c r="AU48" s="27" t="n"/>
      <c r="AV48" s="27" t="n"/>
      <c r="AW48" s="27" t="n"/>
      <c r="AX48" s="27" t="n"/>
      <c r="AY48" s="27" t="n"/>
      <c r="AZ48" s="27" t="n"/>
      <c r="BA48" s="27" t="n"/>
      <c r="BB48" s="27" t="n"/>
      <c r="BC48" s="27" t="n"/>
      <c r="BD48" s="27" t="n"/>
      <c r="BE48" s="27" t="n"/>
      <c r="BF48" s="27" t="n"/>
      <c r="BG48" s="27" t="n"/>
      <c r="BH48" s="27" t="n"/>
      <c r="BI48" s="29" t="n"/>
      <c r="BJ48" s="27" t="n"/>
      <c r="BK48" s="27" t="n"/>
      <c r="BL48" s="27" t="n"/>
      <c r="BM48" s="27" t="n"/>
      <c r="DN48" s="26">
        <f>IF('テスト条件'!A47="","",'テスト条件'!A47)</f>
        <v/>
      </c>
    </row>
    <row r="49">
      <c r="A49" s="27" t="n"/>
      <c r="B49" s="27" t="n"/>
      <c r="C49" s="28">
        <f>IF(A49="","",$B$2)</f>
        <v/>
      </c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27" t="n"/>
      <c r="AJ49" s="27" t="n"/>
      <c r="AK49" s="27" t="n"/>
      <c r="AL49" s="27" t="n"/>
      <c r="AM49" s="27" t="n"/>
      <c r="AN49" s="27" t="n"/>
      <c r="AO49" s="27" t="n"/>
      <c r="AP49" s="27" t="n"/>
      <c r="AQ49" s="27" t="n"/>
      <c r="AR49" s="27" t="n"/>
      <c r="AS49" s="27" t="n"/>
      <c r="AT49" s="27" t="n"/>
      <c r="AU49" s="27" t="n"/>
      <c r="AV49" s="27" t="n"/>
      <c r="AW49" s="27" t="n"/>
      <c r="AX49" s="27" t="n"/>
      <c r="AY49" s="27" t="n"/>
      <c r="AZ49" s="27" t="n"/>
      <c r="BA49" s="27" t="n"/>
      <c r="BB49" s="27" t="n"/>
      <c r="BC49" s="27" t="n"/>
      <c r="BD49" s="27" t="n"/>
      <c r="BE49" s="27" t="n"/>
      <c r="BF49" s="27" t="n"/>
      <c r="BG49" s="27" t="n"/>
      <c r="BH49" s="27" t="n"/>
      <c r="BI49" s="29" t="n"/>
      <c r="BJ49" s="27" t="n"/>
      <c r="BK49" s="27" t="n"/>
      <c r="BL49" s="27" t="n"/>
      <c r="BM49" s="27" t="n"/>
      <c r="DN49" s="26">
        <f>IF('テスト条件'!A48="","",'テスト条件'!A48)</f>
        <v/>
      </c>
    </row>
    <row r="50">
      <c r="A50" s="27" t="n"/>
      <c r="B50" s="27" t="n"/>
      <c r="C50" s="28">
        <f>IF(A50="","",$B$2)</f>
        <v/>
      </c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27" t="n"/>
      <c r="AJ50" s="27" t="n"/>
      <c r="AK50" s="27" t="n"/>
      <c r="AL50" s="27" t="n"/>
      <c r="AM50" s="27" t="n"/>
      <c r="AN50" s="27" t="n"/>
      <c r="AO50" s="27" t="n"/>
      <c r="AP50" s="27" t="n"/>
      <c r="AQ50" s="27" t="n"/>
      <c r="AR50" s="27" t="n"/>
      <c r="AS50" s="27" t="n"/>
      <c r="AT50" s="27" t="n"/>
      <c r="AU50" s="27" t="n"/>
      <c r="AV50" s="27" t="n"/>
      <c r="AW50" s="27" t="n"/>
      <c r="AX50" s="27" t="n"/>
      <c r="AY50" s="27" t="n"/>
      <c r="AZ50" s="27" t="n"/>
      <c r="BA50" s="27" t="n"/>
      <c r="BB50" s="27" t="n"/>
      <c r="BC50" s="27" t="n"/>
      <c r="BD50" s="27" t="n"/>
      <c r="BE50" s="27" t="n"/>
      <c r="BF50" s="27" t="n"/>
      <c r="BG50" s="27" t="n"/>
      <c r="BH50" s="27" t="n"/>
      <c r="BI50" s="29" t="n"/>
      <c r="BJ50" s="27" t="n"/>
      <c r="BK50" s="27" t="n"/>
      <c r="BL50" s="27" t="n"/>
      <c r="BM50" s="27" t="n"/>
      <c r="DN50" s="26">
        <f>IF('テスト条件'!A49="","",'テスト条件'!A49)</f>
        <v/>
      </c>
    </row>
    <row r="51">
      <c r="A51" s="27" t="n"/>
      <c r="B51" s="27" t="n"/>
      <c r="C51" s="28">
        <f>IF(A51="","",$B$2)</f>
        <v/>
      </c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27" t="n"/>
      <c r="AJ51" s="27" t="n"/>
      <c r="AK51" s="27" t="n"/>
      <c r="AL51" s="27" t="n"/>
      <c r="AM51" s="27" t="n"/>
      <c r="AN51" s="27" t="n"/>
      <c r="AO51" s="27" t="n"/>
      <c r="AP51" s="27" t="n"/>
      <c r="AQ51" s="27" t="n"/>
      <c r="AR51" s="27" t="n"/>
      <c r="AS51" s="27" t="n"/>
      <c r="AT51" s="27" t="n"/>
      <c r="AU51" s="27" t="n"/>
      <c r="AV51" s="27" t="n"/>
      <c r="AW51" s="27" t="n"/>
      <c r="AX51" s="27" t="n"/>
      <c r="AY51" s="27" t="n"/>
      <c r="AZ51" s="27" t="n"/>
      <c r="BA51" s="27" t="n"/>
      <c r="BB51" s="27" t="n"/>
      <c r="BC51" s="27" t="n"/>
      <c r="BD51" s="27" t="n"/>
      <c r="BE51" s="27" t="n"/>
      <c r="BF51" s="27" t="n"/>
      <c r="BG51" s="27" t="n"/>
      <c r="BH51" s="27" t="n"/>
      <c r="BI51" s="29" t="n"/>
      <c r="BJ51" s="27" t="n"/>
      <c r="BK51" s="27" t="n"/>
      <c r="BL51" s="27" t="n"/>
      <c r="BM51" s="27" t="n"/>
      <c r="DN51" s="26">
        <f>IF('テスト条件'!A50="","",'テスト条件'!A50)</f>
        <v/>
      </c>
    </row>
    <row r="52">
      <c r="A52" s="27" t="n"/>
      <c r="B52" s="27" t="n"/>
      <c r="C52" s="28">
        <f>IF(A52="","",$B$2)</f>
        <v/>
      </c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27" t="n"/>
      <c r="AJ52" s="27" t="n"/>
      <c r="AK52" s="27" t="n"/>
      <c r="AL52" s="27" t="n"/>
      <c r="AM52" s="27" t="n"/>
      <c r="AN52" s="27" t="n"/>
      <c r="AO52" s="27" t="n"/>
      <c r="AP52" s="27" t="n"/>
      <c r="AQ52" s="27" t="n"/>
      <c r="AR52" s="27" t="n"/>
      <c r="AS52" s="27" t="n"/>
      <c r="AT52" s="27" t="n"/>
      <c r="AU52" s="27" t="n"/>
      <c r="AV52" s="27" t="n"/>
      <c r="AW52" s="27" t="n"/>
      <c r="AX52" s="27" t="n"/>
      <c r="AY52" s="27" t="n"/>
      <c r="AZ52" s="27" t="n"/>
      <c r="BA52" s="27" t="n"/>
      <c r="BB52" s="27" t="n"/>
      <c r="BC52" s="27" t="n"/>
      <c r="BD52" s="27" t="n"/>
      <c r="BE52" s="27" t="n"/>
      <c r="BF52" s="27" t="n"/>
      <c r="BG52" s="27" t="n"/>
      <c r="BH52" s="27" t="n"/>
      <c r="BI52" s="29" t="n"/>
      <c r="BJ52" s="27" t="n"/>
      <c r="BK52" s="27" t="n"/>
      <c r="BL52" s="27" t="n"/>
      <c r="BM52" s="27" t="n"/>
      <c r="DN52" s="26">
        <f>IF('テスト条件'!A51="","",'テスト条件'!A51)</f>
        <v/>
      </c>
    </row>
    <row r="53">
      <c r="A53" s="27" t="n"/>
      <c r="B53" s="27" t="n"/>
      <c r="C53" s="28">
        <f>IF(A53="","",$B$2)</f>
        <v/>
      </c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27" t="n"/>
      <c r="AJ53" s="27" t="n"/>
      <c r="AK53" s="27" t="n"/>
      <c r="AL53" s="27" t="n"/>
      <c r="AM53" s="27" t="n"/>
      <c r="AN53" s="27" t="n"/>
      <c r="AO53" s="27" t="n"/>
      <c r="AP53" s="27" t="n"/>
      <c r="AQ53" s="27" t="n"/>
      <c r="AR53" s="27" t="n"/>
      <c r="AS53" s="27" t="n"/>
      <c r="AT53" s="27" t="n"/>
      <c r="AU53" s="27" t="n"/>
      <c r="AV53" s="27" t="n"/>
      <c r="AW53" s="27" t="n"/>
      <c r="AX53" s="27" t="n"/>
      <c r="AY53" s="27" t="n"/>
      <c r="AZ53" s="27" t="n"/>
      <c r="BA53" s="27" t="n"/>
      <c r="BB53" s="27" t="n"/>
      <c r="BC53" s="27" t="n"/>
      <c r="BD53" s="27" t="n"/>
      <c r="BE53" s="27" t="n"/>
      <c r="BF53" s="27" t="n"/>
      <c r="BG53" s="27" t="n"/>
      <c r="BH53" s="27" t="n"/>
      <c r="BI53" s="29" t="n"/>
      <c r="BJ53" s="27" t="n"/>
      <c r="BK53" s="27" t="n"/>
      <c r="BL53" s="27" t="n"/>
      <c r="BM53" s="27" t="n"/>
      <c r="DN53" s="26">
        <f>IF('テスト条件'!A52="","",'テスト条件'!A52)</f>
        <v/>
      </c>
    </row>
    <row r="54">
      <c r="A54" s="27" t="n"/>
      <c r="B54" s="27" t="n"/>
      <c r="C54" s="28">
        <f>IF(A54="","",$B$2)</f>
        <v/>
      </c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27" t="n"/>
      <c r="AJ54" s="27" t="n"/>
      <c r="AK54" s="27" t="n"/>
      <c r="AL54" s="27" t="n"/>
      <c r="AM54" s="27" t="n"/>
      <c r="AN54" s="27" t="n"/>
      <c r="AO54" s="27" t="n"/>
      <c r="AP54" s="27" t="n"/>
      <c r="AQ54" s="27" t="n"/>
      <c r="AR54" s="27" t="n"/>
      <c r="AS54" s="27" t="n"/>
      <c r="AT54" s="27" t="n"/>
      <c r="AU54" s="27" t="n"/>
      <c r="AV54" s="27" t="n"/>
      <c r="AW54" s="27" t="n"/>
      <c r="AX54" s="27" t="n"/>
      <c r="AY54" s="27" t="n"/>
      <c r="AZ54" s="27" t="n"/>
      <c r="BA54" s="27" t="n"/>
      <c r="BB54" s="27" t="n"/>
      <c r="BC54" s="27" t="n"/>
      <c r="BD54" s="27" t="n"/>
      <c r="BE54" s="27" t="n"/>
      <c r="BF54" s="27" t="n"/>
      <c r="BG54" s="27" t="n"/>
      <c r="BH54" s="27" t="n"/>
      <c r="BI54" s="29" t="n"/>
      <c r="BJ54" s="27" t="n"/>
      <c r="BK54" s="27" t="n"/>
      <c r="BL54" s="27" t="n"/>
      <c r="BM54" s="27" t="n"/>
      <c r="DN54" s="26">
        <f>IF('テスト条件'!A53="","",'テスト条件'!A53)</f>
        <v/>
      </c>
    </row>
    <row r="55">
      <c r="A55" s="27" t="n"/>
      <c r="B55" s="27" t="n"/>
      <c r="C55" s="28">
        <f>IF(A55="","",$B$2)</f>
        <v/>
      </c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27" t="n"/>
      <c r="AJ55" s="27" t="n"/>
      <c r="AK55" s="27" t="n"/>
      <c r="AL55" s="27" t="n"/>
      <c r="AM55" s="27" t="n"/>
      <c r="AN55" s="27" t="n"/>
      <c r="AO55" s="27" t="n"/>
      <c r="AP55" s="27" t="n"/>
      <c r="AQ55" s="27" t="n"/>
      <c r="AR55" s="27" t="n"/>
      <c r="AS55" s="27" t="n"/>
      <c r="AT55" s="27" t="n"/>
      <c r="AU55" s="27" t="n"/>
      <c r="AV55" s="27" t="n"/>
      <c r="AW55" s="27" t="n"/>
      <c r="AX55" s="27" t="n"/>
      <c r="AY55" s="27" t="n"/>
      <c r="AZ55" s="27" t="n"/>
      <c r="BA55" s="27" t="n"/>
      <c r="BB55" s="27" t="n"/>
      <c r="BC55" s="27" t="n"/>
      <c r="BD55" s="27" t="n"/>
      <c r="BE55" s="27" t="n"/>
      <c r="BF55" s="27" t="n"/>
      <c r="BG55" s="27" t="n"/>
      <c r="BH55" s="27" t="n"/>
      <c r="BI55" s="29" t="n"/>
      <c r="BJ55" s="27" t="n"/>
      <c r="BK55" s="27" t="n"/>
      <c r="BL55" s="27" t="n"/>
      <c r="BM55" s="27" t="n"/>
      <c r="DN55" s="26">
        <f>IF('テスト条件'!A54="","",'テスト条件'!A54)</f>
        <v/>
      </c>
    </row>
    <row r="56">
      <c r="A56" s="27" t="n"/>
      <c r="B56" s="27" t="n"/>
      <c r="C56" s="28">
        <f>IF(A56="","",$B$2)</f>
        <v/>
      </c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  <c r="AJ56" s="27" t="n"/>
      <c r="AK56" s="27" t="n"/>
      <c r="AL56" s="27" t="n"/>
      <c r="AM56" s="27" t="n"/>
      <c r="AN56" s="27" t="n"/>
      <c r="AO56" s="27" t="n"/>
      <c r="AP56" s="27" t="n"/>
      <c r="AQ56" s="27" t="n"/>
      <c r="AR56" s="27" t="n"/>
      <c r="AS56" s="27" t="n"/>
      <c r="AT56" s="27" t="n"/>
      <c r="AU56" s="27" t="n"/>
      <c r="AV56" s="27" t="n"/>
      <c r="AW56" s="27" t="n"/>
      <c r="AX56" s="27" t="n"/>
      <c r="AY56" s="27" t="n"/>
      <c r="AZ56" s="27" t="n"/>
      <c r="BA56" s="27" t="n"/>
      <c r="BB56" s="27" t="n"/>
      <c r="BC56" s="27" t="n"/>
      <c r="BD56" s="27" t="n"/>
      <c r="BE56" s="27" t="n"/>
      <c r="BF56" s="27" t="n"/>
      <c r="BG56" s="27" t="n"/>
      <c r="BH56" s="27" t="n"/>
      <c r="BI56" s="29" t="n"/>
      <c r="BJ56" s="27" t="n"/>
      <c r="BK56" s="27" t="n"/>
      <c r="BL56" s="27" t="n"/>
      <c r="BM56" s="27" t="n"/>
      <c r="DN56" s="26">
        <f>IF('テスト条件'!A55="","",'テスト条件'!A55)</f>
        <v/>
      </c>
    </row>
    <row r="57">
      <c r="A57" s="27" t="n"/>
      <c r="B57" s="27" t="n"/>
      <c r="C57" s="28">
        <f>IF(A57="","",$B$2)</f>
        <v/>
      </c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  <c r="AA57" s="27" t="n"/>
      <c r="AB57" s="27" t="n"/>
      <c r="AC57" s="27" t="n"/>
      <c r="AD57" s="27" t="n"/>
      <c r="AE57" s="27" t="n"/>
      <c r="AF57" s="27" t="n"/>
      <c r="AG57" s="27" t="n"/>
      <c r="AH57" s="27" t="n"/>
      <c r="AI57" s="27" t="n"/>
      <c r="AJ57" s="27" t="n"/>
      <c r="AK57" s="27" t="n"/>
      <c r="AL57" s="27" t="n"/>
      <c r="AM57" s="27" t="n"/>
      <c r="AN57" s="27" t="n"/>
      <c r="AO57" s="27" t="n"/>
      <c r="AP57" s="27" t="n"/>
      <c r="AQ57" s="27" t="n"/>
      <c r="AR57" s="27" t="n"/>
      <c r="AS57" s="27" t="n"/>
      <c r="AT57" s="27" t="n"/>
      <c r="AU57" s="27" t="n"/>
      <c r="AV57" s="27" t="n"/>
      <c r="AW57" s="27" t="n"/>
      <c r="AX57" s="27" t="n"/>
      <c r="AY57" s="27" t="n"/>
      <c r="AZ57" s="27" t="n"/>
      <c r="BA57" s="27" t="n"/>
      <c r="BB57" s="27" t="n"/>
      <c r="BC57" s="27" t="n"/>
      <c r="BD57" s="27" t="n"/>
      <c r="BE57" s="27" t="n"/>
      <c r="BF57" s="27" t="n"/>
      <c r="BG57" s="27" t="n"/>
      <c r="BH57" s="27" t="n"/>
      <c r="BI57" s="29" t="n"/>
      <c r="BJ57" s="27" t="n"/>
      <c r="BK57" s="27" t="n"/>
      <c r="BL57" s="27" t="n"/>
      <c r="BM57" s="27" t="n"/>
      <c r="DN57" s="26">
        <f>IF('テスト条件'!A56="","",'テスト条件'!A56)</f>
        <v/>
      </c>
    </row>
    <row r="58">
      <c r="A58" s="27" t="n"/>
      <c r="B58" s="27" t="n"/>
      <c r="C58" s="28">
        <f>IF(A58="","",$B$2)</f>
        <v/>
      </c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27" t="n"/>
      <c r="AJ58" s="27" t="n"/>
      <c r="AK58" s="27" t="n"/>
      <c r="AL58" s="27" t="n"/>
      <c r="AM58" s="27" t="n"/>
      <c r="AN58" s="27" t="n"/>
      <c r="AO58" s="27" t="n"/>
      <c r="AP58" s="27" t="n"/>
      <c r="AQ58" s="27" t="n"/>
      <c r="AR58" s="27" t="n"/>
      <c r="AS58" s="27" t="n"/>
      <c r="AT58" s="27" t="n"/>
      <c r="AU58" s="27" t="n"/>
      <c r="AV58" s="27" t="n"/>
      <c r="AW58" s="27" t="n"/>
      <c r="AX58" s="27" t="n"/>
      <c r="AY58" s="27" t="n"/>
      <c r="AZ58" s="27" t="n"/>
      <c r="BA58" s="27" t="n"/>
      <c r="BB58" s="27" t="n"/>
      <c r="BC58" s="27" t="n"/>
      <c r="BD58" s="27" t="n"/>
      <c r="BE58" s="27" t="n"/>
      <c r="BF58" s="27" t="n"/>
      <c r="BG58" s="27" t="n"/>
      <c r="BH58" s="27" t="n"/>
      <c r="BI58" s="29" t="n"/>
      <c r="BJ58" s="27" t="n"/>
      <c r="BK58" s="27" t="n"/>
      <c r="BL58" s="27" t="n"/>
      <c r="BM58" s="27" t="n"/>
      <c r="DN58" s="26">
        <f>IF('テスト条件'!A57="","",'テスト条件'!A57)</f>
        <v/>
      </c>
    </row>
    <row r="59">
      <c r="A59" s="27" t="n"/>
      <c r="B59" s="27" t="n"/>
      <c r="C59" s="28">
        <f>IF(A59="","",$B$2)</f>
        <v/>
      </c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27" t="n"/>
      <c r="AJ59" s="27" t="n"/>
      <c r="AK59" s="27" t="n"/>
      <c r="AL59" s="27" t="n"/>
      <c r="AM59" s="27" t="n"/>
      <c r="AN59" s="27" t="n"/>
      <c r="AO59" s="27" t="n"/>
      <c r="AP59" s="27" t="n"/>
      <c r="AQ59" s="27" t="n"/>
      <c r="AR59" s="27" t="n"/>
      <c r="AS59" s="27" t="n"/>
      <c r="AT59" s="27" t="n"/>
      <c r="AU59" s="27" t="n"/>
      <c r="AV59" s="27" t="n"/>
      <c r="AW59" s="27" t="n"/>
      <c r="AX59" s="27" t="n"/>
      <c r="AY59" s="27" t="n"/>
      <c r="AZ59" s="27" t="n"/>
      <c r="BA59" s="27" t="n"/>
      <c r="BB59" s="27" t="n"/>
      <c r="BC59" s="27" t="n"/>
      <c r="BD59" s="27" t="n"/>
      <c r="BE59" s="27" t="n"/>
      <c r="BF59" s="27" t="n"/>
      <c r="BG59" s="27" t="n"/>
      <c r="BH59" s="27" t="n"/>
      <c r="BI59" s="29" t="n"/>
      <c r="BJ59" s="27" t="n"/>
      <c r="BK59" s="27" t="n"/>
      <c r="BL59" s="27" t="n"/>
      <c r="BM59" s="27" t="n"/>
      <c r="DN59" s="26">
        <f>IF('テスト条件'!A58="","",'テスト条件'!A58)</f>
        <v/>
      </c>
    </row>
    <row r="60">
      <c r="A60" s="27" t="n"/>
      <c r="B60" s="27" t="n"/>
      <c r="C60" s="28">
        <f>IF(A60="","",$B$2)</f>
        <v/>
      </c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27" t="n"/>
      <c r="AJ60" s="27" t="n"/>
      <c r="AK60" s="27" t="n"/>
      <c r="AL60" s="27" t="n"/>
      <c r="AM60" s="27" t="n"/>
      <c r="AN60" s="27" t="n"/>
      <c r="AO60" s="27" t="n"/>
      <c r="AP60" s="27" t="n"/>
      <c r="AQ60" s="27" t="n"/>
      <c r="AR60" s="27" t="n"/>
      <c r="AS60" s="27" t="n"/>
      <c r="AT60" s="27" t="n"/>
      <c r="AU60" s="27" t="n"/>
      <c r="AV60" s="27" t="n"/>
      <c r="AW60" s="27" t="n"/>
      <c r="AX60" s="27" t="n"/>
      <c r="AY60" s="27" t="n"/>
      <c r="AZ60" s="27" t="n"/>
      <c r="BA60" s="27" t="n"/>
      <c r="BB60" s="27" t="n"/>
      <c r="BC60" s="27" t="n"/>
      <c r="BD60" s="27" t="n"/>
      <c r="BE60" s="27" t="n"/>
      <c r="BF60" s="27" t="n"/>
      <c r="BG60" s="27" t="n"/>
      <c r="BH60" s="27" t="n"/>
      <c r="BI60" s="29" t="n"/>
      <c r="BJ60" s="27" t="n"/>
      <c r="BK60" s="27" t="n"/>
      <c r="BL60" s="27" t="n"/>
      <c r="BM60" s="27" t="n"/>
      <c r="DN60" s="26">
        <f>IF('テスト条件'!A59="","",'テスト条件'!A59)</f>
        <v/>
      </c>
    </row>
    <row r="61">
      <c r="A61" s="27" t="n"/>
      <c r="B61" s="27" t="n"/>
      <c r="C61" s="28">
        <f>IF(A61="","",$B$2)</f>
        <v/>
      </c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27" t="n"/>
      <c r="AJ61" s="27" t="n"/>
      <c r="AK61" s="27" t="n"/>
      <c r="AL61" s="27" t="n"/>
      <c r="AM61" s="27" t="n"/>
      <c r="AN61" s="27" t="n"/>
      <c r="AO61" s="27" t="n"/>
      <c r="AP61" s="27" t="n"/>
      <c r="AQ61" s="27" t="n"/>
      <c r="AR61" s="27" t="n"/>
      <c r="AS61" s="27" t="n"/>
      <c r="AT61" s="27" t="n"/>
      <c r="AU61" s="27" t="n"/>
      <c r="AV61" s="27" t="n"/>
      <c r="AW61" s="27" t="n"/>
      <c r="AX61" s="27" t="n"/>
      <c r="AY61" s="27" t="n"/>
      <c r="AZ61" s="27" t="n"/>
      <c r="BA61" s="27" t="n"/>
      <c r="BB61" s="27" t="n"/>
      <c r="BC61" s="27" t="n"/>
      <c r="BD61" s="27" t="n"/>
      <c r="BE61" s="27" t="n"/>
      <c r="BF61" s="27" t="n"/>
      <c r="BG61" s="27" t="n"/>
      <c r="BH61" s="27" t="n"/>
      <c r="BI61" s="29" t="n"/>
      <c r="BJ61" s="27" t="n"/>
      <c r="BK61" s="27" t="n"/>
      <c r="BL61" s="27" t="n"/>
      <c r="BM61" s="27" t="n"/>
      <c r="DN61" s="26">
        <f>IF('テスト条件'!A60="","",'テスト条件'!A60)</f>
        <v/>
      </c>
    </row>
    <row r="62">
      <c r="A62" s="27" t="n"/>
      <c r="B62" s="27" t="n"/>
      <c r="C62" s="28">
        <f>IF(A62="","",$B$2)</f>
        <v/>
      </c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27" t="n"/>
      <c r="AJ62" s="27" t="n"/>
      <c r="AK62" s="27" t="n"/>
      <c r="AL62" s="27" t="n"/>
      <c r="AM62" s="27" t="n"/>
      <c r="AN62" s="27" t="n"/>
      <c r="AO62" s="27" t="n"/>
      <c r="AP62" s="27" t="n"/>
      <c r="AQ62" s="27" t="n"/>
      <c r="AR62" s="27" t="n"/>
      <c r="AS62" s="27" t="n"/>
      <c r="AT62" s="27" t="n"/>
      <c r="AU62" s="27" t="n"/>
      <c r="AV62" s="27" t="n"/>
      <c r="AW62" s="27" t="n"/>
      <c r="AX62" s="27" t="n"/>
      <c r="AY62" s="27" t="n"/>
      <c r="AZ62" s="27" t="n"/>
      <c r="BA62" s="27" t="n"/>
      <c r="BB62" s="27" t="n"/>
      <c r="BC62" s="27" t="n"/>
      <c r="BD62" s="27" t="n"/>
      <c r="BE62" s="27" t="n"/>
      <c r="BF62" s="27" t="n"/>
      <c r="BG62" s="27" t="n"/>
      <c r="BH62" s="27" t="n"/>
      <c r="BI62" s="29" t="n"/>
      <c r="BJ62" s="27" t="n"/>
      <c r="BK62" s="27" t="n"/>
      <c r="BL62" s="27" t="n"/>
      <c r="BM62" s="27" t="n"/>
      <c r="DN62" s="26">
        <f>IF('テスト条件'!A61="","",'テスト条件'!A61)</f>
        <v/>
      </c>
    </row>
    <row r="63">
      <c r="A63" s="27" t="n"/>
      <c r="B63" s="27" t="n"/>
      <c r="C63" s="28">
        <f>IF(A63="","",$B$2)</f>
        <v/>
      </c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  <c r="AA63" s="27" t="n"/>
      <c r="AB63" s="27" t="n"/>
      <c r="AC63" s="27" t="n"/>
      <c r="AD63" s="27" t="n"/>
      <c r="AE63" s="27" t="n"/>
      <c r="AF63" s="27" t="n"/>
      <c r="AG63" s="27" t="n"/>
      <c r="AH63" s="27" t="n"/>
      <c r="AI63" s="27" t="n"/>
      <c r="AJ63" s="27" t="n"/>
      <c r="AK63" s="27" t="n"/>
      <c r="AL63" s="27" t="n"/>
      <c r="AM63" s="27" t="n"/>
      <c r="AN63" s="27" t="n"/>
      <c r="AO63" s="27" t="n"/>
      <c r="AP63" s="27" t="n"/>
      <c r="AQ63" s="27" t="n"/>
      <c r="AR63" s="27" t="n"/>
      <c r="AS63" s="27" t="n"/>
      <c r="AT63" s="27" t="n"/>
      <c r="AU63" s="27" t="n"/>
      <c r="AV63" s="27" t="n"/>
      <c r="AW63" s="27" t="n"/>
      <c r="AX63" s="27" t="n"/>
      <c r="AY63" s="27" t="n"/>
      <c r="AZ63" s="27" t="n"/>
      <c r="BA63" s="27" t="n"/>
      <c r="BB63" s="27" t="n"/>
      <c r="BC63" s="27" t="n"/>
      <c r="BD63" s="27" t="n"/>
      <c r="BE63" s="27" t="n"/>
      <c r="BF63" s="27" t="n"/>
      <c r="BG63" s="27" t="n"/>
      <c r="BH63" s="27" t="n"/>
      <c r="BI63" s="29" t="n"/>
      <c r="BJ63" s="27" t="n"/>
      <c r="BK63" s="27" t="n"/>
      <c r="BL63" s="27" t="n"/>
      <c r="BM63" s="27" t="n"/>
      <c r="DN63" s="26">
        <f>IF('テスト条件'!A62="","",'テスト条件'!A62)</f>
        <v/>
      </c>
    </row>
    <row r="64">
      <c r="A64" s="27" t="n"/>
      <c r="B64" s="27" t="n"/>
      <c r="C64" s="28">
        <f>IF(A64="","",$B$2)</f>
        <v/>
      </c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27" t="n"/>
      <c r="AJ64" s="27" t="n"/>
      <c r="AK64" s="27" t="n"/>
      <c r="AL64" s="27" t="n"/>
      <c r="AM64" s="27" t="n"/>
      <c r="AN64" s="27" t="n"/>
      <c r="AO64" s="27" t="n"/>
      <c r="AP64" s="27" t="n"/>
      <c r="AQ64" s="27" t="n"/>
      <c r="AR64" s="27" t="n"/>
      <c r="AS64" s="27" t="n"/>
      <c r="AT64" s="27" t="n"/>
      <c r="AU64" s="27" t="n"/>
      <c r="AV64" s="27" t="n"/>
      <c r="AW64" s="27" t="n"/>
      <c r="AX64" s="27" t="n"/>
      <c r="AY64" s="27" t="n"/>
      <c r="AZ64" s="27" t="n"/>
      <c r="BA64" s="27" t="n"/>
      <c r="BB64" s="27" t="n"/>
      <c r="BC64" s="27" t="n"/>
      <c r="BD64" s="27" t="n"/>
      <c r="BE64" s="27" t="n"/>
      <c r="BF64" s="27" t="n"/>
      <c r="BG64" s="27" t="n"/>
      <c r="BH64" s="27" t="n"/>
      <c r="BI64" s="29" t="n"/>
      <c r="BJ64" s="27" t="n"/>
      <c r="BK64" s="27" t="n"/>
      <c r="BL64" s="27" t="n"/>
      <c r="BM64" s="27" t="n"/>
      <c r="DN64" s="26">
        <f>IF('テスト条件'!A63="","",'テスト条件'!A63)</f>
        <v/>
      </c>
    </row>
    <row r="65">
      <c r="A65" s="27" t="n"/>
      <c r="B65" s="27" t="n"/>
      <c r="C65" s="28">
        <f>IF(A65="","",$B$2)</f>
        <v/>
      </c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27" t="n"/>
      <c r="AJ65" s="27" t="n"/>
      <c r="AK65" s="27" t="n"/>
      <c r="AL65" s="27" t="n"/>
      <c r="AM65" s="27" t="n"/>
      <c r="AN65" s="27" t="n"/>
      <c r="AO65" s="27" t="n"/>
      <c r="AP65" s="27" t="n"/>
      <c r="AQ65" s="27" t="n"/>
      <c r="AR65" s="27" t="n"/>
      <c r="AS65" s="27" t="n"/>
      <c r="AT65" s="27" t="n"/>
      <c r="AU65" s="27" t="n"/>
      <c r="AV65" s="27" t="n"/>
      <c r="AW65" s="27" t="n"/>
      <c r="AX65" s="27" t="n"/>
      <c r="AY65" s="27" t="n"/>
      <c r="AZ65" s="27" t="n"/>
      <c r="BA65" s="27" t="n"/>
      <c r="BB65" s="27" t="n"/>
      <c r="BC65" s="27" t="n"/>
      <c r="BD65" s="27" t="n"/>
      <c r="BE65" s="27" t="n"/>
      <c r="BF65" s="27" t="n"/>
      <c r="BG65" s="27" t="n"/>
      <c r="BH65" s="27" t="n"/>
      <c r="BI65" s="29" t="n"/>
      <c r="BJ65" s="27" t="n"/>
      <c r="BK65" s="27" t="n"/>
      <c r="BL65" s="27" t="n"/>
      <c r="BM65" s="27" t="n"/>
      <c r="DN65" s="26">
        <f>IF('テスト条件'!A64="","",'テスト条件'!A64)</f>
        <v/>
      </c>
    </row>
    <row r="66">
      <c r="A66" s="27" t="n"/>
      <c r="B66" s="27" t="n"/>
      <c r="C66" s="28">
        <f>IF(A66="","",$B$2)</f>
        <v/>
      </c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27" t="n"/>
      <c r="AJ66" s="27" t="n"/>
      <c r="AK66" s="27" t="n"/>
      <c r="AL66" s="27" t="n"/>
      <c r="AM66" s="27" t="n"/>
      <c r="AN66" s="27" t="n"/>
      <c r="AO66" s="27" t="n"/>
      <c r="AP66" s="27" t="n"/>
      <c r="AQ66" s="27" t="n"/>
      <c r="AR66" s="27" t="n"/>
      <c r="AS66" s="27" t="n"/>
      <c r="AT66" s="27" t="n"/>
      <c r="AU66" s="27" t="n"/>
      <c r="AV66" s="27" t="n"/>
      <c r="AW66" s="27" t="n"/>
      <c r="AX66" s="27" t="n"/>
      <c r="AY66" s="27" t="n"/>
      <c r="AZ66" s="27" t="n"/>
      <c r="BA66" s="27" t="n"/>
      <c r="BB66" s="27" t="n"/>
      <c r="BC66" s="27" t="n"/>
      <c r="BD66" s="27" t="n"/>
      <c r="BE66" s="27" t="n"/>
      <c r="BF66" s="27" t="n"/>
      <c r="BG66" s="27" t="n"/>
      <c r="BH66" s="27" t="n"/>
      <c r="BI66" s="29" t="n"/>
      <c r="BJ66" s="27" t="n"/>
      <c r="BK66" s="27" t="n"/>
      <c r="BL66" s="27" t="n"/>
      <c r="BM66" s="27" t="n"/>
      <c r="DN66" s="26">
        <f>IF('テスト条件'!A65="","",'テスト条件'!A65)</f>
        <v/>
      </c>
    </row>
    <row r="67">
      <c r="A67" s="27" t="n"/>
      <c r="B67" s="27" t="n"/>
      <c r="C67" s="28">
        <f>IF(A67="","",$B$2)</f>
        <v/>
      </c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  <c r="AA67" s="27" t="n"/>
      <c r="AB67" s="27" t="n"/>
      <c r="AC67" s="27" t="n"/>
      <c r="AD67" s="27" t="n"/>
      <c r="AE67" s="27" t="n"/>
      <c r="AF67" s="27" t="n"/>
      <c r="AG67" s="27" t="n"/>
      <c r="AH67" s="27" t="n"/>
      <c r="AI67" s="27" t="n"/>
      <c r="AJ67" s="27" t="n"/>
      <c r="AK67" s="27" t="n"/>
      <c r="AL67" s="27" t="n"/>
      <c r="AM67" s="27" t="n"/>
      <c r="AN67" s="27" t="n"/>
      <c r="AO67" s="27" t="n"/>
      <c r="AP67" s="27" t="n"/>
      <c r="AQ67" s="27" t="n"/>
      <c r="AR67" s="27" t="n"/>
      <c r="AS67" s="27" t="n"/>
      <c r="AT67" s="27" t="n"/>
      <c r="AU67" s="27" t="n"/>
      <c r="AV67" s="27" t="n"/>
      <c r="AW67" s="27" t="n"/>
      <c r="AX67" s="27" t="n"/>
      <c r="AY67" s="27" t="n"/>
      <c r="AZ67" s="27" t="n"/>
      <c r="BA67" s="27" t="n"/>
      <c r="BB67" s="27" t="n"/>
      <c r="BC67" s="27" t="n"/>
      <c r="BD67" s="27" t="n"/>
      <c r="BE67" s="27" t="n"/>
      <c r="BF67" s="27" t="n"/>
      <c r="BG67" s="27" t="n"/>
      <c r="BH67" s="27" t="n"/>
      <c r="BI67" s="29" t="n"/>
      <c r="BJ67" s="27" t="n"/>
      <c r="BK67" s="27" t="n"/>
      <c r="BL67" s="27" t="n"/>
      <c r="BM67" s="27" t="n"/>
      <c r="DN67" s="26">
        <f>IF('テスト条件'!A66="","",'テスト条件'!A66)</f>
        <v/>
      </c>
    </row>
    <row r="68">
      <c r="A68" s="27" t="n"/>
      <c r="B68" s="27" t="n"/>
      <c r="C68" s="28">
        <f>IF(A68="","",$B$2)</f>
        <v/>
      </c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  <c r="AA68" s="27" t="n"/>
      <c r="AB68" s="27" t="n"/>
      <c r="AC68" s="27" t="n"/>
      <c r="AD68" s="27" t="n"/>
      <c r="AE68" s="27" t="n"/>
      <c r="AF68" s="27" t="n"/>
      <c r="AG68" s="27" t="n"/>
      <c r="AH68" s="27" t="n"/>
      <c r="AI68" s="27" t="n"/>
      <c r="AJ68" s="27" t="n"/>
      <c r="AK68" s="27" t="n"/>
      <c r="AL68" s="27" t="n"/>
      <c r="AM68" s="27" t="n"/>
      <c r="AN68" s="27" t="n"/>
      <c r="AO68" s="27" t="n"/>
      <c r="AP68" s="27" t="n"/>
      <c r="AQ68" s="27" t="n"/>
      <c r="AR68" s="27" t="n"/>
      <c r="AS68" s="27" t="n"/>
      <c r="AT68" s="27" t="n"/>
      <c r="AU68" s="27" t="n"/>
      <c r="AV68" s="27" t="n"/>
      <c r="AW68" s="27" t="n"/>
      <c r="AX68" s="27" t="n"/>
      <c r="AY68" s="27" t="n"/>
      <c r="AZ68" s="27" t="n"/>
      <c r="BA68" s="27" t="n"/>
      <c r="BB68" s="27" t="n"/>
      <c r="BC68" s="27" t="n"/>
      <c r="BD68" s="27" t="n"/>
      <c r="BE68" s="27" t="n"/>
      <c r="BF68" s="27" t="n"/>
      <c r="BG68" s="27" t="n"/>
      <c r="BH68" s="27" t="n"/>
      <c r="BI68" s="29" t="n"/>
      <c r="BJ68" s="27" t="n"/>
      <c r="BK68" s="27" t="n"/>
      <c r="BL68" s="27" t="n"/>
      <c r="BM68" s="27" t="n"/>
      <c r="DN68" s="26">
        <f>IF('テスト条件'!A67="","",'テスト条件'!A67)</f>
        <v/>
      </c>
    </row>
    <row r="69">
      <c r="A69" s="27" t="n"/>
      <c r="B69" s="27" t="n"/>
      <c r="C69" s="28">
        <f>IF(A69="","",$B$2)</f>
        <v/>
      </c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  <c r="AA69" s="27" t="n"/>
      <c r="AB69" s="27" t="n"/>
      <c r="AC69" s="27" t="n"/>
      <c r="AD69" s="27" t="n"/>
      <c r="AE69" s="27" t="n"/>
      <c r="AF69" s="27" t="n"/>
      <c r="AG69" s="27" t="n"/>
      <c r="AH69" s="27" t="n"/>
      <c r="AI69" s="27" t="n"/>
      <c r="AJ69" s="27" t="n"/>
      <c r="AK69" s="27" t="n"/>
      <c r="AL69" s="27" t="n"/>
      <c r="AM69" s="27" t="n"/>
      <c r="AN69" s="27" t="n"/>
      <c r="AO69" s="27" t="n"/>
      <c r="AP69" s="27" t="n"/>
      <c r="AQ69" s="27" t="n"/>
      <c r="AR69" s="27" t="n"/>
      <c r="AS69" s="27" t="n"/>
      <c r="AT69" s="27" t="n"/>
      <c r="AU69" s="27" t="n"/>
      <c r="AV69" s="27" t="n"/>
      <c r="AW69" s="27" t="n"/>
      <c r="AX69" s="27" t="n"/>
      <c r="AY69" s="27" t="n"/>
      <c r="AZ69" s="27" t="n"/>
      <c r="BA69" s="27" t="n"/>
      <c r="BB69" s="27" t="n"/>
      <c r="BC69" s="27" t="n"/>
      <c r="BD69" s="27" t="n"/>
      <c r="BE69" s="27" t="n"/>
      <c r="BF69" s="27" t="n"/>
      <c r="BG69" s="27" t="n"/>
      <c r="BH69" s="27" t="n"/>
      <c r="BI69" s="29" t="n"/>
      <c r="BJ69" s="27" t="n"/>
      <c r="BK69" s="27" t="n"/>
      <c r="BL69" s="27" t="n"/>
      <c r="BM69" s="27" t="n"/>
      <c r="DN69" s="26">
        <f>IF('テスト条件'!A68="","",'テスト条件'!A68)</f>
        <v/>
      </c>
    </row>
    <row r="70">
      <c r="A70" s="27" t="n"/>
      <c r="B70" s="27" t="n"/>
      <c r="C70" s="28">
        <f>IF(A70="","",$B$2)</f>
        <v/>
      </c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  <c r="AA70" s="27" t="n"/>
      <c r="AB70" s="27" t="n"/>
      <c r="AC70" s="27" t="n"/>
      <c r="AD70" s="27" t="n"/>
      <c r="AE70" s="27" t="n"/>
      <c r="AF70" s="27" t="n"/>
      <c r="AG70" s="27" t="n"/>
      <c r="AH70" s="27" t="n"/>
      <c r="AI70" s="27" t="n"/>
      <c r="AJ70" s="27" t="n"/>
      <c r="AK70" s="27" t="n"/>
      <c r="AL70" s="27" t="n"/>
      <c r="AM70" s="27" t="n"/>
      <c r="AN70" s="27" t="n"/>
      <c r="AO70" s="27" t="n"/>
      <c r="AP70" s="27" t="n"/>
      <c r="AQ70" s="27" t="n"/>
      <c r="AR70" s="27" t="n"/>
      <c r="AS70" s="27" t="n"/>
      <c r="AT70" s="27" t="n"/>
      <c r="AU70" s="27" t="n"/>
      <c r="AV70" s="27" t="n"/>
      <c r="AW70" s="27" t="n"/>
      <c r="AX70" s="27" t="n"/>
      <c r="AY70" s="27" t="n"/>
      <c r="AZ70" s="27" t="n"/>
      <c r="BA70" s="27" t="n"/>
      <c r="BB70" s="27" t="n"/>
      <c r="BC70" s="27" t="n"/>
      <c r="BD70" s="27" t="n"/>
      <c r="BE70" s="27" t="n"/>
      <c r="BF70" s="27" t="n"/>
      <c r="BG70" s="27" t="n"/>
      <c r="BH70" s="27" t="n"/>
      <c r="BI70" s="29" t="n"/>
      <c r="BJ70" s="27" t="n"/>
      <c r="BK70" s="27" t="n"/>
      <c r="BL70" s="27" t="n"/>
      <c r="BM70" s="27" t="n"/>
      <c r="DN70" s="26">
        <f>IF('テスト条件'!A69="","",'テスト条件'!A69)</f>
        <v/>
      </c>
    </row>
    <row r="71">
      <c r="A71" s="27" t="n"/>
      <c r="B71" s="27" t="n"/>
      <c r="C71" s="28">
        <f>IF(A71="","",$B$2)</f>
        <v/>
      </c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  <c r="AA71" s="27" t="n"/>
      <c r="AB71" s="27" t="n"/>
      <c r="AC71" s="27" t="n"/>
      <c r="AD71" s="27" t="n"/>
      <c r="AE71" s="27" t="n"/>
      <c r="AF71" s="27" t="n"/>
      <c r="AG71" s="27" t="n"/>
      <c r="AH71" s="27" t="n"/>
      <c r="AI71" s="27" t="n"/>
      <c r="AJ71" s="27" t="n"/>
      <c r="AK71" s="27" t="n"/>
      <c r="AL71" s="27" t="n"/>
      <c r="AM71" s="27" t="n"/>
      <c r="AN71" s="27" t="n"/>
      <c r="AO71" s="27" t="n"/>
      <c r="AP71" s="27" t="n"/>
      <c r="AQ71" s="27" t="n"/>
      <c r="AR71" s="27" t="n"/>
      <c r="AS71" s="27" t="n"/>
      <c r="AT71" s="27" t="n"/>
      <c r="AU71" s="27" t="n"/>
      <c r="AV71" s="27" t="n"/>
      <c r="AW71" s="27" t="n"/>
      <c r="AX71" s="27" t="n"/>
      <c r="AY71" s="27" t="n"/>
      <c r="AZ71" s="27" t="n"/>
      <c r="BA71" s="27" t="n"/>
      <c r="BB71" s="27" t="n"/>
      <c r="BC71" s="27" t="n"/>
      <c r="BD71" s="27" t="n"/>
      <c r="BE71" s="27" t="n"/>
      <c r="BF71" s="27" t="n"/>
      <c r="BG71" s="27" t="n"/>
      <c r="BH71" s="27" t="n"/>
      <c r="BI71" s="29" t="n"/>
      <c r="BJ71" s="27" t="n"/>
      <c r="BK71" s="27" t="n"/>
      <c r="BL71" s="27" t="n"/>
      <c r="BM71" s="27" t="n"/>
      <c r="DN71" s="26">
        <f>IF('テスト条件'!A70="","",'テスト条件'!A70)</f>
        <v/>
      </c>
    </row>
    <row r="72">
      <c r="A72" s="27" t="n"/>
      <c r="B72" s="27" t="n"/>
      <c r="C72" s="28">
        <f>IF(A72="","",$B$2)</f>
        <v/>
      </c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  <c r="AA72" s="27" t="n"/>
      <c r="AB72" s="27" t="n"/>
      <c r="AC72" s="27" t="n"/>
      <c r="AD72" s="27" t="n"/>
      <c r="AE72" s="27" t="n"/>
      <c r="AF72" s="27" t="n"/>
      <c r="AG72" s="27" t="n"/>
      <c r="AH72" s="27" t="n"/>
      <c r="AI72" s="27" t="n"/>
      <c r="AJ72" s="27" t="n"/>
      <c r="AK72" s="27" t="n"/>
      <c r="AL72" s="27" t="n"/>
      <c r="AM72" s="27" t="n"/>
      <c r="AN72" s="27" t="n"/>
      <c r="AO72" s="27" t="n"/>
      <c r="AP72" s="27" t="n"/>
      <c r="AQ72" s="27" t="n"/>
      <c r="AR72" s="27" t="n"/>
      <c r="AS72" s="27" t="n"/>
      <c r="AT72" s="27" t="n"/>
      <c r="AU72" s="27" t="n"/>
      <c r="AV72" s="27" t="n"/>
      <c r="AW72" s="27" t="n"/>
      <c r="AX72" s="27" t="n"/>
      <c r="AY72" s="27" t="n"/>
      <c r="AZ72" s="27" t="n"/>
      <c r="BA72" s="27" t="n"/>
      <c r="BB72" s="27" t="n"/>
      <c r="BC72" s="27" t="n"/>
      <c r="BD72" s="27" t="n"/>
      <c r="BE72" s="27" t="n"/>
      <c r="BF72" s="27" t="n"/>
      <c r="BG72" s="27" t="n"/>
      <c r="BH72" s="27" t="n"/>
      <c r="BI72" s="29" t="n"/>
      <c r="BJ72" s="27" t="n"/>
      <c r="BK72" s="27" t="n"/>
      <c r="BL72" s="27" t="n"/>
      <c r="BM72" s="27" t="n"/>
      <c r="DN72" s="26">
        <f>IF('テスト条件'!A71="","",'テスト条件'!A71)</f>
        <v/>
      </c>
    </row>
    <row r="73">
      <c r="A73" s="27" t="n"/>
      <c r="B73" s="27" t="n"/>
      <c r="C73" s="28">
        <f>IF(A73="","",$B$2)</f>
        <v/>
      </c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  <c r="AA73" s="27" t="n"/>
      <c r="AB73" s="27" t="n"/>
      <c r="AC73" s="27" t="n"/>
      <c r="AD73" s="27" t="n"/>
      <c r="AE73" s="27" t="n"/>
      <c r="AF73" s="27" t="n"/>
      <c r="AG73" s="27" t="n"/>
      <c r="AH73" s="27" t="n"/>
      <c r="AI73" s="27" t="n"/>
      <c r="AJ73" s="27" t="n"/>
      <c r="AK73" s="27" t="n"/>
      <c r="AL73" s="27" t="n"/>
      <c r="AM73" s="27" t="n"/>
      <c r="AN73" s="27" t="n"/>
      <c r="AO73" s="27" t="n"/>
      <c r="AP73" s="27" t="n"/>
      <c r="AQ73" s="27" t="n"/>
      <c r="AR73" s="27" t="n"/>
      <c r="AS73" s="27" t="n"/>
      <c r="AT73" s="27" t="n"/>
      <c r="AU73" s="27" t="n"/>
      <c r="AV73" s="27" t="n"/>
      <c r="AW73" s="27" t="n"/>
      <c r="AX73" s="27" t="n"/>
      <c r="AY73" s="27" t="n"/>
      <c r="AZ73" s="27" t="n"/>
      <c r="BA73" s="27" t="n"/>
      <c r="BB73" s="27" t="n"/>
      <c r="BC73" s="27" t="n"/>
      <c r="BD73" s="27" t="n"/>
      <c r="BE73" s="27" t="n"/>
      <c r="BF73" s="27" t="n"/>
      <c r="BG73" s="27" t="n"/>
      <c r="BH73" s="27" t="n"/>
      <c r="BI73" s="29" t="n"/>
      <c r="BJ73" s="27" t="n"/>
      <c r="BK73" s="27" t="n"/>
      <c r="BL73" s="27" t="n"/>
      <c r="BM73" s="27" t="n"/>
      <c r="DN73" s="26">
        <f>IF('テスト条件'!A72="","",'テスト条件'!A72)</f>
        <v/>
      </c>
    </row>
    <row r="74">
      <c r="A74" s="27" t="n"/>
      <c r="B74" s="27" t="n"/>
      <c r="C74" s="28">
        <f>IF(A74="","",$B$2)</f>
        <v/>
      </c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  <c r="AA74" s="27" t="n"/>
      <c r="AB74" s="27" t="n"/>
      <c r="AC74" s="27" t="n"/>
      <c r="AD74" s="27" t="n"/>
      <c r="AE74" s="27" t="n"/>
      <c r="AF74" s="27" t="n"/>
      <c r="AG74" s="27" t="n"/>
      <c r="AH74" s="27" t="n"/>
      <c r="AI74" s="27" t="n"/>
      <c r="AJ74" s="27" t="n"/>
      <c r="AK74" s="27" t="n"/>
      <c r="AL74" s="27" t="n"/>
      <c r="AM74" s="27" t="n"/>
      <c r="AN74" s="27" t="n"/>
      <c r="AO74" s="27" t="n"/>
      <c r="AP74" s="27" t="n"/>
      <c r="AQ74" s="27" t="n"/>
      <c r="AR74" s="27" t="n"/>
      <c r="AS74" s="27" t="n"/>
      <c r="AT74" s="27" t="n"/>
      <c r="AU74" s="27" t="n"/>
      <c r="AV74" s="27" t="n"/>
      <c r="AW74" s="27" t="n"/>
      <c r="AX74" s="27" t="n"/>
      <c r="AY74" s="27" t="n"/>
      <c r="AZ74" s="27" t="n"/>
      <c r="BA74" s="27" t="n"/>
      <c r="BB74" s="27" t="n"/>
      <c r="BC74" s="27" t="n"/>
      <c r="BD74" s="27" t="n"/>
      <c r="BE74" s="27" t="n"/>
      <c r="BF74" s="27" t="n"/>
      <c r="BG74" s="27" t="n"/>
      <c r="BH74" s="27" t="n"/>
      <c r="BI74" s="29" t="n"/>
      <c r="BJ74" s="27" t="n"/>
      <c r="BK74" s="27" t="n"/>
      <c r="BL74" s="27" t="n"/>
      <c r="BM74" s="27" t="n"/>
      <c r="DN74" s="26">
        <f>IF('テスト条件'!A73="","",'テスト条件'!A73)</f>
        <v/>
      </c>
    </row>
    <row r="75">
      <c r="A75" s="27" t="n"/>
      <c r="B75" s="27" t="n"/>
      <c r="C75" s="28">
        <f>IF(A75="","",$B$2)</f>
        <v/>
      </c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  <c r="AA75" s="27" t="n"/>
      <c r="AB75" s="27" t="n"/>
      <c r="AC75" s="27" t="n"/>
      <c r="AD75" s="27" t="n"/>
      <c r="AE75" s="27" t="n"/>
      <c r="AF75" s="27" t="n"/>
      <c r="AG75" s="27" t="n"/>
      <c r="AH75" s="27" t="n"/>
      <c r="AI75" s="27" t="n"/>
      <c r="AJ75" s="27" t="n"/>
      <c r="AK75" s="27" t="n"/>
      <c r="AL75" s="27" t="n"/>
      <c r="AM75" s="27" t="n"/>
      <c r="AN75" s="27" t="n"/>
      <c r="AO75" s="27" t="n"/>
      <c r="AP75" s="27" t="n"/>
      <c r="AQ75" s="27" t="n"/>
      <c r="AR75" s="27" t="n"/>
      <c r="AS75" s="27" t="n"/>
      <c r="AT75" s="27" t="n"/>
      <c r="AU75" s="27" t="n"/>
      <c r="AV75" s="27" t="n"/>
      <c r="AW75" s="27" t="n"/>
      <c r="AX75" s="27" t="n"/>
      <c r="AY75" s="27" t="n"/>
      <c r="AZ75" s="27" t="n"/>
      <c r="BA75" s="27" t="n"/>
      <c r="BB75" s="27" t="n"/>
      <c r="BC75" s="27" t="n"/>
      <c r="BD75" s="27" t="n"/>
      <c r="BE75" s="27" t="n"/>
      <c r="BF75" s="27" t="n"/>
      <c r="BG75" s="27" t="n"/>
      <c r="BH75" s="27" t="n"/>
      <c r="BI75" s="29" t="n"/>
      <c r="BJ75" s="27" t="n"/>
      <c r="BK75" s="27" t="n"/>
      <c r="BL75" s="27" t="n"/>
      <c r="BM75" s="27" t="n"/>
      <c r="DN75" s="26">
        <f>IF('テスト条件'!A74="","",'テスト条件'!A74)</f>
        <v/>
      </c>
    </row>
    <row r="76">
      <c r="A76" s="27" t="n"/>
      <c r="B76" s="27" t="n"/>
      <c r="C76" s="28">
        <f>IF(A76="","",$B$2)</f>
        <v/>
      </c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  <c r="AA76" s="27" t="n"/>
      <c r="AB76" s="27" t="n"/>
      <c r="AC76" s="27" t="n"/>
      <c r="AD76" s="27" t="n"/>
      <c r="AE76" s="27" t="n"/>
      <c r="AF76" s="27" t="n"/>
      <c r="AG76" s="27" t="n"/>
      <c r="AH76" s="27" t="n"/>
      <c r="AI76" s="27" t="n"/>
      <c r="AJ76" s="27" t="n"/>
      <c r="AK76" s="27" t="n"/>
      <c r="AL76" s="27" t="n"/>
      <c r="AM76" s="27" t="n"/>
      <c r="AN76" s="27" t="n"/>
      <c r="AO76" s="27" t="n"/>
      <c r="AP76" s="27" t="n"/>
      <c r="AQ76" s="27" t="n"/>
      <c r="AR76" s="27" t="n"/>
      <c r="AS76" s="27" t="n"/>
      <c r="AT76" s="27" t="n"/>
      <c r="AU76" s="27" t="n"/>
      <c r="AV76" s="27" t="n"/>
      <c r="AW76" s="27" t="n"/>
      <c r="AX76" s="27" t="n"/>
      <c r="AY76" s="27" t="n"/>
      <c r="AZ76" s="27" t="n"/>
      <c r="BA76" s="27" t="n"/>
      <c r="BB76" s="27" t="n"/>
      <c r="BC76" s="27" t="n"/>
      <c r="BD76" s="27" t="n"/>
      <c r="BE76" s="27" t="n"/>
      <c r="BF76" s="27" t="n"/>
      <c r="BG76" s="27" t="n"/>
      <c r="BH76" s="27" t="n"/>
      <c r="BI76" s="29" t="n"/>
      <c r="BJ76" s="27" t="n"/>
      <c r="BK76" s="27" t="n"/>
      <c r="BL76" s="27" t="n"/>
      <c r="BM76" s="27" t="n"/>
      <c r="DN76" s="26">
        <f>IF('テスト条件'!A75="","",'テスト条件'!A75)</f>
        <v/>
      </c>
    </row>
    <row r="77">
      <c r="A77" s="27" t="n"/>
      <c r="B77" s="27" t="n"/>
      <c r="C77" s="28">
        <f>IF(A77="","",$B$2)</f>
        <v/>
      </c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  <c r="AA77" s="27" t="n"/>
      <c r="AB77" s="27" t="n"/>
      <c r="AC77" s="27" t="n"/>
      <c r="AD77" s="27" t="n"/>
      <c r="AE77" s="27" t="n"/>
      <c r="AF77" s="27" t="n"/>
      <c r="AG77" s="27" t="n"/>
      <c r="AH77" s="27" t="n"/>
      <c r="AI77" s="27" t="n"/>
      <c r="AJ77" s="27" t="n"/>
      <c r="AK77" s="27" t="n"/>
      <c r="AL77" s="27" t="n"/>
      <c r="AM77" s="27" t="n"/>
      <c r="AN77" s="27" t="n"/>
      <c r="AO77" s="27" t="n"/>
      <c r="AP77" s="27" t="n"/>
      <c r="AQ77" s="27" t="n"/>
      <c r="AR77" s="27" t="n"/>
      <c r="AS77" s="27" t="n"/>
      <c r="AT77" s="27" t="n"/>
      <c r="AU77" s="27" t="n"/>
      <c r="AV77" s="27" t="n"/>
      <c r="AW77" s="27" t="n"/>
      <c r="AX77" s="27" t="n"/>
      <c r="AY77" s="27" t="n"/>
      <c r="AZ77" s="27" t="n"/>
      <c r="BA77" s="27" t="n"/>
      <c r="BB77" s="27" t="n"/>
      <c r="BC77" s="27" t="n"/>
      <c r="BD77" s="27" t="n"/>
      <c r="BE77" s="27" t="n"/>
      <c r="BF77" s="27" t="n"/>
      <c r="BG77" s="27" t="n"/>
      <c r="BH77" s="27" t="n"/>
      <c r="BI77" s="29" t="n"/>
      <c r="BJ77" s="27" t="n"/>
      <c r="BK77" s="27" t="n"/>
      <c r="BL77" s="27" t="n"/>
      <c r="BM77" s="27" t="n"/>
      <c r="DN77" s="26">
        <f>IF('テスト条件'!A76="","",'テスト条件'!A76)</f>
        <v/>
      </c>
    </row>
    <row r="78">
      <c r="A78" s="27" t="n"/>
      <c r="B78" s="27" t="n"/>
      <c r="C78" s="28">
        <f>IF(A78="","",$B$2)</f>
        <v/>
      </c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  <c r="AA78" s="27" t="n"/>
      <c r="AB78" s="27" t="n"/>
      <c r="AC78" s="27" t="n"/>
      <c r="AD78" s="27" t="n"/>
      <c r="AE78" s="27" t="n"/>
      <c r="AF78" s="27" t="n"/>
      <c r="AG78" s="27" t="n"/>
      <c r="AH78" s="27" t="n"/>
      <c r="AI78" s="27" t="n"/>
      <c r="AJ78" s="27" t="n"/>
      <c r="AK78" s="27" t="n"/>
      <c r="AL78" s="27" t="n"/>
      <c r="AM78" s="27" t="n"/>
      <c r="AN78" s="27" t="n"/>
      <c r="AO78" s="27" t="n"/>
      <c r="AP78" s="27" t="n"/>
      <c r="AQ78" s="27" t="n"/>
      <c r="AR78" s="27" t="n"/>
      <c r="AS78" s="27" t="n"/>
      <c r="AT78" s="27" t="n"/>
      <c r="AU78" s="27" t="n"/>
      <c r="AV78" s="27" t="n"/>
      <c r="AW78" s="27" t="n"/>
      <c r="AX78" s="27" t="n"/>
      <c r="AY78" s="27" t="n"/>
      <c r="AZ78" s="27" t="n"/>
      <c r="BA78" s="27" t="n"/>
      <c r="BB78" s="27" t="n"/>
      <c r="BC78" s="27" t="n"/>
      <c r="BD78" s="27" t="n"/>
      <c r="BE78" s="27" t="n"/>
      <c r="BF78" s="27" t="n"/>
      <c r="BG78" s="27" t="n"/>
      <c r="BH78" s="27" t="n"/>
      <c r="BI78" s="29" t="n"/>
      <c r="BJ78" s="27" t="n"/>
      <c r="BK78" s="27" t="n"/>
      <c r="BL78" s="27" t="n"/>
      <c r="BM78" s="27" t="n"/>
      <c r="DN78" s="26">
        <f>IF('テスト条件'!A77="","",'テスト条件'!A77)</f>
        <v/>
      </c>
    </row>
    <row r="79">
      <c r="A79" s="27" t="n"/>
      <c r="B79" s="27" t="n"/>
      <c r="C79" s="28">
        <f>IF(A79="","",$B$2)</f>
        <v/>
      </c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  <c r="AA79" s="27" t="n"/>
      <c r="AB79" s="27" t="n"/>
      <c r="AC79" s="27" t="n"/>
      <c r="AD79" s="27" t="n"/>
      <c r="AE79" s="27" t="n"/>
      <c r="AF79" s="27" t="n"/>
      <c r="AG79" s="27" t="n"/>
      <c r="AH79" s="27" t="n"/>
      <c r="AI79" s="27" t="n"/>
      <c r="AJ79" s="27" t="n"/>
      <c r="AK79" s="27" t="n"/>
      <c r="AL79" s="27" t="n"/>
      <c r="AM79" s="27" t="n"/>
      <c r="AN79" s="27" t="n"/>
      <c r="AO79" s="27" t="n"/>
      <c r="AP79" s="27" t="n"/>
      <c r="AQ79" s="27" t="n"/>
      <c r="AR79" s="27" t="n"/>
      <c r="AS79" s="27" t="n"/>
      <c r="AT79" s="27" t="n"/>
      <c r="AU79" s="27" t="n"/>
      <c r="AV79" s="27" t="n"/>
      <c r="AW79" s="27" t="n"/>
      <c r="AX79" s="27" t="n"/>
      <c r="AY79" s="27" t="n"/>
      <c r="AZ79" s="27" t="n"/>
      <c r="BA79" s="27" t="n"/>
      <c r="BB79" s="27" t="n"/>
      <c r="BC79" s="27" t="n"/>
      <c r="BD79" s="27" t="n"/>
      <c r="BE79" s="27" t="n"/>
      <c r="BF79" s="27" t="n"/>
      <c r="BG79" s="27" t="n"/>
      <c r="BH79" s="27" t="n"/>
      <c r="BI79" s="29" t="n"/>
      <c r="BJ79" s="27" t="n"/>
      <c r="BK79" s="27" t="n"/>
      <c r="BL79" s="27" t="n"/>
      <c r="BM79" s="27" t="n"/>
      <c r="DN79" s="26">
        <f>IF('テスト条件'!A78="","",'テスト条件'!A78)</f>
        <v/>
      </c>
    </row>
    <row r="80">
      <c r="A80" s="27" t="n"/>
      <c r="B80" s="27" t="n"/>
      <c r="C80" s="28">
        <f>IF(A80="","",$B$2)</f>
        <v/>
      </c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27" t="n"/>
      <c r="AJ80" s="27" t="n"/>
      <c r="AK80" s="27" t="n"/>
      <c r="AL80" s="27" t="n"/>
      <c r="AM80" s="27" t="n"/>
      <c r="AN80" s="27" t="n"/>
      <c r="AO80" s="27" t="n"/>
      <c r="AP80" s="27" t="n"/>
      <c r="AQ80" s="27" t="n"/>
      <c r="AR80" s="27" t="n"/>
      <c r="AS80" s="27" t="n"/>
      <c r="AT80" s="27" t="n"/>
      <c r="AU80" s="27" t="n"/>
      <c r="AV80" s="27" t="n"/>
      <c r="AW80" s="27" t="n"/>
      <c r="AX80" s="27" t="n"/>
      <c r="AY80" s="27" t="n"/>
      <c r="AZ80" s="27" t="n"/>
      <c r="BA80" s="27" t="n"/>
      <c r="BB80" s="27" t="n"/>
      <c r="BC80" s="27" t="n"/>
      <c r="BD80" s="27" t="n"/>
      <c r="BE80" s="27" t="n"/>
      <c r="BF80" s="27" t="n"/>
      <c r="BG80" s="27" t="n"/>
      <c r="BH80" s="27" t="n"/>
      <c r="BI80" s="29" t="n"/>
      <c r="BJ80" s="27" t="n"/>
      <c r="BK80" s="27" t="n"/>
      <c r="BL80" s="27" t="n"/>
      <c r="BM80" s="27" t="n"/>
      <c r="DN80" s="26">
        <f>IF('テスト条件'!A79="","",'テスト条件'!A79)</f>
        <v/>
      </c>
    </row>
    <row r="81">
      <c r="A81" s="27" t="n"/>
      <c r="B81" s="27" t="n"/>
      <c r="C81" s="28">
        <f>IF(A81="","",$B$2)</f>
        <v/>
      </c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  <c r="AA81" s="27" t="n"/>
      <c r="AB81" s="27" t="n"/>
      <c r="AC81" s="27" t="n"/>
      <c r="AD81" s="27" t="n"/>
      <c r="AE81" s="27" t="n"/>
      <c r="AF81" s="27" t="n"/>
      <c r="AG81" s="27" t="n"/>
      <c r="AH81" s="27" t="n"/>
      <c r="AI81" s="27" t="n"/>
      <c r="AJ81" s="27" t="n"/>
      <c r="AK81" s="27" t="n"/>
      <c r="AL81" s="27" t="n"/>
      <c r="AM81" s="27" t="n"/>
      <c r="AN81" s="27" t="n"/>
      <c r="AO81" s="27" t="n"/>
      <c r="AP81" s="27" t="n"/>
      <c r="AQ81" s="27" t="n"/>
      <c r="AR81" s="27" t="n"/>
      <c r="AS81" s="27" t="n"/>
      <c r="AT81" s="27" t="n"/>
      <c r="AU81" s="27" t="n"/>
      <c r="AV81" s="27" t="n"/>
      <c r="AW81" s="27" t="n"/>
      <c r="AX81" s="27" t="n"/>
      <c r="AY81" s="27" t="n"/>
      <c r="AZ81" s="27" t="n"/>
      <c r="BA81" s="27" t="n"/>
      <c r="BB81" s="27" t="n"/>
      <c r="BC81" s="27" t="n"/>
      <c r="BD81" s="27" t="n"/>
      <c r="BE81" s="27" t="n"/>
      <c r="BF81" s="27" t="n"/>
      <c r="BG81" s="27" t="n"/>
      <c r="BH81" s="27" t="n"/>
      <c r="BI81" s="29" t="n"/>
      <c r="BJ81" s="27" t="n"/>
      <c r="BK81" s="27" t="n"/>
      <c r="BL81" s="27" t="n"/>
      <c r="BM81" s="27" t="n"/>
      <c r="DN81" s="26">
        <f>IF('テスト条件'!A80="","",'テスト条件'!A80)</f>
        <v/>
      </c>
    </row>
    <row r="82">
      <c r="A82" s="27" t="n"/>
      <c r="B82" s="27" t="n"/>
      <c r="C82" s="28">
        <f>IF(A82="","",$B$2)</f>
        <v/>
      </c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  <c r="AA82" s="27" t="n"/>
      <c r="AB82" s="27" t="n"/>
      <c r="AC82" s="27" t="n"/>
      <c r="AD82" s="27" t="n"/>
      <c r="AE82" s="27" t="n"/>
      <c r="AF82" s="27" t="n"/>
      <c r="AG82" s="27" t="n"/>
      <c r="AH82" s="27" t="n"/>
      <c r="AI82" s="27" t="n"/>
      <c r="AJ82" s="27" t="n"/>
      <c r="AK82" s="27" t="n"/>
      <c r="AL82" s="27" t="n"/>
      <c r="AM82" s="27" t="n"/>
      <c r="AN82" s="27" t="n"/>
      <c r="AO82" s="27" t="n"/>
      <c r="AP82" s="27" t="n"/>
      <c r="AQ82" s="27" t="n"/>
      <c r="AR82" s="27" t="n"/>
      <c r="AS82" s="27" t="n"/>
      <c r="AT82" s="27" t="n"/>
      <c r="AU82" s="27" t="n"/>
      <c r="AV82" s="27" t="n"/>
      <c r="AW82" s="27" t="n"/>
      <c r="AX82" s="27" t="n"/>
      <c r="AY82" s="27" t="n"/>
      <c r="AZ82" s="27" t="n"/>
      <c r="BA82" s="27" t="n"/>
      <c r="BB82" s="27" t="n"/>
      <c r="BC82" s="27" t="n"/>
      <c r="BD82" s="27" t="n"/>
      <c r="BE82" s="27" t="n"/>
      <c r="BF82" s="27" t="n"/>
      <c r="BG82" s="27" t="n"/>
      <c r="BH82" s="27" t="n"/>
      <c r="BI82" s="29" t="n"/>
      <c r="BJ82" s="27" t="n"/>
      <c r="BK82" s="27" t="n"/>
      <c r="BL82" s="27" t="n"/>
      <c r="BM82" s="27" t="n"/>
      <c r="DN82" s="26">
        <f>IF('テスト条件'!A81="","",'テスト条件'!A81)</f>
        <v/>
      </c>
    </row>
    <row r="83">
      <c r="A83" s="27" t="n"/>
      <c r="B83" s="27" t="n"/>
      <c r="C83" s="28">
        <f>IF(A83="","",$B$2)</f>
        <v/>
      </c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  <c r="AA83" s="27" t="n"/>
      <c r="AB83" s="27" t="n"/>
      <c r="AC83" s="27" t="n"/>
      <c r="AD83" s="27" t="n"/>
      <c r="AE83" s="27" t="n"/>
      <c r="AF83" s="27" t="n"/>
      <c r="AG83" s="27" t="n"/>
      <c r="AH83" s="27" t="n"/>
      <c r="AI83" s="27" t="n"/>
      <c r="AJ83" s="27" t="n"/>
      <c r="AK83" s="27" t="n"/>
      <c r="AL83" s="27" t="n"/>
      <c r="AM83" s="27" t="n"/>
      <c r="AN83" s="27" t="n"/>
      <c r="AO83" s="27" t="n"/>
      <c r="AP83" s="27" t="n"/>
      <c r="AQ83" s="27" t="n"/>
      <c r="AR83" s="27" t="n"/>
      <c r="AS83" s="27" t="n"/>
      <c r="AT83" s="27" t="n"/>
      <c r="AU83" s="27" t="n"/>
      <c r="AV83" s="27" t="n"/>
      <c r="AW83" s="27" t="n"/>
      <c r="AX83" s="27" t="n"/>
      <c r="AY83" s="27" t="n"/>
      <c r="AZ83" s="27" t="n"/>
      <c r="BA83" s="27" t="n"/>
      <c r="BB83" s="27" t="n"/>
      <c r="BC83" s="27" t="n"/>
      <c r="BD83" s="27" t="n"/>
      <c r="BE83" s="27" t="n"/>
      <c r="BF83" s="27" t="n"/>
      <c r="BG83" s="27" t="n"/>
      <c r="BH83" s="27" t="n"/>
      <c r="BI83" s="29" t="n"/>
      <c r="BJ83" s="27" t="n"/>
      <c r="BK83" s="27" t="n"/>
      <c r="BL83" s="27" t="n"/>
      <c r="BM83" s="27" t="n"/>
      <c r="DN83" s="26">
        <f>IF('テスト条件'!A82="","",'テスト条件'!A82)</f>
        <v/>
      </c>
    </row>
    <row r="84">
      <c r="A84" s="27" t="n"/>
      <c r="B84" s="27" t="n"/>
      <c r="C84" s="28">
        <f>IF(A84="","",$B$2)</f>
        <v/>
      </c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  <c r="AA84" s="27" t="n"/>
      <c r="AB84" s="27" t="n"/>
      <c r="AC84" s="27" t="n"/>
      <c r="AD84" s="27" t="n"/>
      <c r="AE84" s="27" t="n"/>
      <c r="AF84" s="27" t="n"/>
      <c r="AG84" s="27" t="n"/>
      <c r="AH84" s="27" t="n"/>
      <c r="AI84" s="27" t="n"/>
      <c r="AJ84" s="27" t="n"/>
      <c r="AK84" s="27" t="n"/>
      <c r="AL84" s="27" t="n"/>
      <c r="AM84" s="27" t="n"/>
      <c r="AN84" s="27" t="n"/>
      <c r="AO84" s="27" t="n"/>
      <c r="AP84" s="27" t="n"/>
      <c r="AQ84" s="27" t="n"/>
      <c r="AR84" s="27" t="n"/>
      <c r="AS84" s="27" t="n"/>
      <c r="AT84" s="27" t="n"/>
      <c r="AU84" s="27" t="n"/>
      <c r="AV84" s="27" t="n"/>
      <c r="AW84" s="27" t="n"/>
      <c r="AX84" s="27" t="n"/>
      <c r="AY84" s="27" t="n"/>
      <c r="AZ84" s="27" t="n"/>
      <c r="BA84" s="27" t="n"/>
      <c r="BB84" s="27" t="n"/>
      <c r="BC84" s="27" t="n"/>
      <c r="BD84" s="27" t="n"/>
      <c r="BE84" s="27" t="n"/>
      <c r="BF84" s="27" t="n"/>
      <c r="BG84" s="27" t="n"/>
      <c r="BH84" s="27" t="n"/>
      <c r="BI84" s="29" t="n"/>
      <c r="BJ84" s="27" t="n"/>
      <c r="BK84" s="27" t="n"/>
      <c r="BL84" s="27" t="n"/>
      <c r="BM84" s="27" t="n"/>
      <c r="DN84" s="26">
        <f>IF('テスト条件'!A83="","",'テスト条件'!A83)</f>
        <v/>
      </c>
    </row>
    <row r="85">
      <c r="A85" s="27" t="n"/>
      <c r="B85" s="27" t="n"/>
      <c r="C85" s="28">
        <f>IF(A85="","",$B$2)</f>
        <v/>
      </c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  <c r="AA85" s="27" t="n"/>
      <c r="AB85" s="27" t="n"/>
      <c r="AC85" s="27" t="n"/>
      <c r="AD85" s="27" t="n"/>
      <c r="AE85" s="27" t="n"/>
      <c r="AF85" s="27" t="n"/>
      <c r="AG85" s="27" t="n"/>
      <c r="AH85" s="27" t="n"/>
      <c r="AI85" s="27" t="n"/>
      <c r="AJ85" s="27" t="n"/>
      <c r="AK85" s="27" t="n"/>
      <c r="AL85" s="27" t="n"/>
      <c r="AM85" s="27" t="n"/>
      <c r="AN85" s="27" t="n"/>
      <c r="AO85" s="27" t="n"/>
      <c r="AP85" s="27" t="n"/>
      <c r="AQ85" s="27" t="n"/>
      <c r="AR85" s="27" t="n"/>
      <c r="AS85" s="27" t="n"/>
      <c r="AT85" s="27" t="n"/>
      <c r="AU85" s="27" t="n"/>
      <c r="AV85" s="27" t="n"/>
      <c r="AW85" s="27" t="n"/>
      <c r="AX85" s="27" t="n"/>
      <c r="AY85" s="27" t="n"/>
      <c r="AZ85" s="27" t="n"/>
      <c r="BA85" s="27" t="n"/>
      <c r="BB85" s="27" t="n"/>
      <c r="BC85" s="27" t="n"/>
      <c r="BD85" s="27" t="n"/>
      <c r="BE85" s="27" t="n"/>
      <c r="BF85" s="27" t="n"/>
      <c r="BG85" s="27" t="n"/>
      <c r="BH85" s="27" t="n"/>
      <c r="BI85" s="29" t="n"/>
      <c r="BJ85" s="27" t="n"/>
      <c r="BK85" s="27" t="n"/>
      <c r="BL85" s="27" t="n"/>
      <c r="BM85" s="27" t="n"/>
      <c r="DN85" s="26">
        <f>IF('テスト条件'!A84="","",'テスト条件'!A84)</f>
        <v/>
      </c>
    </row>
    <row r="86">
      <c r="A86" s="27" t="n"/>
      <c r="B86" s="27" t="n"/>
      <c r="C86" s="28">
        <f>IF(A86="","",$B$2)</f>
        <v/>
      </c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27" t="n"/>
      <c r="AJ86" s="27" t="n"/>
      <c r="AK86" s="27" t="n"/>
      <c r="AL86" s="27" t="n"/>
      <c r="AM86" s="27" t="n"/>
      <c r="AN86" s="27" t="n"/>
      <c r="AO86" s="27" t="n"/>
      <c r="AP86" s="27" t="n"/>
      <c r="AQ86" s="27" t="n"/>
      <c r="AR86" s="27" t="n"/>
      <c r="AS86" s="27" t="n"/>
      <c r="AT86" s="27" t="n"/>
      <c r="AU86" s="27" t="n"/>
      <c r="AV86" s="27" t="n"/>
      <c r="AW86" s="27" t="n"/>
      <c r="AX86" s="27" t="n"/>
      <c r="AY86" s="27" t="n"/>
      <c r="AZ86" s="27" t="n"/>
      <c r="BA86" s="27" t="n"/>
      <c r="BB86" s="27" t="n"/>
      <c r="BC86" s="27" t="n"/>
      <c r="BD86" s="27" t="n"/>
      <c r="BE86" s="27" t="n"/>
      <c r="BF86" s="27" t="n"/>
      <c r="BG86" s="27" t="n"/>
      <c r="BH86" s="27" t="n"/>
      <c r="BI86" s="29" t="n"/>
      <c r="BJ86" s="27" t="n"/>
      <c r="BK86" s="27" t="n"/>
      <c r="BL86" s="27" t="n"/>
      <c r="BM86" s="27" t="n"/>
      <c r="DN86" s="26">
        <f>IF('テスト条件'!A85="","",'テスト条件'!A85)</f>
        <v/>
      </c>
    </row>
    <row r="87">
      <c r="A87" s="27" t="n"/>
      <c r="B87" s="27" t="n"/>
      <c r="C87" s="28">
        <f>IF(A87="","",$B$2)</f>
        <v/>
      </c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  <c r="AA87" s="27" t="n"/>
      <c r="AB87" s="27" t="n"/>
      <c r="AC87" s="27" t="n"/>
      <c r="AD87" s="27" t="n"/>
      <c r="AE87" s="27" t="n"/>
      <c r="AF87" s="27" t="n"/>
      <c r="AG87" s="27" t="n"/>
      <c r="AH87" s="27" t="n"/>
      <c r="AI87" s="27" t="n"/>
      <c r="AJ87" s="27" t="n"/>
      <c r="AK87" s="27" t="n"/>
      <c r="AL87" s="27" t="n"/>
      <c r="AM87" s="27" t="n"/>
      <c r="AN87" s="27" t="n"/>
      <c r="AO87" s="27" t="n"/>
      <c r="AP87" s="27" t="n"/>
      <c r="AQ87" s="27" t="n"/>
      <c r="AR87" s="27" t="n"/>
      <c r="AS87" s="27" t="n"/>
      <c r="AT87" s="27" t="n"/>
      <c r="AU87" s="27" t="n"/>
      <c r="AV87" s="27" t="n"/>
      <c r="AW87" s="27" t="n"/>
      <c r="AX87" s="27" t="n"/>
      <c r="AY87" s="27" t="n"/>
      <c r="AZ87" s="27" t="n"/>
      <c r="BA87" s="27" t="n"/>
      <c r="BB87" s="27" t="n"/>
      <c r="BC87" s="27" t="n"/>
      <c r="BD87" s="27" t="n"/>
      <c r="BE87" s="27" t="n"/>
      <c r="BF87" s="27" t="n"/>
      <c r="BG87" s="27" t="n"/>
      <c r="BH87" s="27" t="n"/>
      <c r="BI87" s="29" t="n"/>
      <c r="BJ87" s="27" t="n"/>
      <c r="BK87" s="27" t="n"/>
      <c r="BL87" s="27" t="n"/>
      <c r="BM87" s="27" t="n"/>
      <c r="DN87" s="26">
        <f>IF('テスト条件'!A86="","",'テスト条件'!A86)</f>
        <v/>
      </c>
    </row>
    <row r="88">
      <c r="A88" s="27" t="n"/>
      <c r="B88" s="27" t="n"/>
      <c r="C88" s="28">
        <f>IF(A88="","",$B$2)</f>
        <v/>
      </c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  <c r="AA88" s="27" t="n"/>
      <c r="AB88" s="27" t="n"/>
      <c r="AC88" s="27" t="n"/>
      <c r="AD88" s="27" t="n"/>
      <c r="AE88" s="27" t="n"/>
      <c r="AF88" s="27" t="n"/>
      <c r="AG88" s="27" t="n"/>
      <c r="AH88" s="27" t="n"/>
      <c r="AI88" s="27" t="n"/>
      <c r="AJ88" s="27" t="n"/>
      <c r="AK88" s="27" t="n"/>
      <c r="AL88" s="27" t="n"/>
      <c r="AM88" s="27" t="n"/>
      <c r="AN88" s="27" t="n"/>
      <c r="AO88" s="27" t="n"/>
      <c r="AP88" s="27" t="n"/>
      <c r="AQ88" s="27" t="n"/>
      <c r="AR88" s="27" t="n"/>
      <c r="AS88" s="27" t="n"/>
      <c r="AT88" s="27" t="n"/>
      <c r="AU88" s="27" t="n"/>
      <c r="AV88" s="27" t="n"/>
      <c r="AW88" s="27" t="n"/>
      <c r="AX88" s="27" t="n"/>
      <c r="AY88" s="27" t="n"/>
      <c r="AZ88" s="27" t="n"/>
      <c r="BA88" s="27" t="n"/>
      <c r="BB88" s="27" t="n"/>
      <c r="BC88" s="27" t="n"/>
      <c r="BD88" s="27" t="n"/>
      <c r="BE88" s="27" t="n"/>
      <c r="BF88" s="27" t="n"/>
      <c r="BG88" s="27" t="n"/>
      <c r="BH88" s="27" t="n"/>
      <c r="BI88" s="29" t="n"/>
      <c r="BJ88" s="27" t="n"/>
      <c r="BK88" s="27" t="n"/>
      <c r="BL88" s="27" t="n"/>
      <c r="BM88" s="27" t="n"/>
      <c r="DN88" s="26">
        <f>IF('テスト条件'!A87="","",'テスト条件'!A87)</f>
        <v/>
      </c>
    </row>
    <row r="89">
      <c r="A89" s="27" t="n"/>
      <c r="B89" s="27" t="n"/>
      <c r="C89" s="28">
        <f>IF(A89="","",$B$2)</f>
        <v/>
      </c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27" t="n"/>
      <c r="AJ89" s="27" t="n"/>
      <c r="AK89" s="27" t="n"/>
      <c r="AL89" s="27" t="n"/>
      <c r="AM89" s="27" t="n"/>
      <c r="AN89" s="27" t="n"/>
      <c r="AO89" s="27" t="n"/>
      <c r="AP89" s="27" t="n"/>
      <c r="AQ89" s="27" t="n"/>
      <c r="AR89" s="27" t="n"/>
      <c r="AS89" s="27" t="n"/>
      <c r="AT89" s="27" t="n"/>
      <c r="AU89" s="27" t="n"/>
      <c r="AV89" s="27" t="n"/>
      <c r="AW89" s="27" t="n"/>
      <c r="AX89" s="27" t="n"/>
      <c r="AY89" s="27" t="n"/>
      <c r="AZ89" s="27" t="n"/>
      <c r="BA89" s="27" t="n"/>
      <c r="BB89" s="27" t="n"/>
      <c r="BC89" s="27" t="n"/>
      <c r="BD89" s="27" t="n"/>
      <c r="BE89" s="27" t="n"/>
      <c r="BF89" s="27" t="n"/>
      <c r="BG89" s="27" t="n"/>
      <c r="BH89" s="27" t="n"/>
      <c r="BI89" s="29" t="n"/>
      <c r="BJ89" s="27" t="n"/>
      <c r="BK89" s="27" t="n"/>
      <c r="BL89" s="27" t="n"/>
      <c r="BM89" s="27" t="n"/>
      <c r="DN89" s="26">
        <f>IF('テスト条件'!A88="","",'テスト条件'!A88)</f>
        <v/>
      </c>
    </row>
    <row r="90">
      <c r="A90" s="27" t="n"/>
      <c r="B90" s="27" t="n"/>
      <c r="C90" s="28">
        <f>IF(A90="","",$B$2)</f>
        <v/>
      </c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  <c r="AA90" s="27" t="n"/>
      <c r="AB90" s="27" t="n"/>
      <c r="AC90" s="27" t="n"/>
      <c r="AD90" s="27" t="n"/>
      <c r="AE90" s="27" t="n"/>
      <c r="AF90" s="27" t="n"/>
      <c r="AG90" s="27" t="n"/>
      <c r="AH90" s="27" t="n"/>
      <c r="AI90" s="27" t="n"/>
      <c r="AJ90" s="27" t="n"/>
      <c r="AK90" s="27" t="n"/>
      <c r="AL90" s="27" t="n"/>
      <c r="AM90" s="27" t="n"/>
      <c r="AN90" s="27" t="n"/>
      <c r="AO90" s="27" t="n"/>
      <c r="AP90" s="27" t="n"/>
      <c r="AQ90" s="27" t="n"/>
      <c r="AR90" s="27" t="n"/>
      <c r="AS90" s="27" t="n"/>
      <c r="AT90" s="27" t="n"/>
      <c r="AU90" s="27" t="n"/>
      <c r="AV90" s="27" t="n"/>
      <c r="AW90" s="27" t="n"/>
      <c r="AX90" s="27" t="n"/>
      <c r="AY90" s="27" t="n"/>
      <c r="AZ90" s="27" t="n"/>
      <c r="BA90" s="27" t="n"/>
      <c r="BB90" s="27" t="n"/>
      <c r="BC90" s="27" t="n"/>
      <c r="BD90" s="27" t="n"/>
      <c r="BE90" s="27" t="n"/>
      <c r="BF90" s="27" t="n"/>
      <c r="BG90" s="27" t="n"/>
      <c r="BH90" s="27" t="n"/>
      <c r="BI90" s="29" t="n"/>
      <c r="BJ90" s="27" t="n"/>
      <c r="BK90" s="27" t="n"/>
      <c r="BL90" s="27" t="n"/>
      <c r="BM90" s="27" t="n"/>
      <c r="DN90" s="26">
        <f>IF('テスト条件'!A89="","",'テスト条件'!A89)</f>
        <v/>
      </c>
    </row>
    <row r="91">
      <c r="A91" s="27" t="n"/>
      <c r="B91" s="27" t="n"/>
      <c r="C91" s="28">
        <f>IF(A91="","",$B$2)</f>
        <v/>
      </c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  <c r="AA91" s="27" t="n"/>
      <c r="AB91" s="27" t="n"/>
      <c r="AC91" s="27" t="n"/>
      <c r="AD91" s="27" t="n"/>
      <c r="AE91" s="27" t="n"/>
      <c r="AF91" s="27" t="n"/>
      <c r="AG91" s="27" t="n"/>
      <c r="AH91" s="27" t="n"/>
      <c r="AI91" s="27" t="n"/>
      <c r="AJ91" s="27" t="n"/>
      <c r="AK91" s="27" t="n"/>
      <c r="AL91" s="27" t="n"/>
      <c r="AM91" s="27" t="n"/>
      <c r="AN91" s="27" t="n"/>
      <c r="AO91" s="27" t="n"/>
      <c r="AP91" s="27" t="n"/>
      <c r="AQ91" s="27" t="n"/>
      <c r="AR91" s="27" t="n"/>
      <c r="AS91" s="27" t="n"/>
      <c r="AT91" s="27" t="n"/>
      <c r="AU91" s="27" t="n"/>
      <c r="AV91" s="27" t="n"/>
      <c r="AW91" s="27" t="n"/>
      <c r="AX91" s="27" t="n"/>
      <c r="AY91" s="27" t="n"/>
      <c r="AZ91" s="27" t="n"/>
      <c r="BA91" s="27" t="n"/>
      <c r="BB91" s="27" t="n"/>
      <c r="BC91" s="27" t="n"/>
      <c r="BD91" s="27" t="n"/>
      <c r="BE91" s="27" t="n"/>
      <c r="BF91" s="27" t="n"/>
      <c r="BG91" s="27" t="n"/>
      <c r="BH91" s="27" t="n"/>
      <c r="BI91" s="29" t="n"/>
      <c r="BJ91" s="27" t="n"/>
      <c r="BK91" s="27" t="n"/>
      <c r="BL91" s="27" t="n"/>
      <c r="BM91" s="27" t="n"/>
      <c r="DN91" s="26">
        <f>IF('テスト条件'!A90="","",'テスト条件'!A90)</f>
        <v/>
      </c>
    </row>
    <row r="92">
      <c r="A92" s="27" t="n"/>
      <c r="B92" s="27" t="n"/>
      <c r="C92" s="28">
        <f>IF(A92="","",$B$2)</f>
        <v/>
      </c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  <c r="AA92" s="27" t="n"/>
      <c r="AB92" s="27" t="n"/>
      <c r="AC92" s="27" t="n"/>
      <c r="AD92" s="27" t="n"/>
      <c r="AE92" s="27" t="n"/>
      <c r="AF92" s="27" t="n"/>
      <c r="AG92" s="27" t="n"/>
      <c r="AH92" s="27" t="n"/>
      <c r="AI92" s="27" t="n"/>
      <c r="AJ92" s="27" t="n"/>
      <c r="AK92" s="27" t="n"/>
      <c r="AL92" s="27" t="n"/>
      <c r="AM92" s="27" t="n"/>
      <c r="AN92" s="27" t="n"/>
      <c r="AO92" s="27" t="n"/>
      <c r="AP92" s="27" t="n"/>
      <c r="AQ92" s="27" t="n"/>
      <c r="AR92" s="27" t="n"/>
      <c r="AS92" s="27" t="n"/>
      <c r="AT92" s="27" t="n"/>
      <c r="AU92" s="27" t="n"/>
      <c r="AV92" s="27" t="n"/>
      <c r="AW92" s="27" t="n"/>
      <c r="AX92" s="27" t="n"/>
      <c r="AY92" s="27" t="n"/>
      <c r="AZ92" s="27" t="n"/>
      <c r="BA92" s="27" t="n"/>
      <c r="BB92" s="27" t="n"/>
      <c r="BC92" s="27" t="n"/>
      <c r="BD92" s="27" t="n"/>
      <c r="BE92" s="27" t="n"/>
      <c r="BF92" s="27" t="n"/>
      <c r="BG92" s="27" t="n"/>
      <c r="BH92" s="27" t="n"/>
      <c r="BI92" s="29" t="n"/>
      <c r="BJ92" s="27" t="n"/>
      <c r="BK92" s="27" t="n"/>
      <c r="BL92" s="27" t="n"/>
      <c r="BM92" s="27" t="n"/>
      <c r="DN92" s="26">
        <f>IF('テスト条件'!A91="","",'テスト条件'!A91)</f>
        <v/>
      </c>
    </row>
    <row r="93">
      <c r="A93" s="27" t="n"/>
      <c r="B93" s="27" t="n"/>
      <c r="C93" s="28">
        <f>IF(A93="","",$B$2)</f>
        <v/>
      </c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7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9" t="n"/>
      <c r="BJ93" s="27" t="n"/>
      <c r="BK93" s="27" t="n"/>
      <c r="BL93" s="27" t="n"/>
      <c r="BM93" s="27" t="n"/>
      <c r="DN93" s="26">
        <f>IF('テスト条件'!A92="","",'テスト条件'!A92)</f>
        <v/>
      </c>
    </row>
    <row r="94">
      <c r="A94" s="27" t="n"/>
      <c r="B94" s="27" t="n"/>
      <c r="C94" s="28">
        <f>IF(A94="","",$B$2)</f>
        <v/>
      </c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7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9" t="n"/>
      <c r="BJ94" s="27" t="n"/>
      <c r="BK94" s="27" t="n"/>
      <c r="BL94" s="27" t="n"/>
      <c r="BM94" s="27" t="n"/>
      <c r="DN94" s="26">
        <f>IF('テスト条件'!A93="","",'テスト条件'!A93)</f>
        <v/>
      </c>
    </row>
    <row r="95">
      <c r="A95" s="27" t="n"/>
      <c r="B95" s="27" t="n"/>
      <c r="C95" s="28">
        <f>IF(A95="","",$B$2)</f>
        <v/>
      </c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7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9" t="n"/>
      <c r="BJ95" s="27" t="n"/>
      <c r="BK95" s="27" t="n"/>
      <c r="BL95" s="27" t="n"/>
      <c r="BM95" s="27" t="n"/>
      <c r="DN95" s="26">
        <f>IF('テスト条件'!A94="","",'テスト条件'!A94)</f>
        <v/>
      </c>
    </row>
    <row r="96">
      <c r="A96" s="27" t="n"/>
      <c r="B96" s="27" t="n"/>
      <c r="C96" s="28">
        <f>IF(A96="","",$B$2)</f>
        <v/>
      </c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7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9" t="n"/>
      <c r="BJ96" s="27" t="n"/>
      <c r="BK96" s="27" t="n"/>
      <c r="BL96" s="27" t="n"/>
      <c r="BM96" s="27" t="n"/>
      <c r="DN96" s="26">
        <f>IF('テスト条件'!A95="","",'テスト条件'!A95)</f>
        <v/>
      </c>
    </row>
    <row r="97">
      <c r="A97" s="27" t="n"/>
      <c r="B97" s="27" t="n"/>
      <c r="C97" s="28">
        <f>IF(A97="","",$B$2)</f>
        <v/>
      </c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7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9" t="n"/>
      <c r="BJ97" s="27" t="n"/>
      <c r="BK97" s="27" t="n"/>
      <c r="BL97" s="27" t="n"/>
      <c r="BM97" s="27" t="n"/>
      <c r="DN97" s="26">
        <f>IF('テスト条件'!A96="","",'テスト条件'!A96)</f>
        <v/>
      </c>
    </row>
    <row r="98">
      <c r="A98" s="27" t="n"/>
      <c r="B98" s="27" t="n"/>
      <c r="C98" s="28">
        <f>IF(A98="","",$B$2)</f>
        <v/>
      </c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  <c r="AA98" s="27" t="n"/>
      <c r="AB98" s="27" t="n"/>
      <c r="AC98" s="27" t="n"/>
      <c r="AD98" s="27" t="n"/>
      <c r="AE98" s="27" t="n"/>
      <c r="AF98" s="27" t="n"/>
      <c r="AG98" s="27" t="n"/>
      <c r="AH98" s="27" t="n"/>
      <c r="AI98" s="27" t="n"/>
      <c r="AJ98" s="27" t="n"/>
      <c r="AK98" s="27" t="n"/>
      <c r="AL98" s="27" t="n"/>
      <c r="AM98" s="27" t="n"/>
      <c r="AN98" s="27" t="n"/>
      <c r="AO98" s="27" t="n"/>
      <c r="AP98" s="27" t="n"/>
      <c r="AQ98" s="27" t="n"/>
      <c r="AR98" s="27" t="n"/>
      <c r="AS98" s="27" t="n"/>
      <c r="AT98" s="27" t="n"/>
      <c r="AU98" s="27" t="n"/>
      <c r="AV98" s="27" t="n"/>
      <c r="AW98" s="27" t="n"/>
      <c r="AX98" s="27" t="n"/>
      <c r="AY98" s="27" t="n"/>
      <c r="AZ98" s="27" t="n"/>
      <c r="BA98" s="27" t="n"/>
      <c r="BB98" s="27" t="n"/>
      <c r="BC98" s="27" t="n"/>
      <c r="BD98" s="27" t="n"/>
      <c r="BE98" s="27" t="n"/>
      <c r="BF98" s="27" t="n"/>
      <c r="BG98" s="27" t="n"/>
      <c r="BH98" s="27" t="n"/>
      <c r="BI98" s="29" t="n"/>
      <c r="BJ98" s="27" t="n"/>
      <c r="BK98" s="27" t="n"/>
      <c r="BL98" s="27" t="n"/>
      <c r="BM98" s="27" t="n"/>
      <c r="DN98" s="26">
        <f>IF('テスト条件'!A97="","",'テスト条件'!A97)</f>
        <v/>
      </c>
    </row>
    <row r="99">
      <c r="A99" s="27" t="n"/>
      <c r="B99" s="27" t="n"/>
      <c r="C99" s="28">
        <f>IF(A99="","",$B$2)</f>
        <v/>
      </c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  <c r="AA99" s="27" t="n"/>
      <c r="AB99" s="27" t="n"/>
      <c r="AC99" s="27" t="n"/>
      <c r="AD99" s="27" t="n"/>
      <c r="AE99" s="27" t="n"/>
      <c r="AF99" s="27" t="n"/>
      <c r="AG99" s="27" t="n"/>
      <c r="AH99" s="27" t="n"/>
      <c r="AI99" s="27" t="n"/>
      <c r="AJ99" s="27" t="n"/>
      <c r="AK99" s="27" t="n"/>
      <c r="AL99" s="27" t="n"/>
      <c r="AM99" s="27" t="n"/>
      <c r="AN99" s="27" t="n"/>
      <c r="AO99" s="27" t="n"/>
      <c r="AP99" s="27" t="n"/>
      <c r="AQ99" s="27" t="n"/>
      <c r="AR99" s="27" t="n"/>
      <c r="AS99" s="27" t="n"/>
      <c r="AT99" s="27" t="n"/>
      <c r="AU99" s="27" t="n"/>
      <c r="AV99" s="27" t="n"/>
      <c r="AW99" s="27" t="n"/>
      <c r="AX99" s="27" t="n"/>
      <c r="AY99" s="27" t="n"/>
      <c r="AZ99" s="27" t="n"/>
      <c r="BA99" s="27" t="n"/>
      <c r="BB99" s="27" t="n"/>
      <c r="BC99" s="27" t="n"/>
      <c r="BD99" s="27" t="n"/>
      <c r="BE99" s="27" t="n"/>
      <c r="BF99" s="27" t="n"/>
      <c r="BG99" s="27" t="n"/>
      <c r="BH99" s="27" t="n"/>
      <c r="BI99" s="29" t="n"/>
      <c r="BJ99" s="27" t="n"/>
      <c r="BK99" s="27" t="n"/>
      <c r="BL99" s="27" t="n"/>
      <c r="BM99" s="27" t="n"/>
      <c r="DN99" s="26">
        <f>IF('テスト条件'!A98="","",'テスト条件'!A98)</f>
        <v/>
      </c>
    </row>
    <row r="100">
      <c r="A100" s="27" t="n"/>
      <c r="B100" s="27" t="n"/>
      <c r="C100" s="28">
        <f>IF(A100="","",$B$2)</f>
        <v/>
      </c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  <c r="AA100" s="27" t="n"/>
      <c r="AB100" s="27" t="n"/>
      <c r="AC100" s="27" t="n"/>
      <c r="AD100" s="27" t="n"/>
      <c r="AE100" s="27" t="n"/>
      <c r="AF100" s="27" t="n"/>
      <c r="AG100" s="27" t="n"/>
      <c r="AH100" s="27" t="n"/>
      <c r="AI100" s="27" t="n"/>
      <c r="AJ100" s="27" t="n"/>
      <c r="AK100" s="27" t="n"/>
      <c r="AL100" s="27" t="n"/>
      <c r="AM100" s="27" t="n"/>
      <c r="AN100" s="27" t="n"/>
      <c r="AO100" s="27" t="n"/>
      <c r="AP100" s="27" t="n"/>
      <c r="AQ100" s="27" t="n"/>
      <c r="AR100" s="27" t="n"/>
      <c r="AS100" s="27" t="n"/>
      <c r="AT100" s="27" t="n"/>
      <c r="AU100" s="27" t="n"/>
      <c r="AV100" s="27" t="n"/>
      <c r="AW100" s="27" t="n"/>
      <c r="AX100" s="27" t="n"/>
      <c r="AY100" s="27" t="n"/>
      <c r="AZ100" s="27" t="n"/>
      <c r="BA100" s="27" t="n"/>
      <c r="BB100" s="27" t="n"/>
      <c r="BC100" s="27" t="n"/>
      <c r="BD100" s="27" t="n"/>
      <c r="BE100" s="27" t="n"/>
      <c r="BF100" s="27" t="n"/>
      <c r="BG100" s="27" t="n"/>
      <c r="BH100" s="27" t="n"/>
      <c r="BI100" s="29" t="n"/>
      <c r="BJ100" s="27" t="n"/>
      <c r="BK100" s="27" t="n"/>
      <c r="BL100" s="27" t="n"/>
      <c r="BM100" s="27" t="n"/>
      <c r="DN100" s="26">
        <f>IF('テスト条件'!A99="","",'テスト条件'!A99)</f>
        <v/>
      </c>
    </row>
    <row r="101">
      <c r="A101" s="27" t="n"/>
      <c r="B101" s="27" t="n"/>
      <c r="C101" s="28">
        <f>IF(A101="","",$B$2)</f>
        <v/>
      </c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  <c r="AA101" s="27" t="n"/>
      <c r="AB101" s="27" t="n"/>
      <c r="AC101" s="27" t="n"/>
      <c r="AD101" s="27" t="n"/>
      <c r="AE101" s="27" t="n"/>
      <c r="AF101" s="27" t="n"/>
      <c r="AG101" s="27" t="n"/>
      <c r="AH101" s="27" t="n"/>
      <c r="AI101" s="27" t="n"/>
      <c r="AJ101" s="27" t="n"/>
      <c r="AK101" s="27" t="n"/>
      <c r="AL101" s="27" t="n"/>
      <c r="AM101" s="27" t="n"/>
      <c r="AN101" s="27" t="n"/>
      <c r="AO101" s="27" t="n"/>
      <c r="AP101" s="27" t="n"/>
      <c r="AQ101" s="27" t="n"/>
      <c r="AR101" s="27" t="n"/>
      <c r="AS101" s="27" t="n"/>
      <c r="AT101" s="27" t="n"/>
      <c r="AU101" s="27" t="n"/>
      <c r="AV101" s="27" t="n"/>
      <c r="AW101" s="27" t="n"/>
      <c r="AX101" s="27" t="n"/>
      <c r="AY101" s="27" t="n"/>
      <c r="AZ101" s="27" t="n"/>
      <c r="BA101" s="27" t="n"/>
      <c r="BB101" s="27" t="n"/>
      <c r="BC101" s="27" t="n"/>
      <c r="BD101" s="27" t="n"/>
      <c r="BE101" s="27" t="n"/>
      <c r="BF101" s="27" t="n"/>
      <c r="BG101" s="27" t="n"/>
      <c r="BH101" s="27" t="n"/>
      <c r="BI101" s="29" t="n"/>
      <c r="BJ101" s="27" t="n"/>
      <c r="BK101" s="27" t="n"/>
      <c r="BL101" s="27" t="n"/>
      <c r="BM101" s="27" t="n"/>
      <c r="DN101" s="26">
        <f>IF('テスト条件'!A100="","",'テスト条件'!A100)</f>
        <v/>
      </c>
    </row>
    <row r="102">
      <c r="A102" s="27" t="n"/>
      <c r="B102" s="27" t="n"/>
      <c r="C102" s="28">
        <f>IF(A102="","",$B$2)</f>
        <v/>
      </c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  <c r="AA102" s="27" t="n"/>
      <c r="AB102" s="27" t="n"/>
      <c r="AC102" s="27" t="n"/>
      <c r="AD102" s="27" t="n"/>
      <c r="AE102" s="27" t="n"/>
      <c r="AF102" s="27" t="n"/>
      <c r="AG102" s="27" t="n"/>
      <c r="AH102" s="27" t="n"/>
      <c r="AI102" s="27" t="n"/>
      <c r="AJ102" s="27" t="n"/>
      <c r="AK102" s="27" t="n"/>
      <c r="AL102" s="27" t="n"/>
      <c r="AM102" s="27" t="n"/>
      <c r="AN102" s="27" t="n"/>
      <c r="AO102" s="27" t="n"/>
      <c r="AP102" s="27" t="n"/>
      <c r="AQ102" s="27" t="n"/>
      <c r="AR102" s="27" t="n"/>
      <c r="AS102" s="27" t="n"/>
      <c r="AT102" s="27" t="n"/>
      <c r="AU102" s="27" t="n"/>
      <c r="AV102" s="27" t="n"/>
      <c r="AW102" s="27" t="n"/>
      <c r="AX102" s="27" t="n"/>
      <c r="AY102" s="27" t="n"/>
      <c r="AZ102" s="27" t="n"/>
      <c r="BA102" s="27" t="n"/>
      <c r="BB102" s="27" t="n"/>
      <c r="BC102" s="27" t="n"/>
      <c r="BD102" s="27" t="n"/>
      <c r="BE102" s="27" t="n"/>
      <c r="BF102" s="27" t="n"/>
      <c r="BG102" s="27" t="n"/>
      <c r="BH102" s="27" t="n"/>
      <c r="BI102" s="29" t="n"/>
      <c r="BJ102" s="27" t="n"/>
      <c r="BK102" s="27" t="n"/>
      <c r="BL102" s="27" t="n"/>
      <c r="BM102" s="27" t="n"/>
      <c r="DN102" s="26">
        <f>IF('テスト条件'!A101="","",'テスト条件'!A101)</f>
        <v/>
      </c>
    </row>
    <row r="103">
      <c r="A103" s="27" t="n"/>
      <c r="B103" s="27" t="n"/>
      <c r="C103" s="28">
        <f>IF(A103="","",$B$2)</f>
        <v/>
      </c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  <c r="AA103" s="27" t="n"/>
      <c r="AB103" s="27" t="n"/>
      <c r="AC103" s="27" t="n"/>
      <c r="AD103" s="27" t="n"/>
      <c r="AE103" s="27" t="n"/>
      <c r="AF103" s="27" t="n"/>
      <c r="AG103" s="27" t="n"/>
      <c r="AH103" s="27" t="n"/>
      <c r="AI103" s="27" t="n"/>
      <c r="AJ103" s="27" t="n"/>
      <c r="AK103" s="27" t="n"/>
      <c r="AL103" s="27" t="n"/>
      <c r="AM103" s="27" t="n"/>
      <c r="AN103" s="27" t="n"/>
      <c r="AO103" s="27" t="n"/>
      <c r="AP103" s="27" t="n"/>
      <c r="AQ103" s="27" t="n"/>
      <c r="AR103" s="27" t="n"/>
      <c r="AS103" s="27" t="n"/>
      <c r="AT103" s="27" t="n"/>
      <c r="AU103" s="27" t="n"/>
      <c r="AV103" s="27" t="n"/>
      <c r="AW103" s="27" t="n"/>
      <c r="AX103" s="27" t="n"/>
      <c r="AY103" s="27" t="n"/>
      <c r="AZ103" s="27" t="n"/>
      <c r="BA103" s="27" t="n"/>
      <c r="BB103" s="27" t="n"/>
      <c r="BC103" s="27" t="n"/>
      <c r="BD103" s="27" t="n"/>
      <c r="BE103" s="27" t="n"/>
      <c r="BF103" s="27" t="n"/>
      <c r="BG103" s="27" t="n"/>
      <c r="BH103" s="27" t="n"/>
      <c r="BI103" s="29" t="n"/>
      <c r="BJ103" s="27" t="n"/>
      <c r="BK103" s="27" t="n"/>
      <c r="BL103" s="27" t="n"/>
      <c r="BM103" s="27" t="n"/>
      <c r="DN103" s="26">
        <f>IF('テスト条件'!A102="","",'テスト条件'!A102)</f>
        <v/>
      </c>
    </row>
    <row r="104">
      <c r="A104" s="27" t="n"/>
      <c r="B104" s="27" t="n"/>
      <c r="C104" s="28">
        <f>IF(A104="","",$B$2)</f>
        <v/>
      </c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  <c r="AA104" s="27" t="n"/>
      <c r="AB104" s="27" t="n"/>
      <c r="AC104" s="27" t="n"/>
      <c r="AD104" s="27" t="n"/>
      <c r="AE104" s="27" t="n"/>
      <c r="AF104" s="27" t="n"/>
      <c r="AG104" s="27" t="n"/>
      <c r="AH104" s="27" t="n"/>
      <c r="AI104" s="27" t="n"/>
      <c r="AJ104" s="27" t="n"/>
      <c r="AK104" s="27" t="n"/>
      <c r="AL104" s="27" t="n"/>
      <c r="AM104" s="27" t="n"/>
      <c r="AN104" s="27" t="n"/>
      <c r="AO104" s="27" t="n"/>
      <c r="AP104" s="27" t="n"/>
      <c r="AQ104" s="27" t="n"/>
      <c r="AR104" s="27" t="n"/>
      <c r="AS104" s="27" t="n"/>
      <c r="AT104" s="27" t="n"/>
      <c r="AU104" s="27" t="n"/>
      <c r="AV104" s="27" t="n"/>
      <c r="AW104" s="27" t="n"/>
      <c r="AX104" s="27" t="n"/>
      <c r="AY104" s="27" t="n"/>
      <c r="AZ104" s="27" t="n"/>
      <c r="BA104" s="27" t="n"/>
      <c r="BB104" s="27" t="n"/>
      <c r="BC104" s="27" t="n"/>
      <c r="BD104" s="27" t="n"/>
      <c r="BE104" s="27" t="n"/>
      <c r="BF104" s="27" t="n"/>
      <c r="BG104" s="27" t="n"/>
      <c r="BH104" s="27" t="n"/>
      <c r="BI104" s="29" t="n"/>
      <c r="BJ104" s="27" t="n"/>
      <c r="BK104" s="27" t="n"/>
      <c r="BL104" s="27" t="n"/>
      <c r="BM104" s="27" t="n"/>
      <c r="DN104" s="26">
        <f>IF('テスト条件'!A103="","",'テスト条件'!A103)</f>
        <v/>
      </c>
    </row>
    <row r="105">
      <c r="A105" s="27" t="n"/>
      <c r="B105" s="27" t="n"/>
      <c r="C105" s="28">
        <f>IF(A105="","",$B$2)</f>
        <v/>
      </c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  <c r="AA105" s="27" t="n"/>
      <c r="AB105" s="27" t="n"/>
      <c r="AC105" s="27" t="n"/>
      <c r="AD105" s="27" t="n"/>
      <c r="AE105" s="27" t="n"/>
      <c r="AF105" s="27" t="n"/>
      <c r="AG105" s="27" t="n"/>
      <c r="AH105" s="27" t="n"/>
      <c r="AI105" s="27" t="n"/>
      <c r="AJ105" s="27" t="n"/>
      <c r="AK105" s="27" t="n"/>
      <c r="AL105" s="27" t="n"/>
      <c r="AM105" s="27" t="n"/>
      <c r="AN105" s="27" t="n"/>
      <c r="AO105" s="27" t="n"/>
      <c r="AP105" s="27" t="n"/>
      <c r="AQ105" s="27" t="n"/>
      <c r="AR105" s="27" t="n"/>
      <c r="AS105" s="27" t="n"/>
      <c r="AT105" s="27" t="n"/>
      <c r="AU105" s="27" t="n"/>
      <c r="AV105" s="27" t="n"/>
      <c r="AW105" s="27" t="n"/>
      <c r="AX105" s="27" t="n"/>
      <c r="AY105" s="27" t="n"/>
      <c r="AZ105" s="27" t="n"/>
      <c r="BA105" s="27" t="n"/>
      <c r="BB105" s="27" t="n"/>
      <c r="BC105" s="27" t="n"/>
      <c r="BD105" s="27" t="n"/>
      <c r="BE105" s="27" t="n"/>
      <c r="BF105" s="27" t="n"/>
      <c r="BG105" s="27" t="n"/>
      <c r="BH105" s="27" t="n"/>
      <c r="BI105" s="29" t="n"/>
      <c r="BJ105" s="27" t="n"/>
      <c r="BK105" s="27" t="n"/>
      <c r="BL105" s="27" t="n"/>
      <c r="BM105" s="27" t="n"/>
      <c r="DN105" s="26">
        <f>IF('テスト条件'!A104="","",'テスト条件'!A104)</f>
        <v/>
      </c>
    </row>
    <row r="106">
      <c r="A106" s="27" t="n"/>
      <c r="B106" s="27" t="n"/>
      <c r="C106" s="28">
        <f>IF(A106="","",$B$2)</f>
        <v/>
      </c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  <c r="AA106" s="27" t="n"/>
      <c r="AB106" s="27" t="n"/>
      <c r="AC106" s="27" t="n"/>
      <c r="AD106" s="27" t="n"/>
      <c r="AE106" s="27" t="n"/>
      <c r="AF106" s="27" t="n"/>
      <c r="AG106" s="27" t="n"/>
      <c r="AH106" s="27" t="n"/>
      <c r="AI106" s="27" t="n"/>
      <c r="AJ106" s="27" t="n"/>
      <c r="AK106" s="27" t="n"/>
      <c r="AL106" s="27" t="n"/>
      <c r="AM106" s="27" t="n"/>
      <c r="AN106" s="27" t="n"/>
      <c r="AO106" s="27" t="n"/>
      <c r="AP106" s="27" t="n"/>
      <c r="AQ106" s="27" t="n"/>
      <c r="AR106" s="27" t="n"/>
      <c r="AS106" s="27" t="n"/>
      <c r="AT106" s="27" t="n"/>
      <c r="AU106" s="27" t="n"/>
      <c r="AV106" s="27" t="n"/>
      <c r="AW106" s="27" t="n"/>
      <c r="AX106" s="27" t="n"/>
      <c r="AY106" s="27" t="n"/>
      <c r="AZ106" s="27" t="n"/>
      <c r="BA106" s="27" t="n"/>
      <c r="BB106" s="27" t="n"/>
      <c r="BC106" s="27" t="n"/>
      <c r="BD106" s="27" t="n"/>
      <c r="BE106" s="27" t="n"/>
      <c r="BF106" s="27" t="n"/>
      <c r="BG106" s="27" t="n"/>
      <c r="BH106" s="27" t="n"/>
      <c r="BI106" s="29" t="n"/>
      <c r="BJ106" s="27" t="n"/>
      <c r="BK106" s="27" t="n"/>
      <c r="BL106" s="27" t="n"/>
      <c r="BM106" s="27" t="n"/>
    </row>
    <row r="107">
      <c r="A107" s="27" t="n"/>
      <c r="B107" s="27" t="n"/>
      <c r="C107" s="28">
        <f>IF(A107="","",$B$2)</f>
        <v/>
      </c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  <c r="AA107" s="27" t="n"/>
      <c r="AB107" s="27" t="n"/>
      <c r="AC107" s="27" t="n"/>
      <c r="AD107" s="27" t="n"/>
      <c r="AE107" s="27" t="n"/>
      <c r="AF107" s="27" t="n"/>
      <c r="AG107" s="27" t="n"/>
      <c r="AH107" s="27" t="n"/>
      <c r="AI107" s="27" t="n"/>
      <c r="AJ107" s="27" t="n"/>
      <c r="AK107" s="27" t="n"/>
      <c r="AL107" s="27" t="n"/>
      <c r="AM107" s="27" t="n"/>
      <c r="AN107" s="27" t="n"/>
      <c r="AO107" s="27" t="n"/>
      <c r="AP107" s="27" t="n"/>
      <c r="AQ107" s="27" t="n"/>
      <c r="AR107" s="27" t="n"/>
      <c r="AS107" s="27" t="n"/>
      <c r="AT107" s="27" t="n"/>
      <c r="AU107" s="27" t="n"/>
      <c r="AV107" s="27" t="n"/>
      <c r="AW107" s="27" t="n"/>
      <c r="AX107" s="27" t="n"/>
      <c r="AY107" s="27" t="n"/>
      <c r="AZ107" s="27" t="n"/>
      <c r="BA107" s="27" t="n"/>
      <c r="BB107" s="27" t="n"/>
      <c r="BC107" s="27" t="n"/>
      <c r="BD107" s="27" t="n"/>
      <c r="BE107" s="27" t="n"/>
      <c r="BF107" s="27" t="n"/>
      <c r="BG107" s="27" t="n"/>
      <c r="BH107" s="27" t="n"/>
      <c r="BI107" s="29" t="n"/>
      <c r="BJ107" s="27" t="n"/>
      <c r="BK107" s="27" t="n"/>
      <c r="BL107" s="27" t="n"/>
      <c r="BM107" s="27" t="n"/>
    </row>
    <row r="108">
      <c r="A108" s="27" t="n"/>
      <c r="B108" s="27" t="n"/>
      <c r="C108" s="28">
        <f>IF(A108="","",$B$2)</f>
        <v/>
      </c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  <c r="AA108" s="27" t="n"/>
      <c r="AB108" s="27" t="n"/>
      <c r="AC108" s="27" t="n"/>
      <c r="AD108" s="27" t="n"/>
      <c r="AE108" s="27" t="n"/>
      <c r="AF108" s="27" t="n"/>
      <c r="AG108" s="27" t="n"/>
      <c r="AH108" s="27" t="n"/>
      <c r="AI108" s="27" t="n"/>
      <c r="AJ108" s="27" t="n"/>
      <c r="AK108" s="27" t="n"/>
      <c r="AL108" s="27" t="n"/>
      <c r="AM108" s="27" t="n"/>
      <c r="AN108" s="27" t="n"/>
      <c r="AO108" s="27" t="n"/>
      <c r="AP108" s="27" t="n"/>
      <c r="AQ108" s="27" t="n"/>
      <c r="AR108" s="27" t="n"/>
      <c r="AS108" s="27" t="n"/>
      <c r="AT108" s="27" t="n"/>
      <c r="AU108" s="27" t="n"/>
      <c r="AV108" s="27" t="n"/>
      <c r="AW108" s="27" t="n"/>
      <c r="AX108" s="27" t="n"/>
      <c r="AY108" s="27" t="n"/>
      <c r="AZ108" s="27" t="n"/>
      <c r="BA108" s="27" t="n"/>
      <c r="BB108" s="27" t="n"/>
      <c r="BC108" s="27" t="n"/>
      <c r="BD108" s="27" t="n"/>
      <c r="BE108" s="27" t="n"/>
      <c r="BF108" s="27" t="n"/>
      <c r="BG108" s="27" t="n"/>
      <c r="BH108" s="27" t="n"/>
      <c r="BI108" s="29" t="n"/>
      <c r="BJ108" s="27" t="n"/>
      <c r="BK108" s="27" t="n"/>
      <c r="BL108" s="27" t="n"/>
      <c r="BM108" s="27" t="n"/>
    </row>
    <row r="109">
      <c r="A109" s="27" t="n"/>
      <c r="B109" s="27" t="n"/>
      <c r="C109" s="28">
        <f>IF(A109="","",$B$2)</f>
        <v/>
      </c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  <c r="AA109" s="27" t="n"/>
      <c r="AB109" s="27" t="n"/>
      <c r="AC109" s="27" t="n"/>
      <c r="AD109" s="27" t="n"/>
      <c r="AE109" s="27" t="n"/>
      <c r="AF109" s="27" t="n"/>
      <c r="AG109" s="27" t="n"/>
      <c r="AH109" s="27" t="n"/>
      <c r="AI109" s="27" t="n"/>
      <c r="AJ109" s="27" t="n"/>
      <c r="AK109" s="27" t="n"/>
      <c r="AL109" s="27" t="n"/>
      <c r="AM109" s="27" t="n"/>
      <c r="AN109" s="27" t="n"/>
      <c r="AO109" s="27" t="n"/>
      <c r="AP109" s="27" t="n"/>
      <c r="AQ109" s="27" t="n"/>
      <c r="AR109" s="27" t="n"/>
      <c r="AS109" s="27" t="n"/>
      <c r="AT109" s="27" t="n"/>
      <c r="AU109" s="27" t="n"/>
      <c r="AV109" s="27" t="n"/>
      <c r="AW109" s="27" t="n"/>
      <c r="AX109" s="27" t="n"/>
      <c r="AY109" s="27" t="n"/>
      <c r="AZ109" s="27" t="n"/>
      <c r="BA109" s="27" t="n"/>
      <c r="BB109" s="27" t="n"/>
      <c r="BC109" s="27" t="n"/>
      <c r="BD109" s="27" t="n"/>
      <c r="BE109" s="27" t="n"/>
      <c r="BF109" s="27" t="n"/>
      <c r="BG109" s="27" t="n"/>
      <c r="BH109" s="27" t="n"/>
      <c r="BI109" s="29" t="n"/>
      <c r="BJ109" s="27" t="n"/>
      <c r="BK109" s="27" t="n"/>
      <c r="BL109" s="27" t="n"/>
      <c r="BM109" s="27" t="n"/>
    </row>
    <row r="110">
      <c r="A110" s="27" t="n"/>
      <c r="B110" s="27" t="n"/>
      <c r="C110" s="28">
        <f>IF(A110="","",$B$2)</f>
        <v/>
      </c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  <c r="AA110" s="27" t="n"/>
      <c r="AB110" s="27" t="n"/>
      <c r="AC110" s="27" t="n"/>
      <c r="AD110" s="27" t="n"/>
      <c r="AE110" s="27" t="n"/>
      <c r="AF110" s="27" t="n"/>
      <c r="AG110" s="27" t="n"/>
      <c r="AH110" s="27" t="n"/>
      <c r="AI110" s="27" t="n"/>
      <c r="AJ110" s="27" t="n"/>
      <c r="AK110" s="27" t="n"/>
      <c r="AL110" s="27" t="n"/>
      <c r="AM110" s="27" t="n"/>
      <c r="AN110" s="27" t="n"/>
      <c r="AO110" s="27" t="n"/>
      <c r="AP110" s="27" t="n"/>
      <c r="AQ110" s="27" t="n"/>
      <c r="AR110" s="27" t="n"/>
      <c r="AS110" s="27" t="n"/>
      <c r="AT110" s="27" t="n"/>
      <c r="AU110" s="27" t="n"/>
      <c r="AV110" s="27" t="n"/>
      <c r="AW110" s="27" t="n"/>
      <c r="AX110" s="27" t="n"/>
      <c r="AY110" s="27" t="n"/>
      <c r="AZ110" s="27" t="n"/>
      <c r="BA110" s="27" t="n"/>
      <c r="BB110" s="27" t="n"/>
      <c r="BC110" s="27" t="n"/>
      <c r="BD110" s="27" t="n"/>
      <c r="BE110" s="27" t="n"/>
      <c r="BF110" s="27" t="n"/>
      <c r="BG110" s="27" t="n"/>
      <c r="BH110" s="27" t="n"/>
      <c r="BI110" s="29" t="n"/>
      <c r="BJ110" s="27" t="n"/>
      <c r="BK110" s="27" t="n"/>
      <c r="BL110" s="27" t="n"/>
      <c r="BM110" s="27" t="n"/>
    </row>
    <row r="111">
      <c r="A111" s="27" t="n"/>
      <c r="B111" s="27" t="n"/>
      <c r="C111" s="28">
        <f>IF(A111="","",$B$2)</f>
        <v/>
      </c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  <c r="AA111" s="27" t="n"/>
      <c r="AB111" s="27" t="n"/>
      <c r="AC111" s="27" t="n"/>
      <c r="AD111" s="27" t="n"/>
      <c r="AE111" s="27" t="n"/>
      <c r="AF111" s="27" t="n"/>
      <c r="AG111" s="27" t="n"/>
      <c r="AH111" s="27" t="n"/>
      <c r="AI111" s="27" t="n"/>
      <c r="AJ111" s="27" t="n"/>
      <c r="AK111" s="27" t="n"/>
      <c r="AL111" s="27" t="n"/>
      <c r="AM111" s="27" t="n"/>
      <c r="AN111" s="27" t="n"/>
      <c r="AO111" s="27" t="n"/>
      <c r="AP111" s="27" t="n"/>
      <c r="AQ111" s="27" t="n"/>
      <c r="AR111" s="27" t="n"/>
      <c r="AS111" s="27" t="n"/>
      <c r="AT111" s="27" t="n"/>
      <c r="AU111" s="27" t="n"/>
      <c r="AV111" s="27" t="n"/>
      <c r="AW111" s="27" t="n"/>
      <c r="AX111" s="27" t="n"/>
      <c r="AY111" s="27" t="n"/>
      <c r="AZ111" s="27" t="n"/>
      <c r="BA111" s="27" t="n"/>
      <c r="BB111" s="27" t="n"/>
      <c r="BC111" s="27" t="n"/>
      <c r="BD111" s="27" t="n"/>
      <c r="BE111" s="27" t="n"/>
      <c r="BF111" s="27" t="n"/>
      <c r="BG111" s="27" t="n"/>
      <c r="BH111" s="27" t="n"/>
      <c r="BI111" s="29" t="n"/>
      <c r="BJ111" s="27" t="n"/>
      <c r="BK111" s="27" t="n"/>
      <c r="BL111" s="27" t="n"/>
      <c r="BM111" s="27" t="n"/>
    </row>
    <row r="112">
      <c r="A112" s="27" t="n"/>
      <c r="B112" s="27" t="n"/>
      <c r="C112" s="28">
        <f>IF(A112="","",$B$2)</f>
        <v/>
      </c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  <c r="AA112" s="27" t="n"/>
      <c r="AB112" s="27" t="n"/>
      <c r="AC112" s="27" t="n"/>
      <c r="AD112" s="27" t="n"/>
      <c r="AE112" s="27" t="n"/>
      <c r="AF112" s="27" t="n"/>
      <c r="AG112" s="27" t="n"/>
      <c r="AH112" s="27" t="n"/>
      <c r="AI112" s="27" t="n"/>
      <c r="AJ112" s="27" t="n"/>
      <c r="AK112" s="27" t="n"/>
      <c r="AL112" s="27" t="n"/>
      <c r="AM112" s="27" t="n"/>
      <c r="AN112" s="27" t="n"/>
      <c r="AO112" s="27" t="n"/>
      <c r="AP112" s="27" t="n"/>
      <c r="AQ112" s="27" t="n"/>
      <c r="AR112" s="27" t="n"/>
      <c r="AS112" s="27" t="n"/>
      <c r="AT112" s="27" t="n"/>
      <c r="AU112" s="27" t="n"/>
      <c r="AV112" s="27" t="n"/>
      <c r="AW112" s="27" t="n"/>
      <c r="AX112" s="27" t="n"/>
      <c r="AY112" s="27" t="n"/>
      <c r="AZ112" s="27" t="n"/>
      <c r="BA112" s="27" t="n"/>
      <c r="BB112" s="27" t="n"/>
      <c r="BC112" s="27" t="n"/>
      <c r="BD112" s="27" t="n"/>
      <c r="BE112" s="27" t="n"/>
      <c r="BF112" s="27" t="n"/>
      <c r="BG112" s="27" t="n"/>
      <c r="BH112" s="27" t="n"/>
      <c r="BI112" s="29" t="n"/>
      <c r="BJ112" s="27" t="n"/>
      <c r="BK112" s="27" t="n"/>
      <c r="BL112" s="27" t="n"/>
      <c r="BM112" s="27" t="n"/>
    </row>
    <row r="113">
      <c r="A113" s="27" t="n"/>
      <c r="B113" s="27" t="n"/>
      <c r="C113" s="28">
        <f>IF(A113="","",$B$2)</f>
        <v/>
      </c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  <c r="AA113" s="27" t="n"/>
      <c r="AB113" s="27" t="n"/>
      <c r="AC113" s="27" t="n"/>
      <c r="AD113" s="27" t="n"/>
      <c r="AE113" s="27" t="n"/>
      <c r="AF113" s="27" t="n"/>
      <c r="AG113" s="27" t="n"/>
      <c r="AH113" s="27" t="n"/>
      <c r="AI113" s="27" t="n"/>
      <c r="AJ113" s="27" t="n"/>
      <c r="AK113" s="27" t="n"/>
      <c r="AL113" s="27" t="n"/>
      <c r="AM113" s="27" t="n"/>
      <c r="AN113" s="27" t="n"/>
      <c r="AO113" s="27" t="n"/>
      <c r="AP113" s="27" t="n"/>
      <c r="AQ113" s="27" t="n"/>
      <c r="AR113" s="27" t="n"/>
      <c r="AS113" s="27" t="n"/>
      <c r="AT113" s="27" t="n"/>
      <c r="AU113" s="27" t="n"/>
      <c r="AV113" s="27" t="n"/>
      <c r="AW113" s="27" t="n"/>
      <c r="AX113" s="27" t="n"/>
      <c r="AY113" s="27" t="n"/>
      <c r="AZ113" s="27" t="n"/>
      <c r="BA113" s="27" t="n"/>
      <c r="BB113" s="27" t="n"/>
      <c r="BC113" s="27" t="n"/>
      <c r="BD113" s="27" t="n"/>
      <c r="BE113" s="27" t="n"/>
      <c r="BF113" s="27" t="n"/>
      <c r="BG113" s="27" t="n"/>
      <c r="BH113" s="27" t="n"/>
      <c r="BI113" s="29" t="n"/>
      <c r="BJ113" s="27" t="n"/>
      <c r="BK113" s="27" t="n"/>
      <c r="BL113" s="27" t="n"/>
      <c r="BM113" s="27" t="n"/>
    </row>
    <row r="114">
      <c r="A114" s="27" t="n"/>
      <c r="B114" s="27" t="n"/>
      <c r="C114" s="28">
        <f>IF(A114="","",$B$2)</f>
        <v/>
      </c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  <c r="AA114" s="27" t="n"/>
      <c r="AB114" s="27" t="n"/>
      <c r="AC114" s="27" t="n"/>
      <c r="AD114" s="27" t="n"/>
      <c r="AE114" s="27" t="n"/>
      <c r="AF114" s="27" t="n"/>
      <c r="AG114" s="27" t="n"/>
      <c r="AH114" s="27" t="n"/>
      <c r="AI114" s="27" t="n"/>
      <c r="AJ114" s="27" t="n"/>
      <c r="AK114" s="27" t="n"/>
      <c r="AL114" s="27" t="n"/>
      <c r="AM114" s="27" t="n"/>
      <c r="AN114" s="27" t="n"/>
      <c r="AO114" s="27" t="n"/>
      <c r="AP114" s="27" t="n"/>
      <c r="AQ114" s="27" t="n"/>
      <c r="AR114" s="27" t="n"/>
      <c r="AS114" s="27" t="n"/>
      <c r="AT114" s="27" t="n"/>
      <c r="AU114" s="27" t="n"/>
      <c r="AV114" s="27" t="n"/>
      <c r="AW114" s="27" t="n"/>
      <c r="AX114" s="27" t="n"/>
      <c r="AY114" s="27" t="n"/>
      <c r="AZ114" s="27" t="n"/>
      <c r="BA114" s="27" t="n"/>
      <c r="BB114" s="27" t="n"/>
      <c r="BC114" s="27" t="n"/>
      <c r="BD114" s="27" t="n"/>
      <c r="BE114" s="27" t="n"/>
      <c r="BF114" s="27" t="n"/>
      <c r="BG114" s="27" t="n"/>
      <c r="BH114" s="27" t="n"/>
      <c r="BI114" s="29" t="n"/>
      <c r="BJ114" s="27" t="n"/>
      <c r="BK114" s="27" t="n"/>
      <c r="BL114" s="27" t="n"/>
      <c r="BM114" s="27" t="n"/>
    </row>
    <row r="115">
      <c r="A115" s="27" t="n"/>
      <c r="B115" s="27" t="n"/>
      <c r="C115" s="28">
        <f>IF(A115="","",$B$2)</f>
        <v/>
      </c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  <c r="AA115" s="27" t="n"/>
      <c r="AB115" s="27" t="n"/>
      <c r="AC115" s="27" t="n"/>
      <c r="AD115" s="27" t="n"/>
      <c r="AE115" s="27" t="n"/>
      <c r="AF115" s="27" t="n"/>
      <c r="AG115" s="27" t="n"/>
      <c r="AH115" s="27" t="n"/>
      <c r="AI115" s="27" t="n"/>
      <c r="AJ115" s="27" t="n"/>
      <c r="AK115" s="27" t="n"/>
      <c r="AL115" s="27" t="n"/>
      <c r="AM115" s="27" t="n"/>
      <c r="AN115" s="27" t="n"/>
      <c r="AO115" s="27" t="n"/>
      <c r="AP115" s="27" t="n"/>
      <c r="AQ115" s="27" t="n"/>
      <c r="AR115" s="27" t="n"/>
      <c r="AS115" s="27" t="n"/>
      <c r="AT115" s="27" t="n"/>
      <c r="AU115" s="27" t="n"/>
      <c r="AV115" s="27" t="n"/>
      <c r="AW115" s="27" t="n"/>
      <c r="AX115" s="27" t="n"/>
      <c r="AY115" s="27" t="n"/>
      <c r="AZ115" s="27" t="n"/>
      <c r="BA115" s="27" t="n"/>
      <c r="BB115" s="27" t="n"/>
      <c r="BC115" s="27" t="n"/>
      <c r="BD115" s="27" t="n"/>
      <c r="BE115" s="27" t="n"/>
      <c r="BF115" s="27" t="n"/>
      <c r="BG115" s="27" t="n"/>
      <c r="BH115" s="27" t="n"/>
      <c r="BI115" s="29" t="n"/>
      <c r="BJ115" s="27" t="n"/>
      <c r="BK115" s="27" t="n"/>
      <c r="BL115" s="27" t="n"/>
      <c r="BM115" s="27" t="n"/>
    </row>
    <row r="116">
      <c r="A116" s="27" t="n"/>
      <c r="B116" s="27" t="n"/>
      <c r="C116" s="28">
        <f>IF(A116="","",$B$2)</f>
        <v/>
      </c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  <c r="AA116" s="27" t="n"/>
      <c r="AB116" s="27" t="n"/>
      <c r="AC116" s="27" t="n"/>
      <c r="AD116" s="27" t="n"/>
      <c r="AE116" s="27" t="n"/>
      <c r="AF116" s="27" t="n"/>
      <c r="AG116" s="27" t="n"/>
      <c r="AH116" s="27" t="n"/>
      <c r="AI116" s="27" t="n"/>
      <c r="AJ116" s="27" t="n"/>
      <c r="AK116" s="27" t="n"/>
      <c r="AL116" s="27" t="n"/>
      <c r="AM116" s="27" t="n"/>
      <c r="AN116" s="27" t="n"/>
      <c r="AO116" s="27" t="n"/>
      <c r="AP116" s="27" t="n"/>
      <c r="AQ116" s="27" t="n"/>
      <c r="AR116" s="27" t="n"/>
      <c r="AS116" s="27" t="n"/>
      <c r="AT116" s="27" t="n"/>
      <c r="AU116" s="27" t="n"/>
      <c r="AV116" s="27" t="n"/>
      <c r="AW116" s="27" t="n"/>
      <c r="AX116" s="27" t="n"/>
      <c r="AY116" s="27" t="n"/>
      <c r="AZ116" s="27" t="n"/>
      <c r="BA116" s="27" t="n"/>
      <c r="BB116" s="27" t="n"/>
      <c r="BC116" s="27" t="n"/>
      <c r="BD116" s="27" t="n"/>
      <c r="BE116" s="27" t="n"/>
      <c r="BF116" s="27" t="n"/>
      <c r="BG116" s="27" t="n"/>
      <c r="BH116" s="27" t="n"/>
      <c r="BI116" s="29" t="n"/>
      <c r="BJ116" s="27" t="n"/>
      <c r="BK116" s="27" t="n"/>
      <c r="BL116" s="27" t="n"/>
      <c r="BM116" s="27" t="n"/>
    </row>
    <row r="117">
      <c r="A117" s="27" t="n"/>
      <c r="B117" s="27" t="n"/>
      <c r="C117" s="28">
        <f>IF(A117="","",$B$2)</f>
        <v/>
      </c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  <c r="AA117" s="27" t="n"/>
      <c r="AB117" s="27" t="n"/>
      <c r="AC117" s="27" t="n"/>
      <c r="AD117" s="27" t="n"/>
      <c r="AE117" s="27" t="n"/>
      <c r="AF117" s="27" t="n"/>
      <c r="AG117" s="27" t="n"/>
      <c r="AH117" s="27" t="n"/>
      <c r="AI117" s="27" t="n"/>
      <c r="AJ117" s="27" t="n"/>
      <c r="AK117" s="27" t="n"/>
      <c r="AL117" s="27" t="n"/>
      <c r="AM117" s="27" t="n"/>
      <c r="AN117" s="27" t="n"/>
      <c r="AO117" s="27" t="n"/>
      <c r="AP117" s="27" t="n"/>
      <c r="AQ117" s="27" t="n"/>
      <c r="AR117" s="27" t="n"/>
      <c r="AS117" s="27" t="n"/>
      <c r="AT117" s="27" t="n"/>
      <c r="AU117" s="27" t="n"/>
      <c r="AV117" s="27" t="n"/>
      <c r="AW117" s="27" t="n"/>
      <c r="AX117" s="27" t="n"/>
      <c r="AY117" s="27" t="n"/>
      <c r="AZ117" s="27" t="n"/>
      <c r="BA117" s="27" t="n"/>
      <c r="BB117" s="27" t="n"/>
      <c r="BC117" s="27" t="n"/>
      <c r="BD117" s="27" t="n"/>
      <c r="BE117" s="27" t="n"/>
      <c r="BF117" s="27" t="n"/>
      <c r="BG117" s="27" t="n"/>
      <c r="BH117" s="27" t="n"/>
      <c r="BI117" s="29" t="n"/>
      <c r="BJ117" s="27" t="n"/>
      <c r="BK117" s="27" t="n"/>
      <c r="BL117" s="27" t="n"/>
      <c r="BM117" s="27" t="n"/>
    </row>
    <row r="118">
      <c r="A118" s="27" t="n"/>
      <c r="B118" s="27" t="n"/>
      <c r="C118" s="28">
        <f>IF(A118="","",$B$2)</f>
        <v/>
      </c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  <c r="AA118" s="27" t="n"/>
      <c r="AB118" s="27" t="n"/>
      <c r="AC118" s="27" t="n"/>
      <c r="AD118" s="27" t="n"/>
      <c r="AE118" s="27" t="n"/>
      <c r="AF118" s="27" t="n"/>
      <c r="AG118" s="27" t="n"/>
      <c r="AH118" s="27" t="n"/>
      <c r="AI118" s="27" t="n"/>
      <c r="AJ118" s="27" t="n"/>
      <c r="AK118" s="27" t="n"/>
      <c r="AL118" s="27" t="n"/>
      <c r="AM118" s="27" t="n"/>
      <c r="AN118" s="27" t="n"/>
      <c r="AO118" s="27" t="n"/>
      <c r="AP118" s="27" t="n"/>
      <c r="AQ118" s="27" t="n"/>
      <c r="AR118" s="27" t="n"/>
      <c r="AS118" s="27" t="n"/>
      <c r="AT118" s="27" t="n"/>
      <c r="AU118" s="27" t="n"/>
      <c r="AV118" s="27" t="n"/>
      <c r="AW118" s="27" t="n"/>
      <c r="AX118" s="27" t="n"/>
      <c r="AY118" s="27" t="n"/>
      <c r="AZ118" s="27" t="n"/>
      <c r="BA118" s="27" t="n"/>
      <c r="BB118" s="27" t="n"/>
      <c r="BC118" s="27" t="n"/>
      <c r="BD118" s="27" t="n"/>
      <c r="BE118" s="27" t="n"/>
      <c r="BF118" s="27" t="n"/>
      <c r="BG118" s="27" t="n"/>
      <c r="BH118" s="27" t="n"/>
      <c r="BI118" s="29" t="n"/>
      <c r="BJ118" s="27" t="n"/>
      <c r="BK118" s="27" t="n"/>
      <c r="BL118" s="27" t="n"/>
      <c r="BM118" s="27" t="n"/>
    </row>
    <row r="119">
      <c r="A119" s="27" t="n"/>
      <c r="B119" s="27" t="n"/>
      <c r="C119" s="28">
        <f>IF(A119="","",$B$2)</f>
        <v/>
      </c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  <c r="AA119" s="27" t="n"/>
      <c r="AB119" s="27" t="n"/>
      <c r="AC119" s="27" t="n"/>
      <c r="AD119" s="27" t="n"/>
      <c r="AE119" s="27" t="n"/>
      <c r="AF119" s="27" t="n"/>
      <c r="AG119" s="27" t="n"/>
      <c r="AH119" s="27" t="n"/>
      <c r="AI119" s="27" t="n"/>
      <c r="AJ119" s="27" t="n"/>
      <c r="AK119" s="27" t="n"/>
      <c r="AL119" s="27" t="n"/>
      <c r="AM119" s="27" t="n"/>
      <c r="AN119" s="27" t="n"/>
      <c r="AO119" s="27" t="n"/>
      <c r="AP119" s="27" t="n"/>
      <c r="AQ119" s="27" t="n"/>
      <c r="AR119" s="27" t="n"/>
      <c r="AS119" s="27" t="n"/>
      <c r="AT119" s="27" t="n"/>
      <c r="AU119" s="27" t="n"/>
      <c r="AV119" s="27" t="n"/>
      <c r="AW119" s="27" t="n"/>
      <c r="AX119" s="27" t="n"/>
      <c r="AY119" s="27" t="n"/>
      <c r="AZ119" s="27" t="n"/>
      <c r="BA119" s="27" t="n"/>
      <c r="BB119" s="27" t="n"/>
      <c r="BC119" s="27" t="n"/>
      <c r="BD119" s="27" t="n"/>
      <c r="BE119" s="27" t="n"/>
      <c r="BF119" s="27" t="n"/>
      <c r="BG119" s="27" t="n"/>
      <c r="BH119" s="27" t="n"/>
      <c r="BI119" s="29" t="n"/>
      <c r="BJ119" s="27" t="n"/>
      <c r="BK119" s="27" t="n"/>
      <c r="BL119" s="27" t="n"/>
      <c r="BM119" s="27" t="n"/>
    </row>
    <row r="120">
      <c r="A120" s="27" t="n"/>
      <c r="B120" s="27" t="n"/>
      <c r="C120" s="28">
        <f>IF(A120="","",$B$2)</f>
        <v/>
      </c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  <c r="AA120" s="27" t="n"/>
      <c r="AB120" s="27" t="n"/>
      <c r="AC120" s="27" t="n"/>
      <c r="AD120" s="27" t="n"/>
      <c r="AE120" s="27" t="n"/>
      <c r="AF120" s="27" t="n"/>
      <c r="AG120" s="27" t="n"/>
      <c r="AH120" s="27" t="n"/>
      <c r="AI120" s="27" t="n"/>
      <c r="AJ120" s="27" t="n"/>
      <c r="AK120" s="27" t="n"/>
      <c r="AL120" s="27" t="n"/>
      <c r="AM120" s="27" t="n"/>
      <c r="AN120" s="27" t="n"/>
      <c r="AO120" s="27" t="n"/>
      <c r="AP120" s="27" t="n"/>
      <c r="AQ120" s="27" t="n"/>
      <c r="AR120" s="27" t="n"/>
      <c r="AS120" s="27" t="n"/>
      <c r="AT120" s="27" t="n"/>
      <c r="AU120" s="27" t="n"/>
      <c r="AV120" s="27" t="n"/>
      <c r="AW120" s="27" t="n"/>
      <c r="AX120" s="27" t="n"/>
      <c r="AY120" s="27" t="n"/>
      <c r="AZ120" s="27" t="n"/>
      <c r="BA120" s="27" t="n"/>
      <c r="BB120" s="27" t="n"/>
      <c r="BC120" s="27" t="n"/>
      <c r="BD120" s="27" t="n"/>
      <c r="BE120" s="27" t="n"/>
      <c r="BF120" s="27" t="n"/>
      <c r="BG120" s="27" t="n"/>
      <c r="BH120" s="27" t="n"/>
      <c r="BI120" s="29" t="n"/>
      <c r="BJ120" s="27" t="n"/>
      <c r="BK120" s="27" t="n"/>
      <c r="BL120" s="27" t="n"/>
      <c r="BM120" s="27" t="n"/>
    </row>
    <row r="121">
      <c r="A121" s="27" t="n"/>
      <c r="B121" s="27" t="n"/>
      <c r="C121" s="28">
        <f>IF(A121="","",$B$2)</f>
        <v/>
      </c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  <c r="AA121" s="27" t="n"/>
      <c r="AB121" s="27" t="n"/>
      <c r="AC121" s="27" t="n"/>
      <c r="AD121" s="27" t="n"/>
      <c r="AE121" s="27" t="n"/>
      <c r="AF121" s="27" t="n"/>
      <c r="AG121" s="27" t="n"/>
      <c r="AH121" s="27" t="n"/>
      <c r="AI121" s="27" t="n"/>
      <c r="AJ121" s="27" t="n"/>
      <c r="AK121" s="27" t="n"/>
      <c r="AL121" s="27" t="n"/>
      <c r="AM121" s="27" t="n"/>
      <c r="AN121" s="27" t="n"/>
      <c r="AO121" s="27" t="n"/>
      <c r="AP121" s="27" t="n"/>
      <c r="AQ121" s="27" t="n"/>
      <c r="AR121" s="27" t="n"/>
      <c r="AS121" s="27" t="n"/>
      <c r="AT121" s="27" t="n"/>
      <c r="AU121" s="27" t="n"/>
      <c r="AV121" s="27" t="n"/>
      <c r="AW121" s="27" t="n"/>
      <c r="AX121" s="27" t="n"/>
      <c r="AY121" s="27" t="n"/>
      <c r="AZ121" s="27" t="n"/>
      <c r="BA121" s="27" t="n"/>
      <c r="BB121" s="27" t="n"/>
      <c r="BC121" s="27" t="n"/>
      <c r="BD121" s="27" t="n"/>
      <c r="BE121" s="27" t="n"/>
      <c r="BF121" s="27" t="n"/>
      <c r="BG121" s="27" t="n"/>
      <c r="BH121" s="27" t="n"/>
      <c r="BI121" s="29" t="n"/>
      <c r="BJ121" s="27" t="n"/>
      <c r="BK121" s="27" t="n"/>
      <c r="BL121" s="27" t="n"/>
      <c r="BM121" s="27" t="n"/>
    </row>
    <row r="122">
      <c r="A122" s="27" t="n"/>
      <c r="B122" s="27" t="n"/>
      <c r="C122" s="28">
        <f>IF(A122="","",$B$2)</f>
        <v/>
      </c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  <c r="AA122" s="27" t="n"/>
      <c r="AB122" s="27" t="n"/>
      <c r="AC122" s="27" t="n"/>
      <c r="AD122" s="27" t="n"/>
      <c r="AE122" s="27" t="n"/>
      <c r="AF122" s="27" t="n"/>
      <c r="AG122" s="27" t="n"/>
      <c r="AH122" s="27" t="n"/>
      <c r="AI122" s="27" t="n"/>
      <c r="AJ122" s="27" t="n"/>
      <c r="AK122" s="27" t="n"/>
      <c r="AL122" s="27" t="n"/>
      <c r="AM122" s="27" t="n"/>
      <c r="AN122" s="27" t="n"/>
      <c r="AO122" s="27" t="n"/>
      <c r="AP122" s="27" t="n"/>
      <c r="AQ122" s="27" t="n"/>
      <c r="AR122" s="27" t="n"/>
      <c r="AS122" s="27" t="n"/>
      <c r="AT122" s="27" t="n"/>
      <c r="AU122" s="27" t="n"/>
      <c r="AV122" s="27" t="n"/>
      <c r="AW122" s="27" t="n"/>
      <c r="AX122" s="27" t="n"/>
      <c r="AY122" s="27" t="n"/>
      <c r="AZ122" s="27" t="n"/>
      <c r="BA122" s="27" t="n"/>
      <c r="BB122" s="27" t="n"/>
      <c r="BC122" s="27" t="n"/>
      <c r="BD122" s="27" t="n"/>
      <c r="BE122" s="27" t="n"/>
      <c r="BF122" s="27" t="n"/>
      <c r="BG122" s="27" t="n"/>
      <c r="BH122" s="27" t="n"/>
      <c r="BI122" s="29" t="n"/>
      <c r="BJ122" s="27" t="n"/>
      <c r="BK122" s="27" t="n"/>
      <c r="BL122" s="27" t="n"/>
      <c r="BM122" s="27" t="n"/>
    </row>
    <row r="123">
      <c r="A123" s="27" t="n"/>
      <c r="B123" s="27" t="n"/>
      <c r="C123" s="28">
        <f>IF(A123="","",$B$2)</f>
        <v/>
      </c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  <c r="AA123" s="27" t="n"/>
      <c r="AB123" s="27" t="n"/>
      <c r="AC123" s="27" t="n"/>
      <c r="AD123" s="27" t="n"/>
      <c r="AE123" s="27" t="n"/>
      <c r="AF123" s="27" t="n"/>
      <c r="AG123" s="27" t="n"/>
      <c r="AH123" s="27" t="n"/>
      <c r="AI123" s="27" t="n"/>
      <c r="AJ123" s="27" t="n"/>
      <c r="AK123" s="27" t="n"/>
      <c r="AL123" s="27" t="n"/>
      <c r="AM123" s="27" t="n"/>
      <c r="AN123" s="27" t="n"/>
      <c r="AO123" s="27" t="n"/>
      <c r="AP123" s="27" t="n"/>
      <c r="AQ123" s="27" t="n"/>
      <c r="AR123" s="27" t="n"/>
      <c r="AS123" s="27" t="n"/>
      <c r="AT123" s="27" t="n"/>
      <c r="AU123" s="27" t="n"/>
      <c r="AV123" s="27" t="n"/>
      <c r="AW123" s="27" t="n"/>
      <c r="AX123" s="27" t="n"/>
      <c r="AY123" s="27" t="n"/>
      <c r="AZ123" s="27" t="n"/>
      <c r="BA123" s="27" t="n"/>
      <c r="BB123" s="27" t="n"/>
      <c r="BC123" s="27" t="n"/>
      <c r="BD123" s="27" t="n"/>
      <c r="BE123" s="27" t="n"/>
      <c r="BF123" s="27" t="n"/>
      <c r="BG123" s="27" t="n"/>
      <c r="BH123" s="27" t="n"/>
      <c r="BI123" s="29" t="n"/>
      <c r="BJ123" s="27" t="n"/>
      <c r="BK123" s="27" t="n"/>
      <c r="BL123" s="27" t="n"/>
      <c r="BM123" s="27" t="n"/>
    </row>
    <row r="124">
      <c r="A124" s="27" t="n"/>
      <c r="B124" s="27" t="n"/>
      <c r="C124" s="28">
        <f>IF(A124="","",$B$2)</f>
        <v/>
      </c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  <c r="AA124" s="27" t="n"/>
      <c r="AB124" s="27" t="n"/>
      <c r="AC124" s="27" t="n"/>
      <c r="AD124" s="27" t="n"/>
      <c r="AE124" s="27" t="n"/>
      <c r="AF124" s="27" t="n"/>
      <c r="AG124" s="27" t="n"/>
      <c r="AH124" s="27" t="n"/>
      <c r="AI124" s="27" t="n"/>
      <c r="AJ124" s="27" t="n"/>
      <c r="AK124" s="27" t="n"/>
      <c r="AL124" s="27" t="n"/>
      <c r="AM124" s="27" t="n"/>
      <c r="AN124" s="27" t="n"/>
      <c r="AO124" s="27" t="n"/>
      <c r="AP124" s="27" t="n"/>
      <c r="AQ124" s="27" t="n"/>
      <c r="AR124" s="27" t="n"/>
      <c r="AS124" s="27" t="n"/>
      <c r="AT124" s="27" t="n"/>
      <c r="AU124" s="27" t="n"/>
      <c r="AV124" s="27" t="n"/>
      <c r="AW124" s="27" t="n"/>
      <c r="AX124" s="27" t="n"/>
      <c r="AY124" s="27" t="n"/>
      <c r="AZ124" s="27" t="n"/>
      <c r="BA124" s="27" t="n"/>
      <c r="BB124" s="27" t="n"/>
      <c r="BC124" s="27" t="n"/>
      <c r="BD124" s="27" t="n"/>
      <c r="BE124" s="27" t="n"/>
      <c r="BF124" s="27" t="n"/>
      <c r="BG124" s="27" t="n"/>
      <c r="BH124" s="27" t="n"/>
      <c r="BI124" s="29" t="n"/>
      <c r="BJ124" s="27" t="n"/>
      <c r="BK124" s="27" t="n"/>
      <c r="BL124" s="27" t="n"/>
      <c r="BM124" s="27" t="n"/>
    </row>
    <row r="125">
      <c r="A125" s="27" t="n"/>
      <c r="B125" s="27" t="n"/>
      <c r="C125" s="28">
        <f>IF(A125="","",$B$2)</f>
        <v/>
      </c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  <c r="AA125" s="27" t="n"/>
      <c r="AB125" s="27" t="n"/>
      <c r="AC125" s="27" t="n"/>
      <c r="AD125" s="27" t="n"/>
      <c r="AE125" s="27" t="n"/>
      <c r="AF125" s="27" t="n"/>
      <c r="AG125" s="27" t="n"/>
      <c r="AH125" s="27" t="n"/>
      <c r="AI125" s="27" t="n"/>
      <c r="AJ125" s="27" t="n"/>
      <c r="AK125" s="27" t="n"/>
      <c r="AL125" s="27" t="n"/>
      <c r="AM125" s="27" t="n"/>
      <c r="AN125" s="27" t="n"/>
      <c r="AO125" s="27" t="n"/>
      <c r="AP125" s="27" t="n"/>
      <c r="AQ125" s="27" t="n"/>
      <c r="AR125" s="27" t="n"/>
      <c r="AS125" s="27" t="n"/>
      <c r="AT125" s="27" t="n"/>
      <c r="AU125" s="27" t="n"/>
      <c r="AV125" s="27" t="n"/>
      <c r="AW125" s="27" t="n"/>
      <c r="AX125" s="27" t="n"/>
      <c r="AY125" s="27" t="n"/>
      <c r="AZ125" s="27" t="n"/>
      <c r="BA125" s="27" t="n"/>
      <c r="BB125" s="27" t="n"/>
      <c r="BC125" s="27" t="n"/>
      <c r="BD125" s="27" t="n"/>
      <c r="BE125" s="27" t="n"/>
      <c r="BF125" s="27" t="n"/>
      <c r="BG125" s="27" t="n"/>
      <c r="BH125" s="27" t="n"/>
      <c r="BI125" s="29" t="n"/>
      <c r="BJ125" s="27" t="n"/>
      <c r="BK125" s="27" t="n"/>
      <c r="BL125" s="27" t="n"/>
      <c r="BM125" s="27" t="n"/>
    </row>
    <row r="126">
      <c r="A126" s="27" t="n"/>
      <c r="B126" s="27" t="n"/>
      <c r="C126" s="28">
        <f>IF(A126="","",$B$2)</f>
        <v/>
      </c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  <c r="AA126" s="27" t="n"/>
      <c r="AB126" s="27" t="n"/>
      <c r="AC126" s="27" t="n"/>
      <c r="AD126" s="27" t="n"/>
      <c r="AE126" s="27" t="n"/>
      <c r="AF126" s="27" t="n"/>
      <c r="AG126" s="27" t="n"/>
      <c r="AH126" s="27" t="n"/>
      <c r="AI126" s="27" t="n"/>
      <c r="AJ126" s="27" t="n"/>
      <c r="AK126" s="27" t="n"/>
      <c r="AL126" s="27" t="n"/>
      <c r="AM126" s="27" t="n"/>
      <c r="AN126" s="27" t="n"/>
      <c r="AO126" s="27" t="n"/>
      <c r="AP126" s="27" t="n"/>
      <c r="AQ126" s="27" t="n"/>
      <c r="AR126" s="27" t="n"/>
      <c r="AS126" s="27" t="n"/>
      <c r="AT126" s="27" t="n"/>
      <c r="AU126" s="27" t="n"/>
      <c r="AV126" s="27" t="n"/>
      <c r="AW126" s="27" t="n"/>
      <c r="AX126" s="27" t="n"/>
      <c r="AY126" s="27" t="n"/>
      <c r="AZ126" s="27" t="n"/>
      <c r="BA126" s="27" t="n"/>
      <c r="BB126" s="27" t="n"/>
      <c r="BC126" s="27" t="n"/>
      <c r="BD126" s="27" t="n"/>
      <c r="BE126" s="27" t="n"/>
      <c r="BF126" s="27" t="n"/>
      <c r="BG126" s="27" t="n"/>
      <c r="BH126" s="27" t="n"/>
      <c r="BI126" s="29" t="n"/>
      <c r="BJ126" s="27" t="n"/>
      <c r="BK126" s="27" t="n"/>
      <c r="BL126" s="27" t="n"/>
      <c r="BM126" s="27" t="n"/>
    </row>
    <row r="127">
      <c r="A127" s="27" t="n"/>
      <c r="B127" s="27" t="n"/>
      <c r="C127" s="28">
        <f>IF(A127="","",$B$2)</f>
        <v/>
      </c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  <c r="AA127" s="27" t="n"/>
      <c r="AB127" s="27" t="n"/>
      <c r="AC127" s="27" t="n"/>
      <c r="AD127" s="27" t="n"/>
      <c r="AE127" s="27" t="n"/>
      <c r="AF127" s="27" t="n"/>
      <c r="AG127" s="27" t="n"/>
      <c r="AH127" s="27" t="n"/>
      <c r="AI127" s="27" t="n"/>
      <c r="AJ127" s="27" t="n"/>
      <c r="AK127" s="27" t="n"/>
      <c r="AL127" s="27" t="n"/>
      <c r="AM127" s="27" t="n"/>
      <c r="AN127" s="27" t="n"/>
      <c r="AO127" s="27" t="n"/>
      <c r="AP127" s="27" t="n"/>
      <c r="AQ127" s="27" t="n"/>
      <c r="AR127" s="27" t="n"/>
      <c r="AS127" s="27" t="n"/>
      <c r="AT127" s="27" t="n"/>
      <c r="AU127" s="27" t="n"/>
      <c r="AV127" s="27" t="n"/>
      <c r="AW127" s="27" t="n"/>
      <c r="AX127" s="27" t="n"/>
      <c r="AY127" s="27" t="n"/>
      <c r="AZ127" s="27" t="n"/>
      <c r="BA127" s="27" t="n"/>
      <c r="BB127" s="27" t="n"/>
      <c r="BC127" s="27" t="n"/>
      <c r="BD127" s="27" t="n"/>
      <c r="BE127" s="27" t="n"/>
      <c r="BF127" s="27" t="n"/>
      <c r="BG127" s="27" t="n"/>
      <c r="BH127" s="27" t="n"/>
      <c r="BI127" s="29" t="n"/>
      <c r="BJ127" s="27" t="n"/>
      <c r="BK127" s="27" t="n"/>
      <c r="BL127" s="27" t="n"/>
      <c r="BM127" s="27" t="n"/>
    </row>
    <row r="128">
      <c r="A128" s="27" t="n"/>
      <c r="B128" s="27" t="n"/>
      <c r="C128" s="28">
        <f>IF(A128="","",$B$2)</f>
        <v/>
      </c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  <c r="AA128" s="27" t="n"/>
      <c r="AB128" s="27" t="n"/>
      <c r="AC128" s="27" t="n"/>
      <c r="AD128" s="27" t="n"/>
      <c r="AE128" s="27" t="n"/>
      <c r="AF128" s="27" t="n"/>
      <c r="AG128" s="27" t="n"/>
      <c r="AH128" s="27" t="n"/>
      <c r="AI128" s="27" t="n"/>
      <c r="AJ128" s="27" t="n"/>
      <c r="AK128" s="27" t="n"/>
      <c r="AL128" s="27" t="n"/>
      <c r="AM128" s="27" t="n"/>
      <c r="AN128" s="27" t="n"/>
      <c r="AO128" s="27" t="n"/>
      <c r="AP128" s="27" t="n"/>
      <c r="AQ128" s="27" t="n"/>
      <c r="AR128" s="27" t="n"/>
      <c r="AS128" s="27" t="n"/>
      <c r="AT128" s="27" t="n"/>
      <c r="AU128" s="27" t="n"/>
      <c r="AV128" s="27" t="n"/>
      <c r="AW128" s="27" t="n"/>
      <c r="AX128" s="27" t="n"/>
      <c r="AY128" s="27" t="n"/>
      <c r="AZ128" s="27" t="n"/>
      <c r="BA128" s="27" t="n"/>
      <c r="BB128" s="27" t="n"/>
      <c r="BC128" s="27" t="n"/>
      <c r="BD128" s="27" t="n"/>
      <c r="BE128" s="27" t="n"/>
      <c r="BF128" s="27" t="n"/>
      <c r="BG128" s="27" t="n"/>
      <c r="BH128" s="27" t="n"/>
      <c r="BI128" s="29" t="n"/>
      <c r="BJ128" s="27" t="n"/>
      <c r="BK128" s="27" t="n"/>
      <c r="BL128" s="27" t="n"/>
      <c r="BM128" s="27" t="n"/>
    </row>
    <row r="129">
      <c r="A129" s="27" t="n"/>
      <c r="B129" s="27" t="n"/>
      <c r="C129" s="28">
        <f>IF(A129="","",$B$2)</f>
        <v/>
      </c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  <c r="AA129" s="27" t="n"/>
      <c r="AB129" s="27" t="n"/>
      <c r="AC129" s="27" t="n"/>
      <c r="AD129" s="27" t="n"/>
      <c r="AE129" s="27" t="n"/>
      <c r="AF129" s="27" t="n"/>
      <c r="AG129" s="27" t="n"/>
      <c r="AH129" s="27" t="n"/>
      <c r="AI129" s="27" t="n"/>
      <c r="AJ129" s="27" t="n"/>
      <c r="AK129" s="27" t="n"/>
      <c r="AL129" s="27" t="n"/>
      <c r="AM129" s="27" t="n"/>
      <c r="AN129" s="27" t="n"/>
      <c r="AO129" s="27" t="n"/>
      <c r="AP129" s="27" t="n"/>
      <c r="AQ129" s="27" t="n"/>
      <c r="AR129" s="27" t="n"/>
      <c r="AS129" s="27" t="n"/>
      <c r="AT129" s="27" t="n"/>
      <c r="AU129" s="27" t="n"/>
      <c r="AV129" s="27" t="n"/>
      <c r="AW129" s="27" t="n"/>
      <c r="AX129" s="27" t="n"/>
      <c r="AY129" s="27" t="n"/>
      <c r="AZ129" s="27" t="n"/>
      <c r="BA129" s="27" t="n"/>
      <c r="BB129" s="27" t="n"/>
      <c r="BC129" s="27" t="n"/>
      <c r="BD129" s="27" t="n"/>
      <c r="BE129" s="27" t="n"/>
      <c r="BF129" s="27" t="n"/>
      <c r="BG129" s="27" t="n"/>
      <c r="BH129" s="27" t="n"/>
      <c r="BI129" s="29" t="n"/>
      <c r="BJ129" s="27" t="n"/>
      <c r="BK129" s="27" t="n"/>
      <c r="BL129" s="27" t="n"/>
      <c r="BM129" s="27" t="n"/>
    </row>
    <row r="130">
      <c r="A130" s="27" t="n"/>
      <c r="B130" s="27" t="n"/>
      <c r="C130" s="28">
        <f>IF(A130="","",$B$2)</f>
        <v/>
      </c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  <c r="AA130" s="27" t="n"/>
      <c r="AB130" s="27" t="n"/>
      <c r="AC130" s="27" t="n"/>
      <c r="AD130" s="27" t="n"/>
      <c r="AE130" s="27" t="n"/>
      <c r="AF130" s="27" t="n"/>
      <c r="AG130" s="27" t="n"/>
      <c r="AH130" s="27" t="n"/>
      <c r="AI130" s="27" t="n"/>
      <c r="AJ130" s="27" t="n"/>
      <c r="AK130" s="27" t="n"/>
      <c r="AL130" s="27" t="n"/>
      <c r="AM130" s="27" t="n"/>
      <c r="AN130" s="27" t="n"/>
      <c r="AO130" s="27" t="n"/>
      <c r="AP130" s="27" t="n"/>
      <c r="AQ130" s="27" t="n"/>
      <c r="AR130" s="27" t="n"/>
      <c r="AS130" s="27" t="n"/>
      <c r="AT130" s="27" t="n"/>
      <c r="AU130" s="27" t="n"/>
      <c r="AV130" s="27" t="n"/>
      <c r="AW130" s="27" t="n"/>
      <c r="AX130" s="27" t="n"/>
      <c r="AY130" s="27" t="n"/>
      <c r="AZ130" s="27" t="n"/>
      <c r="BA130" s="27" t="n"/>
      <c r="BB130" s="27" t="n"/>
      <c r="BC130" s="27" t="n"/>
      <c r="BD130" s="27" t="n"/>
      <c r="BE130" s="27" t="n"/>
      <c r="BF130" s="27" t="n"/>
      <c r="BG130" s="27" t="n"/>
      <c r="BH130" s="27" t="n"/>
      <c r="BI130" s="29" t="n"/>
      <c r="BJ130" s="27" t="n"/>
      <c r="BK130" s="27" t="n"/>
      <c r="BL130" s="27" t="n"/>
      <c r="BM130" s="27" t="n"/>
    </row>
    <row r="131">
      <c r="A131" s="27" t="n"/>
      <c r="B131" s="27" t="n"/>
      <c r="C131" s="28">
        <f>IF(A131="","",$B$2)</f>
        <v/>
      </c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  <c r="AA131" s="27" t="n"/>
      <c r="AB131" s="27" t="n"/>
      <c r="AC131" s="27" t="n"/>
      <c r="AD131" s="27" t="n"/>
      <c r="AE131" s="27" t="n"/>
      <c r="AF131" s="27" t="n"/>
      <c r="AG131" s="27" t="n"/>
      <c r="AH131" s="27" t="n"/>
      <c r="AI131" s="27" t="n"/>
      <c r="AJ131" s="27" t="n"/>
      <c r="AK131" s="27" t="n"/>
      <c r="AL131" s="27" t="n"/>
      <c r="AM131" s="27" t="n"/>
      <c r="AN131" s="27" t="n"/>
      <c r="AO131" s="27" t="n"/>
      <c r="AP131" s="27" t="n"/>
      <c r="AQ131" s="27" t="n"/>
      <c r="AR131" s="27" t="n"/>
      <c r="AS131" s="27" t="n"/>
      <c r="AT131" s="27" t="n"/>
      <c r="AU131" s="27" t="n"/>
      <c r="AV131" s="27" t="n"/>
      <c r="AW131" s="27" t="n"/>
      <c r="AX131" s="27" t="n"/>
      <c r="AY131" s="27" t="n"/>
      <c r="AZ131" s="27" t="n"/>
      <c r="BA131" s="27" t="n"/>
      <c r="BB131" s="27" t="n"/>
      <c r="BC131" s="27" t="n"/>
      <c r="BD131" s="27" t="n"/>
      <c r="BE131" s="27" t="n"/>
      <c r="BF131" s="27" t="n"/>
      <c r="BG131" s="27" t="n"/>
      <c r="BH131" s="27" t="n"/>
      <c r="BI131" s="29" t="n"/>
      <c r="BJ131" s="27" t="n"/>
      <c r="BK131" s="27" t="n"/>
      <c r="BL131" s="27" t="n"/>
      <c r="BM131" s="27" t="n"/>
    </row>
    <row r="132">
      <c r="A132" s="27" t="n"/>
      <c r="B132" s="27" t="n"/>
      <c r="C132" s="28">
        <f>IF(A132="","",$B$2)</f>
        <v/>
      </c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  <c r="AA132" s="27" t="n"/>
      <c r="AB132" s="27" t="n"/>
      <c r="AC132" s="27" t="n"/>
      <c r="AD132" s="27" t="n"/>
      <c r="AE132" s="27" t="n"/>
      <c r="AF132" s="27" t="n"/>
      <c r="AG132" s="27" t="n"/>
      <c r="AH132" s="27" t="n"/>
      <c r="AI132" s="27" t="n"/>
      <c r="AJ132" s="27" t="n"/>
      <c r="AK132" s="27" t="n"/>
      <c r="AL132" s="27" t="n"/>
      <c r="AM132" s="27" t="n"/>
      <c r="AN132" s="27" t="n"/>
      <c r="AO132" s="27" t="n"/>
      <c r="AP132" s="27" t="n"/>
      <c r="AQ132" s="27" t="n"/>
      <c r="AR132" s="27" t="n"/>
      <c r="AS132" s="27" t="n"/>
      <c r="AT132" s="27" t="n"/>
      <c r="AU132" s="27" t="n"/>
      <c r="AV132" s="27" t="n"/>
      <c r="AW132" s="27" t="n"/>
      <c r="AX132" s="27" t="n"/>
      <c r="AY132" s="27" t="n"/>
      <c r="AZ132" s="27" t="n"/>
      <c r="BA132" s="27" t="n"/>
      <c r="BB132" s="27" t="n"/>
      <c r="BC132" s="27" t="n"/>
      <c r="BD132" s="27" t="n"/>
      <c r="BE132" s="27" t="n"/>
      <c r="BF132" s="27" t="n"/>
      <c r="BG132" s="27" t="n"/>
      <c r="BH132" s="27" t="n"/>
      <c r="BI132" s="29" t="n"/>
      <c r="BJ132" s="27" t="n"/>
      <c r="BK132" s="27" t="n"/>
      <c r="BL132" s="27" t="n"/>
      <c r="BM132" s="27" t="n"/>
    </row>
    <row r="133">
      <c r="A133" s="27" t="n"/>
      <c r="B133" s="27" t="n"/>
      <c r="C133" s="28">
        <f>IF(A133="","",$B$2)</f>
        <v/>
      </c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  <c r="AA133" s="27" t="n"/>
      <c r="AB133" s="27" t="n"/>
      <c r="AC133" s="27" t="n"/>
      <c r="AD133" s="27" t="n"/>
      <c r="AE133" s="27" t="n"/>
      <c r="AF133" s="27" t="n"/>
      <c r="AG133" s="27" t="n"/>
      <c r="AH133" s="27" t="n"/>
      <c r="AI133" s="27" t="n"/>
      <c r="AJ133" s="27" t="n"/>
      <c r="AK133" s="27" t="n"/>
      <c r="AL133" s="27" t="n"/>
      <c r="AM133" s="27" t="n"/>
      <c r="AN133" s="27" t="n"/>
      <c r="AO133" s="27" t="n"/>
      <c r="AP133" s="27" t="n"/>
      <c r="AQ133" s="27" t="n"/>
      <c r="AR133" s="27" t="n"/>
      <c r="AS133" s="27" t="n"/>
      <c r="AT133" s="27" t="n"/>
      <c r="AU133" s="27" t="n"/>
      <c r="AV133" s="27" t="n"/>
      <c r="AW133" s="27" t="n"/>
      <c r="AX133" s="27" t="n"/>
      <c r="AY133" s="27" t="n"/>
      <c r="AZ133" s="27" t="n"/>
      <c r="BA133" s="27" t="n"/>
      <c r="BB133" s="27" t="n"/>
      <c r="BC133" s="27" t="n"/>
      <c r="BD133" s="27" t="n"/>
      <c r="BE133" s="27" t="n"/>
      <c r="BF133" s="27" t="n"/>
      <c r="BG133" s="27" t="n"/>
      <c r="BH133" s="27" t="n"/>
      <c r="BI133" s="29" t="n"/>
      <c r="BJ133" s="27" t="n"/>
      <c r="BK133" s="27" t="n"/>
      <c r="BL133" s="27" t="n"/>
      <c r="BM133" s="27" t="n"/>
    </row>
    <row r="134">
      <c r="A134" s="27" t="n"/>
      <c r="B134" s="27" t="n"/>
      <c r="C134" s="28">
        <f>IF(A134="","",$B$2)</f>
        <v/>
      </c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  <c r="AA134" s="27" t="n"/>
      <c r="AB134" s="27" t="n"/>
      <c r="AC134" s="27" t="n"/>
      <c r="AD134" s="27" t="n"/>
      <c r="AE134" s="27" t="n"/>
      <c r="AF134" s="27" t="n"/>
      <c r="AG134" s="27" t="n"/>
      <c r="AH134" s="27" t="n"/>
      <c r="AI134" s="27" t="n"/>
      <c r="AJ134" s="27" t="n"/>
      <c r="AK134" s="27" t="n"/>
      <c r="AL134" s="27" t="n"/>
      <c r="AM134" s="27" t="n"/>
      <c r="AN134" s="27" t="n"/>
      <c r="AO134" s="27" t="n"/>
      <c r="AP134" s="27" t="n"/>
      <c r="AQ134" s="27" t="n"/>
      <c r="AR134" s="27" t="n"/>
      <c r="AS134" s="27" t="n"/>
      <c r="AT134" s="27" t="n"/>
      <c r="AU134" s="27" t="n"/>
      <c r="AV134" s="27" t="n"/>
      <c r="AW134" s="27" t="n"/>
      <c r="AX134" s="27" t="n"/>
      <c r="AY134" s="27" t="n"/>
      <c r="AZ134" s="27" t="n"/>
      <c r="BA134" s="27" t="n"/>
      <c r="BB134" s="27" t="n"/>
      <c r="BC134" s="27" t="n"/>
      <c r="BD134" s="27" t="n"/>
      <c r="BE134" s="27" t="n"/>
      <c r="BF134" s="27" t="n"/>
      <c r="BG134" s="27" t="n"/>
      <c r="BH134" s="27" t="n"/>
      <c r="BI134" s="29" t="n"/>
      <c r="BJ134" s="27" t="n"/>
      <c r="BK134" s="27" t="n"/>
      <c r="BL134" s="27" t="n"/>
      <c r="BM134" s="27" t="n"/>
    </row>
    <row r="135">
      <c r="A135" s="27" t="n"/>
      <c r="B135" s="27" t="n"/>
      <c r="C135" s="28">
        <f>IF(A135="","",$B$2)</f>
        <v/>
      </c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  <c r="AA135" s="27" t="n"/>
      <c r="AB135" s="27" t="n"/>
      <c r="AC135" s="27" t="n"/>
      <c r="AD135" s="27" t="n"/>
      <c r="AE135" s="27" t="n"/>
      <c r="AF135" s="27" t="n"/>
      <c r="AG135" s="27" t="n"/>
      <c r="AH135" s="27" t="n"/>
      <c r="AI135" s="27" t="n"/>
      <c r="AJ135" s="27" t="n"/>
      <c r="AK135" s="27" t="n"/>
      <c r="AL135" s="27" t="n"/>
      <c r="AM135" s="27" t="n"/>
      <c r="AN135" s="27" t="n"/>
      <c r="AO135" s="27" t="n"/>
      <c r="AP135" s="27" t="n"/>
      <c r="AQ135" s="27" t="n"/>
      <c r="AR135" s="27" t="n"/>
      <c r="AS135" s="27" t="n"/>
      <c r="AT135" s="27" t="n"/>
      <c r="AU135" s="27" t="n"/>
      <c r="AV135" s="27" t="n"/>
      <c r="AW135" s="27" t="n"/>
      <c r="AX135" s="27" t="n"/>
      <c r="AY135" s="27" t="n"/>
      <c r="AZ135" s="27" t="n"/>
      <c r="BA135" s="27" t="n"/>
      <c r="BB135" s="27" t="n"/>
      <c r="BC135" s="27" t="n"/>
      <c r="BD135" s="27" t="n"/>
      <c r="BE135" s="27" t="n"/>
      <c r="BF135" s="27" t="n"/>
      <c r="BG135" s="27" t="n"/>
      <c r="BH135" s="27" t="n"/>
      <c r="BI135" s="29" t="n"/>
      <c r="BJ135" s="27" t="n"/>
      <c r="BK135" s="27" t="n"/>
      <c r="BL135" s="27" t="n"/>
      <c r="BM135" s="27" t="n"/>
    </row>
    <row r="136">
      <c r="A136" s="27" t="n"/>
      <c r="B136" s="27" t="n"/>
      <c r="C136" s="28">
        <f>IF(A136="","",$B$2)</f>
        <v/>
      </c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  <c r="AA136" s="27" t="n"/>
      <c r="AB136" s="27" t="n"/>
      <c r="AC136" s="27" t="n"/>
      <c r="AD136" s="27" t="n"/>
      <c r="AE136" s="27" t="n"/>
      <c r="AF136" s="27" t="n"/>
      <c r="AG136" s="27" t="n"/>
      <c r="AH136" s="27" t="n"/>
      <c r="AI136" s="27" t="n"/>
      <c r="AJ136" s="27" t="n"/>
      <c r="AK136" s="27" t="n"/>
      <c r="AL136" s="27" t="n"/>
      <c r="AM136" s="27" t="n"/>
      <c r="AN136" s="27" t="n"/>
      <c r="AO136" s="27" t="n"/>
      <c r="AP136" s="27" t="n"/>
      <c r="AQ136" s="27" t="n"/>
      <c r="AR136" s="27" t="n"/>
      <c r="AS136" s="27" t="n"/>
      <c r="AT136" s="27" t="n"/>
      <c r="AU136" s="27" t="n"/>
      <c r="AV136" s="27" t="n"/>
      <c r="AW136" s="27" t="n"/>
      <c r="AX136" s="27" t="n"/>
      <c r="AY136" s="27" t="n"/>
      <c r="AZ136" s="27" t="n"/>
      <c r="BA136" s="27" t="n"/>
      <c r="BB136" s="27" t="n"/>
      <c r="BC136" s="27" t="n"/>
      <c r="BD136" s="27" t="n"/>
      <c r="BE136" s="27" t="n"/>
      <c r="BF136" s="27" t="n"/>
      <c r="BG136" s="27" t="n"/>
      <c r="BH136" s="27" t="n"/>
      <c r="BI136" s="29" t="n"/>
      <c r="BJ136" s="27" t="n"/>
      <c r="BK136" s="27" t="n"/>
      <c r="BL136" s="27" t="n"/>
      <c r="BM136" s="27" t="n"/>
    </row>
    <row r="137">
      <c r="A137" s="27" t="n"/>
      <c r="B137" s="27" t="n"/>
      <c r="C137" s="28">
        <f>IF(A137="","",$B$2)</f>
        <v/>
      </c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  <c r="AA137" s="27" t="n"/>
      <c r="AB137" s="27" t="n"/>
      <c r="AC137" s="27" t="n"/>
      <c r="AD137" s="27" t="n"/>
      <c r="AE137" s="27" t="n"/>
      <c r="AF137" s="27" t="n"/>
      <c r="AG137" s="27" t="n"/>
      <c r="AH137" s="27" t="n"/>
      <c r="AI137" s="27" t="n"/>
      <c r="AJ137" s="27" t="n"/>
      <c r="AK137" s="27" t="n"/>
      <c r="AL137" s="27" t="n"/>
      <c r="AM137" s="27" t="n"/>
      <c r="AN137" s="27" t="n"/>
      <c r="AO137" s="27" t="n"/>
      <c r="AP137" s="27" t="n"/>
      <c r="AQ137" s="27" t="n"/>
      <c r="AR137" s="27" t="n"/>
      <c r="AS137" s="27" t="n"/>
      <c r="AT137" s="27" t="n"/>
      <c r="AU137" s="27" t="n"/>
      <c r="AV137" s="27" t="n"/>
      <c r="AW137" s="27" t="n"/>
      <c r="AX137" s="27" t="n"/>
      <c r="AY137" s="27" t="n"/>
      <c r="AZ137" s="27" t="n"/>
      <c r="BA137" s="27" t="n"/>
      <c r="BB137" s="27" t="n"/>
      <c r="BC137" s="27" t="n"/>
      <c r="BD137" s="27" t="n"/>
      <c r="BE137" s="27" t="n"/>
      <c r="BF137" s="27" t="n"/>
      <c r="BG137" s="27" t="n"/>
      <c r="BH137" s="27" t="n"/>
      <c r="BI137" s="29" t="n"/>
      <c r="BJ137" s="27" t="n"/>
      <c r="BK137" s="27" t="n"/>
      <c r="BL137" s="27" t="n"/>
      <c r="BM137" s="27" t="n"/>
    </row>
    <row r="138">
      <c r="A138" s="27" t="n"/>
      <c r="B138" s="27" t="n"/>
      <c r="C138" s="28">
        <f>IF(A138="","",$B$2)</f>
        <v/>
      </c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  <c r="AA138" s="27" t="n"/>
      <c r="AB138" s="27" t="n"/>
      <c r="AC138" s="27" t="n"/>
      <c r="AD138" s="27" t="n"/>
      <c r="AE138" s="27" t="n"/>
      <c r="AF138" s="27" t="n"/>
      <c r="AG138" s="27" t="n"/>
      <c r="AH138" s="27" t="n"/>
      <c r="AI138" s="27" t="n"/>
      <c r="AJ138" s="27" t="n"/>
      <c r="AK138" s="27" t="n"/>
      <c r="AL138" s="27" t="n"/>
      <c r="AM138" s="27" t="n"/>
      <c r="AN138" s="27" t="n"/>
      <c r="AO138" s="27" t="n"/>
      <c r="AP138" s="27" t="n"/>
      <c r="AQ138" s="27" t="n"/>
      <c r="AR138" s="27" t="n"/>
      <c r="AS138" s="27" t="n"/>
      <c r="AT138" s="27" t="n"/>
      <c r="AU138" s="27" t="n"/>
      <c r="AV138" s="27" t="n"/>
      <c r="AW138" s="27" t="n"/>
      <c r="AX138" s="27" t="n"/>
      <c r="AY138" s="27" t="n"/>
      <c r="AZ138" s="27" t="n"/>
      <c r="BA138" s="27" t="n"/>
      <c r="BB138" s="27" t="n"/>
      <c r="BC138" s="27" t="n"/>
      <c r="BD138" s="27" t="n"/>
      <c r="BE138" s="27" t="n"/>
      <c r="BF138" s="27" t="n"/>
      <c r="BG138" s="27" t="n"/>
      <c r="BH138" s="27" t="n"/>
      <c r="BI138" s="29" t="n"/>
      <c r="BJ138" s="27" t="n"/>
      <c r="BK138" s="27" t="n"/>
      <c r="BL138" s="27" t="n"/>
      <c r="BM138" s="27" t="n"/>
    </row>
    <row r="139">
      <c r="A139" s="27" t="n"/>
      <c r="B139" s="27" t="n"/>
      <c r="C139" s="28">
        <f>IF(A139="","",$B$2)</f>
        <v/>
      </c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  <c r="AA139" s="27" t="n"/>
      <c r="AB139" s="27" t="n"/>
      <c r="AC139" s="27" t="n"/>
      <c r="AD139" s="27" t="n"/>
      <c r="AE139" s="27" t="n"/>
      <c r="AF139" s="27" t="n"/>
      <c r="AG139" s="27" t="n"/>
      <c r="AH139" s="27" t="n"/>
      <c r="AI139" s="27" t="n"/>
      <c r="AJ139" s="27" t="n"/>
      <c r="AK139" s="27" t="n"/>
      <c r="AL139" s="27" t="n"/>
      <c r="AM139" s="27" t="n"/>
      <c r="AN139" s="27" t="n"/>
      <c r="AO139" s="27" t="n"/>
      <c r="AP139" s="27" t="n"/>
      <c r="AQ139" s="27" t="n"/>
      <c r="AR139" s="27" t="n"/>
      <c r="AS139" s="27" t="n"/>
      <c r="AT139" s="27" t="n"/>
      <c r="AU139" s="27" t="n"/>
      <c r="AV139" s="27" t="n"/>
      <c r="AW139" s="27" t="n"/>
      <c r="AX139" s="27" t="n"/>
      <c r="AY139" s="27" t="n"/>
      <c r="AZ139" s="27" t="n"/>
      <c r="BA139" s="27" t="n"/>
      <c r="BB139" s="27" t="n"/>
      <c r="BC139" s="27" t="n"/>
      <c r="BD139" s="27" t="n"/>
      <c r="BE139" s="27" t="n"/>
      <c r="BF139" s="27" t="n"/>
      <c r="BG139" s="27" t="n"/>
      <c r="BH139" s="27" t="n"/>
      <c r="BI139" s="29" t="n"/>
      <c r="BJ139" s="27" t="n"/>
      <c r="BK139" s="27" t="n"/>
      <c r="BL139" s="27" t="n"/>
      <c r="BM139" s="27" t="n"/>
    </row>
    <row r="140">
      <c r="A140" s="27" t="n"/>
      <c r="B140" s="27" t="n"/>
      <c r="C140" s="28">
        <f>IF(A140="","",$B$2)</f>
        <v/>
      </c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  <c r="AA140" s="27" t="n"/>
      <c r="AB140" s="27" t="n"/>
      <c r="AC140" s="27" t="n"/>
      <c r="AD140" s="27" t="n"/>
      <c r="AE140" s="27" t="n"/>
      <c r="AF140" s="27" t="n"/>
      <c r="AG140" s="27" t="n"/>
      <c r="AH140" s="27" t="n"/>
      <c r="AI140" s="27" t="n"/>
      <c r="AJ140" s="27" t="n"/>
      <c r="AK140" s="27" t="n"/>
      <c r="AL140" s="27" t="n"/>
      <c r="AM140" s="27" t="n"/>
      <c r="AN140" s="27" t="n"/>
      <c r="AO140" s="27" t="n"/>
      <c r="AP140" s="27" t="n"/>
      <c r="AQ140" s="27" t="n"/>
      <c r="AR140" s="27" t="n"/>
      <c r="AS140" s="27" t="n"/>
      <c r="AT140" s="27" t="n"/>
      <c r="AU140" s="27" t="n"/>
      <c r="AV140" s="27" t="n"/>
      <c r="AW140" s="27" t="n"/>
      <c r="AX140" s="27" t="n"/>
      <c r="AY140" s="27" t="n"/>
      <c r="AZ140" s="27" t="n"/>
      <c r="BA140" s="27" t="n"/>
      <c r="BB140" s="27" t="n"/>
      <c r="BC140" s="27" t="n"/>
      <c r="BD140" s="27" t="n"/>
      <c r="BE140" s="27" t="n"/>
      <c r="BF140" s="27" t="n"/>
      <c r="BG140" s="27" t="n"/>
      <c r="BH140" s="27" t="n"/>
      <c r="BI140" s="29" t="n"/>
      <c r="BJ140" s="27" t="n"/>
      <c r="BK140" s="27" t="n"/>
      <c r="BL140" s="27" t="n"/>
      <c r="BM140" s="27" t="n"/>
    </row>
    <row r="141">
      <c r="A141" s="27" t="n"/>
      <c r="B141" s="27" t="n"/>
      <c r="C141" s="28">
        <f>IF(A141="","",$B$2)</f>
        <v/>
      </c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  <c r="AA141" s="27" t="n"/>
      <c r="AB141" s="27" t="n"/>
      <c r="AC141" s="27" t="n"/>
      <c r="AD141" s="27" t="n"/>
      <c r="AE141" s="27" t="n"/>
      <c r="AF141" s="27" t="n"/>
      <c r="AG141" s="27" t="n"/>
      <c r="AH141" s="27" t="n"/>
      <c r="AI141" s="27" t="n"/>
      <c r="AJ141" s="27" t="n"/>
      <c r="AK141" s="27" t="n"/>
      <c r="AL141" s="27" t="n"/>
      <c r="AM141" s="27" t="n"/>
      <c r="AN141" s="27" t="n"/>
      <c r="AO141" s="27" t="n"/>
      <c r="AP141" s="27" t="n"/>
      <c r="AQ141" s="27" t="n"/>
      <c r="AR141" s="27" t="n"/>
      <c r="AS141" s="27" t="n"/>
      <c r="AT141" s="27" t="n"/>
      <c r="AU141" s="27" t="n"/>
      <c r="AV141" s="27" t="n"/>
      <c r="AW141" s="27" t="n"/>
      <c r="AX141" s="27" t="n"/>
      <c r="AY141" s="27" t="n"/>
      <c r="AZ141" s="27" t="n"/>
      <c r="BA141" s="27" t="n"/>
      <c r="BB141" s="27" t="n"/>
      <c r="BC141" s="27" t="n"/>
      <c r="BD141" s="27" t="n"/>
      <c r="BE141" s="27" t="n"/>
      <c r="BF141" s="27" t="n"/>
      <c r="BG141" s="27" t="n"/>
      <c r="BH141" s="27" t="n"/>
      <c r="BI141" s="29" t="n"/>
      <c r="BJ141" s="27" t="n"/>
      <c r="BK141" s="27" t="n"/>
      <c r="BL141" s="27" t="n"/>
      <c r="BM141" s="27" t="n"/>
    </row>
    <row r="142">
      <c r="A142" s="27" t="n"/>
      <c r="B142" s="27" t="n"/>
      <c r="C142" s="28">
        <f>IF(A142="","",$B$2)</f>
        <v/>
      </c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  <c r="AA142" s="27" t="n"/>
      <c r="AB142" s="27" t="n"/>
      <c r="AC142" s="27" t="n"/>
      <c r="AD142" s="27" t="n"/>
      <c r="AE142" s="27" t="n"/>
      <c r="AF142" s="27" t="n"/>
      <c r="AG142" s="27" t="n"/>
      <c r="AH142" s="27" t="n"/>
      <c r="AI142" s="27" t="n"/>
      <c r="AJ142" s="27" t="n"/>
      <c r="AK142" s="27" t="n"/>
      <c r="AL142" s="27" t="n"/>
      <c r="AM142" s="27" t="n"/>
      <c r="AN142" s="27" t="n"/>
      <c r="AO142" s="27" t="n"/>
      <c r="AP142" s="27" t="n"/>
      <c r="AQ142" s="27" t="n"/>
      <c r="AR142" s="27" t="n"/>
      <c r="AS142" s="27" t="n"/>
      <c r="AT142" s="27" t="n"/>
      <c r="AU142" s="27" t="n"/>
      <c r="AV142" s="27" t="n"/>
      <c r="AW142" s="27" t="n"/>
      <c r="AX142" s="27" t="n"/>
      <c r="AY142" s="27" t="n"/>
      <c r="AZ142" s="27" t="n"/>
      <c r="BA142" s="27" t="n"/>
      <c r="BB142" s="27" t="n"/>
      <c r="BC142" s="27" t="n"/>
      <c r="BD142" s="27" t="n"/>
      <c r="BE142" s="27" t="n"/>
      <c r="BF142" s="27" t="n"/>
      <c r="BG142" s="27" t="n"/>
      <c r="BH142" s="27" t="n"/>
      <c r="BI142" s="29" t="n"/>
      <c r="BJ142" s="27" t="n"/>
      <c r="BK142" s="27" t="n"/>
      <c r="BL142" s="27" t="n"/>
      <c r="BM142" s="27" t="n"/>
    </row>
    <row r="143">
      <c r="A143" s="27" t="n"/>
      <c r="B143" s="27" t="n"/>
      <c r="C143" s="28">
        <f>IF(A143="","",$B$2)</f>
        <v/>
      </c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  <c r="AA143" s="27" t="n"/>
      <c r="AB143" s="27" t="n"/>
      <c r="AC143" s="27" t="n"/>
      <c r="AD143" s="27" t="n"/>
      <c r="AE143" s="27" t="n"/>
      <c r="AF143" s="27" t="n"/>
      <c r="AG143" s="27" t="n"/>
      <c r="AH143" s="27" t="n"/>
      <c r="AI143" s="27" t="n"/>
      <c r="AJ143" s="27" t="n"/>
      <c r="AK143" s="27" t="n"/>
      <c r="AL143" s="27" t="n"/>
      <c r="AM143" s="27" t="n"/>
      <c r="AN143" s="27" t="n"/>
      <c r="AO143" s="27" t="n"/>
      <c r="AP143" s="27" t="n"/>
      <c r="AQ143" s="27" t="n"/>
      <c r="AR143" s="27" t="n"/>
      <c r="AS143" s="27" t="n"/>
      <c r="AT143" s="27" t="n"/>
      <c r="AU143" s="27" t="n"/>
      <c r="AV143" s="27" t="n"/>
      <c r="AW143" s="27" t="n"/>
      <c r="AX143" s="27" t="n"/>
      <c r="AY143" s="27" t="n"/>
      <c r="AZ143" s="27" t="n"/>
      <c r="BA143" s="27" t="n"/>
      <c r="BB143" s="27" t="n"/>
      <c r="BC143" s="27" t="n"/>
      <c r="BD143" s="27" t="n"/>
      <c r="BE143" s="27" t="n"/>
      <c r="BF143" s="27" t="n"/>
      <c r="BG143" s="27" t="n"/>
      <c r="BH143" s="27" t="n"/>
      <c r="BI143" s="29" t="n"/>
      <c r="BJ143" s="27" t="n"/>
      <c r="BK143" s="27" t="n"/>
      <c r="BL143" s="27" t="n"/>
      <c r="BM143" s="27" t="n"/>
    </row>
    <row r="144">
      <c r="A144" s="27" t="n"/>
      <c r="B144" s="27" t="n"/>
      <c r="C144" s="28">
        <f>IF(A144="","",$B$2)</f>
        <v/>
      </c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  <c r="AA144" s="27" t="n"/>
      <c r="AB144" s="27" t="n"/>
      <c r="AC144" s="27" t="n"/>
      <c r="AD144" s="27" t="n"/>
      <c r="AE144" s="27" t="n"/>
      <c r="AF144" s="27" t="n"/>
      <c r="AG144" s="27" t="n"/>
      <c r="AH144" s="27" t="n"/>
      <c r="AI144" s="27" t="n"/>
      <c r="AJ144" s="27" t="n"/>
      <c r="AK144" s="27" t="n"/>
      <c r="AL144" s="27" t="n"/>
      <c r="AM144" s="27" t="n"/>
      <c r="AN144" s="27" t="n"/>
      <c r="AO144" s="27" t="n"/>
      <c r="AP144" s="27" t="n"/>
      <c r="AQ144" s="27" t="n"/>
      <c r="AR144" s="27" t="n"/>
      <c r="AS144" s="27" t="n"/>
      <c r="AT144" s="27" t="n"/>
      <c r="AU144" s="27" t="n"/>
      <c r="AV144" s="27" t="n"/>
      <c r="AW144" s="27" t="n"/>
      <c r="AX144" s="27" t="n"/>
      <c r="AY144" s="27" t="n"/>
      <c r="AZ144" s="27" t="n"/>
      <c r="BA144" s="27" t="n"/>
      <c r="BB144" s="27" t="n"/>
      <c r="BC144" s="27" t="n"/>
      <c r="BD144" s="27" t="n"/>
      <c r="BE144" s="27" t="n"/>
      <c r="BF144" s="27" t="n"/>
      <c r="BG144" s="27" t="n"/>
      <c r="BH144" s="27" t="n"/>
      <c r="BI144" s="29" t="n"/>
      <c r="BJ144" s="27" t="n"/>
      <c r="BK144" s="27" t="n"/>
      <c r="BL144" s="27" t="n"/>
      <c r="BM144" s="27" t="n"/>
    </row>
    <row r="145">
      <c r="A145" s="27" t="n"/>
      <c r="B145" s="27" t="n"/>
      <c r="C145" s="28">
        <f>IF(A145="","",$B$2)</f>
        <v/>
      </c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  <c r="AA145" s="27" t="n"/>
      <c r="AB145" s="27" t="n"/>
      <c r="AC145" s="27" t="n"/>
      <c r="AD145" s="27" t="n"/>
      <c r="AE145" s="27" t="n"/>
      <c r="AF145" s="27" t="n"/>
      <c r="AG145" s="27" t="n"/>
      <c r="AH145" s="27" t="n"/>
      <c r="AI145" s="27" t="n"/>
      <c r="AJ145" s="27" t="n"/>
      <c r="AK145" s="27" t="n"/>
      <c r="AL145" s="27" t="n"/>
      <c r="AM145" s="27" t="n"/>
      <c r="AN145" s="27" t="n"/>
      <c r="AO145" s="27" t="n"/>
      <c r="AP145" s="27" t="n"/>
      <c r="AQ145" s="27" t="n"/>
      <c r="AR145" s="27" t="n"/>
      <c r="AS145" s="27" t="n"/>
      <c r="AT145" s="27" t="n"/>
      <c r="AU145" s="27" t="n"/>
      <c r="AV145" s="27" t="n"/>
      <c r="AW145" s="27" t="n"/>
      <c r="AX145" s="27" t="n"/>
      <c r="AY145" s="27" t="n"/>
      <c r="AZ145" s="27" t="n"/>
      <c r="BA145" s="27" t="n"/>
      <c r="BB145" s="27" t="n"/>
      <c r="BC145" s="27" t="n"/>
      <c r="BD145" s="27" t="n"/>
      <c r="BE145" s="27" t="n"/>
      <c r="BF145" s="27" t="n"/>
      <c r="BG145" s="27" t="n"/>
      <c r="BH145" s="27" t="n"/>
      <c r="BI145" s="29" t="n"/>
      <c r="BJ145" s="27" t="n"/>
      <c r="BK145" s="27" t="n"/>
      <c r="BL145" s="27" t="n"/>
      <c r="BM145" s="27" t="n"/>
    </row>
    <row r="146">
      <c r="A146" s="27" t="n"/>
      <c r="B146" s="27" t="n"/>
      <c r="C146" s="28">
        <f>IF(A146="","",$B$2)</f>
        <v/>
      </c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  <c r="AA146" s="27" t="n"/>
      <c r="AB146" s="27" t="n"/>
      <c r="AC146" s="27" t="n"/>
      <c r="AD146" s="27" t="n"/>
      <c r="AE146" s="27" t="n"/>
      <c r="AF146" s="27" t="n"/>
      <c r="AG146" s="27" t="n"/>
      <c r="AH146" s="27" t="n"/>
      <c r="AI146" s="27" t="n"/>
      <c r="AJ146" s="27" t="n"/>
      <c r="AK146" s="27" t="n"/>
      <c r="AL146" s="27" t="n"/>
      <c r="AM146" s="27" t="n"/>
      <c r="AN146" s="27" t="n"/>
      <c r="AO146" s="27" t="n"/>
      <c r="AP146" s="27" t="n"/>
      <c r="AQ146" s="27" t="n"/>
      <c r="AR146" s="27" t="n"/>
      <c r="AS146" s="27" t="n"/>
      <c r="AT146" s="27" t="n"/>
      <c r="AU146" s="27" t="n"/>
      <c r="AV146" s="27" t="n"/>
      <c r="AW146" s="27" t="n"/>
      <c r="AX146" s="27" t="n"/>
      <c r="AY146" s="27" t="n"/>
      <c r="AZ146" s="27" t="n"/>
      <c r="BA146" s="27" t="n"/>
      <c r="BB146" s="27" t="n"/>
      <c r="BC146" s="27" t="n"/>
      <c r="BD146" s="27" t="n"/>
      <c r="BE146" s="27" t="n"/>
      <c r="BF146" s="27" t="n"/>
      <c r="BG146" s="27" t="n"/>
      <c r="BH146" s="27" t="n"/>
      <c r="BI146" s="29" t="n"/>
      <c r="BJ146" s="27" t="n"/>
      <c r="BK146" s="27" t="n"/>
      <c r="BL146" s="27" t="n"/>
      <c r="BM146" s="27" t="n"/>
    </row>
    <row r="147">
      <c r="A147" s="27" t="n"/>
      <c r="B147" s="27" t="n"/>
      <c r="C147" s="28">
        <f>IF(A147="","",$B$2)</f>
        <v/>
      </c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  <c r="AA147" s="27" t="n"/>
      <c r="AB147" s="27" t="n"/>
      <c r="AC147" s="27" t="n"/>
      <c r="AD147" s="27" t="n"/>
      <c r="AE147" s="27" t="n"/>
      <c r="AF147" s="27" t="n"/>
      <c r="AG147" s="27" t="n"/>
      <c r="AH147" s="27" t="n"/>
      <c r="AI147" s="27" t="n"/>
      <c r="AJ147" s="27" t="n"/>
      <c r="AK147" s="27" t="n"/>
      <c r="AL147" s="27" t="n"/>
      <c r="AM147" s="27" t="n"/>
      <c r="AN147" s="27" t="n"/>
      <c r="AO147" s="27" t="n"/>
      <c r="AP147" s="27" t="n"/>
      <c r="AQ147" s="27" t="n"/>
      <c r="AR147" s="27" t="n"/>
      <c r="AS147" s="27" t="n"/>
      <c r="AT147" s="27" t="n"/>
      <c r="AU147" s="27" t="n"/>
      <c r="AV147" s="27" t="n"/>
      <c r="AW147" s="27" t="n"/>
      <c r="AX147" s="27" t="n"/>
      <c r="AY147" s="27" t="n"/>
      <c r="AZ147" s="27" t="n"/>
      <c r="BA147" s="27" t="n"/>
      <c r="BB147" s="27" t="n"/>
      <c r="BC147" s="27" t="n"/>
      <c r="BD147" s="27" t="n"/>
      <c r="BE147" s="27" t="n"/>
      <c r="BF147" s="27" t="n"/>
      <c r="BG147" s="27" t="n"/>
      <c r="BH147" s="27" t="n"/>
      <c r="BI147" s="29" t="n"/>
      <c r="BJ147" s="27" t="n"/>
      <c r="BK147" s="27" t="n"/>
      <c r="BL147" s="27" t="n"/>
      <c r="BM147" s="27" t="n"/>
    </row>
    <row r="148">
      <c r="A148" s="27" t="n"/>
      <c r="B148" s="27" t="n"/>
      <c r="C148" s="28">
        <f>IF(A148="","",$B$2)</f>
        <v/>
      </c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  <c r="AA148" s="27" t="n"/>
      <c r="AB148" s="27" t="n"/>
      <c r="AC148" s="27" t="n"/>
      <c r="AD148" s="27" t="n"/>
      <c r="AE148" s="27" t="n"/>
      <c r="AF148" s="27" t="n"/>
      <c r="AG148" s="27" t="n"/>
      <c r="AH148" s="27" t="n"/>
      <c r="AI148" s="27" t="n"/>
      <c r="AJ148" s="27" t="n"/>
      <c r="AK148" s="27" t="n"/>
      <c r="AL148" s="27" t="n"/>
      <c r="AM148" s="27" t="n"/>
      <c r="AN148" s="27" t="n"/>
      <c r="AO148" s="27" t="n"/>
      <c r="AP148" s="27" t="n"/>
      <c r="AQ148" s="27" t="n"/>
      <c r="AR148" s="27" t="n"/>
      <c r="AS148" s="27" t="n"/>
      <c r="AT148" s="27" t="n"/>
      <c r="AU148" s="27" t="n"/>
      <c r="AV148" s="27" t="n"/>
      <c r="AW148" s="27" t="n"/>
      <c r="AX148" s="27" t="n"/>
      <c r="AY148" s="27" t="n"/>
      <c r="AZ148" s="27" t="n"/>
      <c r="BA148" s="27" t="n"/>
      <c r="BB148" s="27" t="n"/>
      <c r="BC148" s="27" t="n"/>
      <c r="BD148" s="27" t="n"/>
      <c r="BE148" s="27" t="n"/>
      <c r="BF148" s="27" t="n"/>
      <c r="BG148" s="27" t="n"/>
      <c r="BH148" s="27" t="n"/>
      <c r="BI148" s="29" t="n"/>
      <c r="BJ148" s="27" t="n"/>
      <c r="BK148" s="27" t="n"/>
      <c r="BL148" s="27" t="n"/>
      <c r="BM148" s="27" t="n"/>
    </row>
    <row r="149">
      <c r="A149" s="27" t="n"/>
      <c r="B149" s="27" t="n"/>
      <c r="C149" s="28">
        <f>IF(A149="","",$B$2)</f>
        <v/>
      </c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  <c r="AA149" s="27" t="n"/>
      <c r="AB149" s="27" t="n"/>
      <c r="AC149" s="27" t="n"/>
      <c r="AD149" s="27" t="n"/>
      <c r="AE149" s="27" t="n"/>
      <c r="AF149" s="27" t="n"/>
      <c r="AG149" s="27" t="n"/>
      <c r="AH149" s="27" t="n"/>
      <c r="AI149" s="27" t="n"/>
      <c r="AJ149" s="27" t="n"/>
      <c r="AK149" s="27" t="n"/>
      <c r="AL149" s="27" t="n"/>
      <c r="AM149" s="27" t="n"/>
      <c r="AN149" s="27" t="n"/>
      <c r="AO149" s="27" t="n"/>
      <c r="AP149" s="27" t="n"/>
      <c r="AQ149" s="27" t="n"/>
      <c r="AR149" s="27" t="n"/>
      <c r="AS149" s="27" t="n"/>
      <c r="AT149" s="27" t="n"/>
      <c r="AU149" s="27" t="n"/>
      <c r="AV149" s="27" t="n"/>
      <c r="AW149" s="27" t="n"/>
      <c r="AX149" s="27" t="n"/>
      <c r="AY149" s="27" t="n"/>
      <c r="AZ149" s="27" t="n"/>
      <c r="BA149" s="27" t="n"/>
      <c r="BB149" s="27" t="n"/>
      <c r="BC149" s="27" t="n"/>
      <c r="BD149" s="27" t="n"/>
      <c r="BE149" s="27" t="n"/>
      <c r="BF149" s="27" t="n"/>
      <c r="BG149" s="27" t="n"/>
      <c r="BH149" s="27" t="n"/>
      <c r="BI149" s="29" t="n"/>
      <c r="BJ149" s="27" t="n"/>
      <c r="BK149" s="27" t="n"/>
      <c r="BL149" s="27" t="n"/>
      <c r="BM149" s="27" t="n"/>
    </row>
    <row r="150">
      <c r="A150" s="27" t="n"/>
      <c r="B150" s="27" t="n"/>
      <c r="C150" s="28">
        <f>IF(A150="","",$B$2)</f>
        <v/>
      </c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  <c r="AA150" s="27" t="n"/>
      <c r="AB150" s="27" t="n"/>
      <c r="AC150" s="27" t="n"/>
      <c r="AD150" s="27" t="n"/>
      <c r="AE150" s="27" t="n"/>
      <c r="AF150" s="27" t="n"/>
      <c r="AG150" s="27" t="n"/>
      <c r="AH150" s="27" t="n"/>
      <c r="AI150" s="27" t="n"/>
      <c r="AJ150" s="27" t="n"/>
      <c r="AK150" s="27" t="n"/>
      <c r="AL150" s="27" t="n"/>
      <c r="AM150" s="27" t="n"/>
      <c r="AN150" s="27" t="n"/>
      <c r="AO150" s="27" t="n"/>
      <c r="AP150" s="27" t="n"/>
      <c r="AQ150" s="27" t="n"/>
      <c r="AR150" s="27" t="n"/>
      <c r="AS150" s="27" t="n"/>
      <c r="AT150" s="27" t="n"/>
      <c r="AU150" s="27" t="n"/>
      <c r="AV150" s="27" t="n"/>
      <c r="AW150" s="27" t="n"/>
      <c r="AX150" s="27" t="n"/>
      <c r="AY150" s="27" t="n"/>
      <c r="AZ150" s="27" t="n"/>
      <c r="BA150" s="27" t="n"/>
      <c r="BB150" s="27" t="n"/>
      <c r="BC150" s="27" t="n"/>
      <c r="BD150" s="27" t="n"/>
      <c r="BE150" s="27" t="n"/>
      <c r="BF150" s="27" t="n"/>
      <c r="BG150" s="27" t="n"/>
      <c r="BH150" s="27" t="n"/>
      <c r="BI150" s="29" t="n"/>
      <c r="BJ150" s="27" t="n"/>
      <c r="BK150" s="27" t="n"/>
      <c r="BL150" s="27" t="n"/>
      <c r="BM150" s="27" t="n"/>
    </row>
    <row r="151">
      <c r="A151" s="27" t="n"/>
      <c r="B151" s="27" t="n"/>
      <c r="C151" s="28">
        <f>IF(A151="","",$B$2)</f>
        <v/>
      </c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  <c r="AA151" s="27" t="n"/>
      <c r="AB151" s="27" t="n"/>
      <c r="AC151" s="27" t="n"/>
      <c r="AD151" s="27" t="n"/>
      <c r="AE151" s="27" t="n"/>
      <c r="AF151" s="27" t="n"/>
      <c r="AG151" s="27" t="n"/>
      <c r="AH151" s="27" t="n"/>
      <c r="AI151" s="27" t="n"/>
      <c r="AJ151" s="27" t="n"/>
      <c r="AK151" s="27" t="n"/>
      <c r="AL151" s="27" t="n"/>
      <c r="AM151" s="27" t="n"/>
      <c r="AN151" s="27" t="n"/>
      <c r="AO151" s="27" t="n"/>
      <c r="AP151" s="27" t="n"/>
      <c r="AQ151" s="27" t="n"/>
      <c r="AR151" s="27" t="n"/>
      <c r="AS151" s="27" t="n"/>
      <c r="AT151" s="27" t="n"/>
      <c r="AU151" s="27" t="n"/>
      <c r="AV151" s="27" t="n"/>
      <c r="AW151" s="27" t="n"/>
      <c r="AX151" s="27" t="n"/>
      <c r="AY151" s="27" t="n"/>
      <c r="AZ151" s="27" t="n"/>
      <c r="BA151" s="27" t="n"/>
      <c r="BB151" s="27" t="n"/>
      <c r="BC151" s="27" t="n"/>
      <c r="BD151" s="27" t="n"/>
      <c r="BE151" s="27" t="n"/>
      <c r="BF151" s="27" t="n"/>
      <c r="BG151" s="27" t="n"/>
      <c r="BH151" s="27" t="n"/>
      <c r="BI151" s="29" t="n"/>
      <c r="BJ151" s="27" t="n"/>
      <c r="BK151" s="27" t="n"/>
      <c r="BL151" s="27" t="n"/>
      <c r="BM151" s="27" t="n"/>
    </row>
    <row r="152">
      <c r="A152" s="27" t="n"/>
      <c r="B152" s="27" t="n"/>
      <c r="C152" s="28">
        <f>IF(A152="","",$B$2)</f>
        <v/>
      </c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  <c r="AA152" s="27" t="n"/>
      <c r="AB152" s="27" t="n"/>
      <c r="AC152" s="27" t="n"/>
      <c r="AD152" s="27" t="n"/>
      <c r="AE152" s="27" t="n"/>
      <c r="AF152" s="27" t="n"/>
      <c r="AG152" s="27" t="n"/>
      <c r="AH152" s="27" t="n"/>
      <c r="AI152" s="27" t="n"/>
      <c r="AJ152" s="27" t="n"/>
      <c r="AK152" s="27" t="n"/>
      <c r="AL152" s="27" t="n"/>
      <c r="AM152" s="27" t="n"/>
      <c r="AN152" s="27" t="n"/>
      <c r="AO152" s="27" t="n"/>
      <c r="AP152" s="27" t="n"/>
      <c r="AQ152" s="27" t="n"/>
      <c r="AR152" s="27" t="n"/>
      <c r="AS152" s="27" t="n"/>
      <c r="AT152" s="27" t="n"/>
      <c r="AU152" s="27" t="n"/>
      <c r="AV152" s="27" t="n"/>
      <c r="AW152" s="27" t="n"/>
      <c r="AX152" s="27" t="n"/>
      <c r="AY152" s="27" t="n"/>
      <c r="AZ152" s="27" t="n"/>
      <c r="BA152" s="27" t="n"/>
      <c r="BB152" s="27" t="n"/>
      <c r="BC152" s="27" t="n"/>
      <c r="BD152" s="27" t="n"/>
      <c r="BE152" s="27" t="n"/>
      <c r="BF152" s="27" t="n"/>
      <c r="BG152" s="27" t="n"/>
      <c r="BH152" s="27" t="n"/>
      <c r="BI152" s="29" t="n"/>
      <c r="BJ152" s="27" t="n"/>
      <c r="BK152" s="27" t="n"/>
      <c r="BL152" s="27" t="n"/>
      <c r="BM152" s="27" t="n"/>
    </row>
    <row r="153">
      <c r="A153" s="27" t="n"/>
      <c r="B153" s="27" t="n"/>
      <c r="C153" s="28">
        <f>IF(A153="","",$B$2)</f>
        <v/>
      </c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  <c r="AA153" s="27" t="n"/>
      <c r="AB153" s="27" t="n"/>
      <c r="AC153" s="27" t="n"/>
      <c r="AD153" s="27" t="n"/>
      <c r="AE153" s="27" t="n"/>
      <c r="AF153" s="27" t="n"/>
      <c r="AG153" s="27" t="n"/>
      <c r="AH153" s="27" t="n"/>
      <c r="AI153" s="27" t="n"/>
      <c r="AJ153" s="27" t="n"/>
      <c r="AK153" s="27" t="n"/>
      <c r="AL153" s="27" t="n"/>
      <c r="AM153" s="27" t="n"/>
      <c r="AN153" s="27" t="n"/>
      <c r="AO153" s="27" t="n"/>
      <c r="AP153" s="27" t="n"/>
      <c r="AQ153" s="27" t="n"/>
      <c r="AR153" s="27" t="n"/>
      <c r="AS153" s="27" t="n"/>
      <c r="AT153" s="27" t="n"/>
      <c r="AU153" s="27" t="n"/>
      <c r="AV153" s="27" t="n"/>
      <c r="AW153" s="27" t="n"/>
      <c r="AX153" s="27" t="n"/>
      <c r="AY153" s="27" t="n"/>
      <c r="AZ153" s="27" t="n"/>
      <c r="BA153" s="27" t="n"/>
      <c r="BB153" s="27" t="n"/>
      <c r="BC153" s="27" t="n"/>
      <c r="BD153" s="27" t="n"/>
      <c r="BE153" s="27" t="n"/>
      <c r="BF153" s="27" t="n"/>
      <c r="BG153" s="27" t="n"/>
      <c r="BH153" s="27" t="n"/>
      <c r="BI153" s="29" t="n"/>
      <c r="BJ153" s="27" t="n"/>
      <c r="BK153" s="27" t="n"/>
      <c r="BL153" s="27" t="n"/>
      <c r="BM153" s="27" t="n"/>
    </row>
    <row r="154">
      <c r="A154" s="27" t="n"/>
      <c r="B154" s="27" t="n"/>
      <c r="C154" s="28">
        <f>IF(A154="","",$B$2)</f>
        <v/>
      </c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  <c r="AA154" s="27" t="n"/>
      <c r="AB154" s="27" t="n"/>
      <c r="AC154" s="27" t="n"/>
      <c r="AD154" s="27" t="n"/>
      <c r="AE154" s="27" t="n"/>
      <c r="AF154" s="27" t="n"/>
      <c r="AG154" s="27" t="n"/>
      <c r="AH154" s="27" t="n"/>
      <c r="AI154" s="27" t="n"/>
      <c r="AJ154" s="27" t="n"/>
      <c r="AK154" s="27" t="n"/>
      <c r="AL154" s="27" t="n"/>
      <c r="AM154" s="27" t="n"/>
      <c r="AN154" s="27" t="n"/>
      <c r="AO154" s="27" t="n"/>
      <c r="AP154" s="27" t="n"/>
      <c r="AQ154" s="27" t="n"/>
      <c r="AR154" s="27" t="n"/>
      <c r="AS154" s="27" t="n"/>
      <c r="AT154" s="27" t="n"/>
      <c r="AU154" s="27" t="n"/>
      <c r="AV154" s="27" t="n"/>
      <c r="AW154" s="27" t="n"/>
      <c r="AX154" s="27" t="n"/>
      <c r="AY154" s="27" t="n"/>
      <c r="AZ154" s="27" t="n"/>
      <c r="BA154" s="27" t="n"/>
      <c r="BB154" s="27" t="n"/>
      <c r="BC154" s="27" t="n"/>
      <c r="BD154" s="27" t="n"/>
      <c r="BE154" s="27" t="n"/>
      <c r="BF154" s="27" t="n"/>
      <c r="BG154" s="27" t="n"/>
      <c r="BH154" s="27" t="n"/>
      <c r="BI154" s="29" t="n"/>
      <c r="BJ154" s="27" t="n"/>
      <c r="BK154" s="27" t="n"/>
      <c r="BL154" s="27" t="n"/>
      <c r="BM154" s="27" t="n"/>
    </row>
    <row r="155">
      <c r="A155" s="27" t="n"/>
      <c r="B155" s="27" t="n"/>
      <c r="C155" s="28">
        <f>IF(A155="","",$B$2)</f>
        <v/>
      </c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  <c r="AA155" s="27" t="n"/>
      <c r="AB155" s="27" t="n"/>
      <c r="AC155" s="27" t="n"/>
      <c r="AD155" s="27" t="n"/>
      <c r="AE155" s="27" t="n"/>
      <c r="AF155" s="27" t="n"/>
      <c r="AG155" s="27" t="n"/>
      <c r="AH155" s="27" t="n"/>
      <c r="AI155" s="27" t="n"/>
      <c r="AJ155" s="27" t="n"/>
      <c r="AK155" s="27" t="n"/>
      <c r="AL155" s="27" t="n"/>
      <c r="AM155" s="27" t="n"/>
      <c r="AN155" s="27" t="n"/>
      <c r="AO155" s="27" t="n"/>
      <c r="AP155" s="27" t="n"/>
      <c r="AQ155" s="27" t="n"/>
      <c r="AR155" s="27" t="n"/>
      <c r="AS155" s="27" t="n"/>
      <c r="AT155" s="27" t="n"/>
      <c r="AU155" s="27" t="n"/>
      <c r="AV155" s="27" t="n"/>
      <c r="AW155" s="27" t="n"/>
      <c r="AX155" s="27" t="n"/>
      <c r="AY155" s="27" t="n"/>
      <c r="AZ155" s="27" t="n"/>
      <c r="BA155" s="27" t="n"/>
      <c r="BB155" s="27" t="n"/>
      <c r="BC155" s="27" t="n"/>
      <c r="BD155" s="27" t="n"/>
      <c r="BE155" s="27" t="n"/>
      <c r="BF155" s="27" t="n"/>
      <c r="BG155" s="27" t="n"/>
      <c r="BH155" s="27" t="n"/>
      <c r="BI155" s="29" t="n"/>
      <c r="BJ155" s="27" t="n"/>
      <c r="BK155" s="27" t="n"/>
      <c r="BL155" s="27" t="n"/>
      <c r="BM155" s="27" t="n"/>
    </row>
    <row r="156">
      <c r="A156" s="27" t="n"/>
      <c r="B156" s="27" t="n"/>
      <c r="C156" s="28">
        <f>IF(A156="","",$B$2)</f>
        <v/>
      </c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  <c r="AA156" s="27" t="n"/>
      <c r="AB156" s="27" t="n"/>
      <c r="AC156" s="27" t="n"/>
      <c r="AD156" s="27" t="n"/>
      <c r="AE156" s="27" t="n"/>
      <c r="AF156" s="27" t="n"/>
      <c r="AG156" s="27" t="n"/>
      <c r="AH156" s="27" t="n"/>
      <c r="AI156" s="27" t="n"/>
      <c r="AJ156" s="27" t="n"/>
      <c r="AK156" s="27" t="n"/>
      <c r="AL156" s="27" t="n"/>
      <c r="AM156" s="27" t="n"/>
      <c r="AN156" s="27" t="n"/>
      <c r="AO156" s="27" t="n"/>
      <c r="AP156" s="27" t="n"/>
      <c r="AQ156" s="27" t="n"/>
      <c r="AR156" s="27" t="n"/>
      <c r="AS156" s="27" t="n"/>
      <c r="AT156" s="27" t="n"/>
      <c r="AU156" s="27" t="n"/>
      <c r="AV156" s="27" t="n"/>
      <c r="AW156" s="27" t="n"/>
      <c r="AX156" s="27" t="n"/>
      <c r="AY156" s="27" t="n"/>
      <c r="AZ156" s="27" t="n"/>
      <c r="BA156" s="27" t="n"/>
      <c r="BB156" s="27" t="n"/>
      <c r="BC156" s="27" t="n"/>
      <c r="BD156" s="27" t="n"/>
      <c r="BE156" s="27" t="n"/>
      <c r="BF156" s="27" t="n"/>
      <c r="BG156" s="27" t="n"/>
      <c r="BH156" s="27" t="n"/>
      <c r="BI156" s="29" t="n"/>
      <c r="BJ156" s="27" t="n"/>
      <c r="BK156" s="27" t="n"/>
      <c r="BL156" s="27" t="n"/>
      <c r="BM156" s="27" t="n"/>
    </row>
    <row r="157">
      <c r="A157" s="27" t="n"/>
      <c r="B157" s="27" t="n"/>
      <c r="C157" s="28">
        <f>IF(A157="","",$B$2)</f>
        <v/>
      </c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  <c r="AA157" s="27" t="n"/>
      <c r="AB157" s="27" t="n"/>
      <c r="AC157" s="27" t="n"/>
      <c r="AD157" s="27" t="n"/>
      <c r="AE157" s="27" t="n"/>
      <c r="AF157" s="27" t="n"/>
      <c r="AG157" s="27" t="n"/>
      <c r="AH157" s="27" t="n"/>
      <c r="AI157" s="27" t="n"/>
      <c r="AJ157" s="27" t="n"/>
      <c r="AK157" s="27" t="n"/>
      <c r="AL157" s="27" t="n"/>
      <c r="AM157" s="27" t="n"/>
      <c r="AN157" s="27" t="n"/>
      <c r="AO157" s="27" t="n"/>
      <c r="AP157" s="27" t="n"/>
      <c r="AQ157" s="27" t="n"/>
      <c r="AR157" s="27" t="n"/>
      <c r="AS157" s="27" t="n"/>
      <c r="AT157" s="27" t="n"/>
      <c r="AU157" s="27" t="n"/>
      <c r="AV157" s="27" t="n"/>
      <c r="AW157" s="27" t="n"/>
      <c r="AX157" s="27" t="n"/>
      <c r="AY157" s="27" t="n"/>
      <c r="AZ157" s="27" t="n"/>
      <c r="BA157" s="27" t="n"/>
      <c r="BB157" s="27" t="n"/>
      <c r="BC157" s="27" t="n"/>
      <c r="BD157" s="27" t="n"/>
      <c r="BE157" s="27" t="n"/>
      <c r="BF157" s="27" t="n"/>
      <c r="BG157" s="27" t="n"/>
      <c r="BH157" s="27" t="n"/>
      <c r="BI157" s="29" t="n"/>
      <c r="BJ157" s="27" t="n"/>
      <c r="BK157" s="27" t="n"/>
      <c r="BL157" s="27" t="n"/>
      <c r="BM157" s="27" t="n"/>
    </row>
    <row r="158">
      <c r="A158" s="27" t="n"/>
      <c r="B158" s="27" t="n"/>
      <c r="C158" s="28">
        <f>IF(A158="","",$B$2)</f>
        <v/>
      </c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  <c r="AA158" s="27" t="n"/>
      <c r="AB158" s="27" t="n"/>
      <c r="AC158" s="27" t="n"/>
      <c r="AD158" s="27" t="n"/>
      <c r="AE158" s="27" t="n"/>
      <c r="AF158" s="27" t="n"/>
      <c r="AG158" s="27" t="n"/>
      <c r="AH158" s="27" t="n"/>
      <c r="AI158" s="27" t="n"/>
      <c r="AJ158" s="27" t="n"/>
      <c r="AK158" s="27" t="n"/>
      <c r="AL158" s="27" t="n"/>
      <c r="AM158" s="27" t="n"/>
      <c r="AN158" s="27" t="n"/>
      <c r="AO158" s="27" t="n"/>
      <c r="AP158" s="27" t="n"/>
      <c r="AQ158" s="27" t="n"/>
      <c r="AR158" s="27" t="n"/>
      <c r="AS158" s="27" t="n"/>
      <c r="AT158" s="27" t="n"/>
      <c r="AU158" s="27" t="n"/>
      <c r="AV158" s="27" t="n"/>
      <c r="AW158" s="27" t="n"/>
      <c r="AX158" s="27" t="n"/>
      <c r="AY158" s="27" t="n"/>
      <c r="AZ158" s="27" t="n"/>
      <c r="BA158" s="27" t="n"/>
      <c r="BB158" s="27" t="n"/>
      <c r="BC158" s="27" t="n"/>
      <c r="BD158" s="27" t="n"/>
      <c r="BE158" s="27" t="n"/>
      <c r="BF158" s="27" t="n"/>
      <c r="BG158" s="27" t="n"/>
      <c r="BH158" s="27" t="n"/>
      <c r="BI158" s="29" t="n"/>
      <c r="BJ158" s="27" t="n"/>
      <c r="BK158" s="27" t="n"/>
      <c r="BL158" s="27" t="n"/>
      <c r="BM158" s="27" t="n"/>
    </row>
    <row r="159">
      <c r="A159" s="27" t="n"/>
      <c r="B159" s="27" t="n"/>
      <c r="C159" s="28">
        <f>IF(A159="","",$B$2)</f>
        <v/>
      </c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  <c r="AA159" s="27" t="n"/>
      <c r="AB159" s="27" t="n"/>
      <c r="AC159" s="27" t="n"/>
      <c r="AD159" s="27" t="n"/>
      <c r="AE159" s="27" t="n"/>
      <c r="AF159" s="27" t="n"/>
      <c r="AG159" s="27" t="n"/>
      <c r="AH159" s="27" t="n"/>
      <c r="AI159" s="27" t="n"/>
      <c r="AJ159" s="27" t="n"/>
      <c r="AK159" s="27" t="n"/>
      <c r="AL159" s="27" t="n"/>
      <c r="AM159" s="27" t="n"/>
      <c r="AN159" s="27" t="n"/>
      <c r="AO159" s="27" t="n"/>
      <c r="AP159" s="27" t="n"/>
      <c r="AQ159" s="27" t="n"/>
      <c r="AR159" s="27" t="n"/>
      <c r="AS159" s="27" t="n"/>
      <c r="AT159" s="27" t="n"/>
      <c r="AU159" s="27" t="n"/>
      <c r="AV159" s="27" t="n"/>
      <c r="AW159" s="27" t="n"/>
      <c r="AX159" s="27" t="n"/>
      <c r="AY159" s="27" t="n"/>
      <c r="AZ159" s="27" t="n"/>
      <c r="BA159" s="27" t="n"/>
      <c r="BB159" s="27" t="n"/>
      <c r="BC159" s="27" t="n"/>
      <c r="BD159" s="27" t="n"/>
      <c r="BE159" s="27" t="n"/>
      <c r="BF159" s="27" t="n"/>
      <c r="BG159" s="27" t="n"/>
      <c r="BH159" s="27" t="n"/>
      <c r="BI159" s="29" t="n"/>
      <c r="BJ159" s="27" t="n"/>
      <c r="BK159" s="27" t="n"/>
      <c r="BL159" s="27" t="n"/>
      <c r="BM159" s="27" t="n"/>
    </row>
    <row r="160">
      <c r="A160" s="27" t="n"/>
      <c r="B160" s="27" t="n"/>
      <c r="C160" s="28">
        <f>IF(A160="","",$B$2)</f>
        <v/>
      </c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  <c r="AA160" s="27" t="n"/>
      <c r="AB160" s="27" t="n"/>
      <c r="AC160" s="27" t="n"/>
      <c r="AD160" s="27" t="n"/>
      <c r="AE160" s="27" t="n"/>
      <c r="AF160" s="27" t="n"/>
      <c r="AG160" s="27" t="n"/>
      <c r="AH160" s="27" t="n"/>
      <c r="AI160" s="27" t="n"/>
      <c r="AJ160" s="27" t="n"/>
      <c r="AK160" s="27" t="n"/>
      <c r="AL160" s="27" t="n"/>
      <c r="AM160" s="27" t="n"/>
      <c r="AN160" s="27" t="n"/>
      <c r="AO160" s="27" t="n"/>
      <c r="AP160" s="27" t="n"/>
      <c r="AQ160" s="27" t="n"/>
      <c r="AR160" s="27" t="n"/>
      <c r="AS160" s="27" t="n"/>
      <c r="AT160" s="27" t="n"/>
      <c r="AU160" s="27" t="n"/>
      <c r="AV160" s="27" t="n"/>
      <c r="AW160" s="27" t="n"/>
      <c r="AX160" s="27" t="n"/>
      <c r="AY160" s="27" t="n"/>
      <c r="AZ160" s="27" t="n"/>
      <c r="BA160" s="27" t="n"/>
      <c r="BB160" s="27" t="n"/>
      <c r="BC160" s="27" t="n"/>
      <c r="BD160" s="27" t="n"/>
      <c r="BE160" s="27" t="n"/>
      <c r="BF160" s="27" t="n"/>
      <c r="BG160" s="27" t="n"/>
      <c r="BH160" s="27" t="n"/>
      <c r="BI160" s="29" t="n"/>
      <c r="BJ160" s="27" t="n"/>
      <c r="BK160" s="27" t="n"/>
      <c r="BL160" s="27" t="n"/>
      <c r="BM160" s="27" t="n"/>
    </row>
    <row r="161">
      <c r="A161" s="27" t="n"/>
      <c r="B161" s="27" t="n"/>
      <c r="C161" s="28">
        <f>IF(A161="","",$B$2)</f>
        <v/>
      </c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  <c r="AA161" s="27" t="n"/>
      <c r="AB161" s="27" t="n"/>
      <c r="AC161" s="27" t="n"/>
      <c r="AD161" s="27" t="n"/>
      <c r="AE161" s="27" t="n"/>
      <c r="AF161" s="27" t="n"/>
      <c r="AG161" s="27" t="n"/>
      <c r="AH161" s="27" t="n"/>
      <c r="AI161" s="27" t="n"/>
      <c r="AJ161" s="27" t="n"/>
      <c r="AK161" s="27" t="n"/>
      <c r="AL161" s="27" t="n"/>
      <c r="AM161" s="27" t="n"/>
      <c r="AN161" s="27" t="n"/>
      <c r="AO161" s="27" t="n"/>
      <c r="AP161" s="27" t="n"/>
      <c r="AQ161" s="27" t="n"/>
      <c r="AR161" s="27" t="n"/>
      <c r="AS161" s="27" t="n"/>
      <c r="AT161" s="27" t="n"/>
      <c r="AU161" s="27" t="n"/>
      <c r="AV161" s="27" t="n"/>
      <c r="AW161" s="27" t="n"/>
      <c r="AX161" s="27" t="n"/>
      <c r="AY161" s="27" t="n"/>
      <c r="AZ161" s="27" t="n"/>
      <c r="BA161" s="27" t="n"/>
      <c r="BB161" s="27" t="n"/>
      <c r="BC161" s="27" t="n"/>
      <c r="BD161" s="27" t="n"/>
      <c r="BE161" s="27" t="n"/>
      <c r="BF161" s="27" t="n"/>
      <c r="BG161" s="27" t="n"/>
      <c r="BH161" s="27" t="n"/>
      <c r="BI161" s="29" t="n"/>
      <c r="BJ161" s="27" t="n"/>
      <c r="BK161" s="27" t="n"/>
      <c r="BL161" s="27" t="n"/>
      <c r="BM161" s="27" t="n"/>
    </row>
    <row r="162">
      <c r="A162" s="27" t="n"/>
      <c r="B162" s="27" t="n"/>
      <c r="C162" s="28">
        <f>IF(A162="","",$B$2)</f>
        <v/>
      </c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  <c r="AA162" s="27" t="n"/>
      <c r="AB162" s="27" t="n"/>
      <c r="AC162" s="27" t="n"/>
      <c r="AD162" s="27" t="n"/>
      <c r="AE162" s="27" t="n"/>
      <c r="AF162" s="27" t="n"/>
      <c r="AG162" s="27" t="n"/>
      <c r="AH162" s="27" t="n"/>
      <c r="AI162" s="27" t="n"/>
      <c r="AJ162" s="27" t="n"/>
      <c r="AK162" s="27" t="n"/>
      <c r="AL162" s="27" t="n"/>
      <c r="AM162" s="27" t="n"/>
      <c r="AN162" s="27" t="n"/>
      <c r="AO162" s="27" t="n"/>
      <c r="AP162" s="27" t="n"/>
      <c r="AQ162" s="27" t="n"/>
      <c r="AR162" s="27" t="n"/>
      <c r="AS162" s="27" t="n"/>
      <c r="AT162" s="27" t="n"/>
      <c r="AU162" s="27" t="n"/>
      <c r="AV162" s="27" t="n"/>
      <c r="AW162" s="27" t="n"/>
      <c r="AX162" s="27" t="n"/>
      <c r="AY162" s="27" t="n"/>
      <c r="AZ162" s="27" t="n"/>
      <c r="BA162" s="27" t="n"/>
      <c r="BB162" s="27" t="n"/>
      <c r="BC162" s="27" t="n"/>
      <c r="BD162" s="27" t="n"/>
      <c r="BE162" s="27" t="n"/>
      <c r="BF162" s="27" t="n"/>
      <c r="BG162" s="27" t="n"/>
      <c r="BH162" s="27" t="n"/>
      <c r="BI162" s="29" t="n"/>
      <c r="BJ162" s="27" t="n"/>
      <c r="BK162" s="27" t="n"/>
      <c r="BL162" s="27" t="n"/>
      <c r="BM162" s="27" t="n"/>
    </row>
    <row r="163">
      <c r="A163" s="27" t="n"/>
      <c r="B163" s="27" t="n"/>
      <c r="C163" s="28">
        <f>IF(A163="","",$B$2)</f>
        <v/>
      </c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  <c r="AA163" s="27" t="n"/>
      <c r="AB163" s="27" t="n"/>
      <c r="AC163" s="27" t="n"/>
      <c r="AD163" s="27" t="n"/>
      <c r="AE163" s="27" t="n"/>
      <c r="AF163" s="27" t="n"/>
      <c r="AG163" s="27" t="n"/>
      <c r="AH163" s="27" t="n"/>
      <c r="AI163" s="27" t="n"/>
      <c r="AJ163" s="27" t="n"/>
      <c r="AK163" s="27" t="n"/>
      <c r="AL163" s="27" t="n"/>
      <c r="AM163" s="27" t="n"/>
      <c r="AN163" s="27" t="n"/>
      <c r="AO163" s="27" t="n"/>
      <c r="AP163" s="27" t="n"/>
      <c r="AQ163" s="27" t="n"/>
      <c r="AR163" s="27" t="n"/>
      <c r="AS163" s="27" t="n"/>
      <c r="AT163" s="27" t="n"/>
      <c r="AU163" s="27" t="n"/>
      <c r="AV163" s="27" t="n"/>
      <c r="AW163" s="27" t="n"/>
      <c r="AX163" s="27" t="n"/>
      <c r="AY163" s="27" t="n"/>
      <c r="AZ163" s="27" t="n"/>
      <c r="BA163" s="27" t="n"/>
      <c r="BB163" s="27" t="n"/>
      <c r="BC163" s="27" t="n"/>
      <c r="BD163" s="27" t="n"/>
      <c r="BE163" s="27" t="n"/>
      <c r="BF163" s="27" t="n"/>
      <c r="BG163" s="27" t="n"/>
      <c r="BH163" s="27" t="n"/>
      <c r="BI163" s="29" t="n"/>
      <c r="BJ163" s="27" t="n"/>
      <c r="BK163" s="27" t="n"/>
      <c r="BL163" s="27" t="n"/>
      <c r="BM163" s="27" t="n"/>
    </row>
    <row r="164">
      <c r="A164" s="27" t="n"/>
      <c r="B164" s="27" t="n"/>
      <c r="C164" s="28">
        <f>IF(A164="","",$B$2)</f>
        <v/>
      </c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  <c r="AA164" s="27" t="n"/>
      <c r="AB164" s="27" t="n"/>
      <c r="AC164" s="27" t="n"/>
      <c r="AD164" s="27" t="n"/>
      <c r="AE164" s="27" t="n"/>
      <c r="AF164" s="27" t="n"/>
      <c r="AG164" s="27" t="n"/>
      <c r="AH164" s="27" t="n"/>
      <c r="AI164" s="27" t="n"/>
      <c r="AJ164" s="27" t="n"/>
      <c r="AK164" s="27" t="n"/>
      <c r="AL164" s="27" t="n"/>
      <c r="AM164" s="27" t="n"/>
      <c r="AN164" s="27" t="n"/>
      <c r="AO164" s="27" t="n"/>
      <c r="AP164" s="27" t="n"/>
      <c r="AQ164" s="27" t="n"/>
      <c r="AR164" s="27" t="n"/>
      <c r="AS164" s="27" t="n"/>
      <c r="AT164" s="27" t="n"/>
      <c r="AU164" s="27" t="n"/>
      <c r="AV164" s="27" t="n"/>
      <c r="AW164" s="27" t="n"/>
      <c r="AX164" s="27" t="n"/>
      <c r="AY164" s="27" t="n"/>
      <c r="AZ164" s="27" t="n"/>
      <c r="BA164" s="27" t="n"/>
      <c r="BB164" s="27" t="n"/>
      <c r="BC164" s="27" t="n"/>
      <c r="BD164" s="27" t="n"/>
      <c r="BE164" s="27" t="n"/>
      <c r="BF164" s="27" t="n"/>
      <c r="BG164" s="27" t="n"/>
      <c r="BH164" s="27" t="n"/>
      <c r="BI164" s="29" t="n"/>
      <c r="BJ164" s="27" t="n"/>
      <c r="BK164" s="27" t="n"/>
      <c r="BL164" s="27" t="n"/>
      <c r="BM164" s="27" t="n"/>
    </row>
    <row r="165">
      <c r="A165" s="27" t="n"/>
      <c r="B165" s="27" t="n"/>
      <c r="C165" s="28">
        <f>IF(A165="","",$B$2)</f>
        <v/>
      </c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  <c r="AA165" s="27" t="n"/>
      <c r="AB165" s="27" t="n"/>
      <c r="AC165" s="27" t="n"/>
      <c r="AD165" s="27" t="n"/>
      <c r="AE165" s="27" t="n"/>
      <c r="AF165" s="27" t="n"/>
      <c r="AG165" s="27" t="n"/>
      <c r="AH165" s="27" t="n"/>
      <c r="AI165" s="27" t="n"/>
      <c r="AJ165" s="27" t="n"/>
      <c r="AK165" s="27" t="n"/>
      <c r="AL165" s="27" t="n"/>
      <c r="AM165" s="27" t="n"/>
      <c r="AN165" s="27" t="n"/>
      <c r="AO165" s="27" t="n"/>
      <c r="AP165" s="27" t="n"/>
      <c r="AQ165" s="27" t="n"/>
      <c r="AR165" s="27" t="n"/>
      <c r="AS165" s="27" t="n"/>
      <c r="AT165" s="27" t="n"/>
      <c r="AU165" s="27" t="n"/>
      <c r="AV165" s="27" t="n"/>
      <c r="AW165" s="27" t="n"/>
      <c r="AX165" s="27" t="n"/>
      <c r="AY165" s="27" t="n"/>
      <c r="AZ165" s="27" t="n"/>
      <c r="BA165" s="27" t="n"/>
      <c r="BB165" s="27" t="n"/>
      <c r="BC165" s="27" t="n"/>
      <c r="BD165" s="27" t="n"/>
      <c r="BE165" s="27" t="n"/>
      <c r="BF165" s="27" t="n"/>
      <c r="BG165" s="27" t="n"/>
      <c r="BH165" s="27" t="n"/>
      <c r="BI165" s="29" t="n"/>
      <c r="BJ165" s="27" t="n"/>
      <c r="BK165" s="27" t="n"/>
      <c r="BL165" s="27" t="n"/>
      <c r="BM165" s="27" t="n"/>
    </row>
    <row r="166">
      <c r="A166" s="27" t="n"/>
      <c r="B166" s="27" t="n"/>
      <c r="C166" s="28">
        <f>IF(A166="","",$B$2)</f>
        <v/>
      </c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  <c r="AA166" s="27" t="n"/>
      <c r="AB166" s="27" t="n"/>
      <c r="AC166" s="27" t="n"/>
      <c r="AD166" s="27" t="n"/>
      <c r="AE166" s="27" t="n"/>
      <c r="AF166" s="27" t="n"/>
      <c r="AG166" s="27" t="n"/>
      <c r="AH166" s="27" t="n"/>
      <c r="AI166" s="27" t="n"/>
      <c r="AJ166" s="27" t="n"/>
      <c r="AK166" s="27" t="n"/>
      <c r="AL166" s="27" t="n"/>
      <c r="AM166" s="27" t="n"/>
      <c r="AN166" s="27" t="n"/>
      <c r="AO166" s="27" t="n"/>
      <c r="AP166" s="27" t="n"/>
      <c r="AQ166" s="27" t="n"/>
      <c r="AR166" s="27" t="n"/>
      <c r="AS166" s="27" t="n"/>
      <c r="AT166" s="27" t="n"/>
      <c r="AU166" s="27" t="n"/>
      <c r="AV166" s="27" t="n"/>
      <c r="AW166" s="27" t="n"/>
      <c r="AX166" s="27" t="n"/>
      <c r="AY166" s="27" t="n"/>
      <c r="AZ166" s="27" t="n"/>
      <c r="BA166" s="27" t="n"/>
      <c r="BB166" s="27" t="n"/>
      <c r="BC166" s="27" t="n"/>
      <c r="BD166" s="27" t="n"/>
      <c r="BE166" s="27" t="n"/>
      <c r="BF166" s="27" t="n"/>
      <c r="BG166" s="27" t="n"/>
      <c r="BH166" s="27" t="n"/>
      <c r="BI166" s="29" t="n"/>
      <c r="BJ166" s="27" t="n"/>
      <c r="BK166" s="27" t="n"/>
      <c r="BL166" s="27" t="n"/>
      <c r="BM166" s="27" t="n"/>
    </row>
    <row r="167">
      <c r="A167" s="27" t="n"/>
      <c r="B167" s="27" t="n"/>
      <c r="C167" s="28">
        <f>IF(A167="","",$B$2)</f>
        <v/>
      </c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  <c r="AA167" s="27" t="n"/>
      <c r="AB167" s="27" t="n"/>
      <c r="AC167" s="27" t="n"/>
      <c r="AD167" s="27" t="n"/>
      <c r="AE167" s="27" t="n"/>
      <c r="AF167" s="27" t="n"/>
      <c r="AG167" s="27" t="n"/>
      <c r="AH167" s="27" t="n"/>
      <c r="AI167" s="27" t="n"/>
      <c r="AJ167" s="27" t="n"/>
      <c r="AK167" s="27" t="n"/>
      <c r="AL167" s="27" t="n"/>
      <c r="AM167" s="27" t="n"/>
      <c r="AN167" s="27" t="n"/>
      <c r="AO167" s="27" t="n"/>
      <c r="AP167" s="27" t="n"/>
      <c r="AQ167" s="27" t="n"/>
      <c r="AR167" s="27" t="n"/>
      <c r="AS167" s="27" t="n"/>
      <c r="AT167" s="27" t="n"/>
      <c r="AU167" s="27" t="n"/>
      <c r="AV167" s="27" t="n"/>
      <c r="AW167" s="27" t="n"/>
      <c r="AX167" s="27" t="n"/>
      <c r="AY167" s="27" t="n"/>
      <c r="AZ167" s="27" t="n"/>
      <c r="BA167" s="27" t="n"/>
      <c r="BB167" s="27" t="n"/>
      <c r="BC167" s="27" t="n"/>
      <c r="BD167" s="27" t="n"/>
      <c r="BE167" s="27" t="n"/>
      <c r="BF167" s="27" t="n"/>
      <c r="BG167" s="27" t="n"/>
      <c r="BH167" s="27" t="n"/>
      <c r="BI167" s="29" t="n"/>
      <c r="BJ167" s="27" t="n"/>
      <c r="BK167" s="27" t="n"/>
      <c r="BL167" s="27" t="n"/>
      <c r="BM167" s="27" t="n"/>
    </row>
    <row r="168">
      <c r="A168" s="27" t="n"/>
      <c r="B168" s="27" t="n"/>
      <c r="C168" s="28">
        <f>IF(A168="","",$B$2)</f>
        <v/>
      </c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  <c r="AA168" s="27" t="n"/>
      <c r="AB168" s="27" t="n"/>
      <c r="AC168" s="27" t="n"/>
      <c r="AD168" s="27" t="n"/>
      <c r="AE168" s="27" t="n"/>
      <c r="AF168" s="27" t="n"/>
      <c r="AG168" s="27" t="n"/>
      <c r="AH168" s="27" t="n"/>
      <c r="AI168" s="27" t="n"/>
      <c r="AJ168" s="27" t="n"/>
      <c r="AK168" s="27" t="n"/>
      <c r="AL168" s="27" t="n"/>
      <c r="AM168" s="27" t="n"/>
      <c r="AN168" s="27" t="n"/>
      <c r="AO168" s="27" t="n"/>
      <c r="AP168" s="27" t="n"/>
      <c r="AQ168" s="27" t="n"/>
      <c r="AR168" s="27" t="n"/>
      <c r="AS168" s="27" t="n"/>
      <c r="AT168" s="27" t="n"/>
      <c r="AU168" s="27" t="n"/>
      <c r="AV168" s="27" t="n"/>
      <c r="AW168" s="27" t="n"/>
      <c r="AX168" s="27" t="n"/>
      <c r="AY168" s="27" t="n"/>
      <c r="AZ168" s="27" t="n"/>
      <c r="BA168" s="27" t="n"/>
      <c r="BB168" s="27" t="n"/>
      <c r="BC168" s="27" t="n"/>
      <c r="BD168" s="27" t="n"/>
      <c r="BE168" s="27" t="n"/>
      <c r="BF168" s="27" t="n"/>
      <c r="BG168" s="27" t="n"/>
      <c r="BH168" s="27" t="n"/>
      <c r="BI168" s="29" t="n"/>
      <c r="BJ168" s="27" t="n"/>
      <c r="BK168" s="27" t="n"/>
      <c r="BL168" s="27" t="n"/>
      <c r="BM168" s="27" t="n"/>
    </row>
    <row r="169">
      <c r="A169" s="27" t="n"/>
      <c r="B169" s="27" t="n"/>
      <c r="C169" s="28">
        <f>IF(A169="","",$B$2)</f>
        <v/>
      </c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  <c r="AA169" s="27" t="n"/>
      <c r="AB169" s="27" t="n"/>
      <c r="AC169" s="27" t="n"/>
      <c r="AD169" s="27" t="n"/>
      <c r="AE169" s="27" t="n"/>
      <c r="AF169" s="27" t="n"/>
      <c r="AG169" s="27" t="n"/>
      <c r="AH169" s="27" t="n"/>
      <c r="AI169" s="27" t="n"/>
      <c r="AJ169" s="27" t="n"/>
      <c r="AK169" s="27" t="n"/>
      <c r="AL169" s="27" t="n"/>
      <c r="AM169" s="27" t="n"/>
      <c r="AN169" s="27" t="n"/>
      <c r="AO169" s="27" t="n"/>
      <c r="AP169" s="27" t="n"/>
      <c r="AQ169" s="27" t="n"/>
      <c r="AR169" s="27" t="n"/>
      <c r="AS169" s="27" t="n"/>
      <c r="AT169" s="27" t="n"/>
      <c r="AU169" s="27" t="n"/>
      <c r="AV169" s="27" t="n"/>
      <c r="AW169" s="27" t="n"/>
      <c r="AX169" s="27" t="n"/>
      <c r="AY169" s="27" t="n"/>
      <c r="AZ169" s="27" t="n"/>
      <c r="BA169" s="27" t="n"/>
      <c r="BB169" s="27" t="n"/>
      <c r="BC169" s="27" t="n"/>
      <c r="BD169" s="27" t="n"/>
      <c r="BE169" s="27" t="n"/>
      <c r="BF169" s="27" t="n"/>
      <c r="BG169" s="27" t="n"/>
      <c r="BH169" s="27" t="n"/>
      <c r="BI169" s="29" t="n"/>
      <c r="BJ169" s="27" t="n"/>
      <c r="BK169" s="27" t="n"/>
      <c r="BL169" s="27" t="n"/>
      <c r="BM169" s="27" t="n"/>
    </row>
    <row r="170">
      <c r="A170" s="27" t="n"/>
      <c r="B170" s="27" t="n"/>
      <c r="C170" s="28">
        <f>IF(A170="","",$B$2)</f>
        <v/>
      </c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  <c r="AA170" s="27" t="n"/>
      <c r="AB170" s="27" t="n"/>
      <c r="AC170" s="27" t="n"/>
      <c r="AD170" s="27" t="n"/>
      <c r="AE170" s="27" t="n"/>
      <c r="AF170" s="27" t="n"/>
      <c r="AG170" s="27" t="n"/>
      <c r="AH170" s="27" t="n"/>
      <c r="AI170" s="27" t="n"/>
      <c r="AJ170" s="27" t="n"/>
      <c r="AK170" s="27" t="n"/>
      <c r="AL170" s="27" t="n"/>
      <c r="AM170" s="27" t="n"/>
      <c r="AN170" s="27" t="n"/>
      <c r="AO170" s="27" t="n"/>
      <c r="AP170" s="27" t="n"/>
      <c r="AQ170" s="27" t="n"/>
      <c r="AR170" s="27" t="n"/>
      <c r="AS170" s="27" t="n"/>
      <c r="AT170" s="27" t="n"/>
      <c r="AU170" s="27" t="n"/>
      <c r="AV170" s="27" t="n"/>
      <c r="AW170" s="27" t="n"/>
      <c r="AX170" s="27" t="n"/>
      <c r="AY170" s="27" t="n"/>
      <c r="AZ170" s="27" t="n"/>
      <c r="BA170" s="27" t="n"/>
      <c r="BB170" s="27" t="n"/>
      <c r="BC170" s="27" t="n"/>
      <c r="BD170" s="27" t="n"/>
      <c r="BE170" s="27" t="n"/>
      <c r="BF170" s="27" t="n"/>
      <c r="BG170" s="27" t="n"/>
      <c r="BH170" s="27" t="n"/>
      <c r="BI170" s="29" t="n"/>
      <c r="BJ170" s="27" t="n"/>
      <c r="BK170" s="27" t="n"/>
      <c r="BL170" s="27" t="n"/>
      <c r="BM170" s="27" t="n"/>
    </row>
    <row r="171">
      <c r="A171" s="27" t="n"/>
      <c r="B171" s="27" t="n"/>
      <c r="C171" s="28">
        <f>IF(A171="","",$B$2)</f>
        <v/>
      </c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  <c r="AA171" s="27" t="n"/>
      <c r="AB171" s="27" t="n"/>
      <c r="AC171" s="27" t="n"/>
      <c r="AD171" s="27" t="n"/>
      <c r="AE171" s="27" t="n"/>
      <c r="AF171" s="27" t="n"/>
      <c r="AG171" s="27" t="n"/>
      <c r="AH171" s="27" t="n"/>
      <c r="AI171" s="27" t="n"/>
      <c r="AJ171" s="27" t="n"/>
      <c r="AK171" s="27" t="n"/>
      <c r="AL171" s="27" t="n"/>
      <c r="AM171" s="27" t="n"/>
      <c r="AN171" s="27" t="n"/>
      <c r="AO171" s="27" t="n"/>
      <c r="AP171" s="27" t="n"/>
      <c r="AQ171" s="27" t="n"/>
      <c r="AR171" s="27" t="n"/>
      <c r="AS171" s="27" t="n"/>
      <c r="AT171" s="27" t="n"/>
      <c r="AU171" s="27" t="n"/>
      <c r="AV171" s="27" t="n"/>
      <c r="AW171" s="27" t="n"/>
      <c r="AX171" s="27" t="n"/>
      <c r="AY171" s="27" t="n"/>
      <c r="AZ171" s="27" t="n"/>
      <c r="BA171" s="27" t="n"/>
      <c r="BB171" s="27" t="n"/>
      <c r="BC171" s="27" t="n"/>
      <c r="BD171" s="27" t="n"/>
      <c r="BE171" s="27" t="n"/>
      <c r="BF171" s="27" t="n"/>
      <c r="BG171" s="27" t="n"/>
      <c r="BH171" s="27" t="n"/>
      <c r="BI171" s="29" t="n"/>
      <c r="BJ171" s="27" t="n"/>
      <c r="BK171" s="27" t="n"/>
      <c r="BL171" s="27" t="n"/>
      <c r="BM171" s="27" t="n"/>
    </row>
    <row r="172">
      <c r="A172" s="27" t="n"/>
      <c r="B172" s="27" t="n"/>
      <c r="C172" s="28">
        <f>IF(A172="","",$B$2)</f>
        <v/>
      </c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  <c r="AA172" s="27" t="n"/>
      <c r="AB172" s="27" t="n"/>
      <c r="AC172" s="27" t="n"/>
      <c r="AD172" s="27" t="n"/>
      <c r="AE172" s="27" t="n"/>
      <c r="AF172" s="27" t="n"/>
      <c r="AG172" s="27" t="n"/>
      <c r="AH172" s="27" t="n"/>
      <c r="AI172" s="27" t="n"/>
      <c r="AJ172" s="27" t="n"/>
      <c r="AK172" s="27" t="n"/>
      <c r="AL172" s="27" t="n"/>
      <c r="AM172" s="27" t="n"/>
      <c r="AN172" s="27" t="n"/>
      <c r="AO172" s="27" t="n"/>
      <c r="AP172" s="27" t="n"/>
      <c r="AQ172" s="27" t="n"/>
      <c r="AR172" s="27" t="n"/>
      <c r="AS172" s="27" t="n"/>
      <c r="AT172" s="27" t="n"/>
      <c r="AU172" s="27" t="n"/>
      <c r="AV172" s="27" t="n"/>
      <c r="AW172" s="27" t="n"/>
      <c r="AX172" s="27" t="n"/>
      <c r="AY172" s="27" t="n"/>
      <c r="AZ172" s="27" t="n"/>
      <c r="BA172" s="27" t="n"/>
      <c r="BB172" s="27" t="n"/>
      <c r="BC172" s="27" t="n"/>
      <c r="BD172" s="27" t="n"/>
      <c r="BE172" s="27" t="n"/>
      <c r="BF172" s="27" t="n"/>
      <c r="BG172" s="27" t="n"/>
      <c r="BH172" s="27" t="n"/>
      <c r="BI172" s="29" t="n"/>
      <c r="BJ172" s="27" t="n"/>
      <c r="BK172" s="27" t="n"/>
      <c r="BL172" s="27" t="n"/>
      <c r="BM172" s="27" t="n"/>
    </row>
    <row r="173">
      <c r="A173" s="27" t="n"/>
      <c r="B173" s="27" t="n"/>
      <c r="C173" s="28">
        <f>IF(A173="","",$B$2)</f>
        <v/>
      </c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  <c r="AA173" s="27" t="n"/>
      <c r="AB173" s="27" t="n"/>
      <c r="AC173" s="27" t="n"/>
      <c r="AD173" s="27" t="n"/>
      <c r="AE173" s="27" t="n"/>
      <c r="AF173" s="27" t="n"/>
      <c r="AG173" s="27" t="n"/>
      <c r="AH173" s="27" t="n"/>
      <c r="AI173" s="27" t="n"/>
      <c r="AJ173" s="27" t="n"/>
      <c r="AK173" s="27" t="n"/>
      <c r="AL173" s="27" t="n"/>
      <c r="AM173" s="27" t="n"/>
      <c r="AN173" s="27" t="n"/>
      <c r="AO173" s="27" t="n"/>
      <c r="AP173" s="27" t="n"/>
      <c r="AQ173" s="27" t="n"/>
      <c r="AR173" s="27" t="n"/>
      <c r="AS173" s="27" t="n"/>
      <c r="AT173" s="27" t="n"/>
      <c r="AU173" s="27" t="n"/>
      <c r="AV173" s="27" t="n"/>
      <c r="AW173" s="27" t="n"/>
      <c r="AX173" s="27" t="n"/>
      <c r="AY173" s="27" t="n"/>
      <c r="AZ173" s="27" t="n"/>
      <c r="BA173" s="27" t="n"/>
      <c r="BB173" s="27" t="n"/>
      <c r="BC173" s="27" t="n"/>
      <c r="BD173" s="27" t="n"/>
      <c r="BE173" s="27" t="n"/>
      <c r="BF173" s="27" t="n"/>
      <c r="BG173" s="27" t="n"/>
      <c r="BH173" s="27" t="n"/>
      <c r="BI173" s="29" t="n"/>
      <c r="BJ173" s="27" t="n"/>
      <c r="BK173" s="27" t="n"/>
      <c r="BL173" s="27" t="n"/>
      <c r="BM173" s="27" t="n"/>
    </row>
    <row r="174">
      <c r="A174" s="27" t="n"/>
      <c r="B174" s="27" t="n"/>
      <c r="C174" s="28">
        <f>IF(A174="","",$B$2)</f>
        <v/>
      </c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  <c r="AA174" s="27" t="n"/>
      <c r="AB174" s="27" t="n"/>
      <c r="AC174" s="27" t="n"/>
      <c r="AD174" s="27" t="n"/>
      <c r="AE174" s="27" t="n"/>
      <c r="AF174" s="27" t="n"/>
      <c r="AG174" s="27" t="n"/>
      <c r="AH174" s="27" t="n"/>
      <c r="AI174" s="27" t="n"/>
      <c r="AJ174" s="27" t="n"/>
      <c r="AK174" s="27" t="n"/>
      <c r="AL174" s="27" t="n"/>
      <c r="AM174" s="27" t="n"/>
      <c r="AN174" s="27" t="n"/>
      <c r="AO174" s="27" t="n"/>
      <c r="AP174" s="27" t="n"/>
      <c r="AQ174" s="27" t="n"/>
      <c r="AR174" s="27" t="n"/>
      <c r="AS174" s="27" t="n"/>
      <c r="AT174" s="27" t="n"/>
      <c r="AU174" s="27" t="n"/>
      <c r="AV174" s="27" t="n"/>
      <c r="AW174" s="27" t="n"/>
      <c r="AX174" s="27" t="n"/>
      <c r="AY174" s="27" t="n"/>
      <c r="AZ174" s="27" t="n"/>
      <c r="BA174" s="27" t="n"/>
      <c r="BB174" s="27" t="n"/>
      <c r="BC174" s="27" t="n"/>
      <c r="BD174" s="27" t="n"/>
      <c r="BE174" s="27" t="n"/>
      <c r="BF174" s="27" t="n"/>
      <c r="BG174" s="27" t="n"/>
      <c r="BH174" s="27" t="n"/>
      <c r="BI174" s="29" t="n"/>
      <c r="BJ174" s="27" t="n"/>
      <c r="BK174" s="27" t="n"/>
      <c r="BL174" s="27" t="n"/>
      <c r="BM174" s="27" t="n"/>
    </row>
    <row r="175">
      <c r="A175" s="27" t="n"/>
      <c r="B175" s="27" t="n"/>
      <c r="C175" s="28">
        <f>IF(A175="","",$B$2)</f>
        <v/>
      </c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  <c r="AA175" s="27" t="n"/>
      <c r="AB175" s="27" t="n"/>
      <c r="AC175" s="27" t="n"/>
      <c r="AD175" s="27" t="n"/>
      <c r="AE175" s="27" t="n"/>
      <c r="AF175" s="27" t="n"/>
      <c r="AG175" s="27" t="n"/>
      <c r="AH175" s="27" t="n"/>
      <c r="AI175" s="27" t="n"/>
      <c r="AJ175" s="27" t="n"/>
      <c r="AK175" s="27" t="n"/>
      <c r="AL175" s="27" t="n"/>
      <c r="AM175" s="27" t="n"/>
      <c r="AN175" s="27" t="n"/>
      <c r="AO175" s="27" t="n"/>
      <c r="AP175" s="27" t="n"/>
      <c r="AQ175" s="27" t="n"/>
      <c r="AR175" s="27" t="n"/>
      <c r="AS175" s="27" t="n"/>
      <c r="AT175" s="27" t="n"/>
      <c r="AU175" s="27" t="n"/>
      <c r="AV175" s="27" t="n"/>
      <c r="AW175" s="27" t="n"/>
      <c r="AX175" s="27" t="n"/>
      <c r="AY175" s="27" t="n"/>
      <c r="AZ175" s="27" t="n"/>
      <c r="BA175" s="27" t="n"/>
      <c r="BB175" s="27" t="n"/>
      <c r="BC175" s="27" t="n"/>
      <c r="BD175" s="27" t="n"/>
      <c r="BE175" s="27" t="n"/>
      <c r="BF175" s="27" t="n"/>
      <c r="BG175" s="27" t="n"/>
      <c r="BH175" s="27" t="n"/>
      <c r="BI175" s="29" t="n"/>
      <c r="BJ175" s="27" t="n"/>
      <c r="BK175" s="27" t="n"/>
      <c r="BL175" s="27" t="n"/>
      <c r="BM175" s="27" t="n"/>
    </row>
    <row r="176">
      <c r="A176" s="27" t="n"/>
      <c r="B176" s="27" t="n"/>
      <c r="C176" s="28">
        <f>IF(A176="","",$B$2)</f>
        <v/>
      </c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  <c r="AA176" s="27" t="n"/>
      <c r="AB176" s="27" t="n"/>
      <c r="AC176" s="27" t="n"/>
      <c r="AD176" s="27" t="n"/>
      <c r="AE176" s="27" t="n"/>
      <c r="AF176" s="27" t="n"/>
      <c r="AG176" s="27" t="n"/>
      <c r="AH176" s="27" t="n"/>
      <c r="AI176" s="27" t="n"/>
      <c r="AJ176" s="27" t="n"/>
      <c r="AK176" s="27" t="n"/>
      <c r="AL176" s="27" t="n"/>
      <c r="AM176" s="27" t="n"/>
      <c r="AN176" s="27" t="n"/>
      <c r="AO176" s="27" t="n"/>
      <c r="AP176" s="27" t="n"/>
      <c r="AQ176" s="27" t="n"/>
      <c r="AR176" s="27" t="n"/>
      <c r="AS176" s="27" t="n"/>
      <c r="AT176" s="27" t="n"/>
      <c r="AU176" s="27" t="n"/>
      <c r="AV176" s="27" t="n"/>
      <c r="AW176" s="27" t="n"/>
      <c r="AX176" s="27" t="n"/>
      <c r="AY176" s="27" t="n"/>
      <c r="AZ176" s="27" t="n"/>
      <c r="BA176" s="27" t="n"/>
      <c r="BB176" s="27" t="n"/>
      <c r="BC176" s="27" t="n"/>
      <c r="BD176" s="27" t="n"/>
      <c r="BE176" s="27" t="n"/>
      <c r="BF176" s="27" t="n"/>
      <c r="BG176" s="27" t="n"/>
      <c r="BH176" s="27" t="n"/>
      <c r="BI176" s="29" t="n"/>
      <c r="BJ176" s="27" t="n"/>
      <c r="BK176" s="27" t="n"/>
      <c r="BL176" s="27" t="n"/>
      <c r="BM176" s="27" t="n"/>
    </row>
    <row r="177">
      <c r="A177" s="27" t="n"/>
      <c r="B177" s="27" t="n"/>
      <c r="C177" s="28">
        <f>IF(A177="","",$B$2)</f>
        <v/>
      </c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  <c r="AA177" s="27" t="n"/>
      <c r="AB177" s="27" t="n"/>
      <c r="AC177" s="27" t="n"/>
      <c r="AD177" s="27" t="n"/>
      <c r="AE177" s="27" t="n"/>
      <c r="AF177" s="27" t="n"/>
      <c r="AG177" s="27" t="n"/>
      <c r="AH177" s="27" t="n"/>
      <c r="AI177" s="27" t="n"/>
      <c r="AJ177" s="27" t="n"/>
      <c r="AK177" s="27" t="n"/>
      <c r="AL177" s="27" t="n"/>
      <c r="AM177" s="27" t="n"/>
      <c r="AN177" s="27" t="n"/>
      <c r="AO177" s="27" t="n"/>
      <c r="AP177" s="27" t="n"/>
      <c r="AQ177" s="27" t="n"/>
      <c r="AR177" s="27" t="n"/>
      <c r="AS177" s="27" t="n"/>
      <c r="AT177" s="27" t="n"/>
      <c r="AU177" s="27" t="n"/>
      <c r="AV177" s="27" t="n"/>
      <c r="AW177" s="27" t="n"/>
      <c r="AX177" s="27" t="n"/>
      <c r="AY177" s="27" t="n"/>
      <c r="AZ177" s="27" t="n"/>
      <c r="BA177" s="27" t="n"/>
      <c r="BB177" s="27" t="n"/>
      <c r="BC177" s="27" t="n"/>
      <c r="BD177" s="27" t="n"/>
      <c r="BE177" s="27" t="n"/>
      <c r="BF177" s="27" t="n"/>
      <c r="BG177" s="27" t="n"/>
      <c r="BH177" s="27" t="n"/>
      <c r="BI177" s="29" t="n"/>
      <c r="BJ177" s="27" t="n"/>
      <c r="BK177" s="27" t="n"/>
      <c r="BL177" s="27" t="n"/>
      <c r="BM177" s="27" t="n"/>
    </row>
    <row r="178">
      <c r="A178" s="27" t="n"/>
      <c r="B178" s="27" t="n"/>
      <c r="C178" s="28">
        <f>IF(A178="","",$B$2)</f>
        <v/>
      </c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  <c r="AA178" s="27" t="n"/>
      <c r="AB178" s="27" t="n"/>
      <c r="AC178" s="27" t="n"/>
      <c r="AD178" s="27" t="n"/>
      <c r="AE178" s="27" t="n"/>
      <c r="AF178" s="27" t="n"/>
      <c r="AG178" s="27" t="n"/>
      <c r="AH178" s="27" t="n"/>
      <c r="AI178" s="27" t="n"/>
      <c r="AJ178" s="27" t="n"/>
      <c r="AK178" s="27" t="n"/>
      <c r="AL178" s="27" t="n"/>
      <c r="AM178" s="27" t="n"/>
      <c r="AN178" s="27" t="n"/>
      <c r="AO178" s="27" t="n"/>
      <c r="AP178" s="27" t="n"/>
      <c r="AQ178" s="27" t="n"/>
      <c r="AR178" s="27" t="n"/>
      <c r="AS178" s="27" t="n"/>
      <c r="AT178" s="27" t="n"/>
      <c r="AU178" s="27" t="n"/>
      <c r="AV178" s="27" t="n"/>
      <c r="AW178" s="27" t="n"/>
      <c r="AX178" s="27" t="n"/>
      <c r="AY178" s="27" t="n"/>
      <c r="AZ178" s="27" t="n"/>
      <c r="BA178" s="27" t="n"/>
      <c r="BB178" s="27" t="n"/>
      <c r="BC178" s="27" t="n"/>
      <c r="BD178" s="27" t="n"/>
      <c r="BE178" s="27" t="n"/>
      <c r="BF178" s="27" t="n"/>
      <c r="BG178" s="27" t="n"/>
      <c r="BH178" s="27" t="n"/>
      <c r="BI178" s="29" t="n"/>
      <c r="BJ178" s="27" t="n"/>
      <c r="BK178" s="27" t="n"/>
      <c r="BL178" s="27" t="n"/>
      <c r="BM178" s="27" t="n"/>
    </row>
    <row r="179">
      <c r="A179" s="27" t="n"/>
      <c r="B179" s="27" t="n"/>
      <c r="C179" s="28">
        <f>IF(A179="","",$B$2)</f>
        <v/>
      </c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  <c r="AA179" s="27" t="n"/>
      <c r="AB179" s="27" t="n"/>
      <c r="AC179" s="27" t="n"/>
      <c r="AD179" s="27" t="n"/>
      <c r="AE179" s="27" t="n"/>
      <c r="AF179" s="27" t="n"/>
      <c r="AG179" s="27" t="n"/>
      <c r="AH179" s="27" t="n"/>
      <c r="AI179" s="27" t="n"/>
      <c r="AJ179" s="27" t="n"/>
      <c r="AK179" s="27" t="n"/>
      <c r="AL179" s="27" t="n"/>
      <c r="AM179" s="27" t="n"/>
      <c r="AN179" s="27" t="n"/>
      <c r="AO179" s="27" t="n"/>
      <c r="AP179" s="27" t="n"/>
      <c r="AQ179" s="27" t="n"/>
      <c r="AR179" s="27" t="n"/>
      <c r="AS179" s="27" t="n"/>
      <c r="AT179" s="27" t="n"/>
      <c r="AU179" s="27" t="n"/>
      <c r="AV179" s="27" t="n"/>
      <c r="AW179" s="27" t="n"/>
      <c r="AX179" s="27" t="n"/>
      <c r="AY179" s="27" t="n"/>
      <c r="AZ179" s="27" t="n"/>
      <c r="BA179" s="27" t="n"/>
      <c r="BB179" s="27" t="n"/>
      <c r="BC179" s="27" t="n"/>
      <c r="BD179" s="27" t="n"/>
      <c r="BE179" s="27" t="n"/>
      <c r="BF179" s="27" t="n"/>
      <c r="BG179" s="27" t="n"/>
      <c r="BH179" s="27" t="n"/>
      <c r="BI179" s="29" t="n"/>
      <c r="BJ179" s="27" t="n"/>
      <c r="BK179" s="27" t="n"/>
      <c r="BL179" s="27" t="n"/>
      <c r="BM179" s="27" t="n"/>
    </row>
    <row r="180">
      <c r="A180" s="27" t="n"/>
      <c r="B180" s="27" t="n"/>
      <c r="C180" s="28">
        <f>IF(A180="","",$B$2)</f>
        <v/>
      </c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  <c r="AA180" s="27" t="n"/>
      <c r="AB180" s="27" t="n"/>
      <c r="AC180" s="27" t="n"/>
      <c r="AD180" s="27" t="n"/>
      <c r="AE180" s="27" t="n"/>
      <c r="AF180" s="27" t="n"/>
      <c r="AG180" s="27" t="n"/>
      <c r="AH180" s="27" t="n"/>
      <c r="AI180" s="27" t="n"/>
      <c r="AJ180" s="27" t="n"/>
      <c r="AK180" s="27" t="n"/>
      <c r="AL180" s="27" t="n"/>
      <c r="AM180" s="27" t="n"/>
      <c r="AN180" s="27" t="n"/>
      <c r="AO180" s="27" t="n"/>
      <c r="AP180" s="27" t="n"/>
      <c r="AQ180" s="27" t="n"/>
      <c r="AR180" s="27" t="n"/>
      <c r="AS180" s="27" t="n"/>
      <c r="AT180" s="27" t="n"/>
      <c r="AU180" s="27" t="n"/>
      <c r="AV180" s="27" t="n"/>
      <c r="AW180" s="27" t="n"/>
      <c r="AX180" s="27" t="n"/>
      <c r="AY180" s="27" t="n"/>
      <c r="AZ180" s="27" t="n"/>
      <c r="BA180" s="27" t="n"/>
      <c r="BB180" s="27" t="n"/>
      <c r="BC180" s="27" t="n"/>
      <c r="BD180" s="27" t="n"/>
      <c r="BE180" s="27" t="n"/>
      <c r="BF180" s="27" t="n"/>
      <c r="BG180" s="27" t="n"/>
      <c r="BH180" s="27" t="n"/>
      <c r="BI180" s="29" t="n"/>
      <c r="BJ180" s="27" t="n"/>
      <c r="BK180" s="27" t="n"/>
      <c r="BL180" s="27" t="n"/>
      <c r="BM180" s="27" t="n"/>
    </row>
    <row r="181">
      <c r="A181" s="27" t="n"/>
      <c r="B181" s="27" t="n"/>
      <c r="C181" s="28">
        <f>IF(A181="","",$B$2)</f>
        <v/>
      </c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  <c r="AA181" s="27" t="n"/>
      <c r="AB181" s="27" t="n"/>
      <c r="AC181" s="27" t="n"/>
      <c r="AD181" s="27" t="n"/>
      <c r="AE181" s="27" t="n"/>
      <c r="AF181" s="27" t="n"/>
      <c r="AG181" s="27" t="n"/>
      <c r="AH181" s="27" t="n"/>
      <c r="AI181" s="27" t="n"/>
      <c r="AJ181" s="27" t="n"/>
      <c r="AK181" s="27" t="n"/>
      <c r="AL181" s="27" t="n"/>
      <c r="AM181" s="27" t="n"/>
      <c r="AN181" s="27" t="n"/>
      <c r="AO181" s="27" t="n"/>
      <c r="AP181" s="27" t="n"/>
      <c r="AQ181" s="27" t="n"/>
      <c r="AR181" s="27" t="n"/>
      <c r="AS181" s="27" t="n"/>
      <c r="AT181" s="27" t="n"/>
      <c r="AU181" s="27" t="n"/>
      <c r="AV181" s="27" t="n"/>
      <c r="AW181" s="27" t="n"/>
      <c r="AX181" s="27" t="n"/>
      <c r="AY181" s="27" t="n"/>
      <c r="AZ181" s="27" t="n"/>
      <c r="BA181" s="27" t="n"/>
      <c r="BB181" s="27" t="n"/>
      <c r="BC181" s="27" t="n"/>
      <c r="BD181" s="27" t="n"/>
      <c r="BE181" s="27" t="n"/>
      <c r="BF181" s="27" t="n"/>
      <c r="BG181" s="27" t="n"/>
      <c r="BH181" s="27" t="n"/>
      <c r="BI181" s="29" t="n"/>
      <c r="BJ181" s="27" t="n"/>
      <c r="BK181" s="27" t="n"/>
      <c r="BL181" s="27" t="n"/>
      <c r="BM181" s="27" t="n"/>
    </row>
    <row r="182">
      <c r="A182" s="27" t="n"/>
      <c r="B182" s="27" t="n"/>
      <c r="C182" s="28">
        <f>IF(A182="","",$B$2)</f>
        <v/>
      </c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  <c r="AA182" s="27" t="n"/>
      <c r="AB182" s="27" t="n"/>
      <c r="AC182" s="27" t="n"/>
      <c r="AD182" s="27" t="n"/>
      <c r="AE182" s="27" t="n"/>
      <c r="AF182" s="27" t="n"/>
      <c r="AG182" s="27" t="n"/>
      <c r="AH182" s="27" t="n"/>
      <c r="AI182" s="27" t="n"/>
      <c r="AJ182" s="27" t="n"/>
      <c r="AK182" s="27" t="n"/>
      <c r="AL182" s="27" t="n"/>
      <c r="AM182" s="27" t="n"/>
      <c r="AN182" s="27" t="n"/>
      <c r="AO182" s="27" t="n"/>
      <c r="AP182" s="27" t="n"/>
      <c r="AQ182" s="27" t="n"/>
      <c r="AR182" s="27" t="n"/>
      <c r="AS182" s="27" t="n"/>
      <c r="AT182" s="27" t="n"/>
      <c r="AU182" s="27" t="n"/>
      <c r="AV182" s="27" t="n"/>
      <c r="AW182" s="27" t="n"/>
      <c r="AX182" s="27" t="n"/>
      <c r="AY182" s="27" t="n"/>
      <c r="AZ182" s="27" t="n"/>
      <c r="BA182" s="27" t="n"/>
      <c r="BB182" s="27" t="n"/>
      <c r="BC182" s="27" t="n"/>
      <c r="BD182" s="27" t="n"/>
      <c r="BE182" s="27" t="n"/>
      <c r="BF182" s="27" t="n"/>
      <c r="BG182" s="27" t="n"/>
      <c r="BH182" s="27" t="n"/>
      <c r="BI182" s="29" t="n"/>
      <c r="BJ182" s="27" t="n"/>
      <c r="BK182" s="27" t="n"/>
      <c r="BL182" s="27" t="n"/>
      <c r="BM182" s="27" t="n"/>
    </row>
    <row r="183">
      <c r="A183" s="27" t="n"/>
      <c r="B183" s="27" t="n"/>
      <c r="C183" s="28">
        <f>IF(A183="","",$B$2)</f>
        <v/>
      </c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  <c r="AA183" s="27" t="n"/>
      <c r="AB183" s="27" t="n"/>
      <c r="AC183" s="27" t="n"/>
      <c r="AD183" s="27" t="n"/>
      <c r="AE183" s="27" t="n"/>
      <c r="AF183" s="27" t="n"/>
      <c r="AG183" s="27" t="n"/>
      <c r="AH183" s="27" t="n"/>
      <c r="AI183" s="27" t="n"/>
      <c r="AJ183" s="27" t="n"/>
      <c r="AK183" s="27" t="n"/>
      <c r="AL183" s="27" t="n"/>
      <c r="AM183" s="27" t="n"/>
      <c r="AN183" s="27" t="n"/>
      <c r="AO183" s="27" t="n"/>
      <c r="AP183" s="27" t="n"/>
      <c r="AQ183" s="27" t="n"/>
      <c r="AR183" s="27" t="n"/>
      <c r="AS183" s="27" t="n"/>
      <c r="AT183" s="27" t="n"/>
      <c r="AU183" s="27" t="n"/>
      <c r="AV183" s="27" t="n"/>
      <c r="AW183" s="27" t="n"/>
      <c r="AX183" s="27" t="n"/>
      <c r="AY183" s="27" t="n"/>
      <c r="AZ183" s="27" t="n"/>
      <c r="BA183" s="27" t="n"/>
      <c r="BB183" s="27" t="n"/>
      <c r="BC183" s="27" t="n"/>
      <c r="BD183" s="27" t="n"/>
      <c r="BE183" s="27" t="n"/>
      <c r="BF183" s="27" t="n"/>
      <c r="BG183" s="27" t="n"/>
      <c r="BH183" s="27" t="n"/>
      <c r="BI183" s="29" t="n"/>
      <c r="BJ183" s="27" t="n"/>
      <c r="BK183" s="27" t="n"/>
      <c r="BL183" s="27" t="n"/>
      <c r="BM183" s="27" t="n"/>
    </row>
    <row r="184">
      <c r="A184" s="27" t="n"/>
      <c r="B184" s="27" t="n"/>
      <c r="C184" s="28">
        <f>IF(A184="","",$B$2)</f>
        <v/>
      </c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  <c r="AA184" s="27" t="n"/>
      <c r="AB184" s="27" t="n"/>
      <c r="AC184" s="27" t="n"/>
      <c r="AD184" s="27" t="n"/>
      <c r="AE184" s="27" t="n"/>
      <c r="AF184" s="27" t="n"/>
      <c r="AG184" s="27" t="n"/>
      <c r="AH184" s="27" t="n"/>
      <c r="AI184" s="27" t="n"/>
      <c r="AJ184" s="27" t="n"/>
      <c r="AK184" s="27" t="n"/>
      <c r="AL184" s="27" t="n"/>
      <c r="AM184" s="27" t="n"/>
      <c r="AN184" s="27" t="n"/>
      <c r="AO184" s="27" t="n"/>
      <c r="AP184" s="27" t="n"/>
      <c r="AQ184" s="27" t="n"/>
      <c r="AR184" s="27" t="n"/>
      <c r="AS184" s="27" t="n"/>
      <c r="AT184" s="27" t="n"/>
      <c r="AU184" s="27" t="n"/>
      <c r="AV184" s="27" t="n"/>
      <c r="AW184" s="27" t="n"/>
      <c r="AX184" s="27" t="n"/>
      <c r="AY184" s="27" t="n"/>
      <c r="AZ184" s="27" t="n"/>
      <c r="BA184" s="27" t="n"/>
      <c r="BB184" s="27" t="n"/>
      <c r="BC184" s="27" t="n"/>
      <c r="BD184" s="27" t="n"/>
      <c r="BE184" s="27" t="n"/>
      <c r="BF184" s="27" t="n"/>
      <c r="BG184" s="27" t="n"/>
      <c r="BH184" s="27" t="n"/>
      <c r="BI184" s="29" t="n"/>
      <c r="BJ184" s="27" t="n"/>
      <c r="BK184" s="27" t="n"/>
      <c r="BL184" s="27" t="n"/>
      <c r="BM184" s="27" t="n"/>
    </row>
    <row r="185">
      <c r="A185" s="27" t="n"/>
      <c r="B185" s="27" t="n"/>
      <c r="C185" s="28">
        <f>IF(A185="","",$B$2)</f>
        <v/>
      </c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  <c r="AA185" s="27" t="n"/>
      <c r="AB185" s="27" t="n"/>
      <c r="AC185" s="27" t="n"/>
      <c r="AD185" s="27" t="n"/>
      <c r="AE185" s="27" t="n"/>
      <c r="AF185" s="27" t="n"/>
      <c r="AG185" s="27" t="n"/>
      <c r="AH185" s="27" t="n"/>
      <c r="AI185" s="27" t="n"/>
      <c r="AJ185" s="27" t="n"/>
      <c r="AK185" s="27" t="n"/>
      <c r="AL185" s="27" t="n"/>
      <c r="AM185" s="27" t="n"/>
      <c r="AN185" s="27" t="n"/>
      <c r="AO185" s="27" t="n"/>
      <c r="AP185" s="27" t="n"/>
      <c r="AQ185" s="27" t="n"/>
      <c r="AR185" s="27" t="n"/>
      <c r="AS185" s="27" t="n"/>
      <c r="AT185" s="27" t="n"/>
      <c r="AU185" s="27" t="n"/>
      <c r="AV185" s="27" t="n"/>
      <c r="AW185" s="27" t="n"/>
      <c r="AX185" s="27" t="n"/>
      <c r="AY185" s="27" t="n"/>
      <c r="AZ185" s="27" t="n"/>
      <c r="BA185" s="27" t="n"/>
      <c r="BB185" s="27" t="n"/>
      <c r="BC185" s="27" t="n"/>
      <c r="BD185" s="27" t="n"/>
      <c r="BE185" s="27" t="n"/>
      <c r="BF185" s="27" t="n"/>
      <c r="BG185" s="27" t="n"/>
      <c r="BH185" s="27" t="n"/>
      <c r="BI185" s="29" t="n"/>
      <c r="BJ185" s="27" t="n"/>
      <c r="BK185" s="27" t="n"/>
      <c r="BL185" s="27" t="n"/>
      <c r="BM185" s="27" t="n"/>
    </row>
    <row r="186">
      <c r="A186" s="27" t="n"/>
      <c r="B186" s="27" t="n"/>
      <c r="C186" s="28">
        <f>IF(A186="","",$B$2)</f>
        <v/>
      </c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  <c r="AA186" s="27" t="n"/>
      <c r="AB186" s="27" t="n"/>
      <c r="AC186" s="27" t="n"/>
      <c r="AD186" s="27" t="n"/>
      <c r="AE186" s="27" t="n"/>
      <c r="AF186" s="27" t="n"/>
      <c r="AG186" s="27" t="n"/>
      <c r="AH186" s="27" t="n"/>
      <c r="AI186" s="27" t="n"/>
      <c r="AJ186" s="27" t="n"/>
      <c r="AK186" s="27" t="n"/>
      <c r="AL186" s="27" t="n"/>
      <c r="AM186" s="27" t="n"/>
      <c r="AN186" s="27" t="n"/>
      <c r="AO186" s="27" t="n"/>
      <c r="AP186" s="27" t="n"/>
      <c r="AQ186" s="27" t="n"/>
      <c r="AR186" s="27" t="n"/>
      <c r="AS186" s="27" t="n"/>
      <c r="AT186" s="27" t="n"/>
      <c r="AU186" s="27" t="n"/>
      <c r="AV186" s="27" t="n"/>
      <c r="AW186" s="27" t="n"/>
      <c r="AX186" s="27" t="n"/>
      <c r="AY186" s="27" t="n"/>
      <c r="AZ186" s="27" t="n"/>
      <c r="BA186" s="27" t="n"/>
      <c r="BB186" s="27" t="n"/>
      <c r="BC186" s="27" t="n"/>
      <c r="BD186" s="27" t="n"/>
      <c r="BE186" s="27" t="n"/>
      <c r="BF186" s="27" t="n"/>
      <c r="BG186" s="27" t="n"/>
      <c r="BH186" s="27" t="n"/>
      <c r="BI186" s="29" t="n"/>
      <c r="BJ186" s="27" t="n"/>
      <c r="BK186" s="27" t="n"/>
      <c r="BL186" s="27" t="n"/>
      <c r="BM186" s="27" t="n"/>
    </row>
    <row r="187">
      <c r="A187" s="27" t="n"/>
      <c r="B187" s="27" t="n"/>
      <c r="C187" s="28">
        <f>IF(A187="","",$B$2)</f>
        <v/>
      </c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  <c r="AA187" s="27" t="n"/>
      <c r="AB187" s="27" t="n"/>
      <c r="AC187" s="27" t="n"/>
      <c r="AD187" s="27" t="n"/>
      <c r="AE187" s="27" t="n"/>
      <c r="AF187" s="27" t="n"/>
      <c r="AG187" s="27" t="n"/>
      <c r="AH187" s="27" t="n"/>
      <c r="AI187" s="27" t="n"/>
      <c r="AJ187" s="27" t="n"/>
      <c r="AK187" s="27" t="n"/>
      <c r="AL187" s="27" t="n"/>
      <c r="AM187" s="27" t="n"/>
      <c r="AN187" s="27" t="n"/>
      <c r="AO187" s="27" t="n"/>
      <c r="AP187" s="27" t="n"/>
      <c r="AQ187" s="27" t="n"/>
      <c r="AR187" s="27" t="n"/>
      <c r="AS187" s="27" t="n"/>
      <c r="AT187" s="27" t="n"/>
      <c r="AU187" s="27" t="n"/>
      <c r="AV187" s="27" t="n"/>
      <c r="AW187" s="27" t="n"/>
      <c r="AX187" s="27" t="n"/>
      <c r="AY187" s="27" t="n"/>
      <c r="AZ187" s="27" t="n"/>
      <c r="BA187" s="27" t="n"/>
      <c r="BB187" s="27" t="n"/>
      <c r="BC187" s="27" t="n"/>
      <c r="BD187" s="27" t="n"/>
      <c r="BE187" s="27" t="n"/>
      <c r="BF187" s="27" t="n"/>
      <c r="BG187" s="27" t="n"/>
      <c r="BH187" s="27" t="n"/>
      <c r="BI187" s="29" t="n"/>
      <c r="BJ187" s="27" t="n"/>
      <c r="BK187" s="27" t="n"/>
      <c r="BL187" s="27" t="n"/>
      <c r="BM187" s="27" t="n"/>
    </row>
    <row r="188">
      <c r="A188" s="27" t="n"/>
      <c r="B188" s="27" t="n"/>
      <c r="C188" s="28">
        <f>IF(A188="","",$B$2)</f>
        <v/>
      </c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  <c r="AA188" s="27" t="n"/>
      <c r="AB188" s="27" t="n"/>
      <c r="AC188" s="27" t="n"/>
      <c r="AD188" s="27" t="n"/>
      <c r="AE188" s="27" t="n"/>
      <c r="AF188" s="27" t="n"/>
      <c r="AG188" s="27" t="n"/>
      <c r="AH188" s="27" t="n"/>
      <c r="AI188" s="27" t="n"/>
      <c r="AJ188" s="27" t="n"/>
      <c r="AK188" s="27" t="n"/>
      <c r="AL188" s="27" t="n"/>
      <c r="AM188" s="27" t="n"/>
      <c r="AN188" s="27" t="n"/>
      <c r="AO188" s="27" t="n"/>
      <c r="AP188" s="27" t="n"/>
      <c r="AQ188" s="27" t="n"/>
      <c r="AR188" s="27" t="n"/>
      <c r="AS188" s="27" t="n"/>
      <c r="AT188" s="27" t="n"/>
      <c r="AU188" s="27" t="n"/>
      <c r="AV188" s="27" t="n"/>
      <c r="AW188" s="27" t="n"/>
      <c r="AX188" s="27" t="n"/>
      <c r="AY188" s="27" t="n"/>
      <c r="AZ188" s="27" t="n"/>
      <c r="BA188" s="27" t="n"/>
      <c r="BB188" s="27" t="n"/>
      <c r="BC188" s="27" t="n"/>
      <c r="BD188" s="27" t="n"/>
      <c r="BE188" s="27" t="n"/>
      <c r="BF188" s="27" t="n"/>
      <c r="BG188" s="27" t="n"/>
      <c r="BH188" s="27" t="n"/>
      <c r="BI188" s="29" t="n"/>
      <c r="BJ188" s="27" t="n"/>
      <c r="BK188" s="27" t="n"/>
      <c r="BL188" s="27" t="n"/>
      <c r="BM188" s="27" t="n"/>
    </row>
    <row r="189">
      <c r="A189" s="27" t="n"/>
      <c r="B189" s="27" t="n"/>
      <c r="C189" s="28">
        <f>IF(A189="","",$B$2)</f>
        <v/>
      </c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  <c r="AA189" s="27" t="n"/>
      <c r="AB189" s="27" t="n"/>
      <c r="AC189" s="27" t="n"/>
      <c r="AD189" s="27" t="n"/>
      <c r="AE189" s="27" t="n"/>
      <c r="AF189" s="27" t="n"/>
      <c r="AG189" s="27" t="n"/>
      <c r="AH189" s="27" t="n"/>
      <c r="AI189" s="27" t="n"/>
      <c r="AJ189" s="27" t="n"/>
      <c r="AK189" s="27" t="n"/>
      <c r="AL189" s="27" t="n"/>
      <c r="AM189" s="27" t="n"/>
      <c r="AN189" s="27" t="n"/>
      <c r="AO189" s="27" t="n"/>
      <c r="AP189" s="27" t="n"/>
      <c r="AQ189" s="27" t="n"/>
      <c r="AR189" s="27" t="n"/>
      <c r="AS189" s="27" t="n"/>
      <c r="AT189" s="27" t="n"/>
      <c r="AU189" s="27" t="n"/>
      <c r="AV189" s="27" t="n"/>
      <c r="AW189" s="27" t="n"/>
      <c r="AX189" s="27" t="n"/>
      <c r="AY189" s="27" t="n"/>
      <c r="AZ189" s="27" t="n"/>
      <c r="BA189" s="27" t="n"/>
      <c r="BB189" s="27" t="n"/>
      <c r="BC189" s="27" t="n"/>
      <c r="BD189" s="27" t="n"/>
      <c r="BE189" s="27" t="n"/>
      <c r="BF189" s="27" t="n"/>
      <c r="BG189" s="27" t="n"/>
      <c r="BH189" s="27" t="n"/>
      <c r="BI189" s="29" t="n"/>
      <c r="BJ189" s="27" t="n"/>
      <c r="BK189" s="27" t="n"/>
      <c r="BL189" s="27" t="n"/>
      <c r="BM189" s="27" t="n"/>
    </row>
    <row r="190">
      <c r="A190" s="27" t="n"/>
      <c r="B190" s="27" t="n"/>
      <c r="C190" s="28">
        <f>IF(A190="","",$B$2)</f>
        <v/>
      </c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  <c r="AA190" s="27" t="n"/>
      <c r="AB190" s="27" t="n"/>
      <c r="AC190" s="27" t="n"/>
      <c r="AD190" s="27" t="n"/>
      <c r="AE190" s="27" t="n"/>
      <c r="AF190" s="27" t="n"/>
      <c r="AG190" s="27" t="n"/>
      <c r="AH190" s="27" t="n"/>
      <c r="AI190" s="27" t="n"/>
      <c r="AJ190" s="27" t="n"/>
      <c r="AK190" s="27" t="n"/>
      <c r="AL190" s="27" t="n"/>
      <c r="AM190" s="27" t="n"/>
      <c r="AN190" s="27" t="n"/>
      <c r="AO190" s="27" t="n"/>
      <c r="AP190" s="27" t="n"/>
      <c r="AQ190" s="27" t="n"/>
      <c r="AR190" s="27" t="n"/>
      <c r="AS190" s="27" t="n"/>
      <c r="AT190" s="27" t="n"/>
      <c r="AU190" s="27" t="n"/>
      <c r="AV190" s="27" t="n"/>
      <c r="AW190" s="27" t="n"/>
      <c r="AX190" s="27" t="n"/>
      <c r="AY190" s="27" t="n"/>
      <c r="AZ190" s="27" t="n"/>
      <c r="BA190" s="27" t="n"/>
      <c r="BB190" s="27" t="n"/>
      <c r="BC190" s="27" t="n"/>
      <c r="BD190" s="27" t="n"/>
      <c r="BE190" s="27" t="n"/>
      <c r="BF190" s="27" t="n"/>
      <c r="BG190" s="27" t="n"/>
      <c r="BH190" s="27" t="n"/>
      <c r="BI190" s="29" t="n"/>
      <c r="BJ190" s="27" t="n"/>
      <c r="BK190" s="27" t="n"/>
      <c r="BL190" s="27" t="n"/>
      <c r="BM190" s="27" t="n"/>
    </row>
    <row r="191">
      <c r="A191" s="27" t="n"/>
      <c r="B191" s="27" t="n"/>
      <c r="C191" s="28">
        <f>IF(A191="","",$B$2)</f>
        <v/>
      </c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  <c r="AA191" s="27" t="n"/>
      <c r="AB191" s="27" t="n"/>
      <c r="AC191" s="27" t="n"/>
      <c r="AD191" s="27" t="n"/>
      <c r="AE191" s="27" t="n"/>
      <c r="AF191" s="27" t="n"/>
      <c r="AG191" s="27" t="n"/>
      <c r="AH191" s="27" t="n"/>
      <c r="AI191" s="27" t="n"/>
      <c r="AJ191" s="27" t="n"/>
      <c r="AK191" s="27" t="n"/>
      <c r="AL191" s="27" t="n"/>
      <c r="AM191" s="27" t="n"/>
      <c r="AN191" s="27" t="n"/>
      <c r="AO191" s="27" t="n"/>
      <c r="AP191" s="27" t="n"/>
      <c r="AQ191" s="27" t="n"/>
      <c r="AR191" s="27" t="n"/>
      <c r="AS191" s="27" t="n"/>
      <c r="AT191" s="27" t="n"/>
      <c r="AU191" s="27" t="n"/>
      <c r="AV191" s="27" t="n"/>
      <c r="AW191" s="27" t="n"/>
      <c r="AX191" s="27" t="n"/>
      <c r="AY191" s="27" t="n"/>
      <c r="AZ191" s="27" t="n"/>
      <c r="BA191" s="27" t="n"/>
      <c r="BB191" s="27" t="n"/>
      <c r="BC191" s="27" t="n"/>
      <c r="BD191" s="27" t="n"/>
      <c r="BE191" s="27" t="n"/>
      <c r="BF191" s="27" t="n"/>
      <c r="BG191" s="27" t="n"/>
      <c r="BH191" s="27" t="n"/>
      <c r="BI191" s="29" t="n"/>
      <c r="BJ191" s="27" t="n"/>
      <c r="BK191" s="27" t="n"/>
      <c r="BL191" s="27" t="n"/>
      <c r="BM191" s="27" t="n"/>
    </row>
    <row r="192">
      <c r="A192" s="27" t="n"/>
      <c r="B192" s="27" t="n"/>
      <c r="C192" s="28">
        <f>IF(A192="","",$B$2)</f>
        <v/>
      </c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  <c r="AA192" s="27" t="n"/>
      <c r="AB192" s="27" t="n"/>
      <c r="AC192" s="27" t="n"/>
      <c r="AD192" s="27" t="n"/>
      <c r="AE192" s="27" t="n"/>
      <c r="AF192" s="27" t="n"/>
      <c r="AG192" s="27" t="n"/>
      <c r="AH192" s="27" t="n"/>
      <c r="AI192" s="27" t="n"/>
      <c r="AJ192" s="27" t="n"/>
      <c r="AK192" s="27" t="n"/>
      <c r="AL192" s="27" t="n"/>
      <c r="AM192" s="27" t="n"/>
      <c r="AN192" s="27" t="n"/>
      <c r="AO192" s="27" t="n"/>
      <c r="AP192" s="27" t="n"/>
      <c r="AQ192" s="27" t="n"/>
      <c r="AR192" s="27" t="n"/>
      <c r="AS192" s="27" t="n"/>
      <c r="AT192" s="27" t="n"/>
      <c r="AU192" s="27" t="n"/>
      <c r="AV192" s="27" t="n"/>
      <c r="AW192" s="27" t="n"/>
      <c r="AX192" s="27" t="n"/>
      <c r="AY192" s="27" t="n"/>
      <c r="AZ192" s="27" t="n"/>
      <c r="BA192" s="27" t="n"/>
      <c r="BB192" s="27" t="n"/>
      <c r="BC192" s="27" t="n"/>
      <c r="BD192" s="27" t="n"/>
      <c r="BE192" s="27" t="n"/>
      <c r="BF192" s="27" t="n"/>
      <c r="BG192" s="27" t="n"/>
      <c r="BH192" s="27" t="n"/>
      <c r="BI192" s="29" t="n"/>
      <c r="BJ192" s="27" t="n"/>
      <c r="BK192" s="27" t="n"/>
      <c r="BL192" s="27" t="n"/>
      <c r="BM192" s="27" t="n"/>
    </row>
    <row r="193">
      <c r="A193" s="27" t="n"/>
      <c r="B193" s="27" t="n"/>
      <c r="C193" s="28">
        <f>IF(A193="","",$B$2)</f>
        <v/>
      </c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  <c r="AA193" s="27" t="n"/>
      <c r="AB193" s="27" t="n"/>
      <c r="AC193" s="27" t="n"/>
      <c r="AD193" s="27" t="n"/>
      <c r="AE193" s="27" t="n"/>
      <c r="AF193" s="27" t="n"/>
      <c r="AG193" s="27" t="n"/>
      <c r="AH193" s="27" t="n"/>
      <c r="AI193" s="27" t="n"/>
      <c r="AJ193" s="27" t="n"/>
      <c r="AK193" s="27" t="n"/>
      <c r="AL193" s="27" t="n"/>
      <c r="AM193" s="27" t="n"/>
      <c r="AN193" s="27" t="n"/>
      <c r="AO193" s="27" t="n"/>
      <c r="AP193" s="27" t="n"/>
      <c r="AQ193" s="27" t="n"/>
      <c r="AR193" s="27" t="n"/>
      <c r="AS193" s="27" t="n"/>
      <c r="AT193" s="27" t="n"/>
      <c r="AU193" s="27" t="n"/>
      <c r="AV193" s="27" t="n"/>
      <c r="AW193" s="27" t="n"/>
      <c r="AX193" s="27" t="n"/>
      <c r="AY193" s="27" t="n"/>
      <c r="AZ193" s="27" t="n"/>
      <c r="BA193" s="27" t="n"/>
      <c r="BB193" s="27" t="n"/>
      <c r="BC193" s="27" t="n"/>
      <c r="BD193" s="27" t="n"/>
      <c r="BE193" s="27" t="n"/>
      <c r="BF193" s="27" t="n"/>
      <c r="BG193" s="27" t="n"/>
      <c r="BH193" s="27" t="n"/>
      <c r="BI193" s="29" t="n"/>
      <c r="BJ193" s="27" t="n"/>
      <c r="BK193" s="27" t="n"/>
      <c r="BL193" s="27" t="n"/>
      <c r="BM193" s="27" t="n"/>
    </row>
    <row r="194">
      <c r="A194" s="27" t="n"/>
      <c r="B194" s="27" t="n"/>
      <c r="C194" s="28">
        <f>IF(A194="","",$B$2)</f>
        <v/>
      </c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  <c r="AA194" s="27" t="n"/>
      <c r="AB194" s="27" t="n"/>
      <c r="AC194" s="27" t="n"/>
      <c r="AD194" s="27" t="n"/>
      <c r="AE194" s="27" t="n"/>
      <c r="AF194" s="27" t="n"/>
      <c r="AG194" s="27" t="n"/>
      <c r="AH194" s="27" t="n"/>
      <c r="AI194" s="27" t="n"/>
      <c r="AJ194" s="27" t="n"/>
      <c r="AK194" s="27" t="n"/>
      <c r="AL194" s="27" t="n"/>
      <c r="AM194" s="27" t="n"/>
      <c r="AN194" s="27" t="n"/>
      <c r="AO194" s="27" t="n"/>
      <c r="AP194" s="27" t="n"/>
      <c r="AQ194" s="27" t="n"/>
      <c r="AR194" s="27" t="n"/>
      <c r="AS194" s="27" t="n"/>
      <c r="AT194" s="27" t="n"/>
      <c r="AU194" s="27" t="n"/>
      <c r="AV194" s="27" t="n"/>
      <c r="AW194" s="27" t="n"/>
      <c r="AX194" s="27" t="n"/>
      <c r="AY194" s="27" t="n"/>
      <c r="AZ194" s="27" t="n"/>
      <c r="BA194" s="27" t="n"/>
      <c r="BB194" s="27" t="n"/>
      <c r="BC194" s="27" t="n"/>
      <c r="BD194" s="27" t="n"/>
      <c r="BE194" s="27" t="n"/>
      <c r="BF194" s="27" t="n"/>
      <c r="BG194" s="27" t="n"/>
      <c r="BH194" s="27" t="n"/>
      <c r="BI194" s="29" t="n"/>
      <c r="BJ194" s="27" t="n"/>
      <c r="BK194" s="27" t="n"/>
      <c r="BL194" s="27" t="n"/>
      <c r="BM194" s="27" t="n"/>
    </row>
    <row r="195">
      <c r="A195" s="27" t="n"/>
      <c r="B195" s="27" t="n"/>
      <c r="C195" s="28">
        <f>IF(A195="","",$B$2)</f>
        <v/>
      </c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  <c r="AA195" s="27" t="n"/>
      <c r="AB195" s="27" t="n"/>
      <c r="AC195" s="27" t="n"/>
      <c r="AD195" s="27" t="n"/>
      <c r="AE195" s="27" t="n"/>
      <c r="AF195" s="27" t="n"/>
      <c r="AG195" s="27" t="n"/>
      <c r="AH195" s="27" t="n"/>
      <c r="AI195" s="27" t="n"/>
      <c r="AJ195" s="27" t="n"/>
      <c r="AK195" s="27" t="n"/>
      <c r="AL195" s="27" t="n"/>
      <c r="AM195" s="27" t="n"/>
      <c r="AN195" s="27" t="n"/>
      <c r="AO195" s="27" t="n"/>
      <c r="AP195" s="27" t="n"/>
      <c r="AQ195" s="27" t="n"/>
      <c r="AR195" s="27" t="n"/>
      <c r="AS195" s="27" t="n"/>
      <c r="AT195" s="27" t="n"/>
      <c r="AU195" s="27" t="n"/>
      <c r="AV195" s="27" t="n"/>
      <c r="AW195" s="27" t="n"/>
      <c r="AX195" s="27" t="n"/>
      <c r="AY195" s="27" t="n"/>
      <c r="AZ195" s="27" t="n"/>
      <c r="BA195" s="27" t="n"/>
      <c r="BB195" s="27" t="n"/>
      <c r="BC195" s="27" t="n"/>
      <c r="BD195" s="27" t="n"/>
      <c r="BE195" s="27" t="n"/>
      <c r="BF195" s="27" t="n"/>
      <c r="BG195" s="27" t="n"/>
      <c r="BH195" s="27" t="n"/>
      <c r="BI195" s="29" t="n"/>
      <c r="BJ195" s="27" t="n"/>
      <c r="BK195" s="27" t="n"/>
      <c r="BL195" s="27" t="n"/>
      <c r="BM195" s="27" t="n"/>
    </row>
    <row r="196">
      <c r="A196" s="27" t="n"/>
      <c r="B196" s="27" t="n"/>
      <c r="C196" s="28">
        <f>IF(A196="","",$B$2)</f>
        <v/>
      </c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  <c r="AA196" s="27" t="n"/>
      <c r="AB196" s="27" t="n"/>
      <c r="AC196" s="27" t="n"/>
      <c r="AD196" s="27" t="n"/>
      <c r="AE196" s="27" t="n"/>
      <c r="AF196" s="27" t="n"/>
      <c r="AG196" s="27" t="n"/>
      <c r="AH196" s="27" t="n"/>
      <c r="AI196" s="27" t="n"/>
      <c r="AJ196" s="27" t="n"/>
      <c r="AK196" s="27" t="n"/>
      <c r="AL196" s="27" t="n"/>
      <c r="AM196" s="27" t="n"/>
      <c r="AN196" s="27" t="n"/>
      <c r="AO196" s="27" t="n"/>
      <c r="AP196" s="27" t="n"/>
      <c r="AQ196" s="27" t="n"/>
      <c r="AR196" s="27" t="n"/>
      <c r="AS196" s="27" t="n"/>
      <c r="AT196" s="27" t="n"/>
      <c r="AU196" s="27" t="n"/>
      <c r="AV196" s="27" t="n"/>
      <c r="AW196" s="27" t="n"/>
      <c r="AX196" s="27" t="n"/>
      <c r="AY196" s="27" t="n"/>
      <c r="AZ196" s="27" t="n"/>
      <c r="BA196" s="27" t="n"/>
      <c r="BB196" s="27" t="n"/>
      <c r="BC196" s="27" t="n"/>
      <c r="BD196" s="27" t="n"/>
      <c r="BE196" s="27" t="n"/>
      <c r="BF196" s="27" t="n"/>
      <c r="BG196" s="27" t="n"/>
      <c r="BH196" s="27" t="n"/>
      <c r="BI196" s="29" t="n"/>
      <c r="BJ196" s="27" t="n"/>
      <c r="BK196" s="27" t="n"/>
      <c r="BL196" s="27" t="n"/>
      <c r="BM196" s="27" t="n"/>
    </row>
    <row r="197">
      <c r="A197" s="27" t="n"/>
      <c r="B197" s="27" t="n"/>
      <c r="C197" s="28">
        <f>IF(A197="","",$B$2)</f>
        <v/>
      </c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  <c r="AA197" s="27" t="n"/>
      <c r="AB197" s="27" t="n"/>
      <c r="AC197" s="27" t="n"/>
      <c r="AD197" s="27" t="n"/>
      <c r="AE197" s="27" t="n"/>
      <c r="AF197" s="27" t="n"/>
      <c r="AG197" s="27" t="n"/>
      <c r="AH197" s="27" t="n"/>
      <c r="AI197" s="27" t="n"/>
      <c r="AJ197" s="27" t="n"/>
      <c r="AK197" s="27" t="n"/>
      <c r="AL197" s="27" t="n"/>
      <c r="AM197" s="27" t="n"/>
      <c r="AN197" s="27" t="n"/>
      <c r="AO197" s="27" t="n"/>
      <c r="AP197" s="27" t="n"/>
      <c r="AQ197" s="27" t="n"/>
      <c r="AR197" s="27" t="n"/>
      <c r="AS197" s="27" t="n"/>
      <c r="AT197" s="27" t="n"/>
      <c r="AU197" s="27" t="n"/>
      <c r="AV197" s="27" t="n"/>
      <c r="AW197" s="27" t="n"/>
      <c r="AX197" s="27" t="n"/>
      <c r="AY197" s="27" t="n"/>
      <c r="AZ197" s="27" t="n"/>
      <c r="BA197" s="27" t="n"/>
      <c r="BB197" s="27" t="n"/>
      <c r="BC197" s="27" t="n"/>
      <c r="BD197" s="27" t="n"/>
      <c r="BE197" s="27" t="n"/>
      <c r="BF197" s="27" t="n"/>
      <c r="BG197" s="27" t="n"/>
      <c r="BH197" s="27" t="n"/>
      <c r="BI197" s="29" t="n"/>
      <c r="BJ197" s="27" t="n"/>
      <c r="BK197" s="27" t="n"/>
      <c r="BL197" s="27" t="n"/>
      <c r="BM197" s="27" t="n"/>
    </row>
    <row r="198">
      <c r="A198" s="27" t="n"/>
      <c r="B198" s="27" t="n"/>
      <c r="C198" s="28">
        <f>IF(A198="","",$B$2)</f>
        <v/>
      </c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  <c r="AA198" s="27" t="n"/>
      <c r="AB198" s="27" t="n"/>
      <c r="AC198" s="27" t="n"/>
      <c r="AD198" s="27" t="n"/>
      <c r="AE198" s="27" t="n"/>
      <c r="AF198" s="27" t="n"/>
      <c r="AG198" s="27" t="n"/>
      <c r="AH198" s="27" t="n"/>
      <c r="AI198" s="27" t="n"/>
      <c r="AJ198" s="27" t="n"/>
      <c r="AK198" s="27" t="n"/>
      <c r="AL198" s="27" t="n"/>
      <c r="AM198" s="27" t="n"/>
      <c r="AN198" s="27" t="n"/>
      <c r="AO198" s="27" t="n"/>
      <c r="AP198" s="27" t="n"/>
      <c r="AQ198" s="27" t="n"/>
      <c r="AR198" s="27" t="n"/>
      <c r="AS198" s="27" t="n"/>
      <c r="AT198" s="27" t="n"/>
      <c r="AU198" s="27" t="n"/>
      <c r="AV198" s="27" t="n"/>
      <c r="AW198" s="27" t="n"/>
      <c r="AX198" s="27" t="n"/>
      <c r="AY198" s="27" t="n"/>
      <c r="AZ198" s="27" t="n"/>
      <c r="BA198" s="27" t="n"/>
      <c r="BB198" s="27" t="n"/>
      <c r="BC198" s="27" t="n"/>
      <c r="BD198" s="27" t="n"/>
      <c r="BE198" s="27" t="n"/>
      <c r="BF198" s="27" t="n"/>
      <c r="BG198" s="27" t="n"/>
      <c r="BH198" s="27" t="n"/>
      <c r="BI198" s="29" t="n"/>
      <c r="BJ198" s="27" t="n"/>
      <c r="BK198" s="27" t="n"/>
      <c r="BL198" s="27" t="n"/>
      <c r="BM198" s="27" t="n"/>
    </row>
    <row r="199">
      <c r="A199" s="27" t="n"/>
      <c r="B199" s="27" t="n"/>
      <c r="C199" s="28">
        <f>IF(A199="","",$B$2)</f>
        <v/>
      </c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  <c r="AA199" s="27" t="n"/>
      <c r="AB199" s="27" t="n"/>
      <c r="AC199" s="27" t="n"/>
      <c r="AD199" s="27" t="n"/>
      <c r="AE199" s="27" t="n"/>
      <c r="AF199" s="27" t="n"/>
      <c r="AG199" s="27" t="n"/>
      <c r="AH199" s="27" t="n"/>
      <c r="AI199" s="27" t="n"/>
      <c r="AJ199" s="27" t="n"/>
      <c r="AK199" s="27" t="n"/>
      <c r="AL199" s="27" t="n"/>
      <c r="AM199" s="27" t="n"/>
      <c r="AN199" s="27" t="n"/>
      <c r="AO199" s="27" t="n"/>
      <c r="AP199" s="27" t="n"/>
      <c r="AQ199" s="27" t="n"/>
      <c r="AR199" s="27" t="n"/>
      <c r="AS199" s="27" t="n"/>
      <c r="AT199" s="27" t="n"/>
      <c r="AU199" s="27" t="n"/>
      <c r="AV199" s="27" t="n"/>
      <c r="AW199" s="27" t="n"/>
      <c r="AX199" s="27" t="n"/>
      <c r="AY199" s="27" t="n"/>
      <c r="AZ199" s="27" t="n"/>
      <c r="BA199" s="27" t="n"/>
      <c r="BB199" s="27" t="n"/>
      <c r="BC199" s="27" t="n"/>
      <c r="BD199" s="27" t="n"/>
      <c r="BE199" s="27" t="n"/>
      <c r="BF199" s="27" t="n"/>
      <c r="BG199" s="27" t="n"/>
      <c r="BH199" s="27" t="n"/>
      <c r="BI199" s="29" t="n"/>
      <c r="BJ199" s="27" t="n"/>
      <c r="BK199" s="27" t="n"/>
      <c r="BL199" s="27" t="n"/>
      <c r="BM199" s="27" t="n"/>
    </row>
    <row r="200">
      <c r="A200" s="27" t="n"/>
      <c r="B200" s="27" t="n"/>
      <c r="C200" s="28">
        <f>IF(A200="","",$B$2)</f>
        <v/>
      </c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  <c r="AA200" s="27" t="n"/>
      <c r="AB200" s="27" t="n"/>
      <c r="AC200" s="27" t="n"/>
      <c r="AD200" s="27" t="n"/>
      <c r="AE200" s="27" t="n"/>
      <c r="AF200" s="27" t="n"/>
      <c r="AG200" s="27" t="n"/>
      <c r="AH200" s="27" t="n"/>
      <c r="AI200" s="27" t="n"/>
      <c r="AJ200" s="27" t="n"/>
      <c r="AK200" s="27" t="n"/>
      <c r="AL200" s="27" t="n"/>
      <c r="AM200" s="27" t="n"/>
      <c r="AN200" s="27" t="n"/>
      <c r="AO200" s="27" t="n"/>
      <c r="AP200" s="27" t="n"/>
      <c r="AQ200" s="27" t="n"/>
      <c r="AR200" s="27" t="n"/>
      <c r="AS200" s="27" t="n"/>
      <c r="AT200" s="27" t="n"/>
      <c r="AU200" s="27" t="n"/>
      <c r="AV200" s="27" t="n"/>
      <c r="AW200" s="27" t="n"/>
      <c r="AX200" s="27" t="n"/>
      <c r="AY200" s="27" t="n"/>
      <c r="AZ200" s="27" t="n"/>
      <c r="BA200" s="27" t="n"/>
      <c r="BB200" s="27" t="n"/>
      <c r="BC200" s="27" t="n"/>
      <c r="BD200" s="27" t="n"/>
      <c r="BE200" s="27" t="n"/>
      <c r="BF200" s="27" t="n"/>
      <c r="BG200" s="27" t="n"/>
      <c r="BH200" s="27" t="n"/>
      <c r="BI200" s="29" t="n"/>
      <c r="BJ200" s="27" t="n"/>
      <c r="BK200" s="27" t="n"/>
      <c r="BL200" s="27" t="n"/>
      <c r="BM200" s="27" t="n"/>
    </row>
    <row r="201">
      <c r="A201" s="27" t="n"/>
      <c r="B201" s="27" t="n"/>
      <c r="C201" s="28">
        <f>IF(A201="","",$B$2)</f>
        <v/>
      </c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  <c r="AA201" s="27" t="n"/>
      <c r="AB201" s="27" t="n"/>
      <c r="AC201" s="27" t="n"/>
      <c r="AD201" s="27" t="n"/>
      <c r="AE201" s="27" t="n"/>
      <c r="AF201" s="27" t="n"/>
      <c r="AG201" s="27" t="n"/>
      <c r="AH201" s="27" t="n"/>
      <c r="AI201" s="27" t="n"/>
      <c r="AJ201" s="27" t="n"/>
      <c r="AK201" s="27" t="n"/>
      <c r="AL201" s="27" t="n"/>
      <c r="AM201" s="27" t="n"/>
      <c r="AN201" s="27" t="n"/>
      <c r="AO201" s="27" t="n"/>
      <c r="AP201" s="27" t="n"/>
      <c r="AQ201" s="27" t="n"/>
      <c r="AR201" s="27" t="n"/>
      <c r="AS201" s="27" t="n"/>
      <c r="AT201" s="27" t="n"/>
      <c r="AU201" s="27" t="n"/>
      <c r="AV201" s="27" t="n"/>
      <c r="AW201" s="27" t="n"/>
      <c r="AX201" s="27" t="n"/>
      <c r="AY201" s="27" t="n"/>
      <c r="AZ201" s="27" t="n"/>
      <c r="BA201" s="27" t="n"/>
      <c r="BB201" s="27" t="n"/>
      <c r="BC201" s="27" t="n"/>
      <c r="BD201" s="27" t="n"/>
      <c r="BE201" s="27" t="n"/>
      <c r="BF201" s="27" t="n"/>
      <c r="BG201" s="27" t="n"/>
      <c r="BH201" s="27" t="n"/>
      <c r="BI201" s="29" t="n"/>
      <c r="BJ201" s="27" t="n"/>
      <c r="BK201" s="27" t="n"/>
      <c r="BL201" s="27" t="n"/>
      <c r="BM201" s="27" t="n"/>
    </row>
    <row r="202">
      <c r="A202" s="27" t="n"/>
      <c r="B202" s="27" t="n"/>
      <c r="C202" s="28">
        <f>IF(A202="","",$B$2)</f>
        <v/>
      </c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  <c r="AA202" s="27" t="n"/>
      <c r="AB202" s="27" t="n"/>
      <c r="AC202" s="27" t="n"/>
      <c r="AD202" s="27" t="n"/>
      <c r="AE202" s="27" t="n"/>
      <c r="AF202" s="27" t="n"/>
      <c r="AG202" s="27" t="n"/>
      <c r="AH202" s="27" t="n"/>
      <c r="AI202" s="27" t="n"/>
      <c r="AJ202" s="27" t="n"/>
      <c r="AK202" s="27" t="n"/>
      <c r="AL202" s="27" t="n"/>
      <c r="AM202" s="27" t="n"/>
      <c r="AN202" s="27" t="n"/>
      <c r="AO202" s="27" t="n"/>
      <c r="AP202" s="27" t="n"/>
      <c r="AQ202" s="27" t="n"/>
      <c r="AR202" s="27" t="n"/>
      <c r="AS202" s="27" t="n"/>
      <c r="AT202" s="27" t="n"/>
      <c r="AU202" s="27" t="n"/>
      <c r="AV202" s="27" t="n"/>
      <c r="AW202" s="27" t="n"/>
      <c r="AX202" s="27" t="n"/>
      <c r="AY202" s="27" t="n"/>
      <c r="AZ202" s="27" t="n"/>
      <c r="BA202" s="27" t="n"/>
      <c r="BB202" s="27" t="n"/>
      <c r="BC202" s="27" t="n"/>
      <c r="BD202" s="27" t="n"/>
      <c r="BE202" s="27" t="n"/>
      <c r="BF202" s="27" t="n"/>
      <c r="BG202" s="27" t="n"/>
      <c r="BH202" s="27" t="n"/>
      <c r="BI202" s="29" t="n"/>
      <c r="BJ202" s="27" t="n"/>
      <c r="BK202" s="27" t="n"/>
      <c r="BL202" s="27" t="n"/>
      <c r="BM202" s="27" t="n"/>
    </row>
    <row r="203">
      <c r="A203" s="27" t="n"/>
      <c r="B203" s="27" t="n"/>
      <c r="C203" s="28">
        <f>IF(A203="","",$B$2)</f>
        <v/>
      </c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  <c r="AA203" s="27" t="n"/>
      <c r="AB203" s="27" t="n"/>
      <c r="AC203" s="27" t="n"/>
      <c r="AD203" s="27" t="n"/>
      <c r="AE203" s="27" t="n"/>
      <c r="AF203" s="27" t="n"/>
      <c r="AG203" s="27" t="n"/>
      <c r="AH203" s="27" t="n"/>
      <c r="AI203" s="27" t="n"/>
      <c r="AJ203" s="27" t="n"/>
      <c r="AK203" s="27" t="n"/>
      <c r="AL203" s="27" t="n"/>
      <c r="AM203" s="27" t="n"/>
      <c r="AN203" s="27" t="n"/>
      <c r="AO203" s="27" t="n"/>
      <c r="AP203" s="27" t="n"/>
      <c r="AQ203" s="27" t="n"/>
      <c r="AR203" s="27" t="n"/>
      <c r="AS203" s="27" t="n"/>
      <c r="AT203" s="27" t="n"/>
      <c r="AU203" s="27" t="n"/>
      <c r="AV203" s="27" t="n"/>
      <c r="AW203" s="27" t="n"/>
      <c r="AX203" s="27" t="n"/>
      <c r="AY203" s="27" t="n"/>
      <c r="AZ203" s="27" t="n"/>
      <c r="BA203" s="27" t="n"/>
      <c r="BB203" s="27" t="n"/>
      <c r="BC203" s="27" t="n"/>
      <c r="BD203" s="27" t="n"/>
      <c r="BE203" s="27" t="n"/>
      <c r="BF203" s="27" t="n"/>
      <c r="BG203" s="27" t="n"/>
      <c r="BH203" s="27" t="n"/>
      <c r="BI203" s="29" t="n"/>
      <c r="BJ203" s="27" t="n"/>
      <c r="BK203" s="27" t="n"/>
      <c r="BL203" s="27" t="n"/>
      <c r="BM203" s="27" t="n"/>
    </row>
    <row r="204">
      <c r="A204" s="27" t="n"/>
      <c r="B204" s="27" t="n"/>
      <c r="C204" s="28">
        <f>IF(A204="","",$B$2)</f>
        <v/>
      </c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  <c r="AA204" s="27" t="n"/>
      <c r="AB204" s="27" t="n"/>
      <c r="AC204" s="27" t="n"/>
      <c r="AD204" s="27" t="n"/>
      <c r="AE204" s="27" t="n"/>
      <c r="AF204" s="27" t="n"/>
      <c r="AG204" s="27" t="n"/>
      <c r="AH204" s="27" t="n"/>
      <c r="AI204" s="27" t="n"/>
      <c r="AJ204" s="27" t="n"/>
      <c r="AK204" s="27" t="n"/>
      <c r="AL204" s="27" t="n"/>
      <c r="AM204" s="27" t="n"/>
      <c r="AN204" s="27" t="n"/>
      <c r="AO204" s="27" t="n"/>
      <c r="AP204" s="27" t="n"/>
      <c r="AQ204" s="27" t="n"/>
      <c r="AR204" s="27" t="n"/>
      <c r="AS204" s="27" t="n"/>
      <c r="AT204" s="27" t="n"/>
      <c r="AU204" s="27" t="n"/>
      <c r="AV204" s="27" t="n"/>
      <c r="AW204" s="27" t="n"/>
      <c r="AX204" s="27" t="n"/>
      <c r="AY204" s="27" t="n"/>
      <c r="AZ204" s="27" t="n"/>
      <c r="BA204" s="27" t="n"/>
      <c r="BB204" s="27" t="n"/>
      <c r="BC204" s="27" t="n"/>
      <c r="BD204" s="27" t="n"/>
      <c r="BE204" s="27" t="n"/>
      <c r="BF204" s="27" t="n"/>
      <c r="BG204" s="27" t="n"/>
      <c r="BH204" s="27" t="n"/>
      <c r="BI204" s="29" t="n"/>
      <c r="BJ204" s="27" t="n"/>
      <c r="BK204" s="27" t="n"/>
      <c r="BL204" s="27" t="n"/>
      <c r="BM204" s="27" t="n"/>
    </row>
    <row r="205">
      <c r="A205" s="27" t="n"/>
      <c r="B205" s="27" t="n"/>
      <c r="C205" s="28">
        <f>IF(A205="","",$B$2)</f>
        <v/>
      </c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  <c r="AA205" s="27" t="n"/>
      <c r="AB205" s="27" t="n"/>
      <c r="AC205" s="27" t="n"/>
      <c r="AD205" s="27" t="n"/>
      <c r="AE205" s="27" t="n"/>
      <c r="AF205" s="27" t="n"/>
      <c r="AG205" s="27" t="n"/>
      <c r="AH205" s="27" t="n"/>
      <c r="AI205" s="27" t="n"/>
      <c r="AJ205" s="27" t="n"/>
      <c r="AK205" s="27" t="n"/>
      <c r="AL205" s="27" t="n"/>
      <c r="AM205" s="27" t="n"/>
      <c r="AN205" s="27" t="n"/>
      <c r="AO205" s="27" t="n"/>
      <c r="AP205" s="27" t="n"/>
      <c r="AQ205" s="27" t="n"/>
      <c r="AR205" s="27" t="n"/>
      <c r="AS205" s="27" t="n"/>
      <c r="AT205" s="27" t="n"/>
      <c r="AU205" s="27" t="n"/>
      <c r="AV205" s="27" t="n"/>
      <c r="AW205" s="27" t="n"/>
      <c r="AX205" s="27" t="n"/>
      <c r="AY205" s="27" t="n"/>
      <c r="AZ205" s="27" t="n"/>
      <c r="BA205" s="27" t="n"/>
      <c r="BB205" s="27" t="n"/>
      <c r="BC205" s="27" t="n"/>
      <c r="BD205" s="27" t="n"/>
      <c r="BE205" s="27" t="n"/>
      <c r="BF205" s="27" t="n"/>
      <c r="BG205" s="27" t="n"/>
      <c r="BH205" s="27" t="n"/>
      <c r="BI205" s="29" t="n"/>
      <c r="BJ205" s="27" t="n"/>
      <c r="BK205" s="27" t="n"/>
      <c r="BL205" s="27" t="n"/>
      <c r="BM205" s="27" t="n"/>
    </row>
  </sheetData>
  <autoFilter ref="A5:BM205"/>
  <mergeCells count="21">
    <mergeCell ref="BH4:BH5"/>
    <mergeCell ref="C4:C5"/>
    <mergeCell ref="E4:E5"/>
    <mergeCell ref="BE4:BE5"/>
    <mergeCell ref="BG4:BG5"/>
    <mergeCell ref="BK4:BK5"/>
    <mergeCell ref="A3:F3"/>
    <mergeCell ref="D4:D5"/>
    <mergeCell ref="BE3:BH3"/>
    <mergeCell ref="BF4:BF5"/>
    <mergeCell ref="BL4:BL5"/>
    <mergeCell ref="BI3:BM3"/>
    <mergeCell ref="A4:A5"/>
    <mergeCell ref="BO4:DN4"/>
    <mergeCell ref="BI4:BI5"/>
    <mergeCell ref="BM4:BM5"/>
    <mergeCell ref="G3:BD3"/>
    <mergeCell ref="B4:B5"/>
    <mergeCell ref="F4:F5"/>
    <mergeCell ref="BJ4:BJ5"/>
    <mergeCell ref="B2:D2"/>
  </mergeCells>
  <dataValidations count="56">
    <dataValidation sqref="G6:G205" showDropDown="0" showInputMessage="0" showErrorMessage="0" allowBlank="1" type="list">
      <formula1>'テストケース5'!$BO$6:$BO$15</formula1>
    </dataValidation>
    <dataValidation sqref="H6:H205" showDropDown="0" showInputMessage="0" showErrorMessage="0" allowBlank="1" type="list">
      <formula1>'テストケース5'!$BP$6:$BP$15</formula1>
    </dataValidation>
    <dataValidation sqref="I6:I205" showDropDown="0" showInputMessage="0" showErrorMessage="0" allowBlank="1" type="list">
      <formula1>'テストケース5'!$BQ$6:$BQ$15</formula1>
    </dataValidation>
    <dataValidation sqref="J6:J205" showDropDown="0" showInputMessage="0" showErrorMessage="0" allowBlank="1" type="list">
      <formula1>'テストケース5'!$BR$6:$BR$15</formula1>
    </dataValidation>
    <dataValidation sqref="K6:K205" showDropDown="0" showInputMessage="0" showErrorMessage="0" allowBlank="1" type="list">
      <formula1>'テストケース5'!$BS$6:$BS$15</formula1>
    </dataValidation>
    <dataValidation sqref="L6:L205" showDropDown="0" showInputMessage="0" showErrorMessage="0" allowBlank="1" type="list">
      <formula1>'テストケース5'!$BT$6:$BT$15</formula1>
    </dataValidation>
    <dataValidation sqref="M6:M205" showDropDown="0" showInputMessage="0" showErrorMessage="0" allowBlank="1" type="list">
      <formula1>'テストケース5'!$BU$6:$BU$15</formula1>
    </dataValidation>
    <dataValidation sqref="N6:N205" showDropDown="0" showInputMessage="0" showErrorMessage="0" allowBlank="1" type="list">
      <formula1>'テストケース5'!$BV$6:$BV$15</formula1>
    </dataValidation>
    <dataValidation sqref="O6:O205" showDropDown="0" showInputMessage="0" showErrorMessage="0" allowBlank="1" type="list">
      <formula1>'テストケース5'!$BW$6:$BW$15</formula1>
    </dataValidation>
    <dataValidation sqref="P6:P205" showDropDown="0" showInputMessage="0" showErrorMessage="0" allowBlank="1" type="list">
      <formula1>'テストケース5'!$BX$6:$BX$15</formula1>
    </dataValidation>
    <dataValidation sqref="Q6:Q205" showDropDown="0" showInputMessage="0" showErrorMessage="0" allowBlank="1" type="list">
      <formula1>'テストケース5'!$BY$6:$BY$15</formula1>
    </dataValidation>
    <dataValidation sqref="R6:R205" showDropDown="0" showInputMessage="0" showErrorMessage="0" allowBlank="1" type="list">
      <formula1>'テストケース5'!$BZ$6:$BZ$15</formula1>
    </dataValidation>
    <dataValidation sqref="S6:S205" showDropDown="0" showInputMessage="0" showErrorMessage="0" allowBlank="1" type="list">
      <formula1>'テストケース5'!$CA$6:$CA$15</formula1>
    </dataValidation>
    <dataValidation sqref="T6:T205" showDropDown="0" showInputMessage="0" showErrorMessage="0" allowBlank="1" type="list">
      <formula1>'テストケース5'!$CB$6:$CB$15</formula1>
    </dataValidation>
    <dataValidation sqref="U6:U205" showDropDown="0" showInputMessage="0" showErrorMessage="0" allowBlank="1" type="list">
      <formula1>'テストケース5'!$CC$6:$CC$15</formula1>
    </dataValidation>
    <dataValidation sqref="V6:V205" showDropDown="0" showInputMessage="0" showErrorMessage="0" allowBlank="1" type="list">
      <formula1>'テストケース5'!$CD$6:$CD$15</formula1>
    </dataValidation>
    <dataValidation sqref="W6:W205" showDropDown="0" showInputMessage="0" showErrorMessage="0" allowBlank="1" type="list">
      <formula1>'テストケース5'!$CE$6:$CE$15</formula1>
    </dataValidation>
    <dataValidation sqref="X6:X205" showDropDown="0" showInputMessage="0" showErrorMessage="0" allowBlank="1" type="list">
      <formula1>'テストケース5'!$CF$6:$CF$15</formula1>
    </dataValidation>
    <dataValidation sqref="Y6:Y205" showDropDown="0" showInputMessage="0" showErrorMessage="0" allowBlank="1" type="list">
      <formula1>'テストケース5'!$CG$6:$CG$15</formula1>
    </dataValidation>
    <dataValidation sqref="Z6:Z205" showDropDown="0" showInputMessage="0" showErrorMessage="0" allowBlank="1" type="list">
      <formula1>'テストケース5'!$CH$6:$CH$15</formula1>
    </dataValidation>
    <dataValidation sqref="AA6:AA205" showDropDown="0" showInputMessage="0" showErrorMessage="0" allowBlank="1" type="list">
      <formula1>'テストケース5'!$CI$6:$CI$15</formula1>
    </dataValidation>
    <dataValidation sqref="AB6:AB205" showDropDown="0" showInputMessage="0" showErrorMessage="0" allowBlank="1" type="list">
      <formula1>'テストケース5'!$CJ$6:$CJ$15</formula1>
    </dataValidation>
    <dataValidation sqref="AC6:AC205" showDropDown="0" showInputMessage="0" showErrorMessage="0" allowBlank="1" type="list">
      <formula1>'テストケース5'!$CK$6:$CK$15</formula1>
    </dataValidation>
    <dataValidation sqref="AD6:AD205" showDropDown="0" showInputMessage="0" showErrorMessage="0" allowBlank="1" type="list">
      <formula1>'テストケース5'!$CL$6:$CL$15</formula1>
    </dataValidation>
    <dataValidation sqref="AE6:AE205" showDropDown="0" showInputMessage="0" showErrorMessage="0" allowBlank="1" type="list">
      <formula1>'テストケース5'!$CM$6:$CM$15</formula1>
    </dataValidation>
    <dataValidation sqref="AF6:AF205" showDropDown="0" showInputMessage="0" showErrorMessage="0" allowBlank="1" type="list">
      <formula1>'テストケース5'!$CN$6:$CN$15</formula1>
    </dataValidation>
    <dataValidation sqref="AG6:AG205" showDropDown="0" showInputMessage="0" showErrorMessage="0" allowBlank="1" type="list">
      <formula1>'テストケース5'!$CO$6:$CO$15</formula1>
    </dataValidation>
    <dataValidation sqref="AH6:AH205" showDropDown="0" showInputMessage="0" showErrorMessage="0" allowBlank="1" type="list">
      <formula1>'テストケース5'!$CP$6:$CP$15</formula1>
    </dataValidation>
    <dataValidation sqref="AI6:AI205" showDropDown="0" showInputMessage="0" showErrorMessage="0" allowBlank="1" type="list">
      <formula1>'テストケース5'!$CQ$6:$CQ$15</formula1>
    </dataValidation>
    <dataValidation sqref="AJ6:AJ205" showDropDown="0" showInputMessage="0" showErrorMessage="0" allowBlank="1" type="list">
      <formula1>'テストケース5'!$CR$6:$CR$15</formula1>
    </dataValidation>
    <dataValidation sqref="AK6:AK205" showDropDown="0" showInputMessage="0" showErrorMessage="0" allowBlank="1" type="list">
      <formula1>'テストケース5'!$CS$6:$CS$15</formula1>
    </dataValidation>
    <dataValidation sqref="AL6:AL205" showDropDown="0" showInputMessage="0" showErrorMessage="0" allowBlank="1" type="list">
      <formula1>'テストケース5'!$CT$6:$CT$15</formula1>
    </dataValidation>
    <dataValidation sqref="AM6:AM205" showDropDown="0" showInputMessage="0" showErrorMessage="0" allowBlank="1" type="list">
      <formula1>'テストケース5'!$CU$6:$CU$15</formula1>
    </dataValidation>
    <dataValidation sqref="AN6:AN205" showDropDown="0" showInputMessage="0" showErrorMessage="0" allowBlank="1" type="list">
      <formula1>'テストケース5'!$CV$6:$CV$15</formula1>
    </dataValidation>
    <dataValidation sqref="AO6:AO205" showDropDown="0" showInputMessage="0" showErrorMessage="0" allowBlank="1" type="list">
      <formula1>'テストケース5'!$CW$6:$CW$15</formula1>
    </dataValidation>
    <dataValidation sqref="AP6:AP205" showDropDown="0" showInputMessage="0" showErrorMessage="0" allowBlank="1" type="list">
      <formula1>'テストケース5'!$CX$6:$CX$15</formula1>
    </dataValidation>
    <dataValidation sqref="AQ6:AQ205" showDropDown="0" showInputMessage="0" showErrorMessage="0" allowBlank="1" type="list">
      <formula1>'テストケース5'!$CY$6:$CY$15</formula1>
    </dataValidation>
    <dataValidation sqref="AR6:AR205" showDropDown="0" showInputMessage="0" showErrorMessage="0" allowBlank="1" type="list">
      <formula1>'テストケース5'!$CZ$6:$CZ$15</formula1>
    </dataValidation>
    <dataValidation sqref="AS6:AS205" showDropDown="0" showInputMessage="0" showErrorMessage="0" allowBlank="1" type="list">
      <formula1>'テストケース5'!$DA$6:$DA$15</formula1>
    </dataValidation>
    <dataValidation sqref="AT6:AT205" showDropDown="0" showInputMessage="0" showErrorMessage="0" allowBlank="1" type="list">
      <formula1>'テストケース5'!$DB$6:$DB$15</formula1>
    </dataValidation>
    <dataValidation sqref="AU6:AU205" showDropDown="0" showInputMessage="0" showErrorMessage="0" allowBlank="1" type="list">
      <formula1>'テストケース5'!$DC$6:$DC$15</formula1>
    </dataValidation>
    <dataValidation sqref="AV6:AV205" showDropDown="0" showInputMessage="0" showErrorMessage="0" allowBlank="1" type="list">
      <formula1>'テストケース5'!$DD$6:$DD$15</formula1>
    </dataValidation>
    <dataValidation sqref="AW6:AW205" showDropDown="0" showInputMessage="0" showErrorMessage="0" allowBlank="1" type="list">
      <formula1>'テストケース5'!$DE$6:$DE$15</formula1>
    </dataValidation>
    <dataValidation sqref="AX6:AX205" showDropDown="0" showInputMessage="0" showErrorMessage="0" allowBlank="1" type="list">
      <formula1>'テストケース5'!$DF$6:$DF$15</formula1>
    </dataValidation>
    <dataValidation sqref="AY6:AY205" showDropDown="0" showInputMessage="0" showErrorMessage="0" allowBlank="1" type="list">
      <formula1>'テストケース5'!$DG$6:$DG$15</formula1>
    </dataValidation>
    <dataValidation sqref="AZ6:AZ205" showDropDown="0" showInputMessage="0" showErrorMessage="0" allowBlank="1" type="list">
      <formula1>'テストケース5'!$DH$6:$DH$15</formula1>
    </dataValidation>
    <dataValidation sqref="BA6:BA205" showDropDown="0" showInputMessage="0" showErrorMessage="0" allowBlank="1" type="list">
      <formula1>'テストケース5'!$DI$6:$DI$15</formula1>
    </dataValidation>
    <dataValidation sqref="BB6:BB205" showDropDown="0" showInputMessage="0" showErrorMessage="0" allowBlank="1" type="list">
      <formula1>'テストケース5'!$DJ$6:$DJ$15</formula1>
    </dataValidation>
    <dataValidation sqref="BC6:BC205" showDropDown="0" showInputMessage="0" showErrorMessage="0" allowBlank="1" type="list">
      <formula1>'テストケース5'!$DK$6:$DK$15</formula1>
    </dataValidation>
    <dataValidation sqref="BD6:BD205" showDropDown="0" showInputMessage="0" showErrorMessage="0" allowBlank="1" type="list">
      <formula1>'テストケース5'!$DL$6:$DL$15</formula1>
    </dataValidation>
    <dataValidation sqref="C6:C205" showDropDown="0" showInputMessage="0" showErrorMessage="0" allowBlank="1" type="list">
      <formula1>'テストケース5'!$DM$6:$DM$35</formula1>
    </dataValidation>
    <dataValidation sqref="B2" showDropDown="0" showInputMessage="0" showErrorMessage="0" allowBlank="1" type="list">
      <formula1>'テストケース5'!$DM$6:$DM$35</formula1>
    </dataValidation>
    <dataValidation sqref="B6:B205" showDropDown="0" showInputMessage="0" showErrorMessage="0" allowBlank="1" type="list">
      <formula1>'テストケース5'!$DN$6:$DN$105</formula1>
    </dataValidation>
    <dataValidation sqref="E6:E205" showDropDown="0" showInputMessage="0" showErrorMessage="0" allowBlank="1" type="list">
      <formula1>"高,中,低"</formula1>
    </dataValidation>
    <dataValidation sqref="BH6:BH205" showDropDown="0" showInputMessage="0" showErrorMessage="0" allowBlank="1" type="list">
      <formula1>"要,否,済"</formula1>
    </dataValidation>
    <dataValidation sqref="BK6:BK205" showDropDown="0" showInputMessage="0" showErrorMessage="0" allowBlank="1" type="list">
      <formula1>"OK,NG,保留,対象外"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N20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8" customWidth="1" min="4" max="4"/>
    <col width="7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30" customWidth="1" min="57" max="57"/>
    <col width="34" customWidth="1" min="58" max="58"/>
    <col width="14" customWidth="1" min="59" max="59"/>
    <col width="9" customWidth="1" min="60" max="60"/>
    <col width="11" customWidth="1" min="61" max="61"/>
    <col width="10" customWidth="1" min="62" max="62"/>
    <col width="9" customWidth="1" min="63" max="63"/>
    <col width="10" customWidth="1" min="64" max="64"/>
    <col width="24" customWidth="1" min="65" max="65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</cols>
  <sheetData>
    <row r="1">
      <c r="A1" s="1" t="inlineStr">
        <is>
          <t>テストケース</t>
        </is>
      </c>
      <c r="E1" s="2" t="inlineStr">
        <is>
          <t>2 行目でカテゴリを選ぶと、そのカテゴリの因子が左から自動で入ります。セルは水準のプルダウンから選べます。</t>
        </is>
      </c>
    </row>
    <row r="2">
      <c r="A2" s="11" t="inlineStr">
        <is>
          <t>カテゴリ</t>
        </is>
      </c>
      <c r="B2" s="8" t="n"/>
      <c r="C2" s="9" t="n"/>
      <c r="D2" s="10" t="n"/>
      <c r="E2" s="18">
        <f>IF($B$2="","",COUNTIF('因子水準表'!$B$5:$KO$5,$B$2)&amp;" 因子")</f>
        <v/>
      </c>
    </row>
    <row r="3">
      <c r="A3" s="21" t="inlineStr">
        <is>
          <t>テストケース</t>
        </is>
      </c>
      <c r="B3" s="9" t="n"/>
      <c r="C3" s="9" t="n"/>
      <c r="D3" s="9" t="n"/>
      <c r="E3" s="9" t="n"/>
      <c r="F3" s="10" t="n"/>
      <c r="G3" s="21" t="inlineStr">
        <is>
          <t>因子の水準（シートのカテゴリの因子が自動で入る）</t>
        </is>
      </c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  <c r="AQ3" s="9" t="n"/>
      <c r="AR3" s="9" t="n"/>
      <c r="AS3" s="9" t="n"/>
      <c r="AT3" s="9" t="n"/>
      <c r="AU3" s="9" t="n"/>
      <c r="AV3" s="9" t="n"/>
      <c r="AW3" s="9" t="n"/>
      <c r="AX3" s="9" t="n"/>
      <c r="AY3" s="9" t="n"/>
      <c r="AZ3" s="9" t="n"/>
      <c r="BA3" s="9" t="n"/>
      <c r="BB3" s="9" t="n"/>
      <c r="BC3" s="9" t="n"/>
      <c r="BD3" s="10" t="n"/>
      <c r="BE3" s="21" t="inlineStr">
        <is>
          <t>内容</t>
        </is>
      </c>
      <c r="BF3" s="9" t="n"/>
      <c r="BG3" s="9" t="n"/>
      <c r="BH3" s="10" t="n"/>
      <c r="BI3" s="21" t="inlineStr">
        <is>
          <t>実行結果</t>
        </is>
      </c>
      <c r="BJ3" s="9" t="n"/>
      <c r="BK3" s="9" t="n"/>
      <c r="BL3" s="9" t="n"/>
      <c r="BM3" s="10" t="n"/>
    </row>
    <row r="4">
      <c r="A4" s="12" t="inlineStr">
        <is>
          <t>ID</t>
        </is>
      </c>
      <c r="B4" s="12" t="inlineStr">
        <is>
          <t>条件ID</t>
        </is>
      </c>
      <c r="C4" s="12" t="inlineStr">
        <is>
          <t>カテゴリ</t>
        </is>
      </c>
      <c r="D4" s="12" t="inlineStr">
        <is>
          <t>テスト観点（目的）</t>
        </is>
      </c>
      <c r="E4" s="12" t="inlineStr">
        <is>
          <t>優先度</t>
        </is>
      </c>
      <c r="F4" s="12" t="inlineStr">
        <is>
          <t>事前条件</t>
        </is>
      </c>
      <c r="G4" s="22">
        <f>IF($B$2="","",IFERROR(INDEX('因子水準表'!$B$4:$KO$4,MATCH($B$2&amp;"|1",'因子水準表'!$B$20:$KO$20,0)),""))</f>
        <v/>
      </c>
      <c r="H4" s="22">
        <f>IF($B$2="","",IFERROR(INDEX('因子水準表'!$B$4:$KO$4,MATCH($B$2&amp;"|2",'因子水準表'!$B$20:$KO$20,0)),""))</f>
        <v/>
      </c>
      <c r="I4" s="22">
        <f>IF($B$2="","",IFERROR(INDEX('因子水準表'!$B$4:$KO$4,MATCH($B$2&amp;"|3",'因子水準表'!$B$20:$KO$20,0)),""))</f>
        <v/>
      </c>
      <c r="J4" s="22">
        <f>IF($B$2="","",IFERROR(INDEX('因子水準表'!$B$4:$KO$4,MATCH($B$2&amp;"|4",'因子水準表'!$B$20:$KO$20,0)),""))</f>
        <v/>
      </c>
      <c r="K4" s="22">
        <f>IF($B$2="","",IFERROR(INDEX('因子水準表'!$B$4:$KO$4,MATCH($B$2&amp;"|5",'因子水準表'!$B$20:$KO$20,0)),""))</f>
        <v/>
      </c>
      <c r="L4" s="22">
        <f>IF($B$2="","",IFERROR(INDEX('因子水準表'!$B$4:$KO$4,MATCH($B$2&amp;"|6",'因子水準表'!$B$20:$KO$20,0)),""))</f>
        <v/>
      </c>
      <c r="M4" s="22">
        <f>IF($B$2="","",IFERROR(INDEX('因子水準表'!$B$4:$KO$4,MATCH($B$2&amp;"|7",'因子水準表'!$B$20:$KO$20,0)),""))</f>
        <v/>
      </c>
      <c r="N4" s="22">
        <f>IF($B$2="","",IFERROR(INDEX('因子水準表'!$B$4:$KO$4,MATCH($B$2&amp;"|8",'因子水準表'!$B$20:$KO$20,0)),""))</f>
        <v/>
      </c>
      <c r="O4" s="22">
        <f>IF($B$2="","",IFERROR(INDEX('因子水準表'!$B$4:$KO$4,MATCH($B$2&amp;"|9",'因子水準表'!$B$20:$KO$20,0)),""))</f>
        <v/>
      </c>
      <c r="P4" s="22">
        <f>IF($B$2="","",IFERROR(INDEX('因子水準表'!$B$4:$KO$4,MATCH($B$2&amp;"|10",'因子水準表'!$B$20:$KO$20,0)),""))</f>
        <v/>
      </c>
      <c r="Q4" s="22">
        <f>IF($B$2="","",IFERROR(INDEX('因子水準表'!$B$4:$KO$4,MATCH($B$2&amp;"|11",'因子水準表'!$B$20:$KO$20,0)),""))</f>
        <v/>
      </c>
      <c r="R4" s="22">
        <f>IF($B$2="","",IFERROR(INDEX('因子水準表'!$B$4:$KO$4,MATCH($B$2&amp;"|12",'因子水準表'!$B$20:$KO$20,0)),""))</f>
        <v/>
      </c>
      <c r="S4" s="22">
        <f>IF($B$2="","",IFERROR(INDEX('因子水準表'!$B$4:$KO$4,MATCH($B$2&amp;"|13",'因子水準表'!$B$20:$KO$20,0)),""))</f>
        <v/>
      </c>
      <c r="T4" s="22">
        <f>IF($B$2="","",IFERROR(INDEX('因子水準表'!$B$4:$KO$4,MATCH($B$2&amp;"|14",'因子水準表'!$B$20:$KO$20,0)),""))</f>
        <v/>
      </c>
      <c r="U4" s="22">
        <f>IF($B$2="","",IFERROR(INDEX('因子水準表'!$B$4:$KO$4,MATCH($B$2&amp;"|15",'因子水準表'!$B$20:$KO$20,0)),""))</f>
        <v/>
      </c>
      <c r="V4" s="22">
        <f>IF($B$2="","",IFERROR(INDEX('因子水準表'!$B$4:$KO$4,MATCH($B$2&amp;"|16",'因子水準表'!$B$20:$KO$20,0)),""))</f>
        <v/>
      </c>
      <c r="W4" s="22">
        <f>IF($B$2="","",IFERROR(INDEX('因子水準表'!$B$4:$KO$4,MATCH($B$2&amp;"|17",'因子水準表'!$B$20:$KO$20,0)),""))</f>
        <v/>
      </c>
      <c r="X4" s="22">
        <f>IF($B$2="","",IFERROR(INDEX('因子水準表'!$B$4:$KO$4,MATCH($B$2&amp;"|18",'因子水準表'!$B$20:$KO$20,0)),""))</f>
        <v/>
      </c>
      <c r="Y4" s="22">
        <f>IF($B$2="","",IFERROR(INDEX('因子水準表'!$B$4:$KO$4,MATCH($B$2&amp;"|19",'因子水準表'!$B$20:$KO$20,0)),""))</f>
        <v/>
      </c>
      <c r="Z4" s="22">
        <f>IF($B$2="","",IFERROR(INDEX('因子水準表'!$B$4:$KO$4,MATCH($B$2&amp;"|20",'因子水準表'!$B$20:$KO$20,0)),""))</f>
        <v/>
      </c>
      <c r="AA4" s="22">
        <f>IF($B$2="","",IFERROR(INDEX('因子水準表'!$B$4:$KO$4,MATCH($B$2&amp;"|21",'因子水準表'!$B$20:$KO$20,0)),""))</f>
        <v/>
      </c>
      <c r="AB4" s="22">
        <f>IF($B$2="","",IFERROR(INDEX('因子水準表'!$B$4:$KO$4,MATCH($B$2&amp;"|22",'因子水準表'!$B$20:$KO$20,0)),""))</f>
        <v/>
      </c>
      <c r="AC4" s="22">
        <f>IF($B$2="","",IFERROR(INDEX('因子水準表'!$B$4:$KO$4,MATCH($B$2&amp;"|23",'因子水準表'!$B$20:$KO$20,0)),""))</f>
        <v/>
      </c>
      <c r="AD4" s="22">
        <f>IF($B$2="","",IFERROR(INDEX('因子水準表'!$B$4:$KO$4,MATCH($B$2&amp;"|24",'因子水準表'!$B$20:$KO$20,0)),""))</f>
        <v/>
      </c>
      <c r="AE4" s="22">
        <f>IF($B$2="","",IFERROR(INDEX('因子水準表'!$B$4:$KO$4,MATCH($B$2&amp;"|25",'因子水準表'!$B$20:$KO$20,0)),""))</f>
        <v/>
      </c>
      <c r="AF4" s="22">
        <f>IF($B$2="","",IFERROR(INDEX('因子水準表'!$B$4:$KO$4,MATCH($B$2&amp;"|26",'因子水準表'!$B$20:$KO$20,0)),""))</f>
        <v/>
      </c>
      <c r="AG4" s="22">
        <f>IF($B$2="","",IFERROR(INDEX('因子水準表'!$B$4:$KO$4,MATCH($B$2&amp;"|27",'因子水準表'!$B$20:$KO$20,0)),""))</f>
        <v/>
      </c>
      <c r="AH4" s="22">
        <f>IF($B$2="","",IFERROR(INDEX('因子水準表'!$B$4:$KO$4,MATCH($B$2&amp;"|28",'因子水準表'!$B$20:$KO$20,0)),""))</f>
        <v/>
      </c>
      <c r="AI4" s="22">
        <f>IF($B$2="","",IFERROR(INDEX('因子水準表'!$B$4:$KO$4,MATCH($B$2&amp;"|29",'因子水準表'!$B$20:$KO$20,0)),""))</f>
        <v/>
      </c>
      <c r="AJ4" s="22">
        <f>IF($B$2="","",IFERROR(INDEX('因子水準表'!$B$4:$KO$4,MATCH($B$2&amp;"|30",'因子水準表'!$B$20:$KO$20,0)),""))</f>
        <v/>
      </c>
      <c r="AK4" s="22">
        <f>IF($B$2="","",IFERROR(INDEX('因子水準表'!$B$4:$KO$4,MATCH($B$2&amp;"|31",'因子水準表'!$B$20:$KO$20,0)),""))</f>
        <v/>
      </c>
      <c r="AL4" s="22">
        <f>IF($B$2="","",IFERROR(INDEX('因子水準表'!$B$4:$KO$4,MATCH($B$2&amp;"|32",'因子水準表'!$B$20:$KO$20,0)),""))</f>
        <v/>
      </c>
      <c r="AM4" s="22">
        <f>IF($B$2="","",IFERROR(INDEX('因子水準表'!$B$4:$KO$4,MATCH($B$2&amp;"|33",'因子水準表'!$B$20:$KO$20,0)),""))</f>
        <v/>
      </c>
      <c r="AN4" s="22">
        <f>IF($B$2="","",IFERROR(INDEX('因子水準表'!$B$4:$KO$4,MATCH($B$2&amp;"|34",'因子水準表'!$B$20:$KO$20,0)),""))</f>
        <v/>
      </c>
      <c r="AO4" s="22">
        <f>IF($B$2="","",IFERROR(INDEX('因子水準表'!$B$4:$KO$4,MATCH($B$2&amp;"|35",'因子水準表'!$B$20:$KO$20,0)),""))</f>
        <v/>
      </c>
      <c r="AP4" s="22">
        <f>IF($B$2="","",IFERROR(INDEX('因子水準表'!$B$4:$KO$4,MATCH($B$2&amp;"|36",'因子水準表'!$B$20:$KO$20,0)),""))</f>
        <v/>
      </c>
      <c r="AQ4" s="22">
        <f>IF($B$2="","",IFERROR(INDEX('因子水準表'!$B$4:$KO$4,MATCH($B$2&amp;"|37",'因子水準表'!$B$20:$KO$20,0)),""))</f>
        <v/>
      </c>
      <c r="AR4" s="22">
        <f>IF($B$2="","",IFERROR(INDEX('因子水準表'!$B$4:$KO$4,MATCH($B$2&amp;"|38",'因子水準表'!$B$20:$KO$20,0)),""))</f>
        <v/>
      </c>
      <c r="AS4" s="22">
        <f>IF($B$2="","",IFERROR(INDEX('因子水準表'!$B$4:$KO$4,MATCH($B$2&amp;"|39",'因子水準表'!$B$20:$KO$20,0)),""))</f>
        <v/>
      </c>
      <c r="AT4" s="22">
        <f>IF($B$2="","",IFERROR(INDEX('因子水準表'!$B$4:$KO$4,MATCH($B$2&amp;"|40",'因子水準表'!$B$20:$KO$20,0)),""))</f>
        <v/>
      </c>
      <c r="AU4" s="22">
        <f>IF($B$2="","",IFERROR(INDEX('因子水準表'!$B$4:$KO$4,MATCH($B$2&amp;"|41",'因子水準表'!$B$20:$KO$20,0)),""))</f>
        <v/>
      </c>
      <c r="AV4" s="22">
        <f>IF($B$2="","",IFERROR(INDEX('因子水準表'!$B$4:$KO$4,MATCH($B$2&amp;"|42",'因子水準表'!$B$20:$KO$20,0)),""))</f>
        <v/>
      </c>
      <c r="AW4" s="22">
        <f>IF($B$2="","",IFERROR(INDEX('因子水準表'!$B$4:$KO$4,MATCH($B$2&amp;"|43",'因子水準表'!$B$20:$KO$20,0)),""))</f>
        <v/>
      </c>
      <c r="AX4" s="22">
        <f>IF($B$2="","",IFERROR(INDEX('因子水準表'!$B$4:$KO$4,MATCH($B$2&amp;"|44",'因子水準表'!$B$20:$KO$20,0)),""))</f>
        <v/>
      </c>
      <c r="AY4" s="22">
        <f>IF($B$2="","",IFERROR(INDEX('因子水準表'!$B$4:$KO$4,MATCH($B$2&amp;"|45",'因子水準表'!$B$20:$KO$20,0)),""))</f>
        <v/>
      </c>
      <c r="AZ4" s="22">
        <f>IF($B$2="","",IFERROR(INDEX('因子水準表'!$B$4:$KO$4,MATCH($B$2&amp;"|46",'因子水準表'!$B$20:$KO$20,0)),""))</f>
        <v/>
      </c>
      <c r="BA4" s="22">
        <f>IF($B$2="","",IFERROR(INDEX('因子水準表'!$B$4:$KO$4,MATCH($B$2&amp;"|47",'因子水準表'!$B$20:$KO$20,0)),""))</f>
        <v/>
      </c>
      <c r="BB4" s="22">
        <f>IF($B$2="","",IFERROR(INDEX('因子水準表'!$B$4:$KO$4,MATCH($B$2&amp;"|48",'因子水準表'!$B$20:$KO$20,0)),""))</f>
        <v/>
      </c>
      <c r="BC4" s="22">
        <f>IF($B$2="","",IFERROR(INDEX('因子水準表'!$B$4:$KO$4,MATCH($B$2&amp;"|49",'因子水準表'!$B$20:$KO$20,0)),""))</f>
        <v/>
      </c>
      <c r="BD4" s="22">
        <f>IF($B$2="","",IFERROR(INDEX('因子水準表'!$B$4:$KO$4,MATCH($B$2&amp;"|50",'因子水準表'!$B$20:$KO$20,0)),""))</f>
        <v/>
      </c>
      <c r="BE4" s="12" t="inlineStr">
        <is>
          <t>手順</t>
        </is>
      </c>
      <c r="BF4" s="12" t="inlineStr">
        <is>
          <t>期待結果</t>
        </is>
      </c>
      <c r="BG4" s="12" t="inlineStr">
        <is>
          <t>技法</t>
        </is>
      </c>
      <c r="BH4" s="12" t="inlineStr">
        <is>
          <t>自動化</t>
        </is>
      </c>
      <c r="BI4" s="12" t="inlineStr">
        <is>
          <t>実行日</t>
        </is>
      </c>
      <c r="BJ4" s="12" t="inlineStr">
        <is>
          <t>実行者</t>
        </is>
      </c>
      <c r="BK4" s="12" t="inlineStr">
        <is>
          <t>結果</t>
        </is>
      </c>
      <c r="BL4" s="12" t="inlineStr">
        <is>
          <t>欠陥ID</t>
        </is>
      </c>
      <c r="BM4" s="12" t="inlineStr">
        <is>
          <t>備考</t>
        </is>
      </c>
      <c r="BO4" s="21" t="inlineStr">
        <is>
          <t>プルダウン用（非表示・編集しない）</t>
        </is>
      </c>
      <c r="BP4" s="9" t="n"/>
      <c r="BQ4" s="9" t="n"/>
      <c r="BR4" s="9" t="n"/>
      <c r="BS4" s="9" t="n"/>
      <c r="BT4" s="9" t="n"/>
      <c r="BU4" s="9" t="n"/>
      <c r="BV4" s="9" t="n"/>
      <c r="BW4" s="9" t="n"/>
      <c r="BX4" s="9" t="n"/>
      <c r="BY4" s="9" t="n"/>
      <c r="BZ4" s="9" t="n"/>
      <c r="CA4" s="9" t="n"/>
      <c r="CB4" s="9" t="n"/>
      <c r="CC4" s="9" t="n"/>
      <c r="CD4" s="9" t="n"/>
      <c r="CE4" s="9" t="n"/>
      <c r="CF4" s="9" t="n"/>
      <c r="CG4" s="9" t="n"/>
      <c r="CH4" s="9" t="n"/>
      <c r="CI4" s="9" t="n"/>
      <c r="CJ4" s="9" t="n"/>
      <c r="CK4" s="9" t="n"/>
      <c r="CL4" s="9" t="n"/>
      <c r="CM4" s="9" t="n"/>
      <c r="CN4" s="9" t="n"/>
      <c r="CO4" s="9" t="n"/>
      <c r="CP4" s="9" t="n"/>
      <c r="CQ4" s="9" t="n"/>
      <c r="CR4" s="9" t="n"/>
      <c r="CS4" s="9" t="n"/>
      <c r="CT4" s="9" t="n"/>
      <c r="CU4" s="9" t="n"/>
      <c r="CV4" s="9" t="n"/>
      <c r="CW4" s="9" t="n"/>
      <c r="CX4" s="9" t="n"/>
      <c r="CY4" s="9" t="n"/>
      <c r="CZ4" s="9" t="n"/>
      <c r="DA4" s="9" t="n"/>
      <c r="DB4" s="9" t="n"/>
      <c r="DC4" s="9" t="n"/>
      <c r="DD4" s="9" t="n"/>
      <c r="DE4" s="9" t="n"/>
      <c r="DF4" s="9" t="n"/>
      <c r="DG4" s="9" t="n"/>
      <c r="DH4" s="9" t="n"/>
      <c r="DI4" s="9" t="n"/>
      <c r="DJ4" s="9" t="n"/>
      <c r="DK4" s="9" t="n"/>
      <c r="DL4" s="9" t="n"/>
      <c r="DM4" s="9" t="n"/>
      <c r="DN4" s="10" t="n"/>
    </row>
    <row r="5">
      <c r="A5" s="23" t="n"/>
      <c r="B5" s="23" t="n"/>
      <c r="C5" s="23" t="n"/>
      <c r="D5" s="23" t="n"/>
      <c r="E5" s="23" t="n"/>
      <c r="F5" s="23" t="n"/>
      <c r="G5" s="12">
        <f>IF(G4="","（未使用）",IFERROR(INDEX('因子水準表'!$B$6:$KO$6,MATCH(G4,'因子水準表'!$B$4:$KO$4,0)),"（ID不明）"))</f>
        <v/>
      </c>
      <c r="H5" s="12">
        <f>IF(H4="","（未使用）",IFERROR(INDEX('因子水準表'!$B$6:$KO$6,MATCH(H4,'因子水準表'!$B$4:$KO$4,0)),"（ID不明）"))</f>
        <v/>
      </c>
      <c r="I5" s="12">
        <f>IF(I4="","（未使用）",IFERROR(INDEX('因子水準表'!$B$6:$KO$6,MATCH(I4,'因子水準表'!$B$4:$KO$4,0)),"（ID不明）"))</f>
        <v/>
      </c>
      <c r="J5" s="12">
        <f>IF(J4="","（未使用）",IFERROR(INDEX('因子水準表'!$B$6:$KO$6,MATCH(J4,'因子水準表'!$B$4:$KO$4,0)),"（ID不明）"))</f>
        <v/>
      </c>
      <c r="K5" s="12">
        <f>IF(K4="","（未使用）",IFERROR(INDEX('因子水準表'!$B$6:$KO$6,MATCH(K4,'因子水準表'!$B$4:$KO$4,0)),"（ID不明）"))</f>
        <v/>
      </c>
      <c r="L5" s="12">
        <f>IF(L4="","（未使用）",IFERROR(INDEX('因子水準表'!$B$6:$KO$6,MATCH(L4,'因子水準表'!$B$4:$KO$4,0)),"（ID不明）"))</f>
        <v/>
      </c>
      <c r="M5" s="12">
        <f>IF(M4="","（未使用）",IFERROR(INDEX('因子水準表'!$B$6:$KO$6,MATCH(M4,'因子水準表'!$B$4:$KO$4,0)),"（ID不明）"))</f>
        <v/>
      </c>
      <c r="N5" s="12">
        <f>IF(N4="","（未使用）",IFERROR(INDEX('因子水準表'!$B$6:$KO$6,MATCH(N4,'因子水準表'!$B$4:$KO$4,0)),"（ID不明）"))</f>
        <v/>
      </c>
      <c r="O5" s="12">
        <f>IF(O4="","（未使用）",IFERROR(INDEX('因子水準表'!$B$6:$KO$6,MATCH(O4,'因子水準表'!$B$4:$KO$4,0)),"（ID不明）"))</f>
        <v/>
      </c>
      <c r="P5" s="12">
        <f>IF(P4="","（未使用）",IFERROR(INDEX('因子水準表'!$B$6:$KO$6,MATCH(P4,'因子水準表'!$B$4:$KO$4,0)),"（ID不明）"))</f>
        <v/>
      </c>
      <c r="Q5" s="12">
        <f>IF(Q4="","（未使用）",IFERROR(INDEX('因子水準表'!$B$6:$KO$6,MATCH(Q4,'因子水準表'!$B$4:$KO$4,0)),"（ID不明）"))</f>
        <v/>
      </c>
      <c r="R5" s="12">
        <f>IF(R4="","（未使用）",IFERROR(INDEX('因子水準表'!$B$6:$KO$6,MATCH(R4,'因子水準表'!$B$4:$KO$4,0)),"（ID不明）"))</f>
        <v/>
      </c>
      <c r="S5" s="12">
        <f>IF(S4="","（未使用）",IFERROR(INDEX('因子水準表'!$B$6:$KO$6,MATCH(S4,'因子水準表'!$B$4:$KO$4,0)),"（ID不明）"))</f>
        <v/>
      </c>
      <c r="T5" s="12">
        <f>IF(T4="","（未使用）",IFERROR(INDEX('因子水準表'!$B$6:$KO$6,MATCH(T4,'因子水準表'!$B$4:$KO$4,0)),"（ID不明）"))</f>
        <v/>
      </c>
      <c r="U5" s="12">
        <f>IF(U4="","（未使用）",IFERROR(INDEX('因子水準表'!$B$6:$KO$6,MATCH(U4,'因子水準表'!$B$4:$KO$4,0)),"（ID不明）"))</f>
        <v/>
      </c>
      <c r="V5" s="12">
        <f>IF(V4="","（未使用）",IFERROR(INDEX('因子水準表'!$B$6:$KO$6,MATCH(V4,'因子水準表'!$B$4:$KO$4,0)),"（ID不明）"))</f>
        <v/>
      </c>
      <c r="W5" s="12">
        <f>IF(W4="","（未使用）",IFERROR(INDEX('因子水準表'!$B$6:$KO$6,MATCH(W4,'因子水準表'!$B$4:$KO$4,0)),"（ID不明）"))</f>
        <v/>
      </c>
      <c r="X5" s="12">
        <f>IF(X4="","（未使用）",IFERROR(INDEX('因子水準表'!$B$6:$KO$6,MATCH(X4,'因子水準表'!$B$4:$KO$4,0)),"（ID不明）"))</f>
        <v/>
      </c>
      <c r="Y5" s="12">
        <f>IF(Y4="","（未使用）",IFERROR(INDEX('因子水準表'!$B$6:$KO$6,MATCH(Y4,'因子水準表'!$B$4:$KO$4,0)),"（ID不明）"))</f>
        <v/>
      </c>
      <c r="Z5" s="12">
        <f>IF(Z4="","（未使用）",IFERROR(INDEX('因子水準表'!$B$6:$KO$6,MATCH(Z4,'因子水準表'!$B$4:$KO$4,0)),"（ID不明）"))</f>
        <v/>
      </c>
      <c r="AA5" s="12">
        <f>IF(AA4="","（未使用）",IFERROR(INDEX('因子水準表'!$B$6:$KO$6,MATCH(AA4,'因子水準表'!$B$4:$KO$4,0)),"（ID不明）"))</f>
        <v/>
      </c>
      <c r="AB5" s="12">
        <f>IF(AB4="","（未使用）",IFERROR(INDEX('因子水準表'!$B$6:$KO$6,MATCH(AB4,'因子水準表'!$B$4:$KO$4,0)),"（ID不明）"))</f>
        <v/>
      </c>
      <c r="AC5" s="12">
        <f>IF(AC4="","（未使用）",IFERROR(INDEX('因子水準表'!$B$6:$KO$6,MATCH(AC4,'因子水準表'!$B$4:$KO$4,0)),"（ID不明）"))</f>
        <v/>
      </c>
      <c r="AD5" s="12">
        <f>IF(AD4="","（未使用）",IFERROR(INDEX('因子水準表'!$B$6:$KO$6,MATCH(AD4,'因子水準表'!$B$4:$KO$4,0)),"（ID不明）"))</f>
        <v/>
      </c>
      <c r="AE5" s="12">
        <f>IF(AE4="","（未使用）",IFERROR(INDEX('因子水準表'!$B$6:$KO$6,MATCH(AE4,'因子水準表'!$B$4:$KO$4,0)),"（ID不明）"))</f>
        <v/>
      </c>
      <c r="AF5" s="12">
        <f>IF(AF4="","（未使用）",IFERROR(INDEX('因子水準表'!$B$6:$KO$6,MATCH(AF4,'因子水準表'!$B$4:$KO$4,0)),"（ID不明）"))</f>
        <v/>
      </c>
      <c r="AG5" s="12">
        <f>IF(AG4="","（未使用）",IFERROR(INDEX('因子水準表'!$B$6:$KO$6,MATCH(AG4,'因子水準表'!$B$4:$KO$4,0)),"（ID不明）"))</f>
        <v/>
      </c>
      <c r="AH5" s="12">
        <f>IF(AH4="","（未使用）",IFERROR(INDEX('因子水準表'!$B$6:$KO$6,MATCH(AH4,'因子水準表'!$B$4:$KO$4,0)),"（ID不明）"))</f>
        <v/>
      </c>
      <c r="AI5" s="12">
        <f>IF(AI4="","（未使用）",IFERROR(INDEX('因子水準表'!$B$6:$KO$6,MATCH(AI4,'因子水準表'!$B$4:$KO$4,0)),"（ID不明）"))</f>
        <v/>
      </c>
      <c r="AJ5" s="12">
        <f>IF(AJ4="","（未使用）",IFERROR(INDEX('因子水準表'!$B$6:$KO$6,MATCH(AJ4,'因子水準表'!$B$4:$KO$4,0)),"（ID不明）"))</f>
        <v/>
      </c>
      <c r="AK5" s="12">
        <f>IF(AK4="","（未使用）",IFERROR(INDEX('因子水準表'!$B$6:$KO$6,MATCH(AK4,'因子水準表'!$B$4:$KO$4,0)),"（ID不明）"))</f>
        <v/>
      </c>
      <c r="AL5" s="12">
        <f>IF(AL4="","（未使用）",IFERROR(INDEX('因子水準表'!$B$6:$KO$6,MATCH(AL4,'因子水準表'!$B$4:$KO$4,0)),"（ID不明）"))</f>
        <v/>
      </c>
      <c r="AM5" s="12">
        <f>IF(AM4="","（未使用）",IFERROR(INDEX('因子水準表'!$B$6:$KO$6,MATCH(AM4,'因子水準表'!$B$4:$KO$4,0)),"（ID不明）"))</f>
        <v/>
      </c>
      <c r="AN5" s="12">
        <f>IF(AN4="","（未使用）",IFERROR(INDEX('因子水準表'!$B$6:$KO$6,MATCH(AN4,'因子水準表'!$B$4:$KO$4,0)),"（ID不明）"))</f>
        <v/>
      </c>
      <c r="AO5" s="12">
        <f>IF(AO4="","（未使用）",IFERROR(INDEX('因子水準表'!$B$6:$KO$6,MATCH(AO4,'因子水準表'!$B$4:$KO$4,0)),"（ID不明）"))</f>
        <v/>
      </c>
      <c r="AP5" s="12">
        <f>IF(AP4="","（未使用）",IFERROR(INDEX('因子水準表'!$B$6:$KO$6,MATCH(AP4,'因子水準表'!$B$4:$KO$4,0)),"（ID不明）"))</f>
        <v/>
      </c>
      <c r="AQ5" s="12">
        <f>IF(AQ4="","（未使用）",IFERROR(INDEX('因子水準表'!$B$6:$KO$6,MATCH(AQ4,'因子水準表'!$B$4:$KO$4,0)),"（ID不明）"))</f>
        <v/>
      </c>
      <c r="AR5" s="12">
        <f>IF(AR4="","（未使用）",IFERROR(INDEX('因子水準表'!$B$6:$KO$6,MATCH(AR4,'因子水準表'!$B$4:$KO$4,0)),"（ID不明）"))</f>
        <v/>
      </c>
      <c r="AS5" s="12">
        <f>IF(AS4="","（未使用）",IFERROR(INDEX('因子水準表'!$B$6:$KO$6,MATCH(AS4,'因子水準表'!$B$4:$KO$4,0)),"（ID不明）"))</f>
        <v/>
      </c>
      <c r="AT5" s="12">
        <f>IF(AT4="","（未使用）",IFERROR(INDEX('因子水準表'!$B$6:$KO$6,MATCH(AT4,'因子水準表'!$B$4:$KO$4,0)),"（ID不明）"))</f>
        <v/>
      </c>
      <c r="AU5" s="12">
        <f>IF(AU4="","（未使用）",IFERROR(INDEX('因子水準表'!$B$6:$KO$6,MATCH(AU4,'因子水準表'!$B$4:$KO$4,0)),"（ID不明）"))</f>
        <v/>
      </c>
      <c r="AV5" s="12">
        <f>IF(AV4="","（未使用）",IFERROR(INDEX('因子水準表'!$B$6:$KO$6,MATCH(AV4,'因子水準表'!$B$4:$KO$4,0)),"（ID不明）"))</f>
        <v/>
      </c>
      <c r="AW5" s="12">
        <f>IF(AW4="","（未使用）",IFERROR(INDEX('因子水準表'!$B$6:$KO$6,MATCH(AW4,'因子水準表'!$B$4:$KO$4,0)),"（ID不明）"))</f>
        <v/>
      </c>
      <c r="AX5" s="12">
        <f>IF(AX4="","（未使用）",IFERROR(INDEX('因子水準表'!$B$6:$KO$6,MATCH(AX4,'因子水準表'!$B$4:$KO$4,0)),"（ID不明）"))</f>
        <v/>
      </c>
      <c r="AY5" s="12">
        <f>IF(AY4="","（未使用）",IFERROR(INDEX('因子水準表'!$B$6:$KO$6,MATCH(AY4,'因子水準表'!$B$4:$KO$4,0)),"（ID不明）"))</f>
        <v/>
      </c>
      <c r="AZ5" s="12">
        <f>IF(AZ4="","（未使用）",IFERROR(INDEX('因子水準表'!$B$6:$KO$6,MATCH(AZ4,'因子水準表'!$B$4:$KO$4,0)),"（ID不明）"))</f>
        <v/>
      </c>
      <c r="BA5" s="12">
        <f>IF(BA4="","（未使用）",IFERROR(INDEX('因子水準表'!$B$6:$KO$6,MATCH(BA4,'因子水準表'!$B$4:$KO$4,0)),"（ID不明）"))</f>
        <v/>
      </c>
      <c r="BB5" s="12">
        <f>IF(BB4="","（未使用）",IFERROR(INDEX('因子水準表'!$B$6:$KO$6,MATCH(BB4,'因子水準表'!$B$4:$KO$4,0)),"（ID不明）"))</f>
        <v/>
      </c>
      <c r="BC5" s="12">
        <f>IF(BC4="","（未使用）",IFERROR(INDEX('因子水準表'!$B$6:$KO$6,MATCH(BC4,'因子水準表'!$B$4:$KO$4,0)),"（ID不明）"))</f>
        <v/>
      </c>
      <c r="BD5" s="12">
        <f>IF(BD4="","（未使用）",IFERROR(INDEX('因子水準表'!$B$6:$KO$6,MATCH(BD4,'因子水準表'!$B$4:$KO$4,0)),"（ID不明）"))</f>
        <v/>
      </c>
      <c r="BE5" s="23" t="n"/>
      <c r="BF5" s="23" t="n"/>
      <c r="BG5" s="23" t="n"/>
      <c r="BH5" s="23" t="n"/>
      <c r="BI5" s="23" t="n"/>
      <c r="BJ5" s="23" t="n"/>
      <c r="BK5" s="23" t="n"/>
      <c r="BL5" s="23" t="n"/>
      <c r="BM5" s="23" t="n"/>
      <c r="BO5" s="12" t="inlineStr">
        <is>
          <t>1列目の水準</t>
        </is>
      </c>
      <c r="BP5" s="12" t="inlineStr">
        <is>
          <t>2列目の水準</t>
        </is>
      </c>
      <c r="BQ5" s="12" t="inlineStr">
        <is>
          <t>3列目の水準</t>
        </is>
      </c>
      <c r="BR5" s="12" t="inlineStr">
        <is>
          <t>4列目の水準</t>
        </is>
      </c>
      <c r="BS5" s="12" t="inlineStr">
        <is>
          <t>5列目の水準</t>
        </is>
      </c>
      <c r="BT5" s="12" t="inlineStr">
        <is>
          <t>6列目の水準</t>
        </is>
      </c>
      <c r="BU5" s="12" t="inlineStr">
        <is>
          <t>7列目の水準</t>
        </is>
      </c>
      <c r="BV5" s="12" t="inlineStr">
        <is>
          <t>8列目の水準</t>
        </is>
      </c>
      <c r="BW5" s="12" t="inlineStr">
        <is>
          <t>9列目の水準</t>
        </is>
      </c>
      <c r="BX5" s="12" t="inlineStr">
        <is>
          <t>10列目の水準</t>
        </is>
      </c>
      <c r="BY5" s="12" t="inlineStr">
        <is>
          <t>11列目の水準</t>
        </is>
      </c>
      <c r="BZ5" s="12" t="inlineStr">
        <is>
          <t>12列目の水準</t>
        </is>
      </c>
      <c r="CA5" s="12" t="inlineStr">
        <is>
          <t>13列目の水準</t>
        </is>
      </c>
      <c r="CB5" s="12" t="inlineStr">
        <is>
          <t>14列目の水準</t>
        </is>
      </c>
      <c r="CC5" s="12" t="inlineStr">
        <is>
          <t>15列目の水準</t>
        </is>
      </c>
      <c r="CD5" s="12" t="inlineStr">
        <is>
          <t>16列目の水準</t>
        </is>
      </c>
      <c r="CE5" s="12" t="inlineStr">
        <is>
          <t>17列目の水準</t>
        </is>
      </c>
      <c r="CF5" s="12" t="inlineStr">
        <is>
          <t>18列目の水準</t>
        </is>
      </c>
      <c r="CG5" s="12" t="inlineStr">
        <is>
          <t>19列目の水準</t>
        </is>
      </c>
      <c r="CH5" s="12" t="inlineStr">
        <is>
          <t>20列目の水準</t>
        </is>
      </c>
      <c r="CI5" s="12" t="inlineStr">
        <is>
          <t>21列目の水準</t>
        </is>
      </c>
      <c r="CJ5" s="12" t="inlineStr">
        <is>
          <t>22列目の水準</t>
        </is>
      </c>
      <c r="CK5" s="12" t="inlineStr">
        <is>
          <t>23列目の水準</t>
        </is>
      </c>
      <c r="CL5" s="12" t="inlineStr">
        <is>
          <t>24列目の水準</t>
        </is>
      </c>
      <c r="CM5" s="12" t="inlineStr">
        <is>
          <t>25列目の水準</t>
        </is>
      </c>
      <c r="CN5" s="12" t="inlineStr">
        <is>
          <t>26列目の水準</t>
        </is>
      </c>
      <c r="CO5" s="12" t="inlineStr">
        <is>
          <t>27列目の水準</t>
        </is>
      </c>
      <c r="CP5" s="12" t="inlineStr">
        <is>
          <t>28列目の水準</t>
        </is>
      </c>
      <c r="CQ5" s="12" t="inlineStr">
        <is>
          <t>29列目の水準</t>
        </is>
      </c>
      <c r="CR5" s="12" t="inlineStr">
        <is>
          <t>30列目の水準</t>
        </is>
      </c>
      <c r="CS5" s="12" t="inlineStr">
        <is>
          <t>31列目の水準</t>
        </is>
      </c>
      <c r="CT5" s="12" t="inlineStr">
        <is>
          <t>32列目の水準</t>
        </is>
      </c>
      <c r="CU5" s="12" t="inlineStr">
        <is>
          <t>33列目の水準</t>
        </is>
      </c>
      <c r="CV5" s="12" t="inlineStr">
        <is>
          <t>34列目の水準</t>
        </is>
      </c>
      <c r="CW5" s="12" t="inlineStr">
        <is>
          <t>35列目の水準</t>
        </is>
      </c>
      <c r="CX5" s="12" t="inlineStr">
        <is>
          <t>36列目の水準</t>
        </is>
      </c>
      <c r="CY5" s="12" t="inlineStr">
        <is>
          <t>37列目の水準</t>
        </is>
      </c>
      <c r="CZ5" s="12" t="inlineStr">
        <is>
          <t>38列目の水準</t>
        </is>
      </c>
      <c r="DA5" s="12" t="inlineStr">
        <is>
          <t>39列目の水準</t>
        </is>
      </c>
      <c r="DB5" s="12" t="inlineStr">
        <is>
          <t>40列目の水準</t>
        </is>
      </c>
      <c r="DC5" s="12" t="inlineStr">
        <is>
          <t>41列目の水準</t>
        </is>
      </c>
      <c r="DD5" s="12" t="inlineStr">
        <is>
          <t>42列目の水準</t>
        </is>
      </c>
      <c r="DE5" s="12" t="inlineStr">
        <is>
          <t>43列目の水準</t>
        </is>
      </c>
      <c r="DF5" s="12" t="inlineStr">
        <is>
          <t>44列目の水準</t>
        </is>
      </c>
      <c r="DG5" s="12" t="inlineStr">
        <is>
          <t>45列目の水準</t>
        </is>
      </c>
      <c r="DH5" s="12" t="inlineStr">
        <is>
          <t>46列目の水準</t>
        </is>
      </c>
      <c r="DI5" s="12" t="inlineStr">
        <is>
          <t>47列目の水準</t>
        </is>
      </c>
      <c r="DJ5" s="12" t="inlineStr">
        <is>
          <t>48列目の水準</t>
        </is>
      </c>
      <c r="DK5" s="12" t="inlineStr">
        <is>
          <t>49列目の水準</t>
        </is>
      </c>
      <c r="DL5" s="12" t="inlineStr">
        <is>
          <t>50列目の水準</t>
        </is>
      </c>
      <c r="DM5" s="12" t="inlineStr">
        <is>
          <t>カテゴリ</t>
        </is>
      </c>
      <c r="DN5" s="12" t="inlineStr">
        <is>
          <t>条件ID</t>
        </is>
      </c>
    </row>
    <row r="6">
      <c r="A6" s="27" t="n"/>
      <c r="B6" s="27" t="n"/>
      <c r="C6" s="28">
        <f>IF(A6="","",$B$2)</f>
        <v/>
      </c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  <c r="AI6" s="27" t="n"/>
      <c r="AJ6" s="27" t="n"/>
      <c r="AK6" s="27" t="n"/>
      <c r="AL6" s="27" t="n"/>
      <c r="AM6" s="27" t="n"/>
      <c r="AN6" s="27" t="n"/>
      <c r="AO6" s="27" t="n"/>
      <c r="AP6" s="27" t="n"/>
      <c r="AQ6" s="27" t="n"/>
      <c r="AR6" s="27" t="n"/>
      <c r="AS6" s="27" t="n"/>
      <c r="AT6" s="27" t="n"/>
      <c r="AU6" s="27" t="n"/>
      <c r="AV6" s="27" t="n"/>
      <c r="AW6" s="27" t="n"/>
      <c r="AX6" s="27" t="n"/>
      <c r="AY6" s="27" t="n"/>
      <c r="AZ6" s="27" t="n"/>
      <c r="BA6" s="27" t="n"/>
      <c r="BB6" s="27" t="n"/>
      <c r="BC6" s="27" t="n"/>
      <c r="BD6" s="27" t="n"/>
      <c r="BE6" s="27" t="n"/>
      <c r="BF6" s="27" t="n"/>
      <c r="BG6" s="27" t="n"/>
      <c r="BH6" s="27" t="n"/>
      <c r="BI6" s="29" t="n"/>
      <c r="BJ6" s="27" t="n"/>
      <c r="BK6" s="27" t="n"/>
      <c r="BL6" s="27" t="n"/>
      <c r="BM6" s="27" t="n"/>
      <c r="BO6" s="26">
        <f>IF(G$4="","",IFERROR(INDEX('因子水準表'!$B$9:$KO$18,1,MATCH(G$4,'因子水準表'!$B$4:$KO$4,0))&amp;"",""))</f>
        <v/>
      </c>
      <c r="BP6" s="26">
        <f>IF(H$4="","",IFERROR(INDEX('因子水準表'!$B$9:$KO$18,1,MATCH(H$4,'因子水準表'!$B$4:$KO$4,0))&amp;"",""))</f>
        <v/>
      </c>
      <c r="BQ6" s="26">
        <f>IF(I$4="","",IFERROR(INDEX('因子水準表'!$B$9:$KO$18,1,MATCH(I$4,'因子水準表'!$B$4:$KO$4,0))&amp;"",""))</f>
        <v/>
      </c>
      <c r="BR6" s="26">
        <f>IF(J$4="","",IFERROR(INDEX('因子水準表'!$B$9:$KO$18,1,MATCH(J$4,'因子水準表'!$B$4:$KO$4,0))&amp;"",""))</f>
        <v/>
      </c>
      <c r="BS6" s="26">
        <f>IF(K$4="","",IFERROR(INDEX('因子水準表'!$B$9:$KO$18,1,MATCH(K$4,'因子水準表'!$B$4:$KO$4,0))&amp;"",""))</f>
        <v/>
      </c>
      <c r="BT6" s="26">
        <f>IF(L$4="","",IFERROR(INDEX('因子水準表'!$B$9:$KO$18,1,MATCH(L$4,'因子水準表'!$B$4:$KO$4,0))&amp;"",""))</f>
        <v/>
      </c>
      <c r="BU6" s="26">
        <f>IF(M$4="","",IFERROR(INDEX('因子水準表'!$B$9:$KO$18,1,MATCH(M$4,'因子水準表'!$B$4:$KO$4,0))&amp;"",""))</f>
        <v/>
      </c>
      <c r="BV6" s="26">
        <f>IF(N$4="","",IFERROR(INDEX('因子水準表'!$B$9:$KO$18,1,MATCH(N$4,'因子水準表'!$B$4:$KO$4,0))&amp;"",""))</f>
        <v/>
      </c>
      <c r="BW6" s="26">
        <f>IF(O$4="","",IFERROR(INDEX('因子水準表'!$B$9:$KO$18,1,MATCH(O$4,'因子水準表'!$B$4:$KO$4,0))&amp;"",""))</f>
        <v/>
      </c>
      <c r="BX6" s="26">
        <f>IF(P$4="","",IFERROR(INDEX('因子水準表'!$B$9:$KO$18,1,MATCH(P$4,'因子水準表'!$B$4:$KO$4,0))&amp;"",""))</f>
        <v/>
      </c>
      <c r="BY6" s="26">
        <f>IF(Q$4="","",IFERROR(INDEX('因子水準表'!$B$9:$KO$18,1,MATCH(Q$4,'因子水準表'!$B$4:$KO$4,0))&amp;"",""))</f>
        <v/>
      </c>
      <c r="BZ6" s="26">
        <f>IF(R$4="","",IFERROR(INDEX('因子水準表'!$B$9:$KO$18,1,MATCH(R$4,'因子水準表'!$B$4:$KO$4,0))&amp;"",""))</f>
        <v/>
      </c>
      <c r="CA6" s="26">
        <f>IF(S$4="","",IFERROR(INDEX('因子水準表'!$B$9:$KO$18,1,MATCH(S$4,'因子水準表'!$B$4:$KO$4,0))&amp;"",""))</f>
        <v/>
      </c>
      <c r="CB6" s="26">
        <f>IF(T$4="","",IFERROR(INDEX('因子水準表'!$B$9:$KO$18,1,MATCH(T$4,'因子水準表'!$B$4:$KO$4,0))&amp;"",""))</f>
        <v/>
      </c>
      <c r="CC6" s="26">
        <f>IF(U$4="","",IFERROR(INDEX('因子水準表'!$B$9:$KO$18,1,MATCH(U$4,'因子水準表'!$B$4:$KO$4,0))&amp;"",""))</f>
        <v/>
      </c>
      <c r="CD6" s="26">
        <f>IF(V$4="","",IFERROR(INDEX('因子水準表'!$B$9:$KO$18,1,MATCH(V$4,'因子水準表'!$B$4:$KO$4,0))&amp;"",""))</f>
        <v/>
      </c>
      <c r="CE6" s="26">
        <f>IF(W$4="","",IFERROR(INDEX('因子水準表'!$B$9:$KO$18,1,MATCH(W$4,'因子水準表'!$B$4:$KO$4,0))&amp;"",""))</f>
        <v/>
      </c>
      <c r="CF6" s="26">
        <f>IF(X$4="","",IFERROR(INDEX('因子水準表'!$B$9:$KO$18,1,MATCH(X$4,'因子水準表'!$B$4:$KO$4,0))&amp;"",""))</f>
        <v/>
      </c>
      <c r="CG6" s="26">
        <f>IF(Y$4="","",IFERROR(INDEX('因子水準表'!$B$9:$KO$18,1,MATCH(Y$4,'因子水準表'!$B$4:$KO$4,0))&amp;"",""))</f>
        <v/>
      </c>
      <c r="CH6" s="26">
        <f>IF(Z$4="","",IFERROR(INDEX('因子水準表'!$B$9:$KO$18,1,MATCH(Z$4,'因子水準表'!$B$4:$KO$4,0))&amp;"",""))</f>
        <v/>
      </c>
      <c r="CI6" s="26">
        <f>IF(AA$4="","",IFERROR(INDEX('因子水準表'!$B$9:$KO$18,1,MATCH(AA$4,'因子水準表'!$B$4:$KO$4,0))&amp;"",""))</f>
        <v/>
      </c>
      <c r="CJ6" s="26">
        <f>IF(AB$4="","",IFERROR(INDEX('因子水準表'!$B$9:$KO$18,1,MATCH(AB$4,'因子水準表'!$B$4:$KO$4,0))&amp;"",""))</f>
        <v/>
      </c>
      <c r="CK6" s="26">
        <f>IF(AC$4="","",IFERROR(INDEX('因子水準表'!$B$9:$KO$18,1,MATCH(AC$4,'因子水準表'!$B$4:$KO$4,0))&amp;"",""))</f>
        <v/>
      </c>
      <c r="CL6" s="26">
        <f>IF(AD$4="","",IFERROR(INDEX('因子水準表'!$B$9:$KO$18,1,MATCH(AD$4,'因子水準表'!$B$4:$KO$4,0))&amp;"",""))</f>
        <v/>
      </c>
      <c r="CM6" s="26">
        <f>IF(AE$4="","",IFERROR(INDEX('因子水準表'!$B$9:$KO$18,1,MATCH(AE$4,'因子水準表'!$B$4:$KO$4,0))&amp;"",""))</f>
        <v/>
      </c>
      <c r="CN6" s="26">
        <f>IF(AF$4="","",IFERROR(INDEX('因子水準表'!$B$9:$KO$18,1,MATCH(AF$4,'因子水準表'!$B$4:$KO$4,0))&amp;"",""))</f>
        <v/>
      </c>
      <c r="CO6" s="26">
        <f>IF(AG$4="","",IFERROR(INDEX('因子水準表'!$B$9:$KO$18,1,MATCH(AG$4,'因子水準表'!$B$4:$KO$4,0))&amp;"",""))</f>
        <v/>
      </c>
      <c r="CP6" s="26">
        <f>IF(AH$4="","",IFERROR(INDEX('因子水準表'!$B$9:$KO$18,1,MATCH(AH$4,'因子水準表'!$B$4:$KO$4,0))&amp;"",""))</f>
        <v/>
      </c>
      <c r="CQ6" s="26">
        <f>IF(AI$4="","",IFERROR(INDEX('因子水準表'!$B$9:$KO$18,1,MATCH(AI$4,'因子水準表'!$B$4:$KO$4,0))&amp;"",""))</f>
        <v/>
      </c>
      <c r="CR6" s="26">
        <f>IF(AJ$4="","",IFERROR(INDEX('因子水準表'!$B$9:$KO$18,1,MATCH(AJ$4,'因子水準表'!$B$4:$KO$4,0))&amp;"",""))</f>
        <v/>
      </c>
      <c r="CS6" s="26">
        <f>IF(AK$4="","",IFERROR(INDEX('因子水準表'!$B$9:$KO$18,1,MATCH(AK$4,'因子水準表'!$B$4:$KO$4,0))&amp;"",""))</f>
        <v/>
      </c>
      <c r="CT6" s="26">
        <f>IF(AL$4="","",IFERROR(INDEX('因子水準表'!$B$9:$KO$18,1,MATCH(AL$4,'因子水準表'!$B$4:$KO$4,0))&amp;"",""))</f>
        <v/>
      </c>
      <c r="CU6" s="26">
        <f>IF(AM$4="","",IFERROR(INDEX('因子水準表'!$B$9:$KO$18,1,MATCH(AM$4,'因子水準表'!$B$4:$KO$4,0))&amp;"",""))</f>
        <v/>
      </c>
      <c r="CV6" s="26">
        <f>IF(AN$4="","",IFERROR(INDEX('因子水準表'!$B$9:$KO$18,1,MATCH(AN$4,'因子水準表'!$B$4:$KO$4,0))&amp;"",""))</f>
        <v/>
      </c>
      <c r="CW6" s="26">
        <f>IF(AO$4="","",IFERROR(INDEX('因子水準表'!$B$9:$KO$18,1,MATCH(AO$4,'因子水準表'!$B$4:$KO$4,0))&amp;"",""))</f>
        <v/>
      </c>
      <c r="CX6" s="26">
        <f>IF(AP$4="","",IFERROR(INDEX('因子水準表'!$B$9:$KO$18,1,MATCH(AP$4,'因子水準表'!$B$4:$KO$4,0))&amp;"",""))</f>
        <v/>
      </c>
      <c r="CY6" s="26">
        <f>IF(AQ$4="","",IFERROR(INDEX('因子水準表'!$B$9:$KO$18,1,MATCH(AQ$4,'因子水準表'!$B$4:$KO$4,0))&amp;"",""))</f>
        <v/>
      </c>
      <c r="CZ6" s="26">
        <f>IF(AR$4="","",IFERROR(INDEX('因子水準表'!$B$9:$KO$18,1,MATCH(AR$4,'因子水準表'!$B$4:$KO$4,0))&amp;"",""))</f>
        <v/>
      </c>
      <c r="DA6" s="26">
        <f>IF(AS$4="","",IFERROR(INDEX('因子水準表'!$B$9:$KO$18,1,MATCH(AS$4,'因子水準表'!$B$4:$KO$4,0))&amp;"",""))</f>
        <v/>
      </c>
      <c r="DB6" s="26">
        <f>IF(AT$4="","",IFERROR(INDEX('因子水準表'!$B$9:$KO$18,1,MATCH(AT$4,'因子水準表'!$B$4:$KO$4,0))&amp;"",""))</f>
        <v/>
      </c>
      <c r="DC6" s="26">
        <f>IF(AU$4="","",IFERROR(INDEX('因子水準表'!$B$9:$KO$18,1,MATCH(AU$4,'因子水準表'!$B$4:$KO$4,0))&amp;"",""))</f>
        <v/>
      </c>
      <c r="DD6" s="26">
        <f>IF(AV$4="","",IFERROR(INDEX('因子水準表'!$B$9:$KO$18,1,MATCH(AV$4,'因子水準表'!$B$4:$KO$4,0))&amp;"",""))</f>
        <v/>
      </c>
      <c r="DE6" s="26">
        <f>IF(AW$4="","",IFERROR(INDEX('因子水準表'!$B$9:$KO$18,1,MATCH(AW$4,'因子水準表'!$B$4:$KO$4,0))&amp;"",""))</f>
        <v/>
      </c>
      <c r="DF6" s="26">
        <f>IF(AX$4="","",IFERROR(INDEX('因子水準表'!$B$9:$KO$18,1,MATCH(AX$4,'因子水準表'!$B$4:$KO$4,0))&amp;"",""))</f>
        <v/>
      </c>
      <c r="DG6" s="26">
        <f>IF(AY$4="","",IFERROR(INDEX('因子水準表'!$B$9:$KO$18,1,MATCH(AY$4,'因子水準表'!$B$4:$KO$4,0))&amp;"",""))</f>
        <v/>
      </c>
      <c r="DH6" s="26">
        <f>IF(AZ$4="","",IFERROR(INDEX('因子水準表'!$B$9:$KO$18,1,MATCH(AZ$4,'因子水準表'!$B$4:$KO$4,0))&amp;"",""))</f>
        <v/>
      </c>
      <c r="DI6" s="26">
        <f>IF(BA$4="","",IFERROR(INDEX('因子水準表'!$B$9:$KO$18,1,MATCH(BA$4,'因子水準表'!$B$4:$KO$4,0))&amp;"",""))</f>
        <v/>
      </c>
      <c r="DJ6" s="26">
        <f>IF(BB$4="","",IFERROR(INDEX('因子水準表'!$B$9:$KO$18,1,MATCH(BB$4,'因子水準表'!$B$4:$KO$4,0))&amp;"",""))</f>
        <v/>
      </c>
      <c r="DK6" s="26">
        <f>IF(BC$4="","",IFERROR(INDEX('因子水準表'!$B$9:$KO$18,1,MATCH(BC$4,'因子水準表'!$B$4:$KO$4,0))&amp;"",""))</f>
        <v/>
      </c>
      <c r="DL6" s="26">
        <f>IF(BD$4="","",IFERROR(INDEX('因子水準表'!$B$9:$KO$18,1,MATCH(BD$4,'因子水準表'!$B$4:$KO$4,0))&amp;"",""))</f>
        <v/>
      </c>
      <c r="DM6" s="26">
        <f>IF('因子水準表'!B29="","",'因子水準表'!B29)</f>
        <v/>
      </c>
      <c r="DN6" s="26">
        <f>IF('テスト条件'!A5="","",'テスト条件'!A5)</f>
        <v/>
      </c>
    </row>
    <row r="7">
      <c r="A7" s="27" t="n"/>
      <c r="B7" s="27" t="n"/>
      <c r="C7" s="28">
        <f>IF(A7="","",$B$2)</f>
        <v/>
      </c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7" t="n"/>
      <c r="BE7" s="27" t="n"/>
      <c r="BF7" s="27" t="n"/>
      <c r="BG7" s="27" t="n"/>
      <c r="BH7" s="27" t="n"/>
      <c r="BI7" s="29" t="n"/>
      <c r="BJ7" s="27" t="n"/>
      <c r="BK7" s="27" t="n"/>
      <c r="BL7" s="27" t="n"/>
      <c r="BM7" s="27" t="n"/>
      <c r="BO7" s="26">
        <f>IF(G$4="","",IFERROR(INDEX('因子水準表'!$B$9:$KO$18,2,MATCH(G$4,'因子水準表'!$B$4:$KO$4,0))&amp;"",""))</f>
        <v/>
      </c>
      <c r="BP7" s="26">
        <f>IF(H$4="","",IFERROR(INDEX('因子水準表'!$B$9:$KO$18,2,MATCH(H$4,'因子水準表'!$B$4:$KO$4,0))&amp;"",""))</f>
        <v/>
      </c>
      <c r="BQ7" s="26">
        <f>IF(I$4="","",IFERROR(INDEX('因子水準表'!$B$9:$KO$18,2,MATCH(I$4,'因子水準表'!$B$4:$KO$4,0))&amp;"",""))</f>
        <v/>
      </c>
      <c r="BR7" s="26">
        <f>IF(J$4="","",IFERROR(INDEX('因子水準表'!$B$9:$KO$18,2,MATCH(J$4,'因子水準表'!$B$4:$KO$4,0))&amp;"",""))</f>
        <v/>
      </c>
      <c r="BS7" s="26">
        <f>IF(K$4="","",IFERROR(INDEX('因子水準表'!$B$9:$KO$18,2,MATCH(K$4,'因子水準表'!$B$4:$KO$4,0))&amp;"",""))</f>
        <v/>
      </c>
      <c r="BT7" s="26">
        <f>IF(L$4="","",IFERROR(INDEX('因子水準表'!$B$9:$KO$18,2,MATCH(L$4,'因子水準表'!$B$4:$KO$4,0))&amp;"",""))</f>
        <v/>
      </c>
      <c r="BU7" s="26">
        <f>IF(M$4="","",IFERROR(INDEX('因子水準表'!$B$9:$KO$18,2,MATCH(M$4,'因子水準表'!$B$4:$KO$4,0))&amp;"",""))</f>
        <v/>
      </c>
      <c r="BV7" s="26">
        <f>IF(N$4="","",IFERROR(INDEX('因子水準表'!$B$9:$KO$18,2,MATCH(N$4,'因子水準表'!$B$4:$KO$4,0))&amp;"",""))</f>
        <v/>
      </c>
      <c r="BW7" s="26">
        <f>IF(O$4="","",IFERROR(INDEX('因子水準表'!$B$9:$KO$18,2,MATCH(O$4,'因子水準表'!$B$4:$KO$4,0))&amp;"",""))</f>
        <v/>
      </c>
      <c r="BX7" s="26">
        <f>IF(P$4="","",IFERROR(INDEX('因子水準表'!$B$9:$KO$18,2,MATCH(P$4,'因子水準表'!$B$4:$KO$4,0))&amp;"",""))</f>
        <v/>
      </c>
      <c r="BY7" s="26">
        <f>IF(Q$4="","",IFERROR(INDEX('因子水準表'!$B$9:$KO$18,2,MATCH(Q$4,'因子水準表'!$B$4:$KO$4,0))&amp;"",""))</f>
        <v/>
      </c>
      <c r="BZ7" s="26">
        <f>IF(R$4="","",IFERROR(INDEX('因子水準表'!$B$9:$KO$18,2,MATCH(R$4,'因子水準表'!$B$4:$KO$4,0))&amp;"",""))</f>
        <v/>
      </c>
      <c r="CA7" s="26">
        <f>IF(S$4="","",IFERROR(INDEX('因子水準表'!$B$9:$KO$18,2,MATCH(S$4,'因子水準表'!$B$4:$KO$4,0))&amp;"",""))</f>
        <v/>
      </c>
      <c r="CB7" s="26">
        <f>IF(T$4="","",IFERROR(INDEX('因子水準表'!$B$9:$KO$18,2,MATCH(T$4,'因子水準表'!$B$4:$KO$4,0))&amp;"",""))</f>
        <v/>
      </c>
      <c r="CC7" s="26">
        <f>IF(U$4="","",IFERROR(INDEX('因子水準表'!$B$9:$KO$18,2,MATCH(U$4,'因子水準表'!$B$4:$KO$4,0))&amp;"",""))</f>
        <v/>
      </c>
      <c r="CD7" s="26">
        <f>IF(V$4="","",IFERROR(INDEX('因子水準表'!$B$9:$KO$18,2,MATCH(V$4,'因子水準表'!$B$4:$KO$4,0))&amp;"",""))</f>
        <v/>
      </c>
      <c r="CE7" s="26">
        <f>IF(W$4="","",IFERROR(INDEX('因子水準表'!$B$9:$KO$18,2,MATCH(W$4,'因子水準表'!$B$4:$KO$4,0))&amp;"",""))</f>
        <v/>
      </c>
      <c r="CF7" s="26">
        <f>IF(X$4="","",IFERROR(INDEX('因子水準表'!$B$9:$KO$18,2,MATCH(X$4,'因子水準表'!$B$4:$KO$4,0))&amp;"",""))</f>
        <v/>
      </c>
      <c r="CG7" s="26">
        <f>IF(Y$4="","",IFERROR(INDEX('因子水準表'!$B$9:$KO$18,2,MATCH(Y$4,'因子水準表'!$B$4:$KO$4,0))&amp;"",""))</f>
        <v/>
      </c>
      <c r="CH7" s="26">
        <f>IF(Z$4="","",IFERROR(INDEX('因子水準表'!$B$9:$KO$18,2,MATCH(Z$4,'因子水準表'!$B$4:$KO$4,0))&amp;"",""))</f>
        <v/>
      </c>
      <c r="CI7" s="26">
        <f>IF(AA$4="","",IFERROR(INDEX('因子水準表'!$B$9:$KO$18,2,MATCH(AA$4,'因子水準表'!$B$4:$KO$4,0))&amp;"",""))</f>
        <v/>
      </c>
      <c r="CJ7" s="26">
        <f>IF(AB$4="","",IFERROR(INDEX('因子水準表'!$B$9:$KO$18,2,MATCH(AB$4,'因子水準表'!$B$4:$KO$4,0))&amp;"",""))</f>
        <v/>
      </c>
      <c r="CK7" s="26">
        <f>IF(AC$4="","",IFERROR(INDEX('因子水準表'!$B$9:$KO$18,2,MATCH(AC$4,'因子水準表'!$B$4:$KO$4,0))&amp;"",""))</f>
        <v/>
      </c>
      <c r="CL7" s="26">
        <f>IF(AD$4="","",IFERROR(INDEX('因子水準表'!$B$9:$KO$18,2,MATCH(AD$4,'因子水準表'!$B$4:$KO$4,0))&amp;"",""))</f>
        <v/>
      </c>
      <c r="CM7" s="26">
        <f>IF(AE$4="","",IFERROR(INDEX('因子水準表'!$B$9:$KO$18,2,MATCH(AE$4,'因子水準表'!$B$4:$KO$4,0))&amp;"",""))</f>
        <v/>
      </c>
      <c r="CN7" s="26">
        <f>IF(AF$4="","",IFERROR(INDEX('因子水準表'!$B$9:$KO$18,2,MATCH(AF$4,'因子水準表'!$B$4:$KO$4,0))&amp;"",""))</f>
        <v/>
      </c>
      <c r="CO7" s="26">
        <f>IF(AG$4="","",IFERROR(INDEX('因子水準表'!$B$9:$KO$18,2,MATCH(AG$4,'因子水準表'!$B$4:$KO$4,0))&amp;"",""))</f>
        <v/>
      </c>
      <c r="CP7" s="26">
        <f>IF(AH$4="","",IFERROR(INDEX('因子水準表'!$B$9:$KO$18,2,MATCH(AH$4,'因子水準表'!$B$4:$KO$4,0))&amp;"",""))</f>
        <v/>
      </c>
      <c r="CQ7" s="26">
        <f>IF(AI$4="","",IFERROR(INDEX('因子水準表'!$B$9:$KO$18,2,MATCH(AI$4,'因子水準表'!$B$4:$KO$4,0))&amp;"",""))</f>
        <v/>
      </c>
      <c r="CR7" s="26">
        <f>IF(AJ$4="","",IFERROR(INDEX('因子水準表'!$B$9:$KO$18,2,MATCH(AJ$4,'因子水準表'!$B$4:$KO$4,0))&amp;"",""))</f>
        <v/>
      </c>
      <c r="CS7" s="26">
        <f>IF(AK$4="","",IFERROR(INDEX('因子水準表'!$B$9:$KO$18,2,MATCH(AK$4,'因子水準表'!$B$4:$KO$4,0))&amp;"",""))</f>
        <v/>
      </c>
      <c r="CT7" s="26">
        <f>IF(AL$4="","",IFERROR(INDEX('因子水準表'!$B$9:$KO$18,2,MATCH(AL$4,'因子水準表'!$B$4:$KO$4,0))&amp;"",""))</f>
        <v/>
      </c>
      <c r="CU7" s="26">
        <f>IF(AM$4="","",IFERROR(INDEX('因子水準表'!$B$9:$KO$18,2,MATCH(AM$4,'因子水準表'!$B$4:$KO$4,0))&amp;"",""))</f>
        <v/>
      </c>
      <c r="CV7" s="26">
        <f>IF(AN$4="","",IFERROR(INDEX('因子水準表'!$B$9:$KO$18,2,MATCH(AN$4,'因子水準表'!$B$4:$KO$4,0))&amp;"",""))</f>
        <v/>
      </c>
      <c r="CW7" s="26">
        <f>IF(AO$4="","",IFERROR(INDEX('因子水準表'!$B$9:$KO$18,2,MATCH(AO$4,'因子水準表'!$B$4:$KO$4,0))&amp;"",""))</f>
        <v/>
      </c>
      <c r="CX7" s="26">
        <f>IF(AP$4="","",IFERROR(INDEX('因子水準表'!$B$9:$KO$18,2,MATCH(AP$4,'因子水準表'!$B$4:$KO$4,0))&amp;"",""))</f>
        <v/>
      </c>
      <c r="CY7" s="26">
        <f>IF(AQ$4="","",IFERROR(INDEX('因子水準表'!$B$9:$KO$18,2,MATCH(AQ$4,'因子水準表'!$B$4:$KO$4,0))&amp;"",""))</f>
        <v/>
      </c>
      <c r="CZ7" s="26">
        <f>IF(AR$4="","",IFERROR(INDEX('因子水準表'!$B$9:$KO$18,2,MATCH(AR$4,'因子水準表'!$B$4:$KO$4,0))&amp;"",""))</f>
        <v/>
      </c>
      <c r="DA7" s="26">
        <f>IF(AS$4="","",IFERROR(INDEX('因子水準表'!$B$9:$KO$18,2,MATCH(AS$4,'因子水準表'!$B$4:$KO$4,0))&amp;"",""))</f>
        <v/>
      </c>
      <c r="DB7" s="26">
        <f>IF(AT$4="","",IFERROR(INDEX('因子水準表'!$B$9:$KO$18,2,MATCH(AT$4,'因子水準表'!$B$4:$KO$4,0))&amp;"",""))</f>
        <v/>
      </c>
      <c r="DC7" s="26">
        <f>IF(AU$4="","",IFERROR(INDEX('因子水準表'!$B$9:$KO$18,2,MATCH(AU$4,'因子水準表'!$B$4:$KO$4,0))&amp;"",""))</f>
        <v/>
      </c>
      <c r="DD7" s="26">
        <f>IF(AV$4="","",IFERROR(INDEX('因子水準表'!$B$9:$KO$18,2,MATCH(AV$4,'因子水準表'!$B$4:$KO$4,0))&amp;"",""))</f>
        <v/>
      </c>
      <c r="DE7" s="26">
        <f>IF(AW$4="","",IFERROR(INDEX('因子水準表'!$B$9:$KO$18,2,MATCH(AW$4,'因子水準表'!$B$4:$KO$4,0))&amp;"",""))</f>
        <v/>
      </c>
      <c r="DF7" s="26">
        <f>IF(AX$4="","",IFERROR(INDEX('因子水準表'!$B$9:$KO$18,2,MATCH(AX$4,'因子水準表'!$B$4:$KO$4,0))&amp;"",""))</f>
        <v/>
      </c>
      <c r="DG7" s="26">
        <f>IF(AY$4="","",IFERROR(INDEX('因子水準表'!$B$9:$KO$18,2,MATCH(AY$4,'因子水準表'!$B$4:$KO$4,0))&amp;"",""))</f>
        <v/>
      </c>
      <c r="DH7" s="26">
        <f>IF(AZ$4="","",IFERROR(INDEX('因子水準表'!$B$9:$KO$18,2,MATCH(AZ$4,'因子水準表'!$B$4:$KO$4,0))&amp;"",""))</f>
        <v/>
      </c>
      <c r="DI7" s="26">
        <f>IF(BA$4="","",IFERROR(INDEX('因子水準表'!$B$9:$KO$18,2,MATCH(BA$4,'因子水準表'!$B$4:$KO$4,0))&amp;"",""))</f>
        <v/>
      </c>
      <c r="DJ7" s="26">
        <f>IF(BB$4="","",IFERROR(INDEX('因子水準表'!$B$9:$KO$18,2,MATCH(BB$4,'因子水準表'!$B$4:$KO$4,0))&amp;"",""))</f>
        <v/>
      </c>
      <c r="DK7" s="26">
        <f>IF(BC$4="","",IFERROR(INDEX('因子水準表'!$B$9:$KO$18,2,MATCH(BC$4,'因子水準表'!$B$4:$KO$4,0))&amp;"",""))</f>
        <v/>
      </c>
      <c r="DL7" s="26">
        <f>IF(BD$4="","",IFERROR(INDEX('因子水準表'!$B$9:$KO$18,2,MATCH(BD$4,'因子水準表'!$B$4:$KO$4,0))&amp;"",""))</f>
        <v/>
      </c>
      <c r="DM7" s="26">
        <f>IF('因子水準表'!B30="","",'因子水準表'!B30)</f>
        <v/>
      </c>
      <c r="DN7" s="26">
        <f>IF('テスト条件'!A6="","",'テスト条件'!A6)</f>
        <v/>
      </c>
    </row>
    <row r="8">
      <c r="A8" s="27" t="n"/>
      <c r="B8" s="27" t="n"/>
      <c r="C8" s="28">
        <f>IF(A8="","",$B$2)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  <c r="AJ8" s="27" t="n"/>
      <c r="AK8" s="27" t="n"/>
      <c r="AL8" s="27" t="n"/>
      <c r="AM8" s="27" t="n"/>
      <c r="AN8" s="27" t="n"/>
      <c r="AO8" s="27" t="n"/>
      <c r="AP8" s="27" t="n"/>
      <c r="AQ8" s="27" t="n"/>
      <c r="AR8" s="27" t="n"/>
      <c r="AS8" s="27" t="n"/>
      <c r="AT8" s="27" t="n"/>
      <c r="AU8" s="27" t="n"/>
      <c r="AV8" s="27" t="n"/>
      <c r="AW8" s="27" t="n"/>
      <c r="AX8" s="27" t="n"/>
      <c r="AY8" s="27" t="n"/>
      <c r="AZ8" s="27" t="n"/>
      <c r="BA8" s="27" t="n"/>
      <c r="BB8" s="27" t="n"/>
      <c r="BC8" s="27" t="n"/>
      <c r="BD8" s="27" t="n"/>
      <c r="BE8" s="27" t="n"/>
      <c r="BF8" s="27" t="n"/>
      <c r="BG8" s="27" t="n"/>
      <c r="BH8" s="27" t="n"/>
      <c r="BI8" s="29" t="n"/>
      <c r="BJ8" s="27" t="n"/>
      <c r="BK8" s="27" t="n"/>
      <c r="BL8" s="27" t="n"/>
      <c r="BM8" s="27" t="n"/>
      <c r="BO8" s="26">
        <f>IF(G$4="","",IFERROR(INDEX('因子水準表'!$B$9:$KO$18,3,MATCH(G$4,'因子水準表'!$B$4:$KO$4,0))&amp;"",""))</f>
        <v/>
      </c>
      <c r="BP8" s="26">
        <f>IF(H$4="","",IFERROR(INDEX('因子水準表'!$B$9:$KO$18,3,MATCH(H$4,'因子水準表'!$B$4:$KO$4,0))&amp;"",""))</f>
        <v/>
      </c>
      <c r="BQ8" s="26">
        <f>IF(I$4="","",IFERROR(INDEX('因子水準表'!$B$9:$KO$18,3,MATCH(I$4,'因子水準表'!$B$4:$KO$4,0))&amp;"",""))</f>
        <v/>
      </c>
      <c r="BR8" s="26">
        <f>IF(J$4="","",IFERROR(INDEX('因子水準表'!$B$9:$KO$18,3,MATCH(J$4,'因子水準表'!$B$4:$KO$4,0))&amp;"",""))</f>
        <v/>
      </c>
      <c r="BS8" s="26">
        <f>IF(K$4="","",IFERROR(INDEX('因子水準表'!$B$9:$KO$18,3,MATCH(K$4,'因子水準表'!$B$4:$KO$4,0))&amp;"",""))</f>
        <v/>
      </c>
      <c r="BT8" s="26">
        <f>IF(L$4="","",IFERROR(INDEX('因子水準表'!$B$9:$KO$18,3,MATCH(L$4,'因子水準表'!$B$4:$KO$4,0))&amp;"",""))</f>
        <v/>
      </c>
      <c r="BU8" s="26">
        <f>IF(M$4="","",IFERROR(INDEX('因子水準表'!$B$9:$KO$18,3,MATCH(M$4,'因子水準表'!$B$4:$KO$4,0))&amp;"",""))</f>
        <v/>
      </c>
      <c r="BV8" s="26">
        <f>IF(N$4="","",IFERROR(INDEX('因子水準表'!$B$9:$KO$18,3,MATCH(N$4,'因子水準表'!$B$4:$KO$4,0))&amp;"",""))</f>
        <v/>
      </c>
      <c r="BW8" s="26">
        <f>IF(O$4="","",IFERROR(INDEX('因子水準表'!$B$9:$KO$18,3,MATCH(O$4,'因子水準表'!$B$4:$KO$4,0))&amp;"",""))</f>
        <v/>
      </c>
      <c r="BX8" s="26">
        <f>IF(P$4="","",IFERROR(INDEX('因子水準表'!$B$9:$KO$18,3,MATCH(P$4,'因子水準表'!$B$4:$KO$4,0))&amp;"",""))</f>
        <v/>
      </c>
      <c r="BY8" s="26">
        <f>IF(Q$4="","",IFERROR(INDEX('因子水準表'!$B$9:$KO$18,3,MATCH(Q$4,'因子水準表'!$B$4:$KO$4,0))&amp;"",""))</f>
        <v/>
      </c>
      <c r="BZ8" s="26">
        <f>IF(R$4="","",IFERROR(INDEX('因子水準表'!$B$9:$KO$18,3,MATCH(R$4,'因子水準表'!$B$4:$KO$4,0))&amp;"",""))</f>
        <v/>
      </c>
      <c r="CA8" s="26">
        <f>IF(S$4="","",IFERROR(INDEX('因子水準表'!$B$9:$KO$18,3,MATCH(S$4,'因子水準表'!$B$4:$KO$4,0))&amp;"",""))</f>
        <v/>
      </c>
      <c r="CB8" s="26">
        <f>IF(T$4="","",IFERROR(INDEX('因子水準表'!$B$9:$KO$18,3,MATCH(T$4,'因子水準表'!$B$4:$KO$4,0))&amp;"",""))</f>
        <v/>
      </c>
      <c r="CC8" s="26">
        <f>IF(U$4="","",IFERROR(INDEX('因子水準表'!$B$9:$KO$18,3,MATCH(U$4,'因子水準表'!$B$4:$KO$4,0))&amp;"",""))</f>
        <v/>
      </c>
      <c r="CD8" s="26">
        <f>IF(V$4="","",IFERROR(INDEX('因子水準表'!$B$9:$KO$18,3,MATCH(V$4,'因子水準表'!$B$4:$KO$4,0))&amp;"",""))</f>
        <v/>
      </c>
      <c r="CE8" s="26">
        <f>IF(W$4="","",IFERROR(INDEX('因子水準表'!$B$9:$KO$18,3,MATCH(W$4,'因子水準表'!$B$4:$KO$4,0))&amp;"",""))</f>
        <v/>
      </c>
      <c r="CF8" s="26">
        <f>IF(X$4="","",IFERROR(INDEX('因子水準表'!$B$9:$KO$18,3,MATCH(X$4,'因子水準表'!$B$4:$KO$4,0))&amp;"",""))</f>
        <v/>
      </c>
      <c r="CG8" s="26">
        <f>IF(Y$4="","",IFERROR(INDEX('因子水準表'!$B$9:$KO$18,3,MATCH(Y$4,'因子水準表'!$B$4:$KO$4,0))&amp;"",""))</f>
        <v/>
      </c>
      <c r="CH8" s="26">
        <f>IF(Z$4="","",IFERROR(INDEX('因子水準表'!$B$9:$KO$18,3,MATCH(Z$4,'因子水準表'!$B$4:$KO$4,0))&amp;"",""))</f>
        <v/>
      </c>
      <c r="CI8" s="26">
        <f>IF(AA$4="","",IFERROR(INDEX('因子水準表'!$B$9:$KO$18,3,MATCH(AA$4,'因子水準表'!$B$4:$KO$4,0))&amp;"",""))</f>
        <v/>
      </c>
      <c r="CJ8" s="26">
        <f>IF(AB$4="","",IFERROR(INDEX('因子水準表'!$B$9:$KO$18,3,MATCH(AB$4,'因子水準表'!$B$4:$KO$4,0))&amp;"",""))</f>
        <v/>
      </c>
      <c r="CK8" s="26">
        <f>IF(AC$4="","",IFERROR(INDEX('因子水準表'!$B$9:$KO$18,3,MATCH(AC$4,'因子水準表'!$B$4:$KO$4,0))&amp;"",""))</f>
        <v/>
      </c>
      <c r="CL8" s="26">
        <f>IF(AD$4="","",IFERROR(INDEX('因子水準表'!$B$9:$KO$18,3,MATCH(AD$4,'因子水準表'!$B$4:$KO$4,0))&amp;"",""))</f>
        <v/>
      </c>
      <c r="CM8" s="26">
        <f>IF(AE$4="","",IFERROR(INDEX('因子水準表'!$B$9:$KO$18,3,MATCH(AE$4,'因子水準表'!$B$4:$KO$4,0))&amp;"",""))</f>
        <v/>
      </c>
      <c r="CN8" s="26">
        <f>IF(AF$4="","",IFERROR(INDEX('因子水準表'!$B$9:$KO$18,3,MATCH(AF$4,'因子水準表'!$B$4:$KO$4,0))&amp;"",""))</f>
        <v/>
      </c>
      <c r="CO8" s="26">
        <f>IF(AG$4="","",IFERROR(INDEX('因子水準表'!$B$9:$KO$18,3,MATCH(AG$4,'因子水準表'!$B$4:$KO$4,0))&amp;"",""))</f>
        <v/>
      </c>
      <c r="CP8" s="26">
        <f>IF(AH$4="","",IFERROR(INDEX('因子水準表'!$B$9:$KO$18,3,MATCH(AH$4,'因子水準表'!$B$4:$KO$4,0))&amp;"",""))</f>
        <v/>
      </c>
      <c r="CQ8" s="26">
        <f>IF(AI$4="","",IFERROR(INDEX('因子水準表'!$B$9:$KO$18,3,MATCH(AI$4,'因子水準表'!$B$4:$KO$4,0))&amp;"",""))</f>
        <v/>
      </c>
      <c r="CR8" s="26">
        <f>IF(AJ$4="","",IFERROR(INDEX('因子水準表'!$B$9:$KO$18,3,MATCH(AJ$4,'因子水準表'!$B$4:$KO$4,0))&amp;"",""))</f>
        <v/>
      </c>
      <c r="CS8" s="26">
        <f>IF(AK$4="","",IFERROR(INDEX('因子水準表'!$B$9:$KO$18,3,MATCH(AK$4,'因子水準表'!$B$4:$KO$4,0))&amp;"",""))</f>
        <v/>
      </c>
      <c r="CT8" s="26">
        <f>IF(AL$4="","",IFERROR(INDEX('因子水準表'!$B$9:$KO$18,3,MATCH(AL$4,'因子水準表'!$B$4:$KO$4,0))&amp;"",""))</f>
        <v/>
      </c>
      <c r="CU8" s="26">
        <f>IF(AM$4="","",IFERROR(INDEX('因子水準表'!$B$9:$KO$18,3,MATCH(AM$4,'因子水準表'!$B$4:$KO$4,0))&amp;"",""))</f>
        <v/>
      </c>
      <c r="CV8" s="26">
        <f>IF(AN$4="","",IFERROR(INDEX('因子水準表'!$B$9:$KO$18,3,MATCH(AN$4,'因子水準表'!$B$4:$KO$4,0))&amp;"",""))</f>
        <v/>
      </c>
      <c r="CW8" s="26">
        <f>IF(AO$4="","",IFERROR(INDEX('因子水準表'!$B$9:$KO$18,3,MATCH(AO$4,'因子水準表'!$B$4:$KO$4,0))&amp;"",""))</f>
        <v/>
      </c>
      <c r="CX8" s="26">
        <f>IF(AP$4="","",IFERROR(INDEX('因子水準表'!$B$9:$KO$18,3,MATCH(AP$4,'因子水準表'!$B$4:$KO$4,0))&amp;"",""))</f>
        <v/>
      </c>
      <c r="CY8" s="26">
        <f>IF(AQ$4="","",IFERROR(INDEX('因子水準表'!$B$9:$KO$18,3,MATCH(AQ$4,'因子水準表'!$B$4:$KO$4,0))&amp;"",""))</f>
        <v/>
      </c>
      <c r="CZ8" s="26">
        <f>IF(AR$4="","",IFERROR(INDEX('因子水準表'!$B$9:$KO$18,3,MATCH(AR$4,'因子水準表'!$B$4:$KO$4,0))&amp;"",""))</f>
        <v/>
      </c>
      <c r="DA8" s="26">
        <f>IF(AS$4="","",IFERROR(INDEX('因子水準表'!$B$9:$KO$18,3,MATCH(AS$4,'因子水準表'!$B$4:$KO$4,0))&amp;"",""))</f>
        <v/>
      </c>
      <c r="DB8" s="26">
        <f>IF(AT$4="","",IFERROR(INDEX('因子水準表'!$B$9:$KO$18,3,MATCH(AT$4,'因子水準表'!$B$4:$KO$4,0))&amp;"",""))</f>
        <v/>
      </c>
      <c r="DC8" s="26">
        <f>IF(AU$4="","",IFERROR(INDEX('因子水準表'!$B$9:$KO$18,3,MATCH(AU$4,'因子水準表'!$B$4:$KO$4,0))&amp;"",""))</f>
        <v/>
      </c>
      <c r="DD8" s="26">
        <f>IF(AV$4="","",IFERROR(INDEX('因子水準表'!$B$9:$KO$18,3,MATCH(AV$4,'因子水準表'!$B$4:$KO$4,0))&amp;"",""))</f>
        <v/>
      </c>
      <c r="DE8" s="26">
        <f>IF(AW$4="","",IFERROR(INDEX('因子水準表'!$B$9:$KO$18,3,MATCH(AW$4,'因子水準表'!$B$4:$KO$4,0))&amp;"",""))</f>
        <v/>
      </c>
      <c r="DF8" s="26">
        <f>IF(AX$4="","",IFERROR(INDEX('因子水準表'!$B$9:$KO$18,3,MATCH(AX$4,'因子水準表'!$B$4:$KO$4,0))&amp;"",""))</f>
        <v/>
      </c>
      <c r="DG8" s="26">
        <f>IF(AY$4="","",IFERROR(INDEX('因子水準表'!$B$9:$KO$18,3,MATCH(AY$4,'因子水準表'!$B$4:$KO$4,0))&amp;"",""))</f>
        <v/>
      </c>
      <c r="DH8" s="26">
        <f>IF(AZ$4="","",IFERROR(INDEX('因子水準表'!$B$9:$KO$18,3,MATCH(AZ$4,'因子水準表'!$B$4:$KO$4,0))&amp;"",""))</f>
        <v/>
      </c>
      <c r="DI8" s="26">
        <f>IF(BA$4="","",IFERROR(INDEX('因子水準表'!$B$9:$KO$18,3,MATCH(BA$4,'因子水準表'!$B$4:$KO$4,0))&amp;"",""))</f>
        <v/>
      </c>
      <c r="DJ8" s="26">
        <f>IF(BB$4="","",IFERROR(INDEX('因子水準表'!$B$9:$KO$18,3,MATCH(BB$4,'因子水準表'!$B$4:$KO$4,0))&amp;"",""))</f>
        <v/>
      </c>
      <c r="DK8" s="26">
        <f>IF(BC$4="","",IFERROR(INDEX('因子水準表'!$B$9:$KO$18,3,MATCH(BC$4,'因子水準表'!$B$4:$KO$4,0))&amp;"",""))</f>
        <v/>
      </c>
      <c r="DL8" s="26">
        <f>IF(BD$4="","",IFERROR(INDEX('因子水準表'!$B$9:$KO$18,3,MATCH(BD$4,'因子水準表'!$B$4:$KO$4,0))&amp;"",""))</f>
        <v/>
      </c>
      <c r="DM8" s="26">
        <f>IF('因子水準表'!B31="","",'因子水準表'!B31)</f>
        <v/>
      </c>
      <c r="DN8" s="26">
        <f>IF('テスト条件'!A7="","",'テスト条件'!A7)</f>
        <v/>
      </c>
    </row>
    <row r="9">
      <c r="A9" s="27" t="n"/>
      <c r="B9" s="27" t="n"/>
      <c r="C9" s="28">
        <f>IF(A9="","",$B$2)</f>
        <v/>
      </c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  <c r="AA9" s="27" t="n"/>
      <c r="AB9" s="27" t="n"/>
      <c r="AC9" s="27" t="n"/>
      <c r="AD9" s="27" t="n"/>
      <c r="AE9" s="27" t="n"/>
      <c r="AF9" s="27" t="n"/>
      <c r="AG9" s="27" t="n"/>
      <c r="AH9" s="27" t="n"/>
      <c r="AI9" s="27" t="n"/>
      <c r="AJ9" s="27" t="n"/>
      <c r="AK9" s="27" t="n"/>
      <c r="AL9" s="27" t="n"/>
      <c r="AM9" s="27" t="n"/>
      <c r="AN9" s="27" t="n"/>
      <c r="AO9" s="27" t="n"/>
      <c r="AP9" s="27" t="n"/>
      <c r="AQ9" s="27" t="n"/>
      <c r="AR9" s="27" t="n"/>
      <c r="AS9" s="27" t="n"/>
      <c r="AT9" s="27" t="n"/>
      <c r="AU9" s="27" t="n"/>
      <c r="AV9" s="27" t="n"/>
      <c r="AW9" s="27" t="n"/>
      <c r="AX9" s="27" t="n"/>
      <c r="AY9" s="27" t="n"/>
      <c r="AZ9" s="27" t="n"/>
      <c r="BA9" s="27" t="n"/>
      <c r="BB9" s="27" t="n"/>
      <c r="BC9" s="27" t="n"/>
      <c r="BD9" s="27" t="n"/>
      <c r="BE9" s="27" t="n"/>
      <c r="BF9" s="27" t="n"/>
      <c r="BG9" s="27" t="n"/>
      <c r="BH9" s="27" t="n"/>
      <c r="BI9" s="29" t="n"/>
      <c r="BJ9" s="27" t="n"/>
      <c r="BK9" s="27" t="n"/>
      <c r="BL9" s="27" t="n"/>
      <c r="BM9" s="27" t="n"/>
      <c r="BO9" s="26">
        <f>IF(G$4="","",IFERROR(INDEX('因子水準表'!$B$9:$KO$18,4,MATCH(G$4,'因子水準表'!$B$4:$KO$4,0))&amp;"",""))</f>
        <v/>
      </c>
      <c r="BP9" s="26">
        <f>IF(H$4="","",IFERROR(INDEX('因子水準表'!$B$9:$KO$18,4,MATCH(H$4,'因子水準表'!$B$4:$KO$4,0))&amp;"",""))</f>
        <v/>
      </c>
      <c r="BQ9" s="26">
        <f>IF(I$4="","",IFERROR(INDEX('因子水準表'!$B$9:$KO$18,4,MATCH(I$4,'因子水準表'!$B$4:$KO$4,0))&amp;"",""))</f>
        <v/>
      </c>
      <c r="BR9" s="26">
        <f>IF(J$4="","",IFERROR(INDEX('因子水準表'!$B$9:$KO$18,4,MATCH(J$4,'因子水準表'!$B$4:$KO$4,0))&amp;"",""))</f>
        <v/>
      </c>
      <c r="BS9" s="26">
        <f>IF(K$4="","",IFERROR(INDEX('因子水準表'!$B$9:$KO$18,4,MATCH(K$4,'因子水準表'!$B$4:$KO$4,0))&amp;"",""))</f>
        <v/>
      </c>
      <c r="BT9" s="26">
        <f>IF(L$4="","",IFERROR(INDEX('因子水準表'!$B$9:$KO$18,4,MATCH(L$4,'因子水準表'!$B$4:$KO$4,0))&amp;"",""))</f>
        <v/>
      </c>
      <c r="BU9" s="26">
        <f>IF(M$4="","",IFERROR(INDEX('因子水準表'!$B$9:$KO$18,4,MATCH(M$4,'因子水準表'!$B$4:$KO$4,0))&amp;"",""))</f>
        <v/>
      </c>
      <c r="BV9" s="26">
        <f>IF(N$4="","",IFERROR(INDEX('因子水準表'!$B$9:$KO$18,4,MATCH(N$4,'因子水準表'!$B$4:$KO$4,0))&amp;"",""))</f>
        <v/>
      </c>
      <c r="BW9" s="26">
        <f>IF(O$4="","",IFERROR(INDEX('因子水準表'!$B$9:$KO$18,4,MATCH(O$4,'因子水準表'!$B$4:$KO$4,0))&amp;"",""))</f>
        <v/>
      </c>
      <c r="BX9" s="26">
        <f>IF(P$4="","",IFERROR(INDEX('因子水準表'!$B$9:$KO$18,4,MATCH(P$4,'因子水準表'!$B$4:$KO$4,0))&amp;"",""))</f>
        <v/>
      </c>
      <c r="BY9" s="26">
        <f>IF(Q$4="","",IFERROR(INDEX('因子水準表'!$B$9:$KO$18,4,MATCH(Q$4,'因子水準表'!$B$4:$KO$4,0))&amp;"",""))</f>
        <v/>
      </c>
      <c r="BZ9" s="26">
        <f>IF(R$4="","",IFERROR(INDEX('因子水準表'!$B$9:$KO$18,4,MATCH(R$4,'因子水準表'!$B$4:$KO$4,0))&amp;"",""))</f>
        <v/>
      </c>
      <c r="CA9" s="26">
        <f>IF(S$4="","",IFERROR(INDEX('因子水準表'!$B$9:$KO$18,4,MATCH(S$4,'因子水準表'!$B$4:$KO$4,0))&amp;"",""))</f>
        <v/>
      </c>
      <c r="CB9" s="26">
        <f>IF(T$4="","",IFERROR(INDEX('因子水準表'!$B$9:$KO$18,4,MATCH(T$4,'因子水準表'!$B$4:$KO$4,0))&amp;"",""))</f>
        <v/>
      </c>
      <c r="CC9" s="26">
        <f>IF(U$4="","",IFERROR(INDEX('因子水準表'!$B$9:$KO$18,4,MATCH(U$4,'因子水準表'!$B$4:$KO$4,0))&amp;"",""))</f>
        <v/>
      </c>
      <c r="CD9" s="26">
        <f>IF(V$4="","",IFERROR(INDEX('因子水準表'!$B$9:$KO$18,4,MATCH(V$4,'因子水準表'!$B$4:$KO$4,0))&amp;"",""))</f>
        <v/>
      </c>
      <c r="CE9" s="26">
        <f>IF(W$4="","",IFERROR(INDEX('因子水準表'!$B$9:$KO$18,4,MATCH(W$4,'因子水準表'!$B$4:$KO$4,0))&amp;"",""))</f>
        <v/>
      </c>
      <c r="CF9" s="26">
        <f>IF(X$4="","",IFERROR(INDEX('因子水準表'!$B$9:$KO$18,4,MATCH(X$4,'因子水準表'!$B$4:$KO$4,0))&amp;"",""))</f>
        <v/>
      </c>
      <c r="CG9" s="26">
        <f>IF(Y$4="","",IFERROR(INDEX('因子水準表'!$B$9:$KO$18,4,MATCH(Y$4,'因子水準表'!$B$4:$KO$4,0))&amp;"",""))</f>
        <v/>
      </c>
      <c r="CH9" s="26">
        <f>IF(Z$4="","",IFERROR(INDEX('因子水準表'!$B$9:$KO$18,4,MATCH(Z$4,'因子水準表'!$B$4:$KO$4,0))&amp;"",""))</f>
        <v/>
      </c>
      <c r="CI9" s="26">
        <f>IF(AA$4="","",IFERROR(INDEX('因子水準表'!$B$9:$KO$18,4,MATCH(AA$4,'因子水準表'!$B$4:$KO$4,0))&amp;"",""))</f>
        <v/>
      </c>
      <c r="CJ9" s="26">
        <f>IF(AB$4="","",IFERROR(INDEX('因子水準表'!$B$9:$KO$18,4,MATCH(AB$4,'因子水準表'!$B$4:$KO$4,0))&amp;"",""))</f>
        <v/>
      </c>
      <c r="CK9" s="26">
        <f>IF(AC$4="","",IFERROR(INDEX('因子水準表'!$B$9:$KO$18,4,MATCH(AC$4,'因子水準表'!$B$4:$KO$4,0))&amp;"",""))</f>
        <v/>
      </c>
      <c r="CL9" s="26">
        <f>IF(AD$4="","",IFERROR(INDEX('因子水準表'!$B$9:$KO$18,4,MATCH(AD$4,'因子水準表'!$B$4:$KO$4,0))&amp;"",""))</f>
        <v/>
      </c>
      <c r="CM9" s="26">
        <f>IF(AE$4="","",IFERROR(INDEX('因子水準表'!$B$9:$KO$18,4,MATCH(AE$4,'因子水準表'!$B$4:$KO$4,0))&amp;"",""))</f>
        <v/>
      </c>
      <c r="CN9" s="26">
        <f>IF(AF$4="","",IFERROR(INDEX('因子水準表'!$B$9:$KO$18,4,MATCH(AF$4,'因子水準表'!$B$4:$KO$4,0))&amp;"",""))</f>
        <v/>
      </c>
      <c r="CO9" s="26">
        <f>IF(AG$4="","",IFERROR(INDEX('因子水準表'!$B$9:$KO$18,4,MATCH(AG$4,'因子水準表'!$B$4:$KO$4,0))&amp;"",""))</f>
        <v/>
      </c>
      <c r="CP9" s="26">
        <f>IF(AH$4="","",IFERROR(INDEX('因子水準表'!$B$9:$KO$18,4,MATCH(AH$4,'因子水準表'!$B$4:$KO$4,0))&amp;"",""))</f>
        <v/>
      </c>
      <c r="CQ9" s="26">
        <f>IF(AI$4="","",IFERROR(INDEX('因子水準表'!$B$9:$KO$18,4,MATCH(AI$4,'因子水準表'!$B$4:$KO$4,0))&amp;"",""))</f>
        <v/>
      </c>
      <c r="CR9" s="26">
        <f>IF(AJ$4="","",IFERROR(INDEX('因子水準表'!$B$9:$KO$18,4,MATCH(AJ$4,'因子水準表'!$B$4:$KO$4,0))&amp;"",""))</f>
        <v/>
      </c>
      <c r="CS9" s="26">
        <f>IF(AK$4="","",IFERROR(INDEX('因子水準表'!$B$9:$KO$18,4,MATCH(AK$4,'因子水準表'!$B$4:$KO$4,0))&amp;"",""))</f>
        <v/>
      </c>
      <c r="CT9" s="26">
        <f>IF(AL$4="","",IFERROR(INDEX('因子水準表'!$B$9:$KO$18,4,MATCH(AL$4,'因子水準表'!$B$4:$KO$4,0))&amp;"",""))</f>
        <v/>
      </c>
      <c r="CU9" s="26">
        <f>IF(AM$4="","",IFERROR(INDEX('因子水準表'!$B$9:$KO$18,4,MATCH(AM$4,'因子水準表'!$B$4:$KO$4,0))&amp;"",""))</f>
        <v/>
      </c>
      <c r="CV9" s="26">
        <f>IF(AN$4="","",IFERROR(INDEX('因子水準表'!$B$9:$KO$18,4,MATCH(AN$4,'因子水準表'!$B$4:$KO$4,0))&amp;"",""))</f>
        <v/>
      </c>
      <c r="CW9" s="26">
        <f>IF(AO$4="","",IFERROR(INDEX('因子水準表'!$B$9:$KO$18,4,MATCH(AO$4,'因子水準表'!$B$4:$KO$4,0))&amp;"",""))</f>
        <v/>
      </c>
      <c r="CX9" s="26">
        <f>IF(AP$4="","",IFERROR(INDEX('因子水準表'!$B$9:$KO$18,4,MATCH(AP$4,'因子水準表'!$B$4:$KO$4,0))&amp;"",""))</f>
        <v/>
      </c>
      <c r="CY9" s="26">
        <f>IF(AQ$4="","",IFERROR(INDEX('因子水準表'!$B$9:$KO$18,4,MATCH(AQ$4,'因子水準表'!$B$4:$KO$4,0))&amp;"",""))</f>
        <v/>
      </c>
      <c r="CZ9" s="26">
        <f>IF(AR$4="","",IFERROR(INDEX('因子水準表'!$B$9:$KO$18,4,MATCH(AR$4,'因子水準表'!$B$4:$KO$4,0))&amp;"",""))</f>
        <v/>
      </c>
      <c r="DA9" s="26">
        <f>IF(AS$4="","",IFERROR(INDEX('因子水準表'!$B$9:$KO$18,4,MATCH(AS$4,'因子水準表'!$B$4:$KO$4,0))&amp;"",""))</f>
        <v/>
      </c>
      <c r="DB9" s="26">
        <f>IF(AT$4="","",IFERROR(INDEX('因子水準表'!$B$9:$KO$18,4,MATCH(AT$4,'因子水準表'!$B$4:$KO$4,0))&amp;"",""))</f>
        <v/>
      </c>
      <c r="DC9" s="26">
        <f>IF(AU$4="","",IFERROR(INDEX('因子水準表'!$B$9:$KO$18,4,MATCH(AU$4,'因子水準表'!$B$4:$KO$4,0))&amp;"",""))</f>
        <v/>
      </c>
      <c r="DD9" s="26">
        <f>IF(AV$4="","",IFERROR(INDEX('因子水準表'!$B$9:$KO$18,4,MATCH(AV$4,'因子水準表'!$B$4:$KO$4,0))&amp;"",""))</f>
        <v/>
      </c>
      <c r="DE9" s="26">
        <f>IF(AW$4="","",IFERROR(INDEX('因子水準表'!$B$9:$KO$18,4,MATCH(AW$4,'因子水準表'!$B$4:$KO$4,0))&amp;"",""))</f>
        <v/>
      </c>
      <c r="DF9" s="26">
        <f>IF(AX$4="","",IFERROR(INDEX('因子水準表'!$B$9:$KO$18,4,MATCH(AX$4,'因子水準表'!$B$4:$KO$4,0))&amp;"",""))</f>
        <v/>
      </c>
      <c r="DG9" s="26">
        <f>IF(AY$4="","",IFERROR(INDEX('因子水準表'!$B$9:$KO$18,4,MATCH(AY$4,'因子水準表'!$B$4:$KO$4,0))&amp;"",""))</f>
        <v/>
      </c>
      <c r="DH9" s="26">
        <f>IF(AZ$4="","",IFERROR(INDEX('因子水準表'!$B$9:$KO$18,4,MATCH(AZ$4,'因子水準表'!$B$4:$KO$4,0))&amp;"",""))</f>
        <v/>
      </c>
      <c r="DI9" s="26">
        <f>IF(BA$4="","",IFERROR(INDEX('因子水準表'!$B$9:$KO$18,4,MATCH(BA$4,'因子水準表'!$B$4:$KO$4,0))&amp;"",""))</f>
        <v/>
      </c>
      <c r="DJ9" s="26">
        <f>IF(BB$4="","",IFERROR(INDEX('因子水準表'!$B$9:$KO$18,4,MATCH(BB$4,'因子水準表'!$B$4:$KO$4,0))&amp;"",""))</f>
        <v/>
      </c>
      <c r="DK9" s="26">
        <f>IF(BC$4="","",IFERROR(INDEX('因子水準表'!$B$9:$KO$18,4,MATCH(BC$4,'因子水準表'!$B$4:$KO$4,0))&amp;"",""))</f>
        <v/>
      </c>
      <c r="DL9" s="26">
        <f>IF(BD$4="","",IFERROR(INDEX('因子水準表'!$B$9:$KO$18,4,MATCH(BD$4,'因子水準表'!$B$4:$KO$4,0))&amp;"",""))</f>
        <v/>
      </c>
      <c r="DM9" s="26">
        <f>IF('因子水準表'!B32="","",'因子水準表'!B32)</f>
        <v/>
      </c>
      <c r="DN9" s="26">
        <f>IF('テスト条件'!A8="","",'テスト条件'!A8)</f>
        <v/>
      </c>
    </row>
    <row r="10">
      <c r="A10" s="27" t="n"/>
      <c r="B10" s="27" t="n"/>
      <c r="C10" s="28">
        <f>IF(A10="","",$B$2)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  <c r="AI10" s="27" t="n"/>
      <c r="AJ10" s="27" t="n"/>
      <c r="AK10" s="27" t="n"/>
      <c r="AL10" s="27" t="n"/>
      <c r="AM10" s="27" t="n"/>
      <c r="AN10" s="27" t="n"/>
      <c r="AO10" s="27" t="n"/>
      <c r="AP10" s="27" t="n"/>
      <c r="AQ10" s="27" t="n"/>
      <c r="AR10" s="27" t="n"/>
      <c r="AS10" s="27" t="n"/>
      <c r="AT10" s="27" t="n"/>
      <c r="AU10" s="27" t="n"/>
      <c r="AV10" s="27" t="n"/>
      <c r="AW10" s="27" t="n"/>
      <c r="AX10" s="27" t="n"/>
      <c r="AY10" s="27" t="n"/>
      <c r="AZ10" s="27" t="n"/>
      <c r="BA10" s="27" t="n"/>
      <c r="BB10" s="27" t="n"/>
      <c r="BC10" s="27" t="n"/>
      <c r="BD10" s="27" t="n"/>
      <c r="BE10" s="27" t="n"/>
      <c r="BF10" s="27" t="n"/>
      <c r="BG10" s="27" t="n"/>
      <c r="BH10" s="27" t="n"/>
      <c r="BI10" s="29" t="n"/>
      <c r="BJ10" s="27" t="n"/>
      <c r="BK10" s="27" t="n"/>
      <c r="BL10" s="27" t="n"/>
      <c r="BM10" s="27" t="n"/>
      <c r="BO10" s="26">
        <f>IF(G$4="","",IFERROR(INDEX('因子水準表'!$B$9:$KO$18,5,MATCH(G$4,'因子水準表'!$B$4:$KO$4,0))&amp;"",""))</f>
        <v/>
      </c>
      <c r="BP10" s="26">
        <f>IF(H$4="","",IFERROR(INDEX('因子水準表'!$B$9:$KO$18,5,MATCH(H$4,'因子水準表'!$B$4:$KO$4,0))&amp;"",""))</f>
        <v/>
      </c>
      <c r="BQ10" s="26">
        <f>IF(I$4="","",IFERROR(INDEX('因子水準表'!$B$9:$KO$18,5,MATCH(I$4,'因子水準表'!$B$4:$KO$4,0))&amp;"",""))</f>
        <v/>
      </c>
      <c r="BR10" s="26">
        <f>IF(J$4="","",IFERROR(INDEX('因子水準表'!$B$9:$KO$18,5,MATCH(J$4,'因子水準表'!$B$4:$KO$4,0))&amp;"",""))</f>
        <v/>
      </c>
      <c r="BS10" s="26">
        <f>IF(K$4="","",IFERROR(INDEX('因子水準表'!$B$9:$KO$18,5,MATCH(K$4,'因子水準表'!$B$4:$KO$4,0))&amp;"",""))</f>
        <v/>
      </c>
      <c r="BT10" s="26">
        <f>IF(L$4="","",IFERROR(INDEX('因子水準表'!$B$9:$KO$18,5,MATCH(L$4,'因子水準表'!$B$4:$KO$4,0))&amp;"",""))</f>
        <v/>
      </c>
      <c r="BU10" s="26">
        <f>IF(M$4="","",IFERROR(INDEX('因子水準表'!$B$9:$KO$18,5,MATCH(M$4,'因子水準表'!$B$4:$KO$4,0))&amp;"",""))</f>
        <v/>
      </c>
      <c r="BV10" s="26">
        <f>IF(N$4="","",IFERROR(INDEX('因子水準表'!$B$9:$KO$18,5,MATCH(N$4,'因子水準表'!$B$4:$KO$4,0))&amp;"",""))</f>
        <v/>
      </c>
      <c r="BW10" s="26">
        <f>IF(O$4="","",IFERROR(INDEX('因子水準表'!$B$9:$KO$18,5,MATCH(O$4,'因子水準表'!$B$4:$KO$4,0))&amp;"",""))</f>
        <v/>
      </c>
      <c r="BX10" s="26">
        <f>IF(P$4="","",IFERROR(INDEX('因子水準表'!$B$9:$KO$18,5,MATCH(P$4,'因子水準表'!$B$4:$KO$4,0))&amp;"",""))</f>
        <v/>
      </c>
      <c r="BY10" s="26">
        <f>IF(Q$4="","",IFERROR(INDEX('因子水準表'!$B$9:$KO$18,5,MATCH(Q$4,'因子水準表'!$B$4:$KO$4,0))&amp;"",""))</f>
        <v/>
      </c>
      <c r="BZ10" s="26">
        <f>IF(R$4="","",IFERROR(INDEX('因子水準表'!$B$9:$KO$18,5,MATCH(R$4,'因子水準表'!$B$4:$KO$4,0))&amp;"",""))</f>
        <v/>
      </c>
      <c r="CA10" s="26">
        <f>IF(S$4="","",IFERROR(INDEX('因子水準表'!$B$9:$KO$18,5,MATCH(S$4,'因子水準表'!$B$4:$KO$4,0))&amp;"",""))</f>
        <v/>
      </c>
      <c r="CB10" s="26">
        <f>IF(T$4="","",IFERROR(INDEX('因子水準表'!$B$9:$KO$18,5,MATCH(T$4,'因子水準表'!$B$4:$KO$4,0))&amp;"",""))</f>
        <v/>
      </c>
      <c r="CC10" s="26">
        <f>IF(U$4="","",IFERROR(INDEX('因子水準表'!$B$9:$KO$18,5,MATCH(U$4,'因子水準表'!$B$4:$KO$4,0))&amp;"",""))</f>
        <v/>
      </c>
      <c r="CD10" s="26">
        <f>IF(V$4="","",IFERROR(INDEX('因子水準表'!$B$9:$KO$18,5,MATCH(V$4,'因子水準表'!$B$4:$KO$4,0))&amp;"",""))</f>
        <v/>
      </c>
      <c r="CE10" s="26">
        <f>IF(W$4="","",IFERROR(INDEX('因子水準表'!$B$9:$KO$18,5,MATCH(W$4,'因子水準表'!$B$4:$KO$4,0))&amp;"",""))</f>
        <v/>
      </c>
      <c r="CF10" s="26">
        <f>IF(X$4="","",IFERROR(INDEX('因子水準表'!$B$9:$KO$18,5,MATCH(X$4,'因子水準表'!$B$4:$KO$4,0))&amp;"",""))</f>
        <v/>
      </c>
      <c r="CG10" s="26">
        <f>IF(Y$4="","",IFERROR(INDEX('因子水準表'!$B$9:$KO$18,5,MATCH(Y$4,'因子水準表'!$B$4:$KO$4,0))&amp;"",""))</f>
        <v/>
      </c>
      <c r="CH10" s="26">
        <f>IF(Z$4="","",IFERROR(INDEX('因子水準表'!$B$9:$KO$18,5,MATCH(Z$4,'因子水準表'!$B$4:$KO$4,0))&amp;"",""))</f>
        <v/>
      </c>
      <c r="CI10" s="26">
        <f>IF(AA$4="","",IFERROR(INDEX('因子水準表'!$B$9:$KO$18,5,MATCH(AA$4,'因子水準表'!$B$4:$KO$4,0))&amp;"",""))</f>
        <v/>
      </c>
      <c r="CJ10" s="26">
        <f>IF(AB$4="","",IFERROR(INDEX('因子水準表'!$B$9:$KO$18,5,MATCH(AB$4,'因子水準表'!$B$4:$KO$4,0))&amp;"",""))</f>
        <v/>
      </c>
      <c r="CK10" s="26">
        <f>IF(AC$4="","",IFERROR(INDEX('因子水準表'!$B$9:$KO$18,5,MATCH(AC$4,'因子水準表'!$B$4:$KO$4,0))&amp;"",""))</f>
        <v/>
      </c>
      <c r="CL10" s="26">
        <f>IF(AD$4="","",IFERROR(INDEX('因子水準表'!$B$9:$KO$18,5,MATCH(AD$4,'因子水準表'!$B$4:$KO$4,0))&amp;"",""))</f>
        <v/>
      </c>
      <c r="CM10" s="26">
        <f>IF(AE$4="","",IFERROR(INDEX('因子水準表'!$B$9:$KO$18,5,MATCH(AE$4,'因子水準表'!$B$4:$KO$4,0))&amp;"",""))</f>
        <v/>
      </c>
      <c r="CN10" s="26">
        <f>IF(AF$4="","",IFERROR(INDEX('因子水準表'!$B$9:$KO$18,5,MATCH(AF$4,'因子水準表'!$B$4:$KO$4,0))&amp;"",""))</f>
        <v/>
      </c>
      <c r="CO10" s="26">
        <f>IF(AG$4="","",IFERROR(INDEX('因子水準表'!$B$9:$KO$18,5,MATCH(AG$4,'因子水準表'!$B$4:$KO$4,0))&amp;"",""))</f>
        <v/>
      </c>
      <c r="CP10" s="26">
        <f>IF(AH$4="","",IFERROR(INDEX('因子水準表'!$B$9:$KO$18,5,MATCH(AH$4,'因子水準表'!$B$4:$KO$4,0))&amp;"",""))</f>
        <v/>
      </c>
      <c r="CQ10" s="26">
        <f>IF(AI$4="","",IFERROR(INDEX('因子水準表'!$B$9:$KO$18,5,MATCH(AI$4,'因子水準表'!$B$4:$KO$4,0))&amp;"",""))</f>
        <v/>
      </c>
      <c r="CR10" s="26">
        <f>IF(AJ$4="","",IFERROR(INDEX('因子水準表'!$B$9:$KO$18,5,MATCH(AJ$4,'因子水準表'!$B$4:$KO$4,0))&amp;"",""))</f>
        <v/>
      </c>
      <c r="CS10" s="26">
        <f>IF(AK$4="","",IFERROR(INDEX('因子水準表'!$B$9:$KO$18,5,MATCH(AK$4,'因子水準表'!$B$4:$KO$4,0))&amp;"",""))</f>
        <v/>
      </c>
      <c r="CT10" s="26">
        <f>IF(AL$4="","",IFERROR(INDEX('因子水準表'!$B$9:$KO$18,5,MATCH(AL$4,'因子水準表'!$B$4:$KO$4,0))&amp;"",""))</f>
        <v/>
      </c>
      <c r="CU10" s="26">
        <f>IF(AM$4="","",IFERROR(INDEX('因子水準表'!$B$9:$KO$18,5,MATCH(AM$4,'因子水準表'!$B$4:$KO$4,0))&amp;"",""))</f>
        <v/>
      </c>
      <c r="CV10" s="26">
        <f>IF(AN$4="","",IFERROR(INDEX('因子水準表'!$B$9:$KO$18,5,MATCH(AN$4,'因子水準表'!$B$4:$KO$4,0))&amp;"",""))</f>
        <v/>
      </c>
      <c r="CW10" s="26">
        <f>IF(AO$4="","",IFERROR(INDEX('因子水準表'!$B$9:$KO$18,5,MATCH(AO$4,'因子水準表'!$B$4:$KO$4,0))&amp;"",""))</f>
        <v/>
      </c>
      <c r="CX10" s="26">
        <f>IF(AP$4="","",IFERROR(INDEX('因子水準表'!$B$9:$KO$18,5,MATCH(AP$4,'因子水準表'!$B$4:$KO$4,0))&amp;"",""))</f>
        <v/>
      </c>
      <c r="CY10" s="26">
        <f>IF(AQ$4="","",IFERROR(INDEX('因子水準表'!$B$9:$KO$18,5,MATCH(AQ$4,'因子水準表'!$B$4:$KO$4,0))&amp;"",""))</f>
        <v/>
      </c>
      <c r="CZ10" s="26">
        <f>IF(AR$4="","",IFERROR(INDEX('因子水準表'!$B$9:$KO$18,5,MATCH(AR$4,'因子水準表'!$B$4:$KO$4,0))&amp;"",""))</f>
        <v/>
      </c>
      <c r="DA10" s="26">
        <f>IF(AS$4="","",IFERROR(INDEX('因子水準表'!$B$9:$KO$18,5,MATCH(AS$4,'因子水準表'!$B$4:$KO$4,0))&amp;"",""))</f>
        <v/>
      </c>
      <c r="DB10" s="26">
        <f>IF(AT$4="","",IFERROR(INDEX('因子水準表'!$B$9:$KO$18,5,MATCH(AT$4,'因子水準表'!$B$4:$KO$4,0))&amp;"",""))</f>
        <v/>
      </c>
      <c r="DC10" s="26">
        <f>IF(AU$4="","",IFERROR(INDEX('因子水準表'!$B$9:$KO$18,5,MATCH(AU$4,'因子水準表'!$B$4:$KO$4,0))&amp;"",""))</f>
        <v/>
      </c>
      <c r="DD10" s="26">
        <f>IF(AV$4="","",IFERROR(INDEX('因子水準表'!$B$9:$KO$18,5,MATCH(AV$4,'因子水準表'!$B$4:$KO$4,0))&amp;"",""))</f>
        <v/>
      </c>
      <c r="DE10" s="26">
        <f>IF(AW$4="","",IFERROR(INDEX('因子水準表'!$B$9:$KO$18,5,MATCH(AW$4,'因子水準表'!$B$4:$KO$4,0))&amp;"",""))</f>
        <v/>
      </c>
      <c r="DF10" s="26">
        <f>IF(AX$4="","",IFERROR(INDEX('因子水準表'!$B$9:$KO$18,5,MATCH(AX$4,'因子水準表'!$B$4:$KO$4,0))&amp;"",""))</f>
        <v/>
      </c>
      <c r="DG10" s="26">
        <f>IF(AY$4="","",IFERROR(INDEX('因子水準表'!$B$9:$KO$18,5,MATCH(AY$4,'因子水準表'!$B$4:$KO$4,0))&amp;"",""))</f>
        <v/>
      </c>
      <c r="DH10" s="26">
        <f>IF(AZ$4="","",IFERROR(INDEX('因子水準表'!$B$9:$KO$18,5,MATCH(AZ$4,'因子水準表'!$B$4:$KO$4,0))&amp;"",""))</f>
        <v/>
      </c>
      <c r="DI10" s="26">
        <f>IF(BA$4="","",IFERROR(INDEX('因子水準表'!$B$9:$KO$18,5,MATCH(BA$4,'因子水準表'!$B$4:$KO$4,0))&amp;"",""))</f>
        <v/>
      </c>
      <c r="DJ10" s="26">
        <f>IF(BB$4="","",IFERROR(INDEX('因子水準表'!$B$9:$KO$18,5,MATCH(BB$4,'因子水準表'!$B$4:$KO$4,0))&amp;"",""))</f>
        <v/>
      </c>
      <c r="DK10" s="26">
        <f>IF(BC$4="","",IFERROR(INDEX('因子水準表'!$B$9:$KO$18,5,MATCH(BC$4,'因子水準表'!$B$4:$KO$4,0))&amp;"",""))</f>
        <v/>
      </c>
      <c r="DL10" s="26">
        <f>IF(BD$4="","",IFERROR(INDEX('因子水準表'!$B$9:$KO$18,5,MATCH(BD$4,'因子水準表'!$B$4:$KO$4,0))&amp;"",""))</f>
        <v/>
      </c>
      <c r="DM10" s="26">
        <f>IF('因子水準表'!B33="","",'因子水準表'!B33)</f>
        <v/>
      </c>
      <c r="DN10" s="26">
        <f>IF('テスト条件'!A9="","",'テスト条件'!A9)</f>
        <v/>
      </c>
    </row>
    <row r="11">
      <c r="A11" s="27" t="n"/>
      <c r="B11" s="27" t="n"/>
      <c r="C11" s="28">
        <f>IF(A11="","",$B$2)</f>
        <v/>
      </c>
      <c r="D11" s="27" t="n"/>
      <c r="E11" s="27" t="n"/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  <c r="AA11" s="27" t="n"/>
      <c r="AB11" s="27" t="n"/>
      <c r="AC11" s="27" t="n"/>
      <c r="AD11" s="27" t="n"/>
      <c r="AE11" s="27" t="n"/>
      <c r="AF11" s="27" t="n"/>
      <c r="AG11" s="27" t="n"/>
      <c r="AH11" s="27" t="n"/>
      <c r="AI11" s="27" t="n"/>
      <c r="AJ11" s="27" t="n"/>
      <c r="AK11" s="27" t="n"/>
      <c r="AL11" s="27" t="n"/>
      <c r="AM11" s="27" t="n"/>
      <c r="AN11" s="27" t="n"/>
      <c r="AO11" s="27" t="n"/>
      <c r="AP11" s="27" t="n"/>
      <c r="AQ11" s="27" t="n"/>
      <c r="AR11" s="27" t="n"/>
      <c r="AS11" s="27" t="n"/>
      <c r="AT11" s="27" t="n"/>
      <c r="AU11" s="27" t="n"/>
      <c r="AV11" s="27" t="n"/>
      <c r="AW11" s="27" t="n"/>
      <c r="AX11" s="27" t="n"/>
      <c r="AY11" s="27" t="n"/>
      <c r="AZ11" s="27" t="n"/>
      <c r="BA11" s="27" t="n"/>
      <c r="BB11" s="27" t="n"/>
      <c r="BC11" s="27" t="n"/>
      <c r="BD11" s="27" t="n"/>
      <c r="BE11" s="27" t="n"/>
      <c r="BF11" s="27" t="n"/>
      <c r="BG11" s="27" t="n"/>
      <c r="BH11" s="27" t="n"/>
      <c r="BI11" s="29" t="n"/>
      <c r="BJ11" s="27" t="n"/>
      <c r="BK11" s="27" t="n"/>
      <c r="BL11" s="27" t="n"/>
      <c r="BM11" s="27" t="n"/>
      <c r="BO11" s="26">
        <f>IF(G$4="","",IFERROR(INDEX('因子水準表'!$B$9:$KO$18,6,MATCH(G$4,'因子水準表'!$B$4:$KO$4,0))&amp;"",""))</f>
        <v/>
      </c>
      <c r="BP11" s="26">
        <f>IF(H$4="","",IFERROR(INDEX('因子水準表'!$B$9:$KO$18,6,MATCH(H$4,'因子水準表'!$B$4:$KO$4,0))&amp;"",""))</f>
        <v/>
      </c>
      <c r="BQ11" s="26">
        <f>IF(I$4="","",IFERROR(INDEX('因子水準表'!$B$9:$KO$18,6,MATCH(I$4,'因子水準表'!$B$4:$KO$4,0))&amp;"",""))</f>
        <v/>
      </c>
      <c r="BR11" s="26">
        <f>IF(J$4="","",IFERROR(INDEX('因子水準表'!$B$9:$KO$18,6,MATCH(J$4,'因子水準表'!$B$4:$KO$4,0))&amp;"",""))</f>
        <v/>
      </c>
      <c r="BS11" s="26">
        <f>IF(K$4="","",IFERROR(INDEX('因子水準表'!$B$9:$KO$18,6,MATCH(K$4,'因子水準表'!$B$4:$KO$4,0))&amp;"",""))</f>
        <v/>
      </c>
      <c r="BT11" s="26">
        <f>IF(L$4="","",IFERROR(INDEX('因子水準表'!$B$9:$KO$18,6,MATCH(L$4,'因子水準表'!$B$4:$KO$4,0))&amp;"",""))</f>
        <v/>
      </c>
      <c r="BU11" s="26">
        <f>IF(M$4="","",IFERROR(INDEX('因子水準表'!$B$9:$KO$18,6,MATCH(M$4,'因子水準表'!$B$4:$KO$4,0))&amp;"",""))</f>
        <v/>
      </c>
      <c r="BV11" s="26">
        <f>IF(N$4="","",IFERROR(INDEX('因子水準表'!$B$9:$KO$18,6,MATCH(N$4,'因子水準表'!$B$4:$KO$4,0))&amp;"",""))</f>
        <v/>
      </c>
      <c r="BW11" s="26">
        <f>IF(O$4="","",IFERROR(INDEX('因子水準表'!$B$9:$KO$18,6,MATCH(O$4,'因子水準表'!$B$4:$KO$4,0))&amp;"",""))</f>
        <v/>
      </c>
      <c r="BX11" s="26">
        <f>IF(P$4="","",IFERROR(INDEX('因子水準表'!$B$9:$KO$18,6,MATCH(P$4,'因子水準表'!$B$4:$KO$4,0))&amp;"",""))</f>
        <v/>
      </c>
      <c r="BY11" s="26">
        <f>IF(Q$4="","",IFERROR(INDEX('因子水準表'!$B$9:$KO$18,6,MATCH(Q$4,'因子水準表'!$B$4:$KO$4,0))&amp;"",""))</f>
        <v/>
      </c>
      <c r="BZ11" s="26">
        <f>IF(R$4="","",IFERROR(INDEX('因子水準表'!$B$9:$KO$18,6,MATCH(R$4,'因子水準表'!$B$4:$KO$4,0))&amp;"",""))</f>
        <v/>
      </c>
      <c r="CA11" s="26">
        <f>IF(S$4="","",IFERROR(INDEX('因子水準表'!$B$9:$KO$18,6,MATCH(S$4,'因子水準表'!$B$4:$KO$4,0))&amp;"",""))</f>
        <v/>
      </c>
      <c r="CB11" s="26">
        <f>IF(T$4="","",IFERROR(INDEX('因子水準表'!$B$9:$KO$18,6,MATCH(T$4,'因子水準表'!$B$4:$KO$4,0))&amp;"",""))</f>
        <v/>
      </c>
      <c r="CC11" s="26">
        <f>IF(U$4="","",IFERROR(INDEX('因子水準表'!$B$9:$KO$18,6,MATCH(U$4,'因子水準表'!$B$4:$KO$4,0))&amp;"",""))</f>
        <v/>
      </c>
      <c r="CD11" s="26">
        <f>IF(V$4="","",IFERROR(INDEX('因子水準表'!$B$9:$KO$18,6,MATCH(V$4,'因子水準表'!$B$4:$KO$4,0))&amp;"",""))</f>
        <v/>
      </c>
      <c r="CE11" s="26">
        <f>IF(W$4="","",IFERROR(INDEX('因子水準表'!$B$9:$KO$18,6,MATCH(W$4,'因子水準表'!$B$4:$KO$4,0))&amp;"",""))</f>
        <v/>
      </c>
      <c r="CF11" s="26">
        <f>IF(X$4="","",IFERROR(INDEX('因子水準表'!$B$9:$KO$18,6,MATCH(X$4,'因子水準表'!$B$4:$KO$4,0))&amp;"",""))</f>
        <v/>
      </c>
      <c r="CG11" s="26">
        <f>IF(Y$4="","",IFERROR(INDEX('因子水準表'!$B$9:$KO$18,6,MATCH(Y$4,'因子水準表'!$B$4:$KO$4,0))&amp;"",""))</f>
        <v/>
      </c>
      <c r="CH11" s="26">
        <f>IF(Z$4="","",IFERROR(INDEX('因子水準表'!$B$9:$KO$18,6,MATCH(Z$4,'因子水準表'!$B$4:$KO$4,0))&amp;"",""))</f>
        <v/>
      </c>
      <c r="CI11" s="26">
        <f>IF(AA$4="","",IFERROR(INDEX('因子水準表'!$B$9:$KO$18,6,MATCH(AA$4,'因子水準表'!$B$4:$KO$4,0))&amp;"",""))</f>
        <v/>
      </c>
      <c r="CJ11" s="26">
        <f>IF(AB$4="","",IFERROR(INDEX('因子水準表'!$B$9:$KO$18,6,MATCH(AB$4,'因子水準表'!$B$4:$KO$4,0))&amp;"",""))</f>
        <v/>
      </c>
      <c r="CK11" s="26">
        <f>IF(AC$4="","",IFERROR(INDEX('因子水準表'!$B$9:$KO$18,6,MATCH(AC$4,'因子水準表'!$B$4:$KO$4,0))&amp;"",""))</f>
        <v/>
      </c>
      <c r="CL11" s="26">
        <f>IF(AD$4="","",IFERROR(INDEX('因子水準表'!$B$9:$KO$18,6,MATCH(AD$4,'因子水準表'!$B$4:$KO$4,0))&amp;"",""))</f>
        <v/>
      </c>
      <c r="CM11" s="26">
        <f>IF(AE$4="","",IFERROR(INDEX('因子水準表'!$B$9:$KO$18,6,MATCH(AE$4,'因子水準表'!$B$4:$KO$4,0))&amp;"",""))</f>
        <v/>
      </c>
      <c r="CN11" s="26">
        <f>IF(AF$4="","",IFERROR(INDEX('因子水準表'!$B$9:$KO$18,6,MATCH(AF$4,'因子水準表'!$B$4:$KO$4,0))&amp;"",""))</f>
        <v/>
      </c>
      <c r="CO11" s="26">
        <f>IF(AG$4="","",IFERROR(INDEX('因子水準表'!$B$9:$KO$18,6,MATCH(AG$4,'因子水準表'!$B$4:$KO$4,0))&amp;"",""))</f>
        <v/>
      </c>
      <c r="CP11" s="26">
        <f>IF(AH$4="","",IFERROR(INDEX('因子水準表'!$B$9:$KO$18,6,MATCH(AH$4,'因子水準表'!$B$4:$KO$4,0))&amp;"",""))</f>
        <v/>
      </c>
      <c r="CQ11" s="26">
        <f>IF(AI$4="","",IFERROR(INDEX('因子水準表'!$B$9:$KO$18,6,MATCH(AI$4,'因子水準表'!$B$4:$KO$4,0))&amp;"",""))</f>
        <v/>
      </c>
      <c r="CR11" s="26">
        <f>IF(AJ$4="","",IFERROR(INDEX('因子水準表'!$B$9:$KO$18,6,MATCH(AJ$4,'因子水準表'!$B$4:$KO$4,0))&amp;"",""))</f>
        <v/>
      </c>
      <c r="CS11" s="26">
        <f>IF(AK$4="","",IFERROR(INDEX('因子水準表'!$B$9:$KO$18,6,MATCH(AK$4,'因子水準表'!$B$4:$KO$4,0))&amp;"",""))</f>
        <v/>
      </c>
      <c r="CT11" s="26">
        <f>IF(AL$4="","",IFERROR(INDEX('因子水準表'!$B$9:$KO$18,6,MATCH(AL$4,'因子水準表'!$B$4:$KO$4,0))&amp;"",""))</f>
        <v/>
      </c>
      <c r="CU11" s="26">
        <f>IF(AM$4="","",IFERROR(INDEX('因子水準表'!$B$9:$KO$18,6,MATCH(AM$4,'因子水準表'!$B$4:$KO$4,0))&amp;"",""))</f>
        <v/>
      </c>
      <c r="CV11" s="26">
        <f>IF(AN$4="","",IFERROR(INDEX('因子水準表'!$B$9:$KO$18,6,MATCH(AN$4,'因子水準表'!$B$4:$KO$4,0))&amp;"",""))</f>
        <v/>
      </c>
      <c r="CW11" s="26">
        <f>IF(AO$4="","",IFERROR(INDEX('因子水準表'!$B$9:$KO$18,6,MATCH(AO$4,'因子水準表'!$B$4:$KO$4,0))&amp;"",""))</f>
        <v/>
      </c>
      <c r="CX11" s="26">
        <f>IF(AP$4="","",IFERROR(INDEX('因子水準表'!$B$9:$KO$18,6,MATCH(AP$4,'因子水準表'!$B$4:$KO$4,0))&amp;"",""))</f>
        <v/>
      </c>
      <c r="CY11" s="26">
        <f>IF(AQ$4="","",IFERROR(INDEX('因子水準表'!$B$9:$KO$18,6,MATCH(AQ$4,'因子水準表'!$B$4:$KO$4,0))&amp;"",""))</f>
        <v/>
      </c>
      <c r="CZ11" s="26">
        <f>IF(AR$4="","",IFERROR(INDEX('因子水準表'!$B$9:$KO$18,6,MATCH(AR$4,'因子水準表'!$B$4:$KO$4,0))&amp;"",""))</f>
        <v/>
      </c>
      <c r="DA11" s="26">
        <f>IF(AS$4="","",IFERROR(INDEX('因子水準表'!$B$9:$KO$18,6,MATCH(AS$4,'因子水準表'!$B$4:$KO$4,0))&amp;"",""))</f>
        <v/>
      </c>
      <c r="DB11" s="26">
        <f>IF(AT$4="","",IFERROR(INDEX('因子水準表'!$B$9:$KO$18,6,MATCH(AT$4,'因子水準表'!$B$4:$KO$4,0))&amp;"",""))</f>
        <v/>
      </c>
      <c r="DC11" s="26">
        <f>IF(AU$4="","",IFERROR(INDEX('因子水準表'!$B$9:$KO$18,6,MATCH(AU$4,'因子水準表'!$B$4:$KO$4,0))&amp;"",""))</f>
        <v/>
      </c>
      <c r="DD11" s="26">
        <f>IF(AV$4="","",IFERROR(INDEX('因子水準表'!$B$9:$KO$18,6,MATCH(AV$4,'因子水準表'!$B$4:$KO$4,0))&amp;"",""))</f>
        <v/>
      </c>
      <c r="DE11" s="26">
        <f>IF(AW$4="","",IFERROR(INDEX('因子水準表'!$B$9:$KO$18,6,MATCH(AW$4,'因子水準表'!$B$4:$KO$4,0))&amp;"",""))</f>
        <v/>
      </c>
      <c r="DF11" s="26">
        <f>IF(AX$4="","",IFERROR(INDEX('因子水準表'!$B$9:$KO$18,6,MATCH(AX$4,'因子水準表'!$B$4:$KO$4,0))&amp;"",""))</f>
        <v/>
      </c>
      <c r="DG11" s="26">
        <f>IF(AY$4="","",IFERROR(INDEX('因子水準表'!$B$9:$KO$18,6,MATCH(AY$4,'因子水準表'!$B$4:$KO$4,0))&amp;"",""))</f>
        <v/>
      </c>
      <c r="DH11" s="26">
        <f>IF(AZ$4="","",IFERROR(INDEX('因子水準表'!$B$9:$KO$18,6,MATCH(AZ$4,'因子水準表'!$B$4:$KO$4,0))&amp;"",""))</f>
        <v/>
      </c>
      <c r="DI11" s="26">
        <f>IF(BA$4="","",IFERROR(INDEX('因子水準表'!$B$9:$KO$18,6,MATCH(BA$4,'因子水準表'!$B$4:$KO$4,0))&amp;"",""))</f>
        <v/>
      </c>
      <c r="DJ11" s="26">
        <f>IF(BB$4="","",IFERROR(INDEX('因子水準表'!$B$9:$KO$18,6,MATCH(BB$4,'因子水準表'!$B$4:$KO$4,0))&amp;"",""))</f>
        <v/>
      </c>
      <c r="DK11" s="26">
        <f>IF(BC$4="","",IFERROR(INDEX('因子水準表'!$B$9:$KO$18,6,MATCH(BC$4,'因子水準表'!$B$4:$KO$4,0))&amp;"",""))</f>
        <v/>
      </c>
      <c r="DL11" s="26">
        <f>IF(BD$4="","",IFERROR(INDEX('因子水準表'!$B$9:$KO$18,6,MATCH(BD$4,'因子水準表'!$B$4:$KO$4,0))&amp;"",""))</f>
        <v/>
      </c>
      <c r="DM11" s="26">
        <f>IF('因子水準表'!B34="","",'因子水準表'!B34)</f>
        <v/>
      </c>
      <c r="DN11" s="26">
        <f>IF('テスト条件'!A10="","",'テスト条件'!A10)</f>
        <v/>
      </c>
    </row>
    <row r="12">
      <c r="A12" s="27" t="n"/>
      <c r="B12" s="27" t="n"/>
      <c r="C12" s="28">
        <f>IF(A12="","",$B$2)</f>
        <v/>
      </c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  <c r="AJ12" s="27" t="n"/>
      <c r="AK12" s="27" t="n"/>
      <c r="AL12" s="27" t="n"/>
      <c r="AM12" s="27" t="n"/>
      <c r="AN12" s="27" t="n"/>
      <c r="AO12" s="27" t="n"/>
      <c r="AP12" s="27" t="n"/>
      <c r="AQ12" s="27" t="n"/>
      <c r="AR12" s="27" t="n"/>
      <c r="AS12" s="27" t="n"/>
      <c r="AT12" s="27" t="n"/>
      <c r="AU12" s="27" t="n"/>
      <c r="AV12" s="27" t="n"/>
      <c r="AW12" s="27" t="n"/>
      <c r="AX12" s="27" t="n"/>
      <c r="AY12" s="27" t="n"/>
      <c r="AZ12" s="27" t="n"/>
      <c r="BA12" s="27" t="n"/>
      <c r="BB12" s="27" t="n"/>
      <c r="BC12" s="27" t="n"/>
      <c r="BD12" s="27" t="n"/>
      <c r="BE12" s="27" t="n"/>
      <c r="BF12" s="27" t="n"/>
      <c r="BG12" s="27" t="n"/>
      <c r="BH12" s="27" t="n"/>
      <c r="BI12" s="29" t="n"/>
      <c r="BJ12" s="27" t="n"/>
      <c r="BK12" s="27" t="n"/>
      <c r="BL12" s="27" t="n"/>
      <c r="BM12" s="27" t="n"/>
      <c r="BO12" s="26">
        <f>IF(G$4="","",IFERROR(INDEX('因子水準表'!$B$9:$KO$18,7,MATCH(G$4,'因子水準表'!$B$4:$KO$4,0))&amp;"",""))</f>
        <v/>
      </c>
      <c r="BP12" s="26">
        <f>IF(H$4="","",IFERROR(INDEX('因子水準表'!$B$9:$KO$18,7,MATCH(H$4,'因子水準表'!$B$4:$KO$4,0))&amp;"",""))</f>
        <v/>
      </c>
      <c r="BQ12" s="26">
        <f>IF(I$4="","",IFERROR(INDEX('因子水準表'!$B$9:$KO$18,7,MATCH(I$4,'因子水準表'!$B$4:$KO$4,0))&amp;"",""))</f>
        <v/>
      </c>
      <c r="BR12" s="26">
        <f>IF(J$4="","",IFERROR(INDEX('因子水準表'!$B$9:$KO$18,7,MATCH(J$4,'因子水準表'!$B$4:$KO$4,0))&amp;"",""))</f>
        <v/>
      </c>
      <c r="BS12" s="26">
        <f>IF(K$4="","",IFERROR(INDEX('因子水準表'!$B$9:$KO$18,7,MATCH(K$4,'因子水準表'!$B$4:$KO$4,0))&amp;"",""))</f>
        <v/>
      </c>
      <c r="BT12" s="26">
        <f>IF(L$4="","",IFERROR(INDEX('因子水準表'!$B$9:$KO$18,7,MATCH(L$4,'因子水準表'!$B$4:$KO$4,0))&amp;"",""))</f>
        <v/>
      </c>
      <c r="BU12" s="26">
        <f>IF(M$4="","",IFERROR(INDEX('因子水準表'!$B$9:$KO$18,7,MATCH(M$4,'因子水準表'!$B$4:$KO$4,0))&amp;"",""))</f>
        <v/>
      </c>
      <c r="BV12" s="26">
        <f>IF(N$4="","",IFERROR(INDEX('因子水準表'!$B$9:$KO$18,7,MATCH(N$4,'因子水準表'!$B$4:$KO$4,0))&amp;"",""))</f>
        <v/>
      </c>
      <c r="BW12" s="26">
        <f>IF(O$4="","",IFERROR(INDEX('因子水準表'!$B$9:$KO$18,7,MATCH(O$4,'因子水準表'!$B$4:$KO$4,0))&amp;"",""))</f>
        <v/>
      </c>
      <c r="BX12" s="26">
        <f>IF(P$4="","",IFERROR(INDEX('因子水準表'!$B$9:$KO$18,7,MATCH(P$4,'因子水準表'!$B$4:$KO$4,0))&amp;"",""))</f>
        <v/>
      </c>
      <c r="BY12" s="26">
        <f>IF(Q$4="","",IFERROR(INDEX('因子水準表'!$B$9:$KO$18,7,MATCH(Q$4,'因子水準表'!$B$4:$KO$4,0))&amp;"",""))</f>
        <v/>
      </c>
      <c r="BZ12" s="26">
        <f>IF(R$4="","",IFERROR(INDEX('因子水準表'!$B$9:$KO$18,7,MATCH(R$4,'因子水準表'!$B$4:$KO$4,0))&amp;"",""))</f>
        <v/>
      </c>
      <c r="CA12" s="26">
        <f>IF(S$4="","",IFERROR(INDEX('因子水準表'!$B$9:$KO$18,7,MATCH(S$4,'因子水準表'!$B$4:$KO$4,0))&amp;"",""))</f>
        <v/>
      </c>
      <c r="CB12" s="26">
        <f>IF(T$4="","",IFERROR(INDEX('因子水準表'!$B$9:$KO$18,7,MATCH(T$4,'因子水準表'!$B$4:$KO$4,0))&amp;"",""))</f>
        <v/>
      </c>
      <c r="CC12" s="26">
        <f>IF(U$4="","",IFERROR(INDEX('因子水準表'!$B$9:$KO$18,7,MATCH(U$4,'因子水準表'!$B$4:$KO$4,0))&amp;"",""))</f>
        <v/>
      </c>
      <c r="CD12" s="26">
        <f>IF(V$4="","",IFERROR(INDEX('因子水準表'!$B$9:$KO$18,7,MATCH(V$4,'因子水準表'!$B$4:$KO$4,0))&amp;"",""))</f>
        <v/>
      </c>
      <c r="CE12" s="26">
        <f>IF(W$4="","",IFERROR(INDEX('因子水準表'!$B$9:$KO$18,7,MATCH(W$4,'因子水準表'!$B$4:$KO$4,0))&amp;"",""))</f>
        <v/>
      </c>
      <c r="CF12" s="26">
        <f>IF(X$4="","",IFERROR(INDEX('因子水準表'!$B$9:$KO$18,7,MATCH(X$4,'因子水準表'!$B$4:$KO$4,0))&amp;"",""))</f>
        <v/>
      </c>
      <c r="CG12" s="26">
        <f>IF(Y$4="","",IFERROR(INDEX('因子水準表'!$B$9:$KO$18,7,MATCH(Y$4,'因子水準表'!$B$4:$KO$4,0))&amp;"",""))</f>
        <v/>
      </c>
      <c r="CH12" s="26">
        <f>IF(Z$4="","",IFERROR(INDEX('因子水準表'!$B$9:$KO$18,7,MATCH(Z$4,'因子水準表'!$B$4:$KO$4,0))&amp;"",""))</f>
        <v/>
      </c>
      <c r="CI12" s="26">
        <f>IF(AA$4="","",IFERROR(INDEX('因子水準表'!$B$9:$KO$18,7,MATCH(AA$4,'因子水準表'!$B$4:$KO$4,0))&amp;"",""))</f>
        <v/>
      </c>
      <c r="CJ12" s="26">
        <f>IF(AB$4="","",IFERROR(INDEX('因子水準表'!$B$9:$KO$18,7,MATCH(AB$4,'因子水準表'!$B$4:$KO$4,0))&amp;"",""))</f>
        <v/>
      </c>
      <c r="CK12" s="26">
        <f>IF(AC$4="","",IFERROR(INDEX('因子水準表'!$B$9:$KO$18,7,MATCH(AC$4,'因子水準表'!$B$4:$KO$4,0))&amp;"",""))</f>
        <v/>
      </c>
      <c r="CL12" s="26">
        <f>IF(AD$4="","",IFERROR(INDEX('因子水準表'!$B$9:$KO$18,7,MATCH(AD$4,'因子水準表'!$B$4:$KO$4,0))&amp;"",""))</f>
        <v/>
      </c>
      <c r="CM12" s="26">
        <f>IF(AE$4="","",IFERROR(INDEX('因子水準表'!$B$9:$KO$18,7,MATCH(AE$4,'因子水準表'!$B$4:$KO$4,0))&amp;"",""))</f>
        <v/>
      </c>
      <c r="CN12" s="26">
        <f>IF(AF$4="","",IFERROR(INDEX('因子水準表'!$B$9:$KO$18,7,MATCH(AF$4,'因子水準表'!$B$4:$KO$4,0))&amp;"",""))</f>
        <v/>
      </c>
      <c r="CO12" s="26">
        <f>IF(AG$4="","",IFERROR(INDEX('因子水準表'!$B$9:$KO$18,7,MATCH(AG$4,'因子水準表'!$B$4:$KO$4,0))&amp;"",""))</f>
        <v/>
      </c>
      <c r="CP12" s="26">
        <f>IF(AH$4="","",IFERROR(INDEX('因子水準表'!$B$9:$KO$18,7,MATCH(AH$4,'因子水準表'!$B$4:$KO$4,0))&amp;"",""))</f>
        <v/>
      </c>
      <c r="CQ12" s="26">
        <f>IF(AI$4="","",IFERROR(INDEX('因子水準表'!$B$9:$KO$18,7,MATCH(AI$4,'因子水準表'!$B$4:$KO$4,0))&amp;"",""))</f>
        <v/>
      </c>
      <c r="CR12" s="26">
        <f>IF(AJ$4="","",IFERROR(INDEX('因子水準表'!$B$9:$KO$18,7,MATCH(AJ$4,'因子水準表'!$B$4:$KO$4,0))&amp;"",""))</f>
        <v/>
      </c>
      <c r="CS12" s="26">
        <f>IF(AK$4="","",IFERROR(INDEX('因子水準表'!$B$9:$KO$18,7,MATCH(AK$4,'因子水準表'!$B$4:$KO$4,0))&amp;"",""))</f>
        <v/>
      </c>
      <c r="CT12" s="26">
        <f>IF(AL$4="","",IFERROR(INDEX('因子水準表'!$B$9:$KO$18,7,MATCH(AL$4,'因子水準表'!$B$4:$KO$4,0))&amp;"",""))</f>
        <v/>
      </c>
      <c r="CU12" s="26">
        <f>IF(AM$4="","",IFERROR(INDEX('因子水準表'!$B$9:$KO$18,7,MATCH(AM$4,'因子水準表'!$B$4:$KO$4,0))&amp;"",""))</f>
        <v/>
      </c>
      <c r="CV12" s="26">
        <f>IF(AN$4="","",IFERROR(INDEX('因子水準表'!$B$9:$KO$18,7,MATCH(AN$4,'因子水準表'!$B$4:$KO$4,0))&amp;"",""))</f>
        <v/>
      </c>
      <c r="CW12" s="26">
        <f>IF(AO$4="","",IFERROR(INDEX('因子水準表'!$B$9:$KO$18,7,MATCH(AO$4,'因子水準表'!$B$4:$KO$4,0))&amp;"",""))</f>
        <v/>
      </c>
      <c r="CX12" s="26">
        <f>IF(AP$4="","",IFERROR(INDEX('因子水準表'!$B$9:$KO$18,7,MATCH(AP$4,'因子水準表'!$B$4:$KO$4,0))&amp;"",""))</f>
        <v/>
      </c>
      <c r="CY12" s="26">
        <f>IF(AQ$4="","",IFERROR(INDEX('因子水準表'!$B$9:$KO$18,7,MATCH(AQ$4,'因子水準表'!$B$4:$KO$4,0))&amp;"",""))</f>
        <v/>
      </c>
      <c r="CZ12" s="26">
        <f>IF(AR$4="","",IFERROR(INDEX('因子水準表'!$B$9:$KO$18,7,MATCH(AR$4,'因子水準表'!$B$4:$KO$4,0))&amp;"",""))</f>
        <v/>
      </c>
      <c r="DA12" s="26">
        <f>IF(AS$4="","",IFERROR(INDEX('因子水準表'!$B$9:$KO$18,7,MATCH(AS$4,'因子水準表'!$B$4:$KO$4,0))&amp;"",""))</f>
        <v/>
      </c>
      <c r="DB12" s="26">
        <f>IF(AT$4="","",IFERROR(INDEX('因子水準表'!$B$9:$KO$18,7,MATCH(AT$4,'因子水準表'!$B$4:$KO$4,0))&amp;"",""))</f>
        <v/>
      </c>
      <c r="DC12" s="26">
        <f>IF(AU$4="","",IFERROR(INDEX('因子水準表'!$B$9:$KO$18,7,MATCH(AU$4,'因子水準表'!$B$4:$KO$4,0))&amp;"",""))</f>
        <v/>
      </c>
      <c r="DD12" s="26">
        <f>IF(AV$4="","",IFERROR(INDEX('因子水準表'!$B$9:$KO$18,7,MATCH(AV$4,'因子水準表'!$B$4:$KO$4,0))&amp;"",""))</f>
        <v/>
      </c>
      <c r="DE12" s="26">
        <f>IF(AW$4="","",IFERROR(INDEX('因子水準表'!$B$9:$KO$18,7,MATCH(AW$4,'因子水準表'!$B$4:$KO$4,0))&amp;"",""))</f>
        <v/>
      </c>
      <c r="DF12" s="26">
        <f>IF(AX$4="","",IFERROR(INDEX('因子水準表'!$B$9:$KO$18,7,MATCH(AX$4,'因子水準表'!$B$4:$KO$4,0))&amp;"",""))</f>
        <v/>
      </c>
      <c r="DG12" s="26">
        <f>IF(AY$4="","",IFERROR(INDEX('因子水準表'!$B$9:$KO$18,7,MATCH(AY$4,'因子水準表'!$B$4:$KO$4,0))&amp;"",""))</f>
        <v/>
      </c>
      <c r="DH12" s="26">
        <f>IF(AZ$4="","",IFERROR(INDEX('因子水準表'!$B$9:$KO$18,7,MATCH(AZ$4,'因子水準表'!$B$4:$KO$4,0))&amp;"",""))</f>
        <v/>
      </c>
      <c r="DI12" s="26">
        <f>IF(BA$4="","",IFERROR(INDEX('因子水準表'!$B$9:$KO$18,7,MATCH(BA$4,'因子水準表'!$B$4:$KO$4,0))&amp;"",""))</f>
        <v/>
      </c>
      <c r="DJ12" s="26">
        <f>IF(BB$4="","",IFERROR(INDEX('因子水準表'!$B$9:$KO$18,7,MATCH(BB$4,'因子水準表'!$B$4:$KO$4,0))&amp;"",""))</f>
        <v/>
      </c>
      <c r="DK12" s="26">
        <f>IF(BC$4="","",IFERROR(INDEX('因子水準表'!$B$9:$KO$18,7,MATCH(BC$4,'因子水準表'!$B$4:$KO$4,0))&amp;"",""))</f>
        <v/>
      </c>
      <c r="DL12" s="26">
        <f>IF(BD$4="","",IFERROR(INDEX('因子水準表'!$B$9:$KO$18,7,MATCH(BD$4,'因子水準表'!$B$4:$KO$4,0))&amp;"",""))</f>
        <v/>
      </c>
      <c r="DM12" s="26">
        <f>IF('因子水準表'!B35="","",'因子水準表'!B35)</f>
        <v/>
      </c>
      <c r="DN12" s="26">
        <f>IF('テスト条件'!A11="","",'テスト条件'!A11)</f>
        <v/>
      </c>
    </row>
    <row r="13">
      <c r="A13" s="27" t="n"/>
      <c r="B13" s="27" t="n"/>
      <c r="C13" s="28">
        <f>IF(A13="","",$B$2)</f>
        <v/>
      </c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  <c r="AA13" s="27" t="n"/>
      <c r="AB13" s="27" t="n"/>
      <c r="AC13" s="27" t="n"/>
      <c r="AD13" s="27" t="n"/>
      <c r="AE13" s="27" t="n"/>
      <c r="AF13" s="27" t="n"/>
      <c r="AG13" s="27" t="n"/>
      <c r="AH13" s="27" t="n"/>
      <c r="AI13" s="27" t="n"/>
      <c r="AJ13" s="27" t="n"/>
      <c r="AK13" s="27" t="n"/>
      <c r="AL13" s="27" t="n"/>
      <c r="AM13" s="27" t="n"/>
      <c r="AN13" s="27" t="n"/>
      <c r="AO13" s="27" t="n"/>
      <c r="AP13" s="27" t="n"/>
      <c r="AQ13" s="27" t="n"/>
      <c r="AR13" s="27" t="n"/>
      <c r="AS13" s="27" t="n"/>
      <c r="AT13" s="27" t="n"/>
      <c r="AU13" s="27" t="n"/>
      <c r="AV13" s="27" t="n"/>
      <c r="AW13" s="27" t="n"/>
      <c r="AX13" s="27" t="n"/>
      <c r="AY13" s="27" t="n"/>
      <c r="AZ13" s="27" t="n"/>
      <c r="BA13" s="27" t="n"/>
      <c r="BB13" s="27" t="n"/>
      <c r="BC13" s="27" t="n"/>
      <c r="BD13" s="27" t="n"/>
      <c r="BE13" s="27" t="n"/>
      <c r="BF13" s="27" t="n"/>
      <c r="BG13" s="27" t="n"/>
      <c r="BH13" s="27" t="n"/>
      <c r="BI13" s="29" t="n"/>
      <c r="BJ13" s="27" t="n"/>
      <c r="BK13" s="27" t="n"/>
      <c r="BL13" s="27" t="n"/>
      <c r="BM13" s="27" t="n"/>
      <c r="BO13" s="26">
        <f>IF(G$4="","",IFERROR(INDEX('因子水準表'!$B$9:$KO$18,8,MATCH(G$4,'因子水準表'!$B$4:$KO$4,0))&amp;"",""))</f>
        <v/>
      </c>
      <c r="BP13" s="26">
        <f>IF(H$4="","",IFERROR(INDEX('因子水準表'!$B$9:$KO$18,8,MATCH(H$4,'因子水準表'!$B$4:$KO$4,0))&amp;"",""))</f>
        <v/>
      </c>
      <c r="BQ13" s="26">
        <f>IF(I$4="","",IFERROR(INDEX('因子水準表'!$B$9:$KO$18,8,MATCH(I$4,'因子水準表'!$B$4:$KO$4,0))&amp;"",""))</f>
        <v/>
      </c>
      <c r="BR13" s="26">
        <f>IF(J$4="","",IFERROR(INDEX('因子水準表'!$B$9:$KO$18,8,MATCH(J$4,'因子水準表'!$B$4:$KO$4,0))&amp;"",""))</f>
        <v/>
      </c>
      <c r="BS13" s="26">
        <f>IF(K$4="","",IFERROR(INDEX('因子水準表'!$B$9:$KO$18,8,MATCH(K$4,'因子水準表'!$B$4:$KO$4,0))&amp;"",""))</f>
        <v/>
      </c>
      <c r="BT13" s="26">
        <f>IF(L$4="","",IFERROR(INDEX('因子水準表'!$B$9:$KO$18,8,MATCH(L$4,'因子水準表'!$B$4:$KO$4,0))&amp;"",""))</f>
        <v/>
      </c>
      <c r="BU13" s="26">
        <f>IF(M$4="","",IFERROR(INDEX('因子水準表'!$B$9:$KO$18,8,MATCH(M$4,'因子水準表'!$B$4:$KO$4,0))&amp;"",""))</f>
        <v/>
      </c>
      <c r="BV13" s="26">
        <f>IF(N$4="","",IFERROR(INDEX('因子水準表'!$B$9:$KO$18,8,MATCH(N$4,'因子水準表'!$B$4:$KO$4,0))&amp;"",""))</f>
        <v/>
      </c>
      <c r="BW13" s="26">
        <f>IF(O$4="","",IFERROR(INDEX('因子水準表'!$B$9:$KO$18,8,MATCH(O$4,'因子水準表'!$B$4:$KO$4,0))&amp;"",""))</f>
        <v/>
      </c>
      <c r="BX13" s="26">
        <f>IF(P$4="","",IFERROR(INDEX('因子水準表'!$B$9:$KO$18,8,MATCH(P$4,'因子水準表'!$B$4:$KO$4,0))&amp;"",""))</f>
        <v/>
      </c>
      <c r="BY13" s="26">
        <f>IF(Q$4="","",IFERROR(INDEX('因子水準表'!$B$9:$KO$18,8,MATCH(Q$4,'因子水準表'!$B$4:$KO$4,0))&amp;"",""))</f>
        <v/>
      </c>
      <c r="BZ13" s="26">
        <f>IF(R$4="","",IFERROR(INDEX('因子水準表'!$B$9:$KO$18,8,MATCH(R$4,'因子水準表'!$B$4:$KO$4,0))&amp;"",""))</f>
        <v/>
      </c>
      <c r="CA13" s="26">
        <f>IF(S$4="","",IFERROR(INDEX('因子水準表'!$B$9:$KO$18,8,MATCH(S$4,'因子水準表'!$B$4:$KO$4,0))&amp;"",""))</f>
        <v/>
      </c>
      <c r="CB13" s="26">
        <f>IF(T$4="","",IFERROR(INDEX('因子水準表'!$B$9:$KO$18,8,MATCH(T$4,'因子水準表'!$B$4:$KO$4,0))&amp;"",""))</f>
        <v/>
      </c>
      <c r="CC13" s="26">
        <f>IF(U$4="","",IFERROR(INDEX('因子水準表'!$B$9:$KO$18,8,MATCH(U$4,'因子水準表'!$B$4:$KO$4,0))&amp;"",""))</f>
        <v/>
      </c>
      <c r="CD13" s="26">
        <f>IF(V$4="","",IFERROR(INDEX('因子水準表'!$B$9:$KO$18,8,MATCH(V$4,'因子水準表'!$B$4:$KO$4,0))&amp;"",""))</f>
        <v/>
      </c>
      <c r="CE13" s="26">
        <f>IF(W$4="","",IFERROR(INDEX('因子水準表'!$B$9:$KO$18,8,MATCH(W$4,'因子水準表'!$B$4:$KO$4,0))&amp;"",""))</f>
        <v/>
      </c>
      <c r="CF13" s="26">
        <f>IF(X$4="","",IFERROR(INDEX('因子水準表'!$B$9:$KO$18,8,MATCH(X$4,'因子水準表'!$B$4:$KO$4,0))&amp;"",""))</f>
        <v/>
      </c>
      <c r="CG13" s="26">
        <f>IF(Y$4="","",IFERROR(INDEX('因子水準表'!$B$9:$KO$18,8,MATCH(Y$4,'因子水準表'!$B$4:$KO$4,0))&amp;"",""))</f>
        <v/>
      </c>
      <c r="CH13" s="26">
        <f>IF(Z$4="","",IFERROR(INDEX('因子水準表'!$B$9:$KO$18,8,MATCH(Z$4,'因子水準表'!$B$4:$KO$4,0))&amp;"",""))</f>
        <v/>
      </c>
      <c r="CI13" s="26">
        <f>IF(AA$4="","",IFERROR(INDEX('因子水準表'!$B$9:$KO$18,8,MATCH(AA$4,'因子水準表'!$B$4:$KO$4,0))&amp;"",""))</f>
        <v/>
      </c>
      <c r="CJ13" s="26">
        <f>IF(AB$4="","",IFERROR(INDEX('因子水準表'!$B$9:$KO$18,8,MATCH(AB$4,'因子水準表'!$B$4:$KO$4,0))&amp;"",""))</f>
        <v/>
      </c>
      <c r="CK13" s="26">
        <f>IF(AC$4="","",IFERROR(INDEX('因子水準表'!$B$9:$KO$18,8,MATCH(AC$4,'因子水準表'!$B$4:$KO$4,0))&amp;"",""))</f>
        <v/>
      </c>
      <c r="CL13" s="26">
        <f>IF(AD$4="","",IFERROR(INDEX('因子水準表'!$B$9:$KO$18,8,MATCH(AD$4,'因子水準表'!$B$4:$KO$4,0))&amp;"",""))</f>
        <v/>
      </c>
      <c r="CM13" s="26">
        <f>IF(AE$4="","",IFERROR(INDEX('因子水準表'!$B$9:$KO$18,8,MATCH(AE$4,'因子水準表'!$B$4:$KO$4,0))&amp;"",""))</f>
        <v/>
      </c>
      <c r="CN13" s="26">
        <f>IF(AF$4="","",IFERROR(INDEX('因子水準表'!$B$9:$KO$18,8,MATCH(AF$4,'因子水準表'!$B$4:$KO$4,0))&amp;"",""))</f>
        <v/>
      </c>
      <c r="CO13" s="26">
        <f>IF(AG$4="","",IFERROR(INDEX('因子水準表'!$B$9:$KO$18,8,MATCH(AG$4,'因子水準表'!$B$4:$KO$4,0))&amp;"",""))</f>
        <v/>
      </c>
      <c r="CP13" s="26">
        <f>IF(AH$4="","",IFERROR(INDEX('因子水準表'!$B$9:$KO$18,8,MATCH(AH$4,'因子水準表'!$B$4:$KO$4,0))&amp;"",""))</f>
        <v/>
      </c>
      <c r="CQ13" s="26">
        <f>IF(AI$4="","",IFERROR(INDEX('因子水準表'!$B$9:$KO$18,8,MATCH(AI$4,'因子水準表'!$B$4:$KO$4,0))&amp;"",""))</f>
        <v/>
      </c>
      <c r="CR13" s="26">
        <f>IF(AJ$4="","",IFERROR(INDEX('因子水準表'!$B$9:$KO$18,8,MATCH(AJ$4,'因子水準表'!$B$4:$KO$4,0))&amp;"",""))</f>
        <v/>
      </c>
      <c r="CS13" s="26">
        <f>IF(AK$4="","",IFERROR(INDEX('因子水準表'!$B$9:$KO$18,8,MATCH(AK$4,'因子水準表'!$B$4:$KO$4,0))&amp;"",""))</f>
        <v/>
      </c>
      <c r="CT13" s="26">
        <f>IF(AL$4="","",IFERROR(INDEX('因子水準表'!$B$9:$KO$18,8,MATCH(AL$4,'因子水準表'!$B$4:$KO$4,0))&amp;"",""))</f>
        <v/>
      </c>
      <c r="CU13" s="26">
        <f>IF(AM$4="","",IFERROR(INDEX('因子水準表'!$B$9:$KO$18,8,MATCH(AM$4,'因子水準表'!$B$4:$KO$4,0))&amp;"",""))</f>
        <v/>
      </c>
      <c r="CV13" s="26">
        <f>IF(AN$4="","",IFERROR(INDEX('因子水準表'!$B$9:$KO$18,8,MATCH(AN$4,'因子水準表'!$B$4:$KO$4,0))&amp;"",""))</f>
        <v/>
      </c>
      <c r="CW13" s="26">
        <f>IF(AO$4="","",IFERROR(INDEX('因子水準表'!$B$9:$KO$18,8,MATCH(AO$4,'因子水準表'!$B$4:$KO$4,0))&amp;"",""))</f>
        <v/>
      </c>
      <c r="CX13" s="26">
        <f>IF(AP$4="","",IFERROR(INDEX('因子水準表'!$B$9:$KO$18,8,MATCH(AP$4,'因子水準表'!$B$4:$KO$4,0))&amp;"",""))</f>
        <v/>
      </c>
      <c r="CY13" s="26">
        <f>IF(AQ$4="","",IFERROR(INDEX('因子水準表'!$B$9:$KO$18,8,MATCH(AQ$4,'因子水準表'!$B$4:$KO$4,0))&amp;"",""))</f>
        <v/>
      </c>
      <c r="CZ13" s="26">
        <f>IF(AR$4="","",IFERROR(INDEX('因子水準表'!$B$9:$KO$18,8,MATCH(AR$4,'因子水準表'!$B$4:$KO$4,0))&amp;"",""))</f>
        <v/>
      </c>
      <c r="DA13" s="26">
        <f>IF(AS$4="","",IFERROR(INDEX('因子水準表'!$B$9:$KO$18,8,MATCH(AS$4,'因子水準表'!$B$4:$KO$4,0))&amp;"",""))</f>
        <v/>
      </c>
      <c r="DB13" s="26">
        <f>IF(AT$4="","",IFERROR(INDEX('因子水準表'!$B$9:$KO$18,8,MATCH(AT$4,'因子水準表'!$B$4:$KO$4,0))&amp;"",""))</f>
        <v/>
      </c>
      <c r="DC13" s="26">
        <f>IF(AU$4="","",IFERROR(INDEX('因子水準表'!$B$9:$KO$18,8,MATCH(AU$4,'因子水準表'!$B$4:$KO$4,0))&amp;"",""))</f>
        <v/>
      </c>
      <c r="DD13" s="26">
        <f>IF(AV$4="","",IFERROR(INDEX('因子水準表'!$B$9:$KO$18,8,MATCH(AV$4,'因子水準表'!$B$4:$KO$4,0))&amp;"",""))</f>
        <v/>
      </c>
      <c r="DE13" s="26">
        <f>IF(AW$4="","",IFERROR(INDEX('因子水準表'!$B$9:$KO$18,8,MATCH(AW$4,'因子水準表'!$B$4:$KO$4,0))&amp;"",""))</f>
        <v/>
      </c>
      <c r="DF13" s="26">
        <f>IF(AX$4="","",IFERROR(INDEX('因子水準表'!$B$9:$KO$18,8,MATCH(AX$4,'因子水準表'!$B$4:$KO$4,0))&amp;"",""))</f>
        <v/>
      </c>
      <c r="DG13" s="26">
        <f>IF(AY$4="","",IFERROR(INDEX('因子水準表'!$B$9:$KO$18,8,MATCH(AY$4,'因子水準表'!$B$4:$KO$4,0))&amp;"",""))</f>
        <v/>
      </c>
      <c r="DH13" s="26">
        <f>IF(AZ$4="","",IFERROR(INDEX('因子水準表'!$B$9:$KO$18,8,MATCH(AZ$4,'因子水準表'!$B$4:$KO$4,0))&amp;"",""))</f>
        <v/>
      </c>
      <c r="DI13" s="26">
        <f>IF(BA$4="","",IFERROR(INDEX('因子水準表'!$B$9:$KO$18,8,MATCH(BA$4,'因子水準表'!$B$4:$KO$4,0))&amp;"",""))</f>
        <v/>
      </c>
      <c r="DJ13" s="26">
        <f>IF(BB$4="","",IFERROR(INDEX('因子水準表'!$B$9:$KO$18,8,MATCH(BB$4,'因子水準表'!$B$4:$KO$4,0))&amp;"",""))</f>
        <v/>
      </c>
      <c r="DK13" s="26">
        <f>IF(BC$4="","",IFERROR(INDEX('因子水準表'!$B$9:$KO$18,8,MATCH(BC$4,'因子水準表'!$B$4:$KO$4,0))&amp;"",""))</f>
        <v/>
      </c>
      <c r="DL13" s="26">
        <f>IF(BD$4="","",IFERROR(INDEX('因子水準表'!$B$9:$KO$18,8,MATCH(BD$4,'因子水準表'!$B$4:$KO$4,0))&amp;"",""))</f>
        <v/>
      </c>
      <c r="DM13" s="26">
        <f>IF('因子水準表'!B36="","",'因子水準表'!B36)</f>
        <v/>
      </c>
      <c r="DN13" s="26">
        <f>IF('テスト条件'!A12="","",'テスト条件'!A12)</f>
        <v/>
      </c>
    </row>
    <row r="14">
      <c r="A14" s="27" t="n"/>
      <c r="B14" s="27" t="n"/>
      <c r="C14" s="28">
        <f>IF(A14="","",$B$2)</f>
        <v/>
      </c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7" t="n"/>
      <c r="AO14" s="27" t="n"/>
      <c r="AP14" s="27" t="n"/>
      <c r="AQ14" s="27" t="n"/>
      <c r="AR14" s="27" t="n"/>
      <c r="AS14" s="27" t="n"/>
      <c r="AT14" s="27" t="n"/>
      <c r="AU14" s="27" t="n"/>
      <c r="AV14" s="27" t="n"/>
      <c r="AW14" s="27" t="n"/>
      <c r="AX14" s="27" t="n"/>
      <c r="AY14" s="27" t="n"/>
      <c r="AZ14" s="27" t="n"/>
      <c r="BA14" s="27" t="n"/>
      <c r="BB14" s="27" t="n"/>
      <c r="BC14" s="27" t="n"/>
      <c r="BD14" s="27" t="n"/>
      <c r="BE14" s="27" t="n"/>
      <c r="BF14" s="27" t="n"/>
      <c r="BG14" s="27" t="n"/>
      <c r="BH14" s="27" t="n"/>
      <c r="BI14" s="29" t="n"/>
      <c r="BJ14" s="27" t="n"/>
      <c r="BK14" s="27" t="n"/>
      <c r="BL14" s="27" t="n"/>
      <c r="BM14" s="27" t="n"/>
      <c r="BO14" s="26">
        <f>IF(G$4="","",IFERROR(INDEX('因子水準表'!$B$9:$KO$18,9,MATCH(G$4,'因子水準表'!$B$4:$KO$4,0))&amp;"",""))</f>
        <v/>
      </c>
      <c r="BP14" s="26">
        <f>IF(H$4="","",IFERROR(INDEX('因子水準表'!$B$9:$KO$18,9,MATCH(H$4,'因子水準表'!$B$4:$KO$4,0))&amp;"",""))</f>
        <v/>
      </c>
      <c r="BQ14" s="26">
        <f>IF(I$4="","",IFERROR(INDEX('因子水準表'!$B$9:$KO$18,9,MATCH(I$4,'因子水準表'!$B$4:$KO$4,0))&amp;"",""))</f>
        <v/>
      </c>
      <c r="BR14" s="26">
        <f>IF(J$4="","",IFERROR(INDEX('因子水準表'!$B$9:$KO$18,9,MATCH(J$4,'因子水準表'!$B$4:$KO$4,0))&amp;"",""))</f>
        <v/>
      </c>
      <c r="BS14" s="26">
        <f>IF(K$4="","",IFERROR(INDEX('因子水準表'!$B$9:$KO$18,9,MATCH(K$4,'因子水準表'!$B$4:$KO$4,0))&amp;"",""))</f>
        <v/>
      </c>
      <c r="BT14" s="26">
        <f>IF(L$4="","",IFERROR(INDEX('因子水準表'!$B$9:$KO$18,9,MATCH(L$4,'因子水準表'!$B$4:$KO$4,0))&amp;"",""))</f>
        <v/>
      </c>
      <c r="BU14" s="26">
        <f>IF(M$4="","",IFERROR(INDEX('因子水準表'!$B$9:$KO$18,9,MATCH(M$4,'因子水準表'!$B$4:$KO$4,0))&amp;"",""))</f>
        <v/>
      </c>
      <c r="BV14" s="26">
        <f>IF(N$4="","",IFERROR(INDEX('因子水準表'!$B$9:$KO$18,9,MATCH(N$4,'因子水準表'!$B$4:$KO$4,0))&amp;"",""))</f>
        <v/>
      </c>
      <c r="BW14" s="26">
        <f>IF(O$4="","",IFERROR(INDEX('因子水準表'!$B$9:$KO$18,9,MATCH(O$4,'因子水準表'!$B$4:$KO$4,0))&amp;"",""))</f>
        <v/>
      </c>
      <c r="BX14" s="26">
        <f>IF(P$4="","",IFERROR(INDEX('因子水準表'!$B$9:$KO$18,9,MATCH(P$4,'因子水準表'!$B$4:$KO$4,0))&amp;"",""))</f>
        <v/>
      </c>
      <c r="BY14" s="26">
        <f>IF(Q$4="","",IFERROR(INDEX('因子水準表'!$B$9:$KO$18,9,MATCH(Q$4,'因子水準表'!$B$4:$KO$4,0))&amp;"",""))</f>
        <v/>
      </c>
      <c r="BZ14" s="26">
        <f>IF(R$4="","",IFERROR(INDEX('因子水準表'!$B$9:$KO$18,9,MATCH(R$4,'因子水準表'!$B$4:$KO$4,0))&amp;"",""))</f>
        <v/>
      </c>
      <c r="CA14" s="26">
        <f>IF(S$4="","",IFERROR(INDEX('因子水準表'!$B$9:$KO$18,9,MATCH(S$4,'因子水準表'!$B$4:$KO$4,0))&amp;"",""))</f>
        <v/>
      </c>
      <c r="CB14" s="26">
        <f>IF(T$4="","",IFERROR(INDEX('因子水準表'!$B$9:$KO$18,9,MATCH(T$4,'因子水準表'!$B$4:$KO$4,0))&amp;"",""))</f>
        <v/>
      </c>
      <c r="CC14" s="26">
        <f>IF(U$4="","",IFERROR(INDEX('因子水準表'!$B$9:$KO$18,9,MATCH(U$4,'因子水準表'!$B$4:$KO$4,0))&amp;"",""))</f>
        <v/>
      </c>
      <c r="CD14" s="26">
        <f>IF(V$4="","",IFERROR(INDEX('因子水準表'!$B$9:$KO$18,9,MATCH(V$4,'因子水準表'!$B$4:$KO$4,0))&amp;"",""))</f>
        <v/>
      </c>
      <c r="CE14" s="26">
        <f>IF(W$4="","",IFERROR(INDEX('因子水準表'!$B$9:$KO$18,9,MATCH(W$4,'因子水準表'!$B$4:$KO$4,0))&amp;"",""))</f>
        <v/>
      </c>
      <c r="CF14" s="26">
        <f>IF(X$4="","",IFERROR(INDEX('因子水準表'!$B$9:$KO$18,9,MATCH(X$4,'因子水準表'!$B$4:$KO$4,0))&amp;"",""))</f>
        <v/>
      </c>
      <c r="CG14" s="26">
        <f>IF(Y$4="","",IFERROR(INDEX('因子水準表'!$B$9:$KO$18,9,MATCH(Y$4,'因子水準表'!$B$4:$KO$4,0))&amp;"",""))</f>
        <v/>
      </c>
      <c r="CH14" s="26">
        <f>IF(Z$4="","",IFERROR(INDEX('因子水準表'!$B$9:$KO$18,9,MATCH(Z$4,'因子水準表'!$B$4:$KO$4,0))&amp;"",""))</f>
        <v/>
      </c>
      <c r="CI14" s="26">
        <f>IF(AA$4="","",IFERROR(INDEX('因子水準表'!$B$9:$KO$18,9,MATCH(AA$4,'因子水準表'!$B$4:$KO$4,0))&amp;"",""))</f>
        <v/>
      </c>
      <c r="CJ14" s="26">
        <f>IF(AB$4="","",IFERROR(INDEX('因子水準表'!$B$9:$KO$18,9,MATCH(AB$4,'因子水準表'!$B$4:$KO$4,0))&amp;"",""))</f>
        <v/>
      </c>
      <c r="CK14" s="26">
        <f>IF(AC$4="","",IFERROR(INDEX('因子水準表'!$B$9:$KO$18,9,MATCH(AC$4,'因子水準表'!$B$4:$KO$4,0))&amp;"",""))</f>
        <v/>
      </c>
      <c r="CL14" s="26">
        <f>IF(AD$4="","",IFERROR(INDEX('因子水準表'!$B$9:$KO$18,9,MATCH(AD$4,'因子水準表'!$B$4:$KO$4,0))&amp;"",""))</f>
        <v/>
      </c>
      <c r="CM14" s="26">
        <f>IF(AE$4="","",IFERROR(INDEX('因子水準表'!$B$9:$KO$18,9,MATCH(AE$4,'因子水準表'!$B$4:$KO$4,0))&amp;"",""))</f>
        <v/>
      </c>
      <c r="CN14" s="26">
        <f>IF(AF$4="","",IFERROR(INDEX('因子水準表'!$B$9:$KO$18,9,MATCH(AF$4,'因子水準表'!$B$4:$KO$4,0))&amp;"",""))</f>
        <v/>
      </c>
      <c r="CO14" s="26">
        <f>IF(AG$4="","",IFERROR(INDEX('因子水準表'!$B$9:$KO$18,9,MATCH(AG$4,'因子水準表'!$B$4:$KO$4,0))&amp;"",""))</f>
        <v/>
      </c>
      <c r="CP14" s="26">
        <f>IF(AH$4="","",IFERROR(INDEX('因子水準表'!$B$9:$KO$18,9,MATCH(AH$4,'因子水準表'!$B$4:$KO$4,0))&amp;"",""))</f>
        <v/>
      </c>
      <c r="CQ14" s="26">
        <f>IF(AI$4="","",IFERROR(INDEX('因子水準表'!$B$9:$KO$18,9,MATCH(AI$4,'因子水準表'!$B$4:$KO$4,0))&amp;"",""))</f>
        <v/>
      </c>
      <c r="CR14" s="26">
        <f>IF(AJ$4="","",IFERROR(INDEX('因子水準表'!$B$9:$KO$18,9,MATCH(AJ$4,'因子水準表'!$B$4:$KO$4,0))&amp;"",""))</f>
        <v/>
      </c>
      <c r="CS14" s="26">
        <f>IF(AK$4="","",IFERROR(INDEX('因子水準表'!$B$9:$KO$18,9,MATCH(AK$4,'因子水準表'!$B$4:$KO$4,0))&amp;"",""))</f>
        <v/>
      </c>
      <c r="CT14" s="26">
        <f>IF(AL$4="","",IFERROR(INDEX('因子水準表'!$B$9:$KO$18,9,MATCH(AL$4,'因子水準表'!$B$4:$KO$4,0))&amp;"",""))</f>
        <v/>
      </c>
      <c r="CU14" s="26">
        <f>IF(AM$4="","",IFERROR(INDEX('因子水準表'!$B$9:$KO$18,9,MATCH(AM$4,'因子水準表'!$B$4:$KO$4,0))&amp;"",""))</f>
        <v/>
      </c>
      <c r="CV14" s="26">
        <f>IF(AN$4="","",IFERROR(INDEX('因子水準表'!$B$9:$KO$18,9,MATCH(AN$4,'因子水準表'!$B$4:$KO$4,0))&amp;"",""))</f>
        <v/>
      </c>
      <c r="CW14" s="26">
        <f>IF(AO$4="","",IFERROR(INDEX('因子水準表'!$B$9:$KO$18,9,MATCH(AO$4,'因子水準表'!$B$4:$KO$4,0))&amp;"",""))</f>
        <v/>
      </c>
      <c r="CX14" s="26">
        <f>IF(AP$4="","",IFERROR(INDEX('因子水準表'!$B$9:$KO$18,9,MATCH(AP$4,'因子水準表'!$B$4:$KO$4,0))&amp;"",""))</f>
        <v/>
      </c>
      <c r="CY14" s="26">
        <f>IF(AQ$4="","",IFERROR(INDEX('因子水準表'!$B$9:$KO$18,9,MATCH(AQ$4,'因子水準表'!$B$4:$KO$4,0))&amp;"",""))</f>
        <v/>
      </c>
      <c r="CZ14" s="26">
        <f>IF(AR$4="","",IFERROR(INDEX('因子水準表'!$B$9:$KO$18,9,MATCH(AR$4,'因子水準表'!$B$4:$KO$4,0))&amp;"",""))</f>
        <v/>
      </c>
      <c r="DA14" s="26">
        <f>IF(AS$4="","",IFERROR(INDEX('因子水準表'!$B$9:$KO$18,9,MATCH(AS$4,'因子水準表'!$B$4:$KO$4,0))&amp;"",""))</f>
        <v/>
      </c>
      <c r="DB14" s="26">
        <f>IF(AT$4="","",IFERROR(INDEX('因子水準表'!$B$9:$KO$18,9,MATCH(AT$4,'因子水準表'!$B$4:$KO$4,0))&amp;"",""))</f>
        <v/>
      </c>
      <c r="DC14" s="26">
        <f>IF(AU$4="","",IFERROR(INDEX('因子水準表'!$B$9:$KO$18,9,MATCH(AU$4,'因子水準表'!$B$4:$KO$4,0))&amp;"",""))</f>
        <v/>
      </c>
      <c r="DD14" s="26">
        <f>IF(AV$4="","",IFERROR(INDEX('因子水準表'!$B$9:$KO$18,9,MATCH(AV$4,'因子水準表'!$B$4:$KO$4,0))&amp;"",""))</f>
        <v/>
      </c>
      <c r="DE14" s="26">
        <f>IF(AW$4="","",IFERROR(INDEX('因子水準表'!$B$9:$KO$18,9,MATCH(AW$4,'因子水準表'!$B$4:$KO$4,0))&amp;"",""))</f>
        <v/>
      </c>
      <c r="DF14" s="26">
        <f>IF(AX$4="","",IFERROR(INDEX('因子水準表'!$B$9:$KO$18,9,MATCH(AX$4,'因子水準表'!$B$4:$KO$4,0))&amp;"",""))</f>
        <v/>
      </c>
      <c r="DG14" s="26">
        <f>IF(AY$4="","",IFERROR(INDEX('因子水準表'!$B$9:$KO$18,9,MATCH(AY$4,'因子水準表'!$B$4:$KO$4,0))&amp;"",""))</f>
        <v/>
      </c>
      <c r="DH14" s="26">
        <f>IF(AZ$4="","",IFERROR(INDEX('因子水準表'!$B$9:$KO$18,9,MATCH(AZ$4,'因子水準表'!$B$4:$KO$4,0))&amp;"",""))</f>
        <v/>
      </c>
      <c r="DI14" s="26">
        <f>IF(BA$4="","",IFERROR(INDEX('因子水準表'!$B$9:$KO$18,9,MATCH(BA$4,'因子水準表'!$B$4:$KO$4,0))&amp;"",""))</f>
        <v/>
      </c>
      <c r="DJ14" s="26">
        <f>IF(BB$4="","",IFERROR(INDEX('因子水準表'!$B$9:$KO$18,9,MATCH(BB$4,'因子水準表'!$B$4:$KO$4,0))&amp;"",""))</f>
        <v/>
      </c>
      <c r="DK14" s="26">
        <f>IF(BC$4="","",IFERROR(INDEX('因子水準表'!$B$9:$KO$18,9,MATCH(BC$4,'因子水準表'!$B$4:$KO$4,0))&amp;"",""))</f>
        <v/>
      </c>
      <c r="DL14" s="26">
        <f>IF(BD$4="","",IFERROR(INDEX('因子水準表'!$B$9:$KO$18,9,MATCH(BD$4,'因子水準表'!$B$4:$KO$4,0))&amp;"",""))</f>
        <v/>
      </c>
      <c r="DM14" s="26">
        <f>IF('因子水準表'!B37="","",'因子水準表'!B37)</f>
        <v/>
      </c>
      <c r="DN14" s="26">
        <f>IF('テスト条件'!A13="","",'テスト条件'!A13)</f>
        <v/>
      </c>
    </row>
    <row r="15">
      <c r="A15" s="27" t="n"/>
      <c r="B15" s="27" t="n"/>
      <c r="C15" s="28">
        <f>IF(A15="","",$B$2)</f>
        <v/>
      </c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  <c r="AI15" s="27" t="n"/>
      <c r="AJ15" s="27" t="n"/>
      <c r="AK15" s="27" t="n"/>
      <c r="AL15" s="27" t="n"/>
      <c r="AM15" s="27" t="n"/>
      <c r="AN15" s="27" t="n"/>
      <c r="AO15" s="27" t="n"/>
      <c r="AP15" s="27" t="n"/>
      <c r="AQ15" s="27" t="n"/>
      <c r="AR15" s="27" t="n"/>
      <c r="AS15" s="27" t="n"/>
      <c r="AT15" s="27" t="n"/>
      <c r="AU15" s="27" t="n"/>
      <c r="AV15" s="27" t="n"/>
      <c r="AW15" s="27" t="n"/>
      <c r="AX15" s="27" t="n"/>
      <c r="AY15" s="27" t="n"/>
      <c r="AZ15" s="27" t="n"/>
      <c r="BA15" s="27" t="n"/>
      <c r="BB15" s="27" t="n"/>
      <c r="BC15" s="27" t="n"/>
      <c r="BD15" s="27" t="n"/>
      <c r="BE15" s="27" t="n"/>
      <c r="BF15" s="27" t="n"/>
      <c r="BG15" s="27" t="n"/>
      <c r="BH15" s="27" t="n"/>
      <c r="BI15" s="29" t="n"/>
      <c r="BJ15" s="27" t="n"/>
      <c r="BK15" s="27" t="n"/>
      <c r="BL15" s="27" t="n"/>
      <c r="BM15" s="27" t="n"/>
      <c r="BO15" s="26">
        <f>IF(G$4="","",IFERROR(INDEX('因子水準表'!$B$9:$KO$18,10,MATCH(G$4,'因子水準表'!$B$4:$KO$4,0))&amp;"",""))</f>
        <v/>
      </c>
      <c r="BP15" s="26">
        <f>IF(H$4="","",IFERROR(INDEX('因子水準表'!$B$9:$KO$18,10,MATCH(H$4,'因子水準表'!$B$4:$KO$4,0))&amp;"",""))</f>
        <v/>
      </c>
      <c r="BQ15" s="26">
        <f>IF(I$4="","",IFERROR(INDEX('因子水準表'!$B$9:$KO$18,10,MATCH(I$4,'因子水準表'!$B$4:$KO$4,0))&amp;"",""))</f>
        <v/>
      </c>
      <c r="BR15" s="26">
        <f>IF(J$4="","",IFERROR(INDEX('因子水準表'!$B$9:$KO$18,10,MATCH(J$4,'因子水準表'!$B$4:$KO$4,0))&amp;"",""))</f>
        <v/>
      </c>
      <c r="BS15" s="26">
        <f>IF(K$4="","",IFERROR(INDEX('因子水準表'!$B$9:$KO$18,10,MATCH(K$4,'因子水準表'!$B$4:$KO$4,0))&amp;"",""))</f>
        <v/>
      </c>
      <c r="BT15" s="26">
        <f>IF(L$4="","",IFERROR(INDEX('因子水準表'!$B$9:$KO$18,10,MATCH(L$4,'因子水準表'!$B$4:$KO$4,0))&amp;"",""))</f>
        <v/>
      </c>
      <c r="BU15" s="26">
        <f>IF(M$4="","",IFERROR(INDEX('因子水準表'!$B$9:$KO$18,10,MATCH(M$4,'因子水準表'!$B$4:$KO$4,0))&amp;"",""))</f>
        <v/>
      </c>
      <c r="BV15" s="26">
        <f>IF(N$4="","",IFERROR(INDEX('因子水準表'!$B$9:$KO$18,10,MATCH(N$4,'因子水準表'!$B$4:$KO$4,0))&amp;"",""))</f>
        <v/>
      </c>
      <c r="BW15" s="26">
        <f>IF(O$4="","",IFERROR(INDEX('因子水準表'!$B$9:$KO$18,10,MATCH(O$4,'因子水準表'!$B$4:$KO$4,0))&amp;"",""))</f>
        <v/>
      </c>
      <c r="BX15" s="26">
        <f>IF(P$4="","",IFERROR(INDEX('因子水準表'!$B$9:$KO$18,10,MATCH(P$4,'因子水準表'!$B$4:$KO$4,0))&amp;"",""))</f>
        <v/>
      </c>
      <c r="BY15" s="26">
        <f>IF(Q$4="","",IFERROR(INDEX('因子水準表'!$B$9:$KO$18,10,MATCH(Q$4,'因子水準表'!$B$4:$KO$4,0))&amp;"",""))</f>
        <v/>
      </c>
      <c r="BZ15" s="26">
        <f>IF(R$4="","",IFERROR(INDEX('因子水準表'!$B$9:$KO$18,10,MATCH(R$4,'因子水準表'!$B$4:$KO$4,0))&amp;"",""))</f>
        <v/>
      </c>
      <c r="CA15" s="26">
        <f>IF(S$4="","",IFERROR(INDEX('因子水準表'!$B$9:$KO$18,10,MATCH(S$4,'因子水準表'!$B$4:$KO$4,0))&amp;"",""))</f>
        <v/>
      </c>
      <c r="CB15" s="26">
        <f>IF(T$4="","",IFERROR(INDEX('因子水準表'!$B$9:$KO$18,10,MATCH(T$4,'因子水準表'!$B$4:$KO$4,0))&amp;"",""))</f>
        <v/>
      </c>
      <c r="CC15" s="26">
        <f>IF(U$4="","",IFERROR(INDEX('因子水準表'!$B$9:$KO$18,10,MATCH(U$4,'因子水準表'!$B$4:$KO$4,0))&amp;"",""))</f>
        <v/>
      </c>
      <c r="CD15" s="26">
        <f>IF(V$4="","",IFERROR(INDEX('因子水準表'!$B$9:$KO$18,10,MATCH(V$4,'因子水準表'!$B$4:$KO$4,0))&amp;"",""))</f>
        <v/>
      </c>
      <c r="CE15" s="26">
        <f>IF(W$4="","",IFERROR(INDEX('因子水準表'!$B$9:$KO$18,10,MATCH(W$4,'因子水準表'!$B$4:$KO$4,0))&amp;"",""))</f>
        <v/>
      </c>
      <c r="CF15" s="26">
        <f>IF(X$4="","",IFERROR(INDEX('因子水準表'!$B$9:$KO$18,10,MATCH(X$4,'因子水準表'!$B$4:$KO$4,0))&amp;"",""))</f>
        <v/>
      </c>
      <c r="CG15" s="26">
        <f>IF(Y$4="","",IFERROR(INDEX('因子水準表'!$B$9:$KO$18,10,MATCH(Y$4,'因子水準表'!$B$4:$KO$4,0))&amp;"",""))</f>
        <v/>
      </c>
      <c r="CH15" s="26">
        <f>IF(Z$4="","",IFERROR(INDEX('因子水準表'!$B$9:$KO$18,10,MATCH(Z$4,'因子水準表'!$B$4:$KO$4,0))&amp;"",""))</f>
        <v/>
      </c>
      <c r="CI15" s="26">
        <f>IF(AA$4="","",IFERROR(INDEX('因子水準表'!$B$9:$KO$18,10,MATCH(AA$4,'因子水準表'!$B$4:$KO$4,0))&amp;"",""))</f>
        <v/>
      </c>
      <c r="CJ15" s="26">
        <f>IF(AB$4="","",IFERROR(INDEX('因子水準表'!$B$9:$KO$18,10,MATCH(AB$4,'因子水準表'!$B$4:$KO$4,0))&amp;"",""))</f>
        <v/>
      </c>
      <c r="CK15" s="26">
        <f>IF(AC$4="","",IFERROR(INDEX('因子水準表'!$B$9:$KO$18,10,MATCH(AC$4,'因子水準表'!$B$4:$KO$4,0))&amp;"",""))</f>
        <v/>
      </c>
      <c r="CL15" s="26">
        <f>IF(AD$4="","",IFERROR(INDEX('因子水準表'!$B$9:$KO$18,10,MATCH(AD$4,'因子水準表'!$B$4:$KO$4,0))&amp;"",""))</f>
        <v/>
      </c>
      <c r="CM15" s="26">
        <f>IF(AE$4="","",IFERROR(INDEX('因子水準表'!$B$9:$KO$18,10,MATCH(AE$4,'因子水準表'!$B$4:$KO$4,0))&amp;"",""))</f>
        <v/>
      </c>
      <c r="CN15" s="26">
        <f>IF(AF$4="","",IFERROR(INDEX('因子水準表'!$B$9:$KO$18,10,MATCH(AF$4,'因子水準表'!$B$4:$KO$4,0))&amp;"",""))</f>
        <v/>
      </c>
      <c r="CO15" s="26">
        <f>IF(AG$4="","",IFERROR(INDEX('因子水準表'!$B$9:$KO$18,10,MATCH(AG$4,'因子水準表'!$B$4:$KO$4,0))&amp;"",""))</f>
        <v/>
      </c>
      <c r="CP15" s="26">
        <f>IF(AH$4="","",IFERROR(INDEX('因子水準表'!$B$9:$KO$18,10,MATCH(AH$4,'因子水準表'!$B$4:$KO$4,0))&amp;"",""))</f>
        <v/>
      </c>
      <c r="CQ15" s="26">
        <f>IF(AI$4="","",IFERROR(INDEX('因子水準表'!$B$9:$KO$18,10,MATCH(AI$4,'因子水準表'!$B$4:$KO$4,0))&amp;"",""))</f>
        <v/>
      </c>
      <c r="CR15" s="26">
        <f>IF(AJ$4="","",IFERROR(INDEX('因子水準表'!$B$9:$KO$18,10,MATCH(AJ$4,'因子水準表'!$B$4:$KO$4,0))&amp;"",""))</f>
        <v/>
      </c>
      <c r="CS15" s="26">
        <f>IF(AK$4="","",IFERROR(INDEX('因子水準表'!$B$9:$KO$18,10,MATCH(AK$4,'因子水準表'!$B$4:$KO$4,0))&amp;"",""))</f>
        <v/>
      </c>
      <c r="CT15" s="26">
        <f>IF(AL$4="","",IFERROR(INDEX('因子水準表'!$B$9:$KO$18,10,MATCH(AL$4,'因子水準表'!$B$4:$KO$4,0))&amp;"",""))</f>
        <v/>
      </c>
      <c r="CU15" s="26">
        <f>IF(AM$4="","",IFERROR(INDEX('因子水準表'!$B$9:$KO$18,10,MATCH(AM$4,'因子水準表'!$B$4:$KO$4,0))&amp;"",""))</f>
        <v/>
      </c>
      <c r="CV15" s="26">
        <f>IF(AN$4="","",IFERROR(INDEX('因子水準表'!$B$9:$KO$18,10,MATCH(AN$4,'因子水準表'!$B$4:$KO$4,0))&amp;"",""))</f>
        <v/>
      </c>
      <c r="CW15" s="26">
        <f>IF(AO$4="","",IFERROR(INDEX('因子水準表'!$B$9:$KO$18,10,MATCH(AO$4,'因子水準表'!$B$4:$KO$4,0))&amp;"",""))</f>
        <v/>
      </c>
      <c r="CX15" s="26">
        <f>IF(AP$4="","",IFERROR(INDEX('因子水準表'!$B$9:$KO$18,10,MATCH(AP$4,'因子水準表'!$B$4:$KO$4,0))&amp;"",""))</f>
        <v/>
      </c>
      <c r="CY15" s="26">
        <f>IF(AQ$4="","",IFERROR(INDEX('因子水準表'!$B$9:$KO$18,10,MATCH(AQ$4,'因子水準表'!$B$4:$KO$4,0))&amp;"",""))</f>
        <v/>
      </c>
      <c r="CZ15" s="26">
        <f>IF(AR$4="","",IFERROR(INDEX('因子水準表'!$B$9:$KO$18,10,MATCH(AR$4,'因子水準表'!$B$4:$KO$4,0))&amp;"",""))</f>
        <v/>
      </c>
      <c r="DA15" s="26">
        <f>IF(AS$4="","",IFERROR(INDEX('因子水準表'!$B$9:$KO$18,10,MATCH(AS$4,'因子水準表'!$B$4:$KO$4,0))&amp;"",""))</f>
        <v/>
      </c>
      <c r="DB15" s="26">
        <f>IF(AT$4="","",IFERROR(INDEX('因子水準表'!$B$9:$KO$18,10,MATCH(AT$4,'因子水準表'!$B$4:$KO$4,0))&amp;"",""))</f>
        <v/>
      </c>
      <c r="DC15" s="26">
        <f>IF(AU$4="","",IFERROR(INDEX('因子水準表'!$B$9:$KO$18,10,MATCH(AU$4,'因子水準表'!$B$4:$KO$4,0))&amp;"",""))</f>
        <v/>
      </c>
      <c r="DD15" s="26">
        <f>IF(AV$4="","",IFERROR(INDEX('因子水準表'!$B$9:$KO$18,10,MATCH(AV$4,'因子水準表'!$B$4:$KO$4,0))&amp;"",""))</f>
        <v/>
      </c>
      <c r="DE15" s="26">
        <f>IF(AW$4="","",IFERROR(INDEX('因子水準表'!$B$9:$KO$18,10,MATCH(AW$4,'因子水準表'!$B$4:$KO$4,0))&amp;"",""))</f>
        <v/>
      </c>
      <c r="DF15" s="26">
        <f>IF(AX$4="","",IFERROR(INDEX('因子水準表'!$B$9:$KO$18,10,MATCH(AX$4,'因子水準表'!$B$4:$KO$4,0))&amp;"",""))</f>
        <v/>
      </c>
      <c r="DG15" s="26">
        <f>IF(AY$4="","",IFERROR(INDEX('因子水準表'!$B$9:$KO$18,10,MATCH(AY$4,'因子水準表'!$B$4:$KO$4,0))&amp;"",""))</f>
        <v/>
      </c>
      <c r="DH15" s="26">
        <f>IF(AZ$4="","",IFERROR(INDEX('因子水準表'!$B$9:$KO$18,10,MATCH(AZ$4,'因子水準表'!$B$4:$KO$4,0))&amp;"",""))</f>
        <v/>
      </c>
      <c r="DI15" s="26">
        <f>IF(BA$4="","",IFERROR(INDEX('因子水準表'!$B$9:$KO$18,10,MATCH(BA$4,'因子水準表'!$B$4:$KO$4,0))&amp;"",""))</f>
        <v/>
      </c>
      <c r="DJ15" s="26">
        <f>IF(BB$4="","",IFERROR(INDEX('因子水準表'!$B$9:$KO$18,10,MATCH(BB$4,'因子水準表'!$B$4:$KO$4,0))&amp;"",""))</f>
        <v/>
      </c>
      <c r="DK15" s="26">
        <f>IF(BC$4="","",IFERROR(INDEX('因子水準表'!$B$9:$KO$18,10,MATCH(BC$4,'因子水準表'!$B$4:$KO$4,0))&amp;"",""))</f>
        <v/>
      </c>
      <c r="DL15" s="26">
        <f>IF(BD$4="","",IFERROR(INDEX('因子水準表'!$B$9:$KO$18,10,MATCH(BD$4,'因子水準表'!$B$4:$KO$4,0))&amp;"",""))</f>
        <v/>
      </c>
      <c r="DM15" s="26">
        <f>IF('因子水準表'!B38="","",'因子水準表'!B38)</f>
        <v/>
      </c>
      <c r="DN15" s="26">
        <f>IF('テスト条件'!A14="","",'テスト条件'!A14)</f>
        <v/>
      </c>
    </row>
    <row r="16">
      <c r="A16" s="27" t="n"/>
      <c r="B16" s="27" t="n"/>
      <c r="C16" s="28">
        <f>IF(A16="","",$B$2)</f>
        <v/>
      </c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  <c r="AA16" s="27" t="n"/>
      <c r="AB16" s="27" t="n"/>
      <c r="AC16" s="27" t="n"/>
      <c r="AD16" s="27" t="n"/>
      <c r="AE16" s="27" t="n"/>
      <c r="AF16" s="27" t="n"/>
      <c r="AG16" s="27" t="n"/>
      <c r="AH16" s="27" t="n"/>
      <c r="AI16" s="27" t="n"/>
      <c r="AJ16" s="27" t="n"/>
      <c r="AK16" s="27" t="n"/>
      <c r="AL16" s="27" t="n"/>
      <c r="AM16" s="27" t="n"/>
      <c r="AN16" s="27" t="n"/>
      <c r="AO16" s="27" t="n"/>
      <c r="AP16" s="27" t="n"/>
      <c r="AQ16" s="27" t="n"/>
      <c r="AR16" s="27" t="n"/>
      <c r="AS16" s="27" t="n"/>
      <c r="AT16" s="27" t="n"/>
      <c r="AU16" s="27" t="n"/>
      <c r="AV16" s="27" t="n"/>
      <c r="AW16" s="27" t="n"/>
      <c r="AX16" s="27" t="n"/>
      <c r="AY16" s="27" t="n"/>
      <c r="AZ16" s="27" t="n"/>
      <c r="BA16" s="27" t="n"/>
      <c r="BB16" s="27" t="n"/>
      <c r="BC16" s="27" t="n"/>
      <c r="BD16" s="27" t="n"/>
      <c r="BE16" s="27" t="n"/>
      <c r="BF16" s="27" t="n"/>
      <c r="BG16" s="27" t="n"/>
      <c r="BH16" s="27" t="n"/>
      <c r="BI16" s="29" t="n"/>
      <c r="BJ16" s="27" t="n"/>
      <c r="BK16" s="27" t="n"/>
      <c r="BL16" s="27" t="n"/>
      <c r="BM16" s="27" t="n"/>
      <c r="DM16" s="26">
        <f>IF('因子水準表'!B39="","",'因子水準表'!B39)</f>
        <v/>
      </c>
      <c r="DN16" s="26">
        <f>IF('テスト条件'!A15="","",'テスト条件'!A15)</f>
        <v/>
      </c>
    </row>
    <row r="17">
      <c r="A17" s="27" t="n"/>
      <c r="B17" s="27" t="n"/>
      <c r="C17" s="28">
        <f>IF(A17="","",$B$2)</f>
        <v/>
      </c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  <c r="AI17" s="27" t="n"/>
      <c r="AJ17" s="27" t="n"/>
      <c r="AK17" s="27" t="n"/>
      <c r="AL17" s="27" t="n"/>
      <c r="AM17" s="27" t="n"/>
      <c r="AN17" s="27" t="n"/>
      <c r="AO17" s="27" t="n"/>
      <c r="AP17" s="27" t="n"/>
      <c r="AQ17" s="27" t="n"/>
      <c r="AR17" s="27" t="n"/>
      <c r="AS17" s="27" t="n"/>
      <c r="AT17" s="27" t="n"/>
      <c r="AU17" s="27" t="n"/>
      <c r="AV17" s="27" t="n"/>
      <c r="AW17" s="27" t="n"/>
      <c r="AX17" s="27" t="n"/>
      <c r="AY17" s="27" t="n"/>
      <c r="AZ17" s="27" t="n"/>
      <c r="BA17" s="27" t="n"/>
      <c r="BB17" s="27" t="n"/>
      <c r="BC17" s="27" t="n"/>
      <c r="BD17" s="27" t="n"/>
      <c r="BE17" s="27" t="n"/>
      <c r="BF17" s="27" t="n"/>
      <c r="BG17" s="27" t="n"/>
      <c r="BH17" s="27" t="n"/>
      <c r="BI17" s="29" t="n"/>
      <c r="BJ17" s="27" t="n"/>
      <c r="BK17" s="27" t="n"/>
      <c r="BL17" s="27" t="n"/>
      <c r="BM17" s="27" t="n"/>
      <c r="DM17" s="26">
        <f>IF('因子水準表'!B40="","",'因子水準表'!B40)</f>
        <v/>
      </c>
      <c r="DN17" s="26">
        <f>IF('テスト条件'!A16="","",'テスト条件'!A16)</f>
        <v/>
      </c>
    </row>
    <row r="18">
      <c r="A18" s="27" t="n"/>
      <c r="B18" s="27" t="n"/>
      <c r="C18" s="28">
        <f>IF(A18="","",$B$2)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  <c r="AJ18" s="27" t="n"/>
      <c r="AK18" s="27" t="n"/>
      <c r="AL18" s="27" t="n"/>
      <c r="AM18" s="27" t="n"/>
      <c r="AN18" s="27" t="n"/>
      <c r="AO18" s="27" t="n"/>
      <c r="AP18" s="27" t="n"/>
      <c r="AQ18" s="27" t="n"/>
      <c r="AR18" s="27" t="n"/>
      <c r="AS18" s="27" t="n"/>
      <c r="AT18" s="27" t="n"/>
      <c r="AU18" s="27" t="n"/>
      <c r="AV18" s="27" t="n"/>
      <c r="AW18" s="27" t="n"/>
      <c r="AX18" s="27" t="n"/>
      <c r="AY18" s="27" t="n"/>
      <c r="AZ18" s="27" t="n"/>
      <c r="BA18" s="27" t="n"/>
      <c r="BB18" s="27" t="n"/>
      <c r="BC18" s="27" t="n"/>
      <c r="BD18" s="27" t="n"/>
      <c r="BE18" s="27" t="n"/>
      <c r="BF18" s="27" t="n"/>
      <c r="BG18" s="27" t="n"/>
      <c r="BH18" s="27" t="n"/>
      <c r="BI18" s="29" t="n"/>
      <c r="BJ18" s="27" t="n"/>
      <c r="BK18" s="27" t="n"/>
      <c r="BL18" s="27" t="n"/>
      <c r="BM18" s="27" t="n"/>
      <c r="DM18" s="26">
        <f>IF('因子水準表'!B41="","",'因子水準表'!B41)</f>
        <v/>
      </c>
      <c r="DN18" s="26">
        <f>IF('テスト条件'!A17="","",'テスト条件'!A17)</f>
        <v/>
      </c>
    </row>
    <row r="19">
      <c r="A19" s="27" t="n"/>
      <c r="B19" s="27" t="n"/>
      <c r="C19" s="28">
        <f>IF(A19="","",$B$2)</f>
        <v/>
      </c>
      <c r="D19" s="27" t="n"/>
      <c r="E19" s="27" t="n"/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  <c r="AA19" s="27" t="n"/>
      <c r="AB19" s="27" t="n"/>
      <c r="AC19" s="27" t="n"/>
      <c r="AD19" s="27" t="n"/>
      <c r="AE19" s="27" t="n"/>
      <c r="AF19" s="27" t="n"/>
      <c r="AG19" s="27" t="n"/>
      <c r="AH19" s="27" t="n"/>
      <c r="AI19" s="27" t="n"/>
      <c r="AJ19" s="27" t="n"/>
      <c r="AK19" s="27" t="n"/>
      <c r="AL19" s="27" t="n"/>
      <c r="AM19" s="27" t="n"/>
      <c r="AN19" s="27" t="n"/>
      <c r="AO19" s="27" t="n"/>
      <c r="AP19" s="27" t="n"/>
      <c r="AQ19" s="27" t="n"/>
      <c r="AR19" s="27" t="n"/>
      <c r="AS19" s="27" t="n"/>
      <c r="AT19" s="27" t="n"/>
      <c r="AU19" s="27" t="n"/>
      <c r="AV19" s="27" t="n"/>
      <c r="AW19" s="27" t="n"/>
      <c r="AX19" s="27" t="n"/>
      <c r="AY19" s="27" t="n"/>
      <c r="AZ19" s="27" t="n"/>
      <c r="BA19" s="27" t="n"/>
      <c r="BB19" s="27" t="n"/>
      <c r="BC19" s="27" t="n"/>
      <c r="BD19" s="27" t="n"/>
      <c r="BE19" s="27" t="n"/>
      <c r="BF19" s="27" t="n"/>
      <c r="BG19" s="27" t="n"/>
      <c r="BH19" s="27" t="n"/>
      <c r="BI19" s="29" t="n"/>
      <c r="BJ19" s="27" t="n"/>
      <c r="BK19" s="27" t="n"/>
      <c r="BL19" s="27" t="n"/>
      <c r="BM19" s="27" t="n"/>
      <c r="DM19" s="26">
        <f>IF('因子水準表'!B42="","",'因子水準表'!B42)</f>
        <v/>
      </c>
      <c r="DN19" s="26">
        <f>IF('テスト条件'!A18="","",'テスト条件'!A18)</f>
        <v/>
      </c>
    </row>
    <row r="20">
      <c r="A20" s="27" t="n"/>
      <c r="B20" s="27" t="n"/>
      <c r="C20" s="28">
        <f>IF(A20="","",$B$2)</f>
        <v/>
      </c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7" t="n"/>
      <c r="AI20" s="27" t="n"/>
      <c r="AJ20" s="27" t="n"/>
      <c r="AK20" s="27" t="n"/>
      <c r="AL20" s="27" t="n"/>
      <c r="AM20" s="27" t="n"/>
      <c r="AN20" s="27" t="n"/>
      <c r="AO20" s="27" t="n"/>
      <c r="AP20" s="27" t="n"/>
      <c r="AQ20" s="27" t="n"/>
      <c r="AR20" s="27" t="n"/>
      <c r="AS20" s="27" t="n"/>
      <c r="AT20" s="27" t="n"/>
      <c r="AU20" s="27" t="n"/>
      <c r="AV20" s="27" t="n"/>
      <c r="AW20" s="27" t="n"/>
      <c r="AX20" s="27" t="n"/>
      <c r="AY20" s="27" t="n"/>
      <c r="AZ20" s="27" t="n"/>
      <c r="BA20" s="27" t="n"/>
      <c r="BB20" s="27" t="n"/>
      <c r="BC20" s="27" t="n"/>
      <c r="BD20" s="27" t="n"/>
      <c r="BE20" s="27" t="n"/>
      <c r="BF20" s="27" t="n"/>
      <c r="BG20" s="27" t="n"/>
      <c r="BH20" s="27" t="n"/>
      <c r="BI20" s="29" t="n"/>
      <c r="BJ20" s="27" t="n"/>
      <c r="BK20" s="27" t="n"/>
      <c r="BL20" s="27" t="n"/>
      <c r="BM20" s="27" t="n"/>
      <c r="DM20" s="26">
        <f>IF('因子水準表'!B43="","",'因子水準表'!B43)</f>
        <v/>
      </c>
      <c r="DN20" s="26">
        <f>IF('テスト条件'!A19="","",'テスト条件'!A19)</f>
        <v/>
      </c>
    </row>
    <row r="21">
      <c r="A21" s="27" t="n"/>
      <c r="B21" s="27" t="n"/>
      <c r="C21" s="28">
        <f>IF(A21="","",$B$2)</f>
        <v/>
      </c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  <c r="AI21" s="27" t="n"/>
      <c r="AJ21" s="27" t="n"/>
      <c r="AK21" s="27" t="n"/>
      <c r="AL21" s="27" t="n"/>
      <c r="AM21" s="27" t="n"/>
      <c r="AN21" s="27" t="n"/>
      <c r="AO21" s="27" t="n"/>
      <c r="AP21" s="27" t="n"/>
      <c r="AQ21" s="27" t="n"/>
      <c r="AR21" s="27" t="n"/>
      <c r="AS21" s="27" t="n"/>
      <c r="AT21" s="27" t="n"/>
      <c r="AU21" s="27" t="n"/>
      <c r="AV21" s="27" t="n"/>
      <c r="AW21" s="27" t="n"/>
      <c r="AX21" s="27" t="n"/>
      <c r="AY21" s="27" t="n"/>
      <c r="AZ21" s="27" t="n"/>
      <c r="BA21" s="27" t="n"/>
      <c r="BB21" s="27" t="n"/>
      <c r="BC21" s="27" t="n"/>
      <c r="BD21" s="27" t="n"/>
      <c r="BE21" s="27" t="n"/>
      <c r="BF21" s="27" t="n"/>
      <c r="BG21" s="27" t="n"/>
      <c r="BH21" s="27" t="n"/>
      <c r="BI21" s="29" t="n"/>
      <c r="BJ21" s="27" t="n"/>
      <c r="BK21" s="27" t="n"/>
      <c r="BL21" s="27" t="n"/>
      <c r="BM21" s="27" t="n"/>
      <c r="DM21" s="26">
        <f>IF('因子水準表'!B44="","",'因子水準表'!B44)</f>
        <v/>
      </c>
      <c r="DN21" s="26">
        <f>IF('テスト条件'!A20="","",'テスト条件'!A20)</f>
        <v/>
      </c>
    </row>
    <row r="22">
      <c r="A22" s="27" t="n"/>
      <c r="B22" s="27" t="n"/>
      <c r="C22" s="28">
        <f>IF(A22="","",$B$2)</f>
        <v/>
      </c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  <c r="AA22" s="27" t="n"/>
      <c r="AB22" s="27" t="n"/>
      <c r="AC22" s="27" t="n"/>
      <c r="AD22" s="27" t="n"/>
      <c r="AE22" s="27" t="n"/>
      <c r="AF22" s="27" t="n"/>
      <c r="AG22" s="27" t="n"/>
      <c r="AH22" s="27" t="n"/>
      <c r="AI22" s="27" t="n"/>
      <c r="AJ22" s="27" t="n"/>
      <c r="AK22" s="27" t="n"/>
      <c r="AL22" s="27" t="n"/>
      <c r="AM22" s="27" t="n"/>
      <c r="AN22" s="27" t="n"/>
      <c r="AO22" s="27" t="n"/>
      <c r="AP22" s="27" t="n"/>
      <c r="AQ22" s="27" t="n"/>
      <c r="AR22" s="27" t="n"/>
      <c r="AS22" s="27" t="n"/>
      <c r="AT22" s="27" t="n"/>
      <c r="AU22" s="27" t="n"/>
      <c r="AV22" s="27" t="n"/>
      <c r="AW22" s="27" t="n"/>
      <c r="AX22" s="27" t="n"/>
      <c r="AY22" s="27" t="n"/>
      <c r="AZ22" s="27" t="n"/>
      <c r="BA22" s="27" t="n"/>
      <c r="BB22" s="27" t="n"/>
      <c r="BC22" s="27" t="n"/>
      <c r="BD22" s="27" t="n"/>
      <c r="BE22" s="27" t="n"/>
      <c r="BF22" s="27" t="n"/>
      <c r="BG22" s="27" t="n"/>
      <c r="BH22" s="27" t="n"/>
      <c r="BI22" s="29" t="n"/>
      <c r="BJ22" s="27" t="n"/>
      <c r="BK22" s="27" t="n"/>
      <c r="BL22" s="27" t="n"/>
      <c r="BM22" s="27" t="n"/>
      <c r="DM22" s="26">
        <f>IF('因子水準表'!B45="","",'因子水準表'!B45)</f>
        <v/>
      </c>
      <c r="DN22" s="26">
        <f>IF('テスト条件'!A21="","",'テスト条件'!A21)</f>
        <v/>
      </c>
    </row>
    <row r="23">
      <c r="A23" s="27" t="n"/>
      <c r="B23" s="27" t="n"/>
      <c r="C23" s="28">
        <f>IF(A23="","",$B$2)</f>
        <v/>
      </c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  <c r="AI23" s="27" t="n"/>
      <c r="AJ23" s="27" t="n"/>
      <c r="AK23" s="27" t="n"/>
      <c r="AL23" s="27" t="n"/>
      <c r="AM23" s="27" t="n"/>
      <c r="AN23" s="27" t="n"/>
      <c r="AO23" s="27" t="n"/>
      <c r="AP23" s="27" t="n"/>
      <c r="AQ23" s="27" t="n"/>
      <c r="AR23" s="27" t="n"/>
      <c r="AS23" s="27" t="n"/>
      <c r="AT23" s="27" t="n"/>
      <c r="AU23" s="27" t="n"/>
      <c r="AV23" s="27" t="n"/>
      <c r="AW23" s="27" t="n"/>
      <c r="AX23" s="27" t="n"/>
      <c r="AY23" s="27" t="n"/>
      <c r="AZ23" s="27" t="n"/>
      <c r="BA23" s="27" t="n"/>
      <c r="BB23" s="27" t="n"/>
      <c r="BC23" s="27" t="n"/>
      <c r="BD23" s="27" t="n"/>
      <c r="BE23" s="27" t="n"/>
      <c r="BF23" s="27" t="n"/>
      <c r="BG23" s="27" t="n"/>
      <c r="BH23" s="27" t="n"/>
      <c r="BI23" s="29" t="n"/>
      <c r="BJ23" s="27" t="n"/>
      <c r="BK23" s="27" t="n"/>
      <c r="BL23" s="27" t="n"/>
      <c r="BM23" s="27" t="n"/>
      <c r="DM23" s="26">
        <f>IF('因子水準表'!B46="","",'因子水準表'!B46)</f>
        <v/>
      </c>
      <c r="DN23" s="26">
        <f>IF('テスト条件'!A22="","",'テスト条件'!A22)</f>
        <v/>
      </c>
    </row>
    <row r="24">
      <c r="A24" s="27" t="n"/>
      <c r="B24" s="27" t="n"/>
      <c r="C24" s="28">
        <f>IF(A24="","",$B$2)</f>
        <v/>
      </c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7" t="n"/>
      <c r="AB24" s="27" t="n"/>
      <c r="AC24" s="27" t="n"/>
      <c r="AD24" s="27" t="n"/>
      <c r="AE24" s="27" t="n"/>
      <c r="AF24" s="27" t="n"/>
      <c r="AG24" s="27" t="n"/>
      <c r="AH24" s="27" t="n"/>
      <c r="AI24" s="27" t="n"/>
      <c r="AJ24" s="27" t="n"/>
      <c r="AK24" s="27" t="n"/>
      <c r="AL24" s="27" t="n"/>
      <c r="AM24" s="27" t="n"/>
      <c r="AN24" s="27" t="n"/>
      <c r="AO24" s="27" t="n"/>
      <c r="AP24" s="27" t="n"/>
      <c r="AQ24" s="27" t="n"/>
      <c r="AR24" s="27" t="n"/>
      <c r="AS24" s="27" t="n"/>
      <c r="AT24" s="27" t="n"/>
      <c r="AU24" s="27" t="n"/>
      <c r="AV24" s="27" t="n"/>
      <c r="AW24" s="27" t="n"/>
      <c r="AX24" s="27" t="n"/>
      <c r="AY24" s="27" t="n"/>
      <c r="AZ24" s="27" t="n"/>
      <c r="BA24" s="27" t="n"/>
      <c r="BB24" s="27" t="n"/>
      <c r="BC24" s="27" t="n"/>
      <c r="BD24" s="27" t="n"/>
      <c r="BE24" s="27" t="n"/>
      <c r="BF24" s="27" t="n"/>
      <c r="BG24" s="27" t="n"/>
      <c r="BH24" s="27" t="n"/>
      <c r="BI24" s="29" t="n"/>
      <c r="BJ24" s="27" t="n"/>
      <c r="BK24" s="27" t="n"/>
      <c r="BL24" s="27" t="n"/>
      <c r="BM24" s="27" t="n"/>
      <c r="DM24" s="26">
        <f>IF('因子水準表'!B47="","",'因子水準表'!B47)</f>
        <v/>
      </c>
      <c r="DN24" s="26">
        <f>IF('テスト条件'!A23="","",'テスト条件'!A23)</f>
        <v/>
      </c>
    </row>
    <row r="25">
      <c r="A25" s="27" t="n"/>
      <c r="B25" s="27" t="n"/>
      <c r="C25" s="28">
        <f>IF(A25="","",$B$2)</f>
        <v/>
      </c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  <c r="AI25" s="27" t="n"/>
      <c r="AJ25" s="27" t="n"/>
      <c r="AK25" s="27" t="n"/>
      <c r="AL25" s="27" t="n"/>
      <c r="AM25" s="27" t="n"/>
      <c r="AN25" s="27" t="n"/>
      <c r="AO25" s="27" t="n"/>
      <c r="AP25" s="27" t="n"/>
      <c r="AQ25" s="27" t="n"/>
      <c r="AR25" s="27" t="n"/>
      <c r="AS25" s="27" t="n"/>
      <c r="AT25" s="27" t="n"/>
      <c r="AU25" s="27" t="n"/>
      <c r="AV25" s="27" t="n"/>
      <c r="AW25" s="27" t="n"/>
      <c r="AX25" s="27" t="n"/>
      <c r="AY25" s="27" t="n"/>
      <c r="AZ25" s="27" t="n"/>
      <c r="BA25" s="27" t="n"/>
      <c r="BB25" s="27" t="n"/>
      <c r="BC25" s="27" t="n"/>
      <c r="BD25" s="27" t="n"/>
      <c r="BE25" s="27" t="n"/>
      <c r="BF25" s="27" t="n"/>
      <c r="BG25" s="27" t="n"/>
      <c r="BH25" s="27" t="n"/>
      <c r="BI25" s="29" t="n"/>
      <c r="BJ25" s="27" t="n"/>
      <c r="BK25" s="27" t="n"/>
      <c r="BL25" s="27" t="n"/>
      <c r="BM25" s="27" t="n"/>
      <c r="DM25" s="26">
        <f>IF('因子水準表'!B48="","",'因子水準表'!B48)</f>
        <v/>
      </c>
      <c r="DN25" s="26">
        <f>IF('テスト条件'!A24="","",'テスト条件'!A24)</f>
        <v/>
      </c>
    </row>
    <row r="26">
      <c r="A26" s="27" t="n"/>
      <c r="B26" s="27" t="n"/>
      <c r="C26" s="28">
        <f>IF(A26="","",$B$2)</f>
        <v/>
      </c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  <c r="AA26" s="27" t="n"/>
      <c r="AB26" s="27" t="n"/>
      <c r="AC26" s="27" t="n"/>
      <c r="AD26" s="27" t="n"/>
      <c r="AE26" s="27" t="n"/>
      <c r="AF26" s="27" t="n"/>
      <c r="AG26" s="27" t="n"/>
      <c r="AH26" s="27" t="n"/>
      <c r="AI26" s="27" t="n"/>
      <c r="AJ26" s="27" t="n"/>
      <c r="AK26" s="27" t="n"/>
      <c r="AL26" s="27" t="n"/>
      <c r="AM26" s="27" t="n"/>
      <c r="AN26" s="27" t="n"/>
      <c r="AO26" s="27" t="n"/>
      <c r="AP26" s="27" t="n"/>
      <c r="AQ26" s="27" t="n"/>
      <c r="AR26" s="27" t="n"/>
      <c r="AS26" s="27" t="n"/>
      <c r="AT26" s="27" t="n"/>
      <c r="AU26" s="27" t="n"/>
      <c r="AV26" s="27" t="n"/>
      <c r="AW26" s="27" t="n"/>
      <c r="AX26" s="27" t="n"/>
      <c r="AY26" s="27" t="n"/>
      <c r="AZ26" s="27" t="n"/>
      <c r="BA26" s="27" t="n"/>
      <c r="BB26" s="27" t="n"/>
      <c r="BC26" s="27" t="n"/>
      <c r="BD26" s="27" t="n"/>
      <c r="BE26" s="27" t="n"/>
      <c r="BF26" s="27" t="n"/>
      <c r="BG26" s="27" t="n"/>
      <c r="BH26" s="27" t="n"/>
      <c r="BI26" s="29" t="n"/>
      <c r="BJ26" s="27" t="n"/>
      <c r="BK26" s="27" t="n"/>
      <c r="BL26" s="27" t="n"/>
      <c r="BM26" s="27" t="n"/>
      <c r="DM26" s="26">
        <f>IF('因子水準表'!B49="","",'因子水準表'!B49)</f>
        <v/>
      </c>
      <c r="DN26" s="26">
        <f>IF('テスト条件'!A25="","",'テスト条件'!A25)</f>
        <v/>
      </c>
    </row>
    <row r="27">
      <c r="A27" s="27" t="n"/>
      <c r="B27" s="27" t="n"/>
      <c r="C27" s="28">
        <f>IF(A27="","",$B$2)</f>
        <v/>
      </c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  <c r="AI27" s="27" t="n"/>
      <c r="AJ27" s="27" t="n"/>
      <c r="AK27" s="27" t="n"/>
      <c r="AL27" s="27" t="n"/>
      <c r="AM27" s="27" t="n"/>
      <c r="AN27" s="27" t="n"/>
      <c r="AO27" s="27" t="n"/>
      <c r="AP27" s="27" t="n"/>
      <c r="AQ27" s="27" t="n"/>
      <c r="AR27" s="27" t="n"/>
      <c r="AS27" s="27" t="n"/>
      <c r="AT27" s="27" t="n"/>
      <c r="AU27" s="27" t="n"/>
      <c r="AV27" s="27" t="n"/>
      <c r="AW27" s="27" t="n"/>
      <c r="AX27" s="27" t="n"/>
      <c r="AY27" s="27" t="n"/>
      <c r="AZ27" s="27" t="n"/>
      <c r="BA27" s="27" t="n"/>
      <c r="BB27" s="27" t="n"/>
      <c r="BC27" s="27" t="n"/>
      <c r="BD27" s="27" t="n"/>
      <c r="BE27" s="27" t="n"/>
      <c r="BF27" s="27" t="n"/>
      <c r="BG27" s="27" t="n"/>
      <c r="BH27" s="27" t="n"/>
      <c r="BI27" s="29" t="n"/>
      <c r="BJ27" s="27" t="n"/>
      <c r="BK27" s="27" t="n"/>
      <c r="BL27" s="27" t="n"/>
      <c r="BM27" s="27" t="n"/>
      <c r="DM27" s="26">
        <f>IF('因子水準表'!B50="","",'因子水準表'!B50)</f>
        <v/>
      </c>
      <c r="DN27" s="26">
        <f>IF('テスト条件'!A26="","",'テスト条件'!A26)</f>
        <v/>
      </c>
    </row>
    <row r="28">
      <c r="A28" s="27" t="n"/>
      <c r="B28" s="27" t="n"/>
      <c r="C28" s="28">
        <f>IF(A28="","",$B$2)</f>
        <v/>
      </c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  <c r="AA28" s="27" t="n"/>
      <c r="AB28" s="27" t="n"/>
      <c r="AC28" s="27" t="n"/>
      <c r="AD28" s="27" t="n"/>
      <c r="AE28" s="27" t="n"/>
      <c r="AF28" s="27" t="n"/>
      <c r="AG28" s="27" t="n"/>
      <c r="AH28" s="27" t="n"/>
      <c r="AI28" s="27" t="n"/>
      <c r="AJ28" s="27" t="n"/>
      <c r="AK28" s="27" t="n"/>
      <c r="AL28" s="27" t="n"/>
      <c r="AM28" s="27" t="n"/>
      <c r="AN28" s="27" t="n"/>
      <c r="AO28" s="27" t="n"/>
      <c r="AP28" s="27" t="n"/>
      <c r="AQ28" s="27" t="n"/>
      <c r="AR28" s="27" t="n"/>
      <c r="AS28" s="27" t="n"/>
      <c r="AT28" s="27" t="n"/>
      <c r="AU28" s="27" t="n"/>
      <c r="AV28" s="27" t="n"/>
      <c r="AW28" s="27" t="n"/>
      <c r="AX28" s="27" t="n"/>
      <c r="AY28" s="27" t="n"/>
      <c r="AZ28" s="27" t="n"/>
      <c r="BA28" s="27" t="n"/>
      <c r="BB28" s="27" t="n"/>
      <c r="BC28" s="27" t="n"/>
      <c r="BD28" s="27" t="n"/>
      <c r="BE28" s="27" t="n"/>
      <c r="BF28" s="27" t="n"/>
      <c r="BG28" s="27" t="n"/>
      <c r="BH28" s="27" t="n"/>
      <c r="BI28" s="29" t="n"/>
      <c r="BJ28" s="27" t="n"/>
      <c r="BK28" s="27" t="n"/>
      <c r="BL28" s="27" t="n"/>
      <c r="BM28" s="27" t="n"/>
      <c r="DM28" s="26">
        <f>IF('因子水準表'!B51="","",'因子水準表'!B51)</f>
        <v/>
      </c>
      <c r="DN28" s="26">
        <f>IF('テスト条件'!A27="","",'テスト条件'!A27)</f>
        <v/>
      </c>
    </row>
    <row r="29">
      <c r="A29" s="27" t="n"/>
      <c r="B29" s="27" t="n"/>
      <c r="C29" s="28">
        <f>IF(A29="","",$B$2)</f>
        <v/>
      </c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  <c r="AI29" s="27" t="n"/>
      <c r="AJ29" s="27" t="n"/>
      <c r="AK29" s="27" t="n"/>
      <c r="AL29" s="27" t="n"/>
      <c r="AM29" s="27" t="n"/>
      <c r="AN29" s="27" t="n"/>
      <c r="AO29" s="27" t="n"/>
      <c r="AP29" s="27" t="n"/>
      <c r="AQ29" s="27" t="n"/>
      <c r="AR29" s="27" t="n"/>
      <c r="AS29" s="27" t="n"/>
      <c r="AT29" s="27" t="n"/>
      <c r="AU29" s="27" t="n"/>
      <c r="AV29" s="27" t="n"/>
      <c r="AW29" s="27" t="n"/>
      <c r="AX29" s="27" t="n"/>
      <c r="AY29" s="27" t="n"/>
      <c r="AZ29" s="27" t="n"/>
      <c r="BA29" s="27" t="n"/>
      <c r="BB29" s="27" t="n"/>
      <c r="BC29" s="27" t="n"/>
      <c r="BD29" s="27" t="n"/>
      <c r="BE29" s="27" t="n"/>
      <c r="BF29" s="27" t="n"/>
      <c r="BG29" s="27" t="n"/>
      <c r="BH29" s="27" t="n"/>
      <c r="BI29" s="29" t="n"/>
      <c r="BJ29" s="27" t="n"/>
      <c r="BK29" s="27" t="n"/>
      <c r="BL29" s="27" t="n"/>
      <c r="BM29" s="27" t="n"/>
      <c r="DM29" s="26">
        <f>IF('因子水準表'!B52="","",'因子水準表'!B52)</f>
        <v/>
      </c>
      <c r="DN29" s="26">
        <f>IF('テスト条件'!A28="","",'テスト条件'!A28)</f>
        <v/>
      </c>
    </row>
    <row r="30">
      <c r="A30" s="27" t="n"/>
      <c r="B30" s="27" t="n"/>
      <c r="C30" s="28">
        <f>IF(A30="","",$B$2)</f>
        <v/>
      </c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7" t="n"/>
      <c r="AF30" s="27" t="n"/>
      <c r="AG30" s="27" t="n"/>
      <c r="AH30" s="27" t="n"/>
      <c r="AI30" s="27" t="n"/>
      <c r="AJ30" s="27" t="n"/>
      <c r="AK30" s="27" t="n"/>
      <c r="AL30" s="27" t="n"/>
      <c r="AM30" s="27" t="n"/>
      <c r="AN30" s="27" t="n"/>
      <c r="AO30" s="27" t="n"/>
      <c r="AP30" s="27" t="n"/>
      <c r="AQ30" s="27" t="n"/>
      <c r="AR30" s="27" t="n"/>
      <c r="AS30" s="27" t="n"/>
      <c r="AT30" s="27" t="n"/>
      <c r="AU30" s="27" t="n"/>
      <c r="AV30" s="27" t="n"/>
      <c r="AW30" s="27" t="n"/>
      <c r="AX30" s="27" t="n"/>
      <c r="AY30" s="27" t="n"/>
      <c r="AZ30" s="27" t="n"/>
      <c r="BA30" s="27" t="n"/>
      <c r="BB30" s="27" t="n"/>
      <c r="BC30" s="27" t="n"/>
      <c r="BD30" s="27" t="n"/>
      <c r="BE30" s="27" t="n"/>
      <c r="BF30" s="27" t="n"/>
      <c r="BG30" s="27" t="n"/>
      <c r="BH30" s="27" t="n"/>
      <c r="BI30" s="29" t="n"/>
      <c r="BJ30" s="27" t="n"/>
      <c r="BK30" s="27" t="n"/>
      <c r="BL30" s="27" t="n"/>
      <c r="BM30" s="27" t="n"/>
      <c r="DM30" s="26">
        <f>IF('因子水準表'!B53="","",'因子水準表'!B53)</f>
        <v/>
      </c>
      <c r="DN30" s="26">
        <f>IF('テスト条件'!A29="","",'テスト条件'!A29)</f>
        <v/>
      </c>
    </row>
    <row r="31">
      <c r="A31" s="27" t="n"/>
      <c r="B31" s="27" t="n"/>
      <c r="C31" s="28">
        <f>IF(A31="","",$B$2)</f>
        <v/>
      </c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27" t="n"/>
      <c r="AJ31" s="27" t="n"/>
      <c r="AK31" s="27" t="n"/>
      <c r="AL31" s="27" t="n"/>
      <c r="AM31" s="27" t="n"/>
      <c r="AN31" s="27" t="n"/>
      <c r="AO31" s="27" t="n"/>
      <c r="AP31" s="27" t="n"/>
      <c r="AQ31" s="27" t="n"/>
      <c r="AR31" s="27" t="n"/>
      <c r="AS31" s="27" t="n"/>
      <c r="AT31" s="27" t="n"/>
      <c r="AU31" s="27" t="n"/>
      <c r="AV31" s="27" t="n"/>
      <c r="AW31" s="27" t="n"/>
      <c r="AX31" s="27" t="n"/>
      <c r="AY31" s="27" t="n"/>
      <c r="AZ31" s="27" t="n"/>
      <c r="BA31" s="27" t="n"/>
      <c r="BB31" s="27" t="n"/>
      <c r="BC31" s="27" t="n"/>
      <c r="BD31" s="27" t="n"/>
      <c r="BE31" s="27" t="n"/>
      <c r="BF31" s="27" t="n"/>
      <c r="BG31" s="27" t="n"/>
      <c r="BH31" s="27" t="n"/>
      <c r="BI31" s="29" t="n"/>
      <c r="BJ31" s="27" t="n"/>
      <c r="BK31" s="27" t="n"/>
      <c r="BL31" s="27" t="n"/>
      <c r="BM31" s="27" t="n"/>
      <c r="DM31" s="26">
        <f>IF('因子水準表'!B54="","",'因子水準表'!B54)</f>
        <v/>
      </c>
      <c r="DN31" s="26">
        <f>IF('テスト条件'!A30="","",'テスト条件'!A30)</f>
        <v/>
      </c>
    </row>
    <row r="32">
      <c r="A32" s="27" t="n"/>
      <c r="B32" s="27" t="n"/>
      <c r="C32" s="28">
        <f>IF(A32="","",$B$2)</f>
        <v/>
      </c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27" t="n"/>
      <c r="AJ32" s="27" t="n"/>
      <c r="AK32" s="27" t="n"/>
      <c r="AL32" s="27" t="n"/>
      <c r="AM32" s="27" t="n"/>
      <c r="AN32" s="27" t="n"/>
      <c r="AO32" s="27" t="n"/>
      <c r="AP32" s="27" t="n"/>
      <c r="AQ32" s="27" t="n"/>
      <c r="AR32" s="27" t="n"/>
      <c r="AS32" s="27" t="n"/>
      <c r="AT32" s="27" t="n"/>
      <c r="AU32" s="27" t="n"/>
      <c r="AV32" s="27" t="n"/>
      <c r="AW32" s="27" t="n"/>
      <c r="AX32" s="27" t="n"/>
      <c r="AY32" s="27" t="n"/>
      <c r="AZ32" s="27" t="n"/>
      <c r="BA32" s="27" t="n"/>
      <c r="BB32" s="27" t="n"/>
      <c r="BC32" s="27" t="n"/>
      <c r="BD32" s="27" t="n"/>
      <c r="BE32" s="27" t="n"/>
      <c r="BF32" s="27" t="n"/>
      <c r="BG32" s="27" t="n"/>
      <c r="BH32" s="27" t="n"/>
      <c r="BI32" s="29" t="n"/>
      <c r="BJ32" s="27" t="n"/>
      <c r="BK32" s="27" t="n"/>
      <c r="BL32" s="27" t="n"/>
      <c r="BM32" s="27" t="n"/>
      <c r="DM32" s="26">
        <f>IF('因子水準表'!B55="","",'因子水準表'!B55)</f>
        <v/>
      </c>
      <c r="DN32" s="26">
        <f>IF('テスト条件'!A31="","",'テスト条件'!A31)</f>
        <v/>
      </c>
    </row>
    <row r="33">
      <c r="A33" s="27" t="n"/>
      <c r="B33" s="27" t="n"/>
      <c r="C33" s="28">
        <f>IF(A33="","",$B$2)</f>
        <v/>
      </c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  <c r="AJ33" s="27" t="n"/>
      <c r="AK33" s="27" t="n"/>
      <c r="AL33" s="27" t="n"/>
      <c r="AM33" s="27" t="n"/>
      <c r="AN33" s="27" t="n"/>
      <c r="AO33" s="27" t="n"/>
      <c r="AP33" s="27" t="n"/>
      <c r="AQ33" s="27" t="n"/>
      <c r="AR33" s="27" t="n"/>
      <c r="AS33" s="27" t="n"/>
      <c r="AT33" s="27" t="n"/>
      <c r="AU33" s="27" t="n"/>
      <c r="AV33" s="27" t="n"/>
      <c r="AW33" s="27" t="n"/>
      <c r="AX33" s="27" t="n"/>
      <c r="AY33" s="27" t="n"/>
      <c r="AZ33" s="27" t="n"/>
      <c r="BA33" s="27" t="n"/>
      <c r="BB33" s="27" t="n"/>
      <c r="BC33" s="27" t="n"/>
      <c r="BD33" s="27" t="n"/>
      <c r="BE33" s="27" t="n"/>
      <c r="BF33" s="27" t="n"/>
      <c r="BG33" s="27" t="n"/>
      <c r="BH33" s="27" t="n"/>
      <c r="BI33" s="29" t="n"/>
      <c r="BJ33" s="27" t="n"/>
      <c r="BK33" s="27" t="n"/>
      <c r="BL33" s="27" t="n"/>
      <c r="BM33" s="27" t="n"/>
      <c r="DM33" s="26">
        <f>IF('因子水準表'!B56="","",'因子水準表'!B56)</f>
        <v/>
      </c>
      <c r="DN33" s="26">
        <f>IF('テスト条件'!A32="","",'テスト条件'!A32)</f>
        <v/>
      </c>
    </row>
    <row r="34">
      <c r="A34" s="27" t="n"/>
      <c r="B34" s="27" t="n"/>
      <c r="C34" s="28">
        <f>IF(A34="","",$B$2)</f>
        <v/>
      </c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  <c r="AJ34" s="27" t="n"/>
      <c r="AK34" s="27" t="n"/>
      <c r="AL34" s="27" t="n"/>
      <c r="AM34" s="27" t="n"/>
      <c r="AN34" s="27" t="n"/>
      <c r="AO34" s="27" t="n"/>
      <c r="AP34" s="27" t="n"/>
      <c r="AQ34" s="27" t="n"/>
      <c r="AR34" s="27" t="n"/>
      <c r="AS34" s="27" t="n"/>
      <c r="AT34" s="27" t="n"/>
      <c r="AU34" s="27" t="n"/>
      <c r="AV34" s="27" t="n"/>
      <c r="AW34" s="27" t="n"/>
      <c r="AX34" s="27" t="n"/>
      <c r="AY34" s="27" t="n"/>
      <c r="AZ34" s="27" t="n"/>
      <c r="BA34" s="27" t="n"/>
      <c r="BB34" s="27" t="n"/>
      <c r="BC34" s="27" t="n"/>
      <c r="BD34" s="27" t="n"/>
      <c r="BE34" s="27" t="n"/>
      <c r="BF34" s="27" t="n"/>
      <c r="BG34" s="27" t="n"/>
      <c r="BH34" s="27" t="n"/>
      <c r="BI34" s="29" t="n"/>
      <c r="BJ34" s="27" t="n"/>
      <c r="BK34" s="27" t="n"/>
      <c r="BL34" s="27" t="n"/>
      <c r="BM34" s="27" t="n"/>
      <c r="DM34" s="26">
        <f>IF('因子水準表'!B57="","",'因子水準表'!B57)</f>
        <v/>
      </c>
      <c r="DN34" s="26">
        <f>IF('テスト条件'!A33="","",'テスト条件'!A33)</f>
        <v/>
      </c>
    </row>
    <row r="35">
      <c r="A35" s="27" t="n"/>
      <c r="B35" s="27" t="n"/>
      <c r="C35" s="28">
        <f>IF(A35="","",$B$2)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27" t="n"/>
      <c r="AJ35" s="27" t="n"/>
      <c r="AK35" s="27" t="n"/>
      <c r="AL35" s="27" t="n"/>
      <c r="AM35" s="27" t="n"/>
      <c r="AN35" s="27" t="n"/>
      <c r="AO35" s="27" t="n"/>
      <c r="AP35" s="27" t="n"/>
      <c r="AQ35" s="27" t="n"/>
      <c r="AR35" s="27" t="n"/>
      <c r="AS35" s="27" t="n"/>
      <c r="AT35" s="27" t="n"/>
      <c r="AU35" s="27" t="n"/>
      <c r="AV35" s="27" t="n"/>
      <c r="AW35" s="27" t="n"/>
      <c r="AX35" s="27" t="n"/>
      <c r="AY35" s="27" t="n"/>
      <c r="AZ35" s="27" t="n"/>
      <c r="BA35" s="27" t="n"/>
      <c r="BB35" s="27" t="n"/>
      <c r="BC35" s="27" t="n"/>
      <c r="BD35" s="27" t="n"/>
      <c r="BE35" s="27" t="n"/>
      <c r="BF35" s="27" t="n"/>
      <c r="BG35" s="27" t="n"/>
      <c r="BH35" s="27" t="n"/>
      <c r="BI35" s="29" t="n"/>
      <c r="BJ35" s="27" t="n"/>
      <c r="BK35" s="27" t="n"/>
      <c r="BL35" s="27" t="n"/>
      <c r="BM35" s="27" t="n"/>
      <c r="DM35" s="26">
        <f>IF('因子水準表'!B58="","",'因子水準表'!B58)</f>
        <v/>
      </c>
      <c r="DN35" s="26">
        <f>IF('テスト条件'!A34="","",'テスト条件'!A34)</f>
        <v/>
      </c>
    </row>
    <row r="36">
      <c r="A36" s="27" t="n"/>
      <c r="B36" s="27" t="n"/>
      <c r="C36" s="28">
        <f>IF(A36="","",$B$2)</f>
        <v/>
      </c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27" t="n"/>
      <c r="AJ36" s="27" t="n"/>
      <c r="AK36" s="27" t="n"/>
      <c r="AL36" s="27" t="n"/>
      <c r="AM36" s="27" t="n"/>
      <c r="AN36" s="27" t="n"/>
      <c r="AO36" s="27" t="n"/>
      <c r="AP36" s="27" t="n"/>
      <c r="AQ36" s="27" t="n"/>
      <c r="AR36" s="27" t="n"/>
      <c r="AS36" s="27" t="n"/>
      <c r="AT36" s="27" t="n"/>
      <c r="AU36" s="27" t="n"/>
      <c r="AV36" s="27" t="n"/>
      <c r="AW36" s="27" t="n"/>
      <c r="AX36" s="27" t="n"/>
      <c r="AY36" s="27" t="n"/>
      <c r="AZ36" s="27" t="n"/>
      <c r="BA36" s="27" t="n"/>
      <c r="BB36" s="27" t="n"/>
      <c r="BC36" s="27" t="n"/>
      <c r="BD36" s="27" t="n"/>
      <c r="BE36" s="27" t="n"/>
      <c r="BF36" s="27" t="n"/>
      <c r="BG36" s="27" t="n"/>
      <c r="BH36" s="27" t="n"/>
      <c r="BI36" s="29" t="n"/>
      <c r="BJ36" s="27" t="n"/>
      <c r="BK36" s="27" t="n"/>
      <c r="BL36" s="27" t="n"/>
      <c r="BM36" s="27" t="n"/>
      <c r="DN36" s="26">
        <f>IF('テスト条件'!A35="","",'テスト条件'!A35)</f>
        <v/>
      </c>
    </row>
    <row r="37">
      <c r="A37" s="27" t="n"/>
      <c r="B37" s="27" t="n"/>
      <c r="C37" s="28">
        <f>IF(A37="","",$B$2)</f>
        <v/>
      </c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27" t="n"/>
      <c r="AJ37" s="27" t="n"/>
      <c r="AK37" s="27" t="n"/>
      <c r="AL37" s="27" t="n"/>
      <c r="AM37" s="27" t="n"/>
      <c r="AN37" s="27" t="n"/>
      <c r="AO37" s="27" t="n"/>
      <c r="AP37" s="27" t="n"/>
      <c r="AQ37" s="27" t="n"/>
      <c r="AR37" s="27" t="n"/>
      <c r="AS37" s="27" t="n"/>
      <c r="AT37" s="27" t="n"/>
      <c r="AU37" s="27" t="n"/>
      <c r="AV37" s="27" t="n"/>
      <c r="AW37" s="27" t="n"/>
      <c r="AX37" s="27" t="n"/>
      <c r="AY37" s="27" t="n"/>
      <c r="AZ37" s="27" t="n"/>
      <c r="BA37" s="27" t="n"/>
      <c r="BB37" s="27" t="n"/>
      <c r="BC37" s="27" t="n"/>
      <c r="BD37" s="27" t="n"/>
      <c r="BE37" s="27" t="n"/>
      <c r="BF37" s="27" t="n"/>
      <c r="BG37" s="27" t="n"/>
      <c r="BH37" s="27" t="n"/>
      <c r="BI37" s="29" t="n"/>
      <c r="BJ37" s="27" t="n"/>
      <c r="BK37" s="27" t="n"/>
      <c r="BL37" s="27" t="n"/>
      <c r="BM37" s="27" t="n"/>
      <c r="DN37" s="26">
        <f>IF('テスト条件'!A36="","",'テスト条件'!A36)</f>
        <v/>
      </c>
    </row>
    <row r="38">
      <c r="A38" s="27" t="n"/>
      <c r="B38" s="27" t="n"/>
      <c r="C38" s="28">
        <f>IF(A38="","",$B$2)</f>
        <v/>
      </c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27" t="n"/>
      <c r="AJ38" s="27" t="n"/>
      <c r="AK38" s="27" t="n"/>
      <c r="AL38" s="27" t="n"/>
      <c r="AM38" s="27" t="n"/>
      <c r="AN38" s="27" t="n"/>
      <c r="AO38" s="27" t="n"/>
      <c r="AP38" s="27" t="n"/>
      <c r="AQ38" s="27" t="n"/>
      <c r="AR38" s="27" t="n"/>
      <c r="AS38" s="27" t="n"/>
      <c r="AT38" s="27" t="n"/>
      <c r="AU38" s="27" t="n"/>
      <c r="AV38" s="27" t="n"/>
      <c r="AW38" s="27" t="n"/>
      <c r="AX38" s="27" t="n"/>
      <c r="AY38" s="27" t="n"/>
      <c r="AZ38" s="27" t="n"/>
      <c r="BA38" s="27" t="n"/>
      <c r="BB38" s="27" t="n"/>
      <c r="BC38" s="27" t="n"/>
      <c r="BD38" s="27" t="n"/>
      <c r="BE38" s="27" t="n"/>
      <c r="BF38" s="27" t="n"/>
      <c r="BG38" s="27" t="n"/>
      <c r="BH38" s="27" t="n"/>
      <c r="BI38" s="29" t="n"/>
      <c r="BJ38" s="27" t="n"/>
      <c r="BK38" s="27" t="n"/>
      <c r="BL38" s="27" t="n"/>
      <c r="BM38" s="27" t="n"/>
      <c r="DN38" s="26">
        <f>IF('テスト条件'!A37="","",'テスト条件'!A37)</f>
        <v/>
      </c>
    </row>
    <row r="39">
      <c r="A39" s="27" t="n"/>
      <c r="B39" s="27" t="n"/>
      <c r="C39" s="28">
        <f>IF(A39="","",$B$2)</f>
        <v/>
      </c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27" t="n"/>
      <c r="AJ39" s="27" t="n"/>
      <c r="AK39" s="27" t="n"/>
      <c r="AL39" s="27" t="n"/>
      <c r="AM39" s="27" t="n"/>
      <c r="AN39" s="27" t="n"/>
      <c r="AO39" s="27" t="n"/>
      <c r="AP39" s="27" t="n"/>
      <c r="AQ39" s="27" t="n"/>
      <c r="AR39" s="27" t="n"/>
      <c r="AS39" s="27" t="n"/>
      <c r="AT39" s="27" t="n"/>
      <c r="AU39" s="27" t="n"/>
      <c r="AV39" s="27" t="n"/>
      <c r="AW39" s="27" t="n"/>
      <c r="AX39" s="27" t="n"/>
      <c r="AY39" s="27" t="n"/>
      <c r="AZ39" s="27" t="n"/>
      <c r="BA39" s="27" t="n"/>
      <c r="BB39" s="27" t="n"/>
      <c r="BC39" s="27" t="n"/>
      <c r="BD39" s="27" t="n"/>
      <c r="BE39" s="27" t="n"/>
      <c r="BF39" s="27" t="n"/>
      <c r="BG39" s="27" t="n"/>
      <c r="BH39" s="27" t="n"/>
      <c r="BI39" s="29" t="n"/>
      <c r="BJ39" s="27" t="n"/>
      <c r="BK39" s="27" t="n"/>
      <c r="BL39" s="27" t="n"/>
      <c r="BM39" s="27" t="n"/>
      <c r="DN39" s="26">
        <f>IF('テスト条件'!A38="","",'テスト条件'!A38)</f>
        <v/>
      </c>
    </row>
    <row r="40">
      <c r="A40" s="27" t="n"/>
      <c r="B40" s="27" t="n"/>
      <c r="C40" s="28">
        <f>IF(A40="","",$B$2)</f>
        <v/>
      </c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7" t="n"/>
      <c r="AJ40" s="27" t="n"/>
      <c r="AK40" s="27" t="n"/>
      <c r="AL40" s="27" t="n"/>
      <c r="AM40" s="27" t="n"/>
      <c r="AN40" s="27" t="n"/>
      <c r="AO40" s="27" t="n"/>
      <c r="AP40" s="27" t="n"/>
      <c r="AQ40" s="27" t="n"/>
      <c r="AR40" s="27" t="n"/>
      <c r="AS40" s="27" t="n"/>
      <c r="AT40" s="27" t="n"/>
      <c r="AU40" s="27" t="n"/>
      <c r="AV40" s="27" t="n"/>
      <c r="AW40" s="27" t="n"/>
      <c r="AX40" s="27" t="n"/>
      <c r="AY40" s="27" t="n"/>
      <c r="AZ40" s="27" t="n"/>
      <c r="BA40" s="27" t="n"/>
      <c r="BB40" s="27" t="n"/>
      <c r="BC40" s="27" t="n"/>
      <c r="BD40" s="27" t="n"/>
      <c r="BE40" s="27" t="n"/>
      <c r="BF40" s="27" t="n"/>
      <c r="BG40" s="27" t="n"/>
      <c r="BH40" s="27" t="n"/>
      <c r="BI40" s="29" t="n"/>
      <c r="BJ40" s="27" t="n"/>
      <c r="BK40" s="27" t="n"/>
      <c r="BL40" s="27" t="n"/>
      <c r="BM40" s="27" t="n"/>
      <c r="DN40" s="26">
        <f>IF('テスト条件'!A39="","",'テスト条件'!A39)</f>
        <v/>
      </c>
    </row>
    <row r="41">
      <c r="A41" s="27" t="n"/>
      <c r="B41" s="27" t="n"/>
      <c r="C41" s="28">
        <f>IF(A41="","",$B$2)</f>
        <v/>
      </c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27" t="n"/>
      <c r="AJ41" s="27" t="n"/>
      <c r="AK41" s="27" t="n"/>
      <c r="AL41" s="27" t="n"/>
      <c r="AM41" s="27" t="n"/>
      <c r="AN41" s="27" t="n"/>
      <c r="AO41" s="27" t="n"/>
      <c r="AP41" s="27" t="n"/>
      <c r="AQ41" s="27" t="n"/>
      <c r="AR41" s="27" t="n"/>
      <c r="AS41" s="27" t="n"/>
      <c r="AT41" s="27" t="n"/>
      <c r="AU41" s="27" t="n"/>
      <c r="AV41" s="27" t="n"/>
      <c r="AW41" s="27" t="n"/>
      <c r="AX41" s="27" t="n"/>
      <c r="AY41" s="27" t="n"/>
      <c r="AZ41" s="27" t="n"/>
      <c r="BA41" s="27" t="n"/>
      <c r="BB41" s="27" t="n"/>
      <c r="BC41" s="27" t="n"/>
      <c r="BD41" s="27" t="n"/>
      <c r="BE41" s="27" t="n"/>
      <c r="BF41" s="27" t="n"/>
      <c r="BG41" s="27" t="n"/>
      <c r="BH41" s="27" t="n"/>
      <c r="BI41" s="29" t="n"/>
      <c r="BJ41" s="27" t="n"/>
      <c r="BK41" s="27" t="n"/>
      <c r="BL41" s="27" t="n"/>
      <c r="BM41" s="27" t="n"/>
      <c r="DN41" s="26">
        <f>IF('テスト条件'!A40="","",'テスト条件'!A40)</f>
        <v/>
      </c>
    </row>
    <row r="42">
      <c r="A42" s="27" t="n"/>
      <c r="B42" s="27" t="n"/>
      <c r="C42" s="28">
        <f>IF(A42="","",$B$2)</f>
        <v/>
      </c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27" t="n"/>
      <c r="AJ42" s="27" t="n"/>
      <c r="AK42" s="27" t="n"/>
      <c r="AL42" s="27" t="n"/>
      <c r="AM42" s="27" t="n"/>
      <c r="AN42" s="27" t="n"/>
      <c r="AO42" s="27" t="n"/>
      <c r="AP42" s="27" t="n"/>
      <c r="AQ42" s="27" t="n"/>
      <c r="AR42" s="27" t="n"/>
      <c r="AS42" s="27" t="n"/>
      <c r="AT42" s="27" t="n"/>
      <c r="AU42" s="27" t="n"/>
      <c r="AV42" s="27" t="n"/>
      <c r="AW42" s="27" t="n"/>
      <c r="AX42" s="27" t="n"/>
      <c r="AY42" s="27" t="n"/>
      <c r="AZ42" s="27" t="n"/>
      <c r="BA42" s="27" t="n"/>
      <c r="BB42" s="27" t="n"/>
      <c r="BC42" s="27" t="n"/>
      <c r="BD42" s="27" t="n"/>
      <c r="BE42" s="27" t="n"/>
      <c r="BF42" s="27" t="n"/>
      <c r="BG42" s="27" t="n"/>
      <c r="BH42" s="27" t="n"/>
      <c r="BI42" s="29" t="n"/>
      <c r="BJ42" s="27" t="n"/>
      <c r="BK42" s="27" t="n"/>
      <c r="BL42" s="27" t="n"/>
      <c r="BM42" s="27" t="n"/>
      <c r="DN42" s="26">
        <f>IF('テスト条件'!A41="","",'テスト条件'!A41)</f>
        <v/>
      </c>
    </row>
    <row r="43">
      <c r="A43" s="27" t="n"/>
      <c r="B43" s="27" t="n"/>
      <c r="C43" s="28">
        <f>IF(A43="","",$B$2)</f>
        <v/>
      </c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27" t="n"/>
      <c r="AJ43" s="27" t="n"/>
      <c r="AK43" s="27" t="n"/>
      <c r="AL43" s="27" t="n"/>
      <c r="AM43" s="27" t="n"/>
      <c r="AN43" s="27" t="n"/>
      <c r="AO43" s="27" t="n"/>
      <c r="AP43" s="27" t="n"/>
      <c r="AQ43" s="27" t="n"/>
      <c r="AR43" s="27" t="n"/>
      <c r="AS43" s="27" t="n"/>
      <c r="AT43" s="27" t="n"/>
      <c r="AU43" s="27" t="n"/>
      <c r="AV43" s="27" t="n"/>
      <c r="AW43" s="27" t="n"/>
      <c r="AX43" s="27" t="n"/>
      <c r="AY43" s="27" t="n"/>
      <c r="AZ43" s="27" t="n"/>
      <c r="BA43" s="27" t="n"/>
      <c r="BB43" s="27" t="n"/>
      <c r="BC43" s="27" t="n"/>
      <c r="BD43" s="27" t="n"/>
      <c r="BE43" s="27" t="n"/>
      <c r="BF43" s="27" t="n"/>
      <c r="BG43" s="27" t="n"/>
      <c r="BH43" s="27" t="n"/>
      <c r="BI43" s="29" t="n"/>
      <c r="BJ43" s="27" t="n"/>
      <c r="BK43" s="27" t="n"/>
      <c r="BL43" s="27" t="n"/>
      <c r="BM43" s="27" t="n"/>
      <c r="DN43" s="26">
        <f>IF('テスト条件'!A42="","",'テスト条件'!A42)</f>
        <v/>
      </c>
    </row>
    <row r="44">
      <c r="A44" s="27" t="n"/>
      <c r="B44" s="27" t="n"/>
      <c r="C44" s="28">
        <f>IF(A44="","",$B$2)</f>
        <v/>
      </c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  <c r="AJ44" s="27" t="n"/>
      <c r="AK44" s="27" t="n"/>
      <c r="AL44" s="27" t="n"/>
      <c r="AM44" s="27" t="n"/>
      <c r="AN44" s="27" t="n"/>
      <c r="AO44" s="27" t="n"/>
      <c r="AP44" s="27" t="n"/>
      <c r="AQ44" s="27" t="n"/>
      <c r="AR44" s="27" t="n"/>
      <c r="AS44" s="27" t="n"/>
      <c r="AT44" s="27" t="n"/>
      <c r="AU44" s="27" t="n"/>
      <c r="AV44" s="27" t="n"/>
      <c r="AW44" s="27" t="n"/>
      <c r="AX44" s="27" t="n"/>
      <c r="AY44" s="27" t="n"/>
      <c r="AZ44" s="27" t="n"/>
      <c r="BA44" s="27" t="n"/>
      <c r="BB44" s="27" t="n"/>
      <c r="BC44" s="27" t="n"/>
      <c r="BD44" s="27" t="n"/>
      <c r="BE44" s="27" t="n"/>
      <c r="BF44" s="27" t="n"/>
      <c r="BG44" s="27" t="n"/>
      <c r="BH44" s="27" t="n"/>
      <c r="BI44" s="29" t="n"/>
      <c r="BJ44" s="27" t="n"/>
      <c r="BK44" s="27" t="n"/>
      <c r="BL44" s="27" t="n"/>
      <c r="BM44" s="27" t="n"/>
      <c r="DN44" s="26">
        <f>IF('テスト条件'!A43="","",'テスト条件'!A43)</f>
        <v/>
      </c>
    </row>
    <row r="45">
      <c r="A45" s="27" t="n"/>
      <c r="B45" s="27" t="n"/>
      <c r="C45" s="28">
        <f>IF(A45="","",$B$2)</f>
        <v/>
      </c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27" t="n"/>
      <c r="AJ45" s="27" t="n"/>
      <c r="AK45" s="27" t="n"/>
      <c r="AL45" s="27" t="n"/>
      <c r="AM45" s="27" t="n"/>
      <c r="AN45" s="27" t="n"/>
      <c r="AO45" s="27" t="n"/>
      <c r="AP45" s="27" t="n"/>
      <c r="AQ45" s="27" t="n"/>
      <c r="AR45" s="27" t="n"/>
      <c r="AS45" s="27" t="n"/>
      <c r="AT45" s="27" t="n"/>
      <c r="AU45" s="27" t="n"/>
      <c r="AV45" s="27" t="n"/>
      <c r="AW45" s="27" t="n"/>
      <c r="AX45" s="27" t="n"/>
      <c r="AY45" s="27" t="n"/>
      <c r="AZ45" s="27" t="n"/>
      <c r="BA45" s="27" t="n"/>
      <c r="BB45" s="27" t="n"/>
      <c r="BC45" s="27" t="n"/>
      <c r="BD45" s="27" t="n"/>
      <c r="BE45" s="27" t="n"/>
      <c r="BF45" s="27" t="n"/>
      <c r="BG45" s="27" t="n"/>
      <c r="BH45" s="27" t="n"/>
      <c r="BI45" s="29" t="n"/>
      <c r="BJ45" s="27" t="n"/>
      <c r="BK45" s="27" t="n"/>
      <c r="BL45" s="27" t="n"/>
      <c r="BM45" s="27" t="n"/>
      <c r="DN45" s="26">
        <f>IF('テスト条件'!A44="","",'テスト条件'!A44)</f>
        <v/>
      </c>
    </row>
    <row r="46">
      <c r="A46" s="27" t="n"/>
      <c r="B46" s="27" t="n"/>
      <c r="C46" s="28">
        <f>IF(A46="","",$B$2)</f>
        <v/>
      </c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  <c r="AJ46" s="27" t="n"/>
      <c r="AK46" s="27" t="n"/>
      <c r="AL46" s="27" t="n"/>
      <c r="AM46" s="27" t="n"/>
      <c r="AN46" s="27" t="n"/>
      <c r="AO46" s="27" t="n"/>
      <c r="AP46" s="27" t="n"/>
      <c r="AQ46" s="27" t="n"/>
      <c r="AR46" s="27" t="n"/>
      <c r="AS46" s="27" t="n"/>
      <c r="AT46" s="27" t="n"/>
      <c r="AU46" s="27" t="n"/>
      <c r="AV46" s="27" t="n"/>
      <c r="AW46" s="27" t="n"/>
      <c r="AX46" s="27" t="n"/>
      <c r="AY46" s="27" t="n"/>
      <c r="AZ46" s="27" t="n"/>
      <c r="BA46" s="27" t="n"/>
      <c r="BB46" s="27" t="n"/>
      <c r="BC46" s="27" t="n"/>
      <c r="BD46" s="27" t="n"/>
      <c r="BE46" s="27" t="n"/>
      <c r="BF46" s="27" t="n"/>
      <c r="BG46" s="27" t="n"/>
      <c r="BH46" s="27" t="n"/>
      <c r="BI46" s="29" t="n"/>
      <c r="BJ46" s="27" t="n"/>
      <c r="BK46" s="27" t="n"/>
      <c r="BL46" s="27" t="n"/>
      <c r="BM46" s="27" t="n"/>
      <c r="DN46" s="26">
        <f>IF('テスト条件'!A45="","",'テスト条件'!A45)</f>
        <v/>
      </c>
    </row>
    <row r="47">
      <c r="A47" s="27" t="n"/>
      <c r="B47" s="27" t="n"/>
      <c r="C47" s="28">
        <f>IF(A47="","",$B$2)</f>
        <v/>
      </c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  <c r="AJ47" s="27" t="n"/>
      <c r="AK47" s="27" t="n"/>
      <c r="AL47" s="27" t="n"/>
      <c r="AM47" s="27" t="n"/>
      <c r="AN47" s="27" t="n"/>
      <c r="AO47" s="27" t="n"/>
      <c r="AP47" s="27" t="n"/>
      <c r="AQ47" s="27" t="n"/>
      <c r="AR47" s="27" t="n"/>
      <c r="AS47" s="27" t="n"/>
      <c r="AT47" s="27" t="n"/>
      <c r="AU47" s="27" t="n"/>
      <c r="AV47" s="27" t="n"/>
      <c r="AW47" s="27" t="n"/>
      <c r="AX47" s="27" t="n"/>
      <c r="AY47" s="27" t="n"/>
      <c r="AZ47" s="27" t="n"/>
      <c r="BA47" s="27" t="n"/>
      <c r="BB47" s="27" t="n"/>
      <c r="BC47" s="27" t="n"/>
      <c r="BD47" s="27" t="n"/>
      <c r="BE47" s="27" t="n"/>
      <c r="BF47" s="27" t="n"/>
      <c r="BG47" s="27" t="n"/>
      <c r="BH47" s="27" t="n"/>
      <c r="BI47" s="29" t="n"/>
      <c r="BJ47" s="27" t="n"/>
      <c r="BK47" s="27" t="n"/>
      <c r="BL47" s="27" t="n"/>
      <c r="BM47" s="27" t="n"/>
      <c r="DN47" s="26">
        <f>IF('テスト条件'!A46="","",'テスト条件'!A46)</f>
        <v/>
      </c>
    </row>
    <row r="48">
      <c r="A48" s="27" t="n"/>
      <c r="B48" s="27" t="n"/>
      <c r="C48" s="28">
        <f>IF(A48="","",$B$2)</f>
        <v/>
      </c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27" t="n"/>
      <c r="AJ48" s="27" t="n"/>
      <c r="AK48" s="27" t="n"/>
      <c r="AL48" s="27" t="n"/>
      <c r="AM48" s="27" t="n"/>
      <c r="AN48" s="27" t="n"/>
      <c r="AO48" s="27" t="n"/>
      <c r="AP48" s="27" t="n"/>
      <c r="AQ48" s="27" t="n"/>
      <c r="AR48" s="27" t="n"/>
      <c r="AS48" s="27" t="n"/>
      <c r="AT48" s="27" t="n"/>
      <c r="AU48" s="27" t="n"/>
      <c r="AV48" s="27" t="n"/>
      <c r="AW48" s="27" t="n"/>
      <c r="AX48" s="27" t="n"/>
      <c r="AY48" s="27" t="n"/>
      <c r="AZ48" s="27" t="n"/>
      <c r="BA48" s="27" t="n"/>
      <c r="BB48" s="27" t="n"/>
      <c r="BC48" s="27" t="n"/>
      <c r="BD48" s="27" t="n"/>
      <c r="BE48" s="27" t="n"/>
      <c r="BF48" s="27" t="n"/>
      <c r="BG48" s="27" t="n"/>
      <c r="BH48" s="27" t="n"/>
      <c r="BI48" s="29" t="n"/>
      <c r="BJ48" s="27" t="n"/>
      <c r="BK48" s="27" t="n"/>
      <c r="BL48" s="27" t="n"/>
      <c r="BM48" s="27" t="n"/>
      <c r="DN48" s="26">
        <f>IF('テスト条件'!A47="","",'テスト条件'!A47)</f>
        <v/>
      </c>
    </row>
    <row r="49">
      <c r="A49" s="27" t="n"/>
      <c r="B49" s="27" t="n"/>
      <c r="C49" s="28">
        <f>IF(A49="","",$B$2)</f>
        <v/>
      </c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27" t="n"/>
      <c r="AJ49" s="27" t="n"/>
      <c r="AK49" s="27" t="n"/>
      <c r="AL49" s="27" t="n"/>
      <c r="AM49" s="27" t="n"/>
      <c r="AN49" s="27" t="n"/>
      <c r="AO49" s="27" t="n"/>
      <c r="AP49" s="27" t="n"/>
      <c r="AQ49" s="27" t="n"/>
      <c r="AR49" s="27" t="n"/>
      <c r="AS49" s="27" t="n"/>
      <c r="AT49" s="27" t="n"/>
      <c r="AU49" s="27" t="n"/>
      <c r="AV49" s="27" t="n"/>
      <c r="AW49" s="27" t="n"/>
      <c r="AX49" s="27" t="n"/>
      <c r="AY49" s="27" t="n"/>
      <c r="AZ49" s="27" t="n"/>
      <c r="BA49" s="27" t="n"/>
      <c r="BB49" s="27" t="n"/>
      <c r="BC49" s="27" t="n"/>
      <c r="BD49" s="27" t="n"/>
      <c r="BE49" s="27" t="n"/>
      <c r="BF49" s="27" t="n"/>
      <c r="BG49" s="27" t="n"/>
      <c r="BH49" s="27" t="n"/>
      <c r="BI49" s="29" t="n"/>
      <c r="BJ49" s="27" t="n"/>
      <c r="BK49" s="27" t="n"/>
      <c r="BL49" s="27" t="n"/>
      <c r="BM49" s="27" t="n"/>
      <c r="DN49" s="26">
        <f>IF('テスト条件'!A48="","",'テスト条件'!A48)</f>
        <v/>
      </c>
    </row>
    <row r="50">
      <c r="A50" s="27" t="n"/>
      <c r="B50" s="27" t="n"/>
      <c r="C50" s="28">
        <f>IF(A50="","",$B$2)</f>
        <v/>
      </c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27" t="n"/>
      <c r="AJ50" s="27" t="n"/>
      <c r="AK50" s="27" t="n"/>
      <c r="AL50" s="27" t="n"/>
      <c r="AM50" s="27" t="n"/>
      <c r="AN50" s="27" t="n"/>
      <c r="AO50" s="27" t="n"/>
      <c r="AP50" s="27" t="n"/>
      <c r="AQ50" s="27" t="n"/>
      <c r="AR50" s="27" t="n"/>
      <c r="AS50" s="27" t="n"/>
      <c r="AT50" s="27" t="n"/>
      <c r="AU50" s="27" t="n"/>
      <c r="AV50" s="27" t="n"/>
      <c r="AW50" s="27" t="n"/>
      <c r="AX50" s="27" t="n"/>
      <c r="AY50" s="27" t="n"/>
      <c r="AZ50" s="27" t="n"/>
      <c r="BA50" s="27" t="n"/>
      <c r="BB50" s="27" t="n"/>
      <c r="BC50" s="27" t="n"/>
      <c r="BD50" s="27" t="n"/>
      <c r="BE50" s="27" t="n"/>
      <c r="BF50" s="27" t="n"/>
      <c r="BG50" s="27" t="n"/>
      <c r="BH50" s="27" t="n"/>
      <c r="BI50" s="29" t="n"/>
      <c r="BJ50" s="27" t="n"/>
      <c r="BK50" s="27" t="n"/>
      <c r="BL50" s="27" t="n"/>
      <c r="BM50" s="27" t="n"/>
      <c r="DN50" s="26">
        <f>IF('テスト条件'!A49="","",'テスト条件'!A49)</f>
        <v/>
      </c>
    </row>
    <row r="51">
      <c r="A51" s="27" t="n"/>
      <c r="B51" s="27" t="n"/>
      <c r="C51" s="28">
        <f>IF(A51="","",$B$2)</f>
        <v/>
      </c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27" t="n"/>
      <c r="AJ51" s="27" t="n"/>
      <c r="AK51" s="27" t="n"/>
      <c r="AL51" s="27" t="n"/>
      <c r="AM51" s="27" t="n"/>
      <c r="AN51" s="27" t="n"/>
      <c r="AO51" s="27" t="n"/>
      <c r="AP51" s="27" t="n"/>
      <c r="AQ51" s="27" t="n"/>
      <c r="AR51" s="27" t="n"/>
      <c r="AS51" s="27" t="n"/>
      <c r="AT51" s="27" t="n"/>
      <c r="AU51" s="27" t="n"/>
      <c r="AV51" s="27" t="n"/>
      <c r="AW51" s="27" t="n"/>
      <c r="AX51" s="27" t="n"/>
      <c r="AY51" s="27" t="n"/>
      <c r="AZ51" s="27" t="n"/>
      <c r="BA51" s="27" t="n"/>
      <c r="BB51" s="27" t="n"/>
      <c r="BC51" s="27" t="n"/>
      <c r="BD51" s="27" t="n"/>
      <c r="BE51" s="27" t="n"/>
      <c r="BF51" s="27" t="n"/>
      <c r="BG51" s="27" t="n"/>
      <c r="BH51" s="27" t="n"/>
      <c r="BI51" s="29" t="n"/>
      <c r="BJ51" s="27" t="n"/>
      <c r="BK51" s="27" t="n"/>
      <c r="BL51" s="27" t="n"/>
      <c r="BM51" s="27" t="n"/>
      <c r="DN51" s="26">
        <f>IF('テスト条件'!A50="","",'テスト条件'!A50)</f>
        <v/>
      </c>
    </row>
    <row r="52">
      <c r="A52" s="27" t="n"/>
      <c r="B52" s="27" t="n"/>
      <c r="C52" s="28">
        <f>IF(A52="","",$B$2)</f>
        <v/>
      </c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27" t="n"/>
      <c r="AJ52" s="27" t="n"/>
      <c r="AK52" s="27" t="n"/>
      <c r="AL52" s="27" t="n"/>
      <c r="AM52" s="27" t="n"/>
      <c r="AN52" s="27" t="n"/>
      <c r="AO52" s="27" t="n"/>
      <c r="AP52" s="27" t="n"/>
      <c r="AQ52" s="27" t="n"/>
      <c r="AR52" s="27" t="n"/>
      <c r="AS52" s="27" t="n"/>
      <c r="AT52" s="27" t="n"/>
      <c r="AU52" s="27" t="n"/>
      <c r="AV52" s="27" t="n"/>
      <c r="AW52" s="27" t="n"/>
      <c r="AX52" s="27" t="n"/>
      <c r="AY52" s="27" t="n"/>
      <c r="AZ52" s="27" t="n"/>
      <c r="BA52" s="27" t="n"/>
      <c r="BB52" s="27" t="n"/>
      <c r="BC52" s="27" t="n"/>
      <c r="BD52" s="27" t="n"/>
      <c r="BE52" s="27" t="n"/>
      <c r="BF52" s="27" t="n"/>
      <c r="BG52" s="27" t="n"/>
      <c r="BH52" s="27" t="n"/>
      <c r="BI52" s="29" t="n"/>
      <c r="BJ52" s="27" t="n"/>
      <c r="BK52" s="27" t="n"/>
      <c r="BL52" s="27" t="n"/>
      <c r="BM52" s="27" t="n"/>
      <c r="DN52" s="26">
        <f>IF('テスト条件'!A51="","",'テスト条件'!A51)</f>
        <v/>
      </c>
    </row>
    <row r="53">
      <c r="A53" s="27" t="n"/>
      <c r="B53" s="27" t="n"/>
      <c r="C53" s="28">
        <f>IF(A53="","",$B$2)</f>
        <v/>
      </c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27" t="n"/>
      <c r="AJ53" s="27" t="n"/>
      <c r="AK53" s="27" t="n"/>
      <c r="AL53" s="27" t="n"/>
      <c r="AM53" s="27" t="n"/>
      <c r="AN53" s="27" t="n"/>
      <c r="AO53" s="27" t="n"/>
      <c r="AP53" s="27" t="n"/>
      <c r="AQ53" s="27" t="n"/>
      <c r="AR53" s="27" t="n"/>
      <c r="AS53" s="27" t="n"/>
      <c r="AT53" s="27" t="n"/>
      <c r="AU53" s="27" t="n"/>
      <c r="AV53" s="27" t="n"/>
      <c r="AW53" s="27" t="n"/>
      <c r="AX53" s="27" t="n"/>
      <c r="AY53" s="27" t="n"/>
      <c r="AZ53" s="27" t="n"/>
      <c r="BA53" s="27" t="n"/>
      <c r="BB53" s="27" t="n"/>
      <c r="BC53" s="27" t="n"/>
      <c r="BD53" s="27" t="n"/>
      <c r="BE53" s="27" t="n"/>
      <c r="BF53" s="27" t="n"/>
      <c r="BG53" s="27" t="n"/>
      <c r="BH53" s="27" t="n"/>
      <c r="BI53" s="29" t="n"/>
      <c r="BJ53" s="27" t="n"/>
      <c r="BK53" s="27" t="n"/>
      <c r="BL53" s="27" t="n"/>
      <c r="BM53" s="27" t="n"/>
      <c r="DN53" s="26">
        <f>IF('テスト条件'!A52="","",'テスト条件'!A52)</f>
        <v/>
      </c>
    </row>
    <row r="54">
      <c r="A54" s="27" t="n"/>
      <c r="B54" s="27" t="n"/>
      <c r="C54" s="28">
        <f>IF(A54="","",$B$2)</f>
        <v/>
      </c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27" t="n"/>
      <c r="AJ54" s="27" t="n"/>
      <c r="AK54" s="27" t="n"/>
      <c r="AL54" s="27" t="n"/>
      <c r="AM54" s="27" t="n"/>
      <c r="AN54" s="27" t="n"/>
      <c r="AO54" s="27" t="n"/>
      <c r="AP54" s="27" t="n"/>
      <c r="AQ54" s="27" t="n"/>
      <c r="AR54" s="27" t="n"/>
      <c r="AS54" s="27" t="n"/>
      <c r="AT54" s="27" t="n"/>
      <c r="AU54" s="27" t="n"/>
      <c r="AV54" s="27" t="n"/>
      <c r="AW54" s="27" t="n"/>
      <c r="AX54" s="27" t="n"/>
      <c r="AY54" s="27" t="n"/>
      <c r="AZ54" s="27" t="n"/>
      <c r="BA54" s="27" t="n"/>
      <c r="BB54" s="27" t="n"/>
      <c r="BC54" s="27" t="n"/>
      <c r="BD54" s="27" t="n"/>
      <c r="BE54" s="27" t="n"/>
      <c r="BF54" s="27" t="n"/>
      <c r="BG54" s="27" t="n"/>
      <c r="BH54" s="27" t="n"/>
      <c r="BI54" s="29" t="n"/>
      <c r="BJ54" s="27" t="n"/>
      <c r="BK54" s="27" t="n"/>
      <c r="BL54" s="27" t="n"/>
      <c r="BM54" s="27" t="n"/>
      <c r="DN54" s="26">
        <f>IF('テスト条件'!A53="","",'テスト条件'!A53)</f>
        <v/>
      </c>
    </row>
    <row r="55">
      <c r="A55" s="27" t="n"/>
      <c r="B55" s="27" t="n"/>
      <c r="C55" s="28">
        <f>IF(A55="","",$B$2)</f>
        <v/>
      </c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27" t="n"/>
      <c r="AJ55" s="27" t="n"/>
      <c r="AK55" s="27" t="n"/>
      <c r="AL55" s="27" t="n"/>
      <c r="AM55" s="27" t="n"/>
      <c r="AN55" s="27" t="n"/>
      <c r="AO55" s="27" t="n"/>
      <c r="AP55" s="27" t="n"/>
      <c r="AQ55" s="27" t="n"/>
      <c r="AR55" s="27" t="n"/>
      <c r="AS55" s="27" t="n"/>
      <c r="AT55" s="27" t="n"/>
      <c r="AU55" s="27" t="n"/>
      <c r="AV55" s="27" t="n"/>
      <c r="AW55" s="27" t="n"/>
      <c r="AX55" s="27" t="n"/>
      <c r="AY55" s="27" t="n"/>
      <c r="AZ55" s="27" t="n"/>
      <c r="BA55" s="27" t="n"/>
      <c r="BB55" s="27" t="n"/>
      <c r="BC55" s="27" t="n"/>
      <c r="BD55" s="27" t="n"/>
      <c r="BE55" s="27" t="n"/>
      <c r="BF55" s="27" t="n"/>
      <c r="BG55" s="27" t="n"/>
      <c r="BH55" s="27" t="n"/>
      <c r="BI55" s="29" t="n"/>
      <c r="BJ55" s="27" t="n"/>
      <c r="BK55" s="27" t="n"/>
      <c r="BL55" s="27" t="n"/>
      <c r="BM55" s="27" t="n"/>
      <c r="DN55" s="26">
        <f>IF('テスト条件'!A54="","",'テスト条件'!A54)</f>
        <v/>
      </c>
    </row>
    <row r="56">
      <c r="A56" s="27" t="n"/>
      <c r="B56" s="27" t="n"/>
      <c r="C56" s="28">
        <f>IF(A56="","",$B$2)</f>
        <v/>
      </c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  <c r="AJ56" s="27" t="n"/>
      <c r="AK56" s="27" t="n"/>
      <c r="AL56" s="27" t="n"/>
      <c r="AM56" s="27" t="n"/>
      <c r="AN56" s="27" t="n"/>
      <c r="AO56" s="27" t="n"/>
      <c r="AP56" s="27" t="n"/>
      <c r="AQ56" s="27" t="n"/>
      <c r="AR56" s="27" t="n"/>
      <c r="AS56" s="27" t="n"/>
      <c r="AT56" s="27" t="n"/>
      <c r="AU56" s="27" t="n"/>
      <c r="AV56" s="27" t="n"/>
      <c r="AW56" s="27" t="n"/>
      <c r="AX56" s="27" t="n"/>
      <c r="AY56" s="27" t="n"/>
      <c r="AZ56" s="27" t="n"/>
      <c r="BA56" s="27" t="n"/>
      <c r="BB56" s="27" t="n"/>
      <c r="BC56" s="27" t="n"/>
      <c r="BD56" s="27" t="n"/>
      <c r="BE56" s="27" t="n"/>
      <c r="BF56" s="27" t="n"/>
      <c r="BG56" s="27" t="n"/>
      <c r="BH56" s="27" t="n"/>
      <c r="BI56" s="29" t="n"/>
      <c r="BJ56" s="27" t="n"/>
      <c r="BK56" s="27" t="n"/>
      <c r="BL56" s="27" t="n"/>
      <c r="BM56" s="27" t="n"/>
      <c r="DN56" s="26">
        <f>IF('テスト条件'!A55="","",'テスト条件'!A55)</f>
        <v/>
      </c>
    </row>
    <row r="57">
      <c r="A57" s="27" t="n"/>
      <c r="B57" s="27" t="n"/>
      <c r="C57" s="28">
        <f>IF(A57="","",$B$2)</f>
        <v/>
      </c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  <c r="AA57" s="27" t="n"/>
      <c r="AB57" s="27" t="n"/>
      <c r="AC57" s="27" t="n"/>
      <c r="AD57" s="27" t="n"/>
      <c r="AE57" s="27" t="n"/>
      <c r="AF57" s="27" t="n"/>
      <c r="AG57" s="27" t="n"/>
      <c r="AH57" s="27" t="n"/>
      <c r="AI57" s="27" t="n"/>
      <c r="AJ57" s="27" t="n"/>
      <c r="AK57" s="27" t="n"/>
      <c r="AL57" s="27" t="n"/>
      <c r="AM57" s="27" t="n"/>
      <c r="AN57" s="27" t="n"/>
      <c r="AO57" s="27" t="n"/>
      <c r="AP57" s="27" t="n"/>
      <c r="AQ57" s="27" t="n"/>
      <c r="AR57" s="27" t="n"/>
      <c r="AS57" s="27" t="n"/>
      <c r="AT57" s="27" t="n"/>
      <c r="AU57" s="27" t="n"/>
      <c r="AV57" s="27" t="n"/>
      <c r="AW57" s="27" t="n"/>
      <c r="AX57" s="27" t="n"/>
      <c r="AY57" s="27" t="n"/>
      <c r="AZ57" s="27" t="n"/>
      <c r="BA57" s="27" t="n"/>
      <c r="BB57" s="27" t="n"/>
      <c r="BC57" s="27" t="n"/>
      <c r="BD57" s="27" t="n"/>
      <c r="BE57" s="27" t="n"/>
      <c r="BF57" s="27" t="n"/>
      <c r="BG57" s="27" t="n"/>
      <c r="BH57" s="27" t="n"/>
      <c r="BI57" s="29" t="n"/>
      <c r="BJ57" s="27" t="n"/>
      <c r="BK57" s="27" t="n"/>
      <c r="BL57" s="27" t="n"/>
      <c r="BM57" s="27" t="n"/>
      <c r="DN57" s="26">
        <f>IF('テスト条件'!A56="","",'テスト条件'!A56)</f>
        <v/>
      </c>
    </row>
    <row r="58">
      <c r="A58" s="27" t="n"/>
      <c r="B58" s="27" t="n"/>
      <c r="C58" s="28">
        <f>IF(A58="","",$B$2)</f>
        <v/>
      </c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27" t="n"/>
      <c r="AJ58" s="27" t="n"/>
      <c r="AK58" s="27" t="n"/>
      <c r="AL58" s="27" t="n"/>
      <c r="AM58" s="27" t="n"/>
      <c r="AN58" s="27" t="n"/>
      <c r="AO58" s="27" t="n"/>
      <c r="AP58" s="27" t="n"/>
      <c r="AQ58" s="27" t="n"/>
      <c r="AR58" s="27" t="n"/>
      <c r="AS58" s="27" t="n"/>
      <c r="AT58" s="27" t="n"/>
      <c r="AU58" s="27" t="n"/>
      <c r="AV58" s="27" t="n"/>
      <c r="AW58" s="27" t="n"/>
      <c r="AX58" s="27" t="n"/>
      <c r="AY58" s="27" t="n"/>
      <c r="AZ58" s="27" t="n"/>
      <c r="BA58" s="27" t="n"/>
      <c r="BB58" s="27" t="n"/>
      <c r="BC58" s="27" t="n"/>
      <c r="BD58" s="27" t="n"/>
      <c r="BE58" s="27" t="n"/>
      <c r="BF58" s="27" t="n"/>
      <c r="BG58" s="27" t="n"/>
      <c r="BH58" s="27" t="n"/>
      <c r="BI58" s="29" t="n"/>
      <c r="BJ58" s="27" t="n"/>
      <c r="BK58" s="27" t="n"/>
      <c r="BL58" s="27" t="n"/>
      <c r="BM58" s="27" t="n"/>
      <c r="DN58" s="26">
        <f>IF('テスト条件'!A57="","",'テスト条件'!A57)</f>
        <v/>
      </c>
    </row>
    <row r="59">
      <c r="A59" s="27" t="n"/>
      <c r="B59" s="27" t="n"/>
      <c r="C59" s="28">
        <f>IF(A59="","",$B$2)</f>
        <v/>
      </c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27" t="n"/>
      <c r="AJ59" s="27" t="n"/>
      <c r="AK59" s="27" t="n"/>
      <c r="AL59" s="27" t="n"/>
      <c r="AM59" s="27" t="n"/>
      <c r="AN59" s="27" t="n"/>
      <c r="AO59" s="27" t="n"/>
      <c r="AP59" s="27" t="n"/>
      <c r="AQ59" s="27" t="n"/>
      <c r="AR59" s="27" t="n"/>
      <c r="AS59" s="27" t="n"/>
      <c r="AT59" s="27" t="n"/>
      <c r="AU59" s="27" t="n"/>
      <c r="AV59" s="27" t="n"/>
      <c r="AW59" s="27" t="n"/>
      <c r="AX59" s="27" t="n"/>
      <c r="AY59" s="27" t="n"/>
      <c r="AZ59" s="27" t="n"/>
      <c r="BA59" s="27" t="n"/>
      <c r="BB59" s="27" t="n"/>
      <c r="BC59" s="27" t="n"/>
      <c r="BD59" s="27" t="n"/>
      <c r="BE59" s="27" t="n"/>
      <c r="BF59" s="27" t="n"/>
      <c r="BG59" s="27" t="n"/>
      <c r="BH59" s="27" t="n"/>
      <c r="BI59" s="29" t="n"/>
      <c r="BJ59" s="27" t="n"/>
      <c r="BK59" s="27" t="n"/>
      <c r="BL59" s="27" t="n"/>
      <c r="BM59" s="27" t="n"/>
      <c r="DN59" s="26">
        <f>IF('テスト条件'!A58="","",'テスト条件'!A58)</f>
        <v/>
      </c>
    </row>
    <row r="60">
      <c r="A60" s="27" t="n"/>
      <c r="B60" s="27" t="n"/>
      <c r="C60" s="28">
        <f>IF(A60="","",$B$2)</f>
        <v/>
      </c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27" t="n"/>
      <c r="AJ60" s="27" t="n"/>
      <c r="AK60" s="27" t="n"/>
      <c r="AL60" s="27" t="n"/>
      <c r="AM60" s="27" t="n"/>
      <c r="AN60" s="27" t="n"/>
      <c r="AO60" s="27" t="n"/>
      <c r="AP60" s="27" t="n"/>
      <c r="AQ60" s="27" t="n"/>
      <c r="AR60" s="27" t="n"/>
      <c r="AS60" s="27" t="n"/>
      <c r="AT60" s="27" t="n"/>
      <c r="AU60" s="27" t="n"/>
      <c r="AV60" s="27" t="n"/>
      <c r="AW60" s="27" t="n"/>
      <c r="AX60" s="27" t="n"/>
      <c r="AY60" s="27" t="n"/>
      <c r="AZ60" s="27" t="n"/>
      <c r="BA60" s="27" t="n"/>
      <c r="BB60" s="27" t="n"/>
      <c r="BC60" s="27" t="n"/>
      <c r="BD60" s="27" t="n"/>
      <c r="BE60" s="27" t="n"/>
      <c r="BF60" s="27" t="n"/>
      <c r="BG60" s="27" t="n"/>
      <c r="BH60" s="27" t="n"/>
      <c r="BI60" s="29" t="n"/>
      <c r="BJ60" s="27" t="n"/>
      <c r="BK60" s="27" t="n"/>
      <c r="BL60" s="27" t="n"/>
      <c r="BM60" s="27" t="n"/>
      <c r="DN60" s="26">
        <f>IF('テスト条件'!A59="","",'テスト条件'!A59)</f>
        <v/>
      </c>
    </row>
    <row r="61">
      <c r="A61" s="27" t="n"/>
      <c r="B61" s="27" t="n"/>
      <c r="C61" s="28">
        <f>IF(A61="","",$B$2)</f>
        <v/>
      </c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27" t="n"/>
      <c r="AJ61" s="27" t="n"/>
      <c r="AK61" s="27" t="n"/>
      <c r="AL61" s="27" t="n"/>
      <c r="AM61" s="27" t="n"/>
      <c r="AN61" s="27" t="n"/>
      <c r="AO61" s="27" t="n"/>
      <c r="AP61" s="27" t="n"/>
      <c r="AQ61" s="27" t="n"/>
      <c r="AR61" s="27" t="n"/>
      <c r="AS61" s="27" t="n"/>
      <c r="AT61" s="27" t="n"/>
      <c r="AU61" s="27" t="n"/>
      <c r="AV61" s="27" t="n"/>
      <c r="AW61" s="27" t="n"/>
      <c r="AX61" s="27" t="n"/>
      <c r="AY61" s="27" t="n"/>
      <c r="AZ61" s="27" t="n"/>
      <c r="BA61" s="27" t="n"/>
      <c r="BB61" s="27" t="n"/>
      <c r="BC61" s="27" t="n"/>
      <c r="BD61" s="27" t="n"/>
      <c r="BE61" s="27" t="n"/>
      <c r="BF61" s="27" t="n"/>
      <c r="BG61" s="27" t="n"/>
      <c r="BH61" s="27" t="n"/>
      <c r="BI61" s="29" t="n"/>
      <c r="BJ61" s="27" t="n"/>
      <c r="BK61" s="27" t="n"/>
      <c r="BL61" s="27" t="n"/>
      <c r="BM61" s="27" t="n"/>
      <c r="DN61" s="26">
        <f>IF('テスト条件'!A60="","",'テスト条件'!A60)</f>
        <v/>
      </c>
    </row>
    <row r="62">
      <c r="A62" s="27" t="n"/>
      <c r="B62" s="27" t="n"/>
      <c r="C62" s="28">
        <f>IF(A62="","",$B$2)</f>
        <v/>
      </c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27" t="n"/>
      <c r="AJ62" s="27" t="n"/>
      <c r="AK62" s="27" t="n"/>
      <c r="AL62" s="27" t="n"/>
      <c r="AM62" s="27" t="n"/>
      <c r="AN62" s="27" t="n"/>
      <c r="AO62" s="27" t="n"/>
      <c r="AP62" s="27" t="n"/>
      <c r="AQ62" s="27" t="n"/>
      <c r="AR62" s="27" t="n"/>
      <c r="AS62" s="27" t="n"/>
      <c r="AT62" s="27" t="n"/>
      <c r="AU62" s="27" t="n"/>
      <c r="AV62" s="27" t="n"/>
      <c r="AW62" s="27" t="n"/>
      <c r="AX62" s="27" t="n"/>
      <c r="AY62" s="27" t="n"/>
      <c r="AZ62" s="27" t="n"/>
      <c r="BA62" s="27" t="n"/>
      <c r="BB62" s="27" t="n"/>
      <c r="BC62" s="27" t="n"/>
      <c r="BD62" s="27" t="n"/>
      <c r="BE62" s="27" t="n"/>
      <c r="BF62" s="27" t="n"/>
      <c r="BG62" s="27" t="n"/>
      <c r="BH62" s="27" t="n"/>
      <c r="BI62" s="29" t="n"/>
      <c r="BJ62" s="27" t="n"/>
      <c r="BK62" s="27" t="n"/>
      <c r="BL62" s="27" t="n"/>
      <c r="BM62" s="27" t="n"/>
      <c r="DN62" s="26">
        <f>IF('テスト条件'!A61="","",'テスト条件'!A61)</f>
        <v/>
      </c>
    </row>
    <row r="63">
      <c r="A63" s="27" t="n"/>
      <c r="B63" s="27" t="n"/>
      <c r="C63" s="28">
        <f>IF(A63="","",$B$2)</f>
        <v/>
      </c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  <c r="AA63" s="27" t="n"/>
      <c r="AB63" s="27" t="n"/>
      <c r="AC63" s="27" t="n"/>
      <c r="AD63" s="27" t="n"/>
      <c r="AE63" s="27" t="n"/>
      <c r="AF63" s="27" t="n"/>
      <c r="AG63" s="27" t="n"/>
      <c r="AH63" s="27" t="n"/>
      <c r="AI63" s="27" t="n"/>
      <c r="AJ63" s="27" t="n"/>
      <c r="AK63" s="27" t="n"/>
      <c r="AL63" s="27" t="n"/>
      <c r="AM63" s="27" t="n"/>
      <c r="AN63" s="27" t="n"/>
      <c r="AO63" s="27" t="n"/>
      <c r="AP63" s="27" t="n"/>
      <c r="AQ63" s="27" t="n"/>
      <c r="AR63" s="27" t="n"/>
      <c r="AS63" s="27" t="n"/>
      <c r="AT63" s="27" t="n"/>
      <c r="AU63" s="27" t="n"/>
      <c r="AV63" s="27" t="n"/>
      <c r="AW63" s="27" t="n"/>
      <c r="AX63" s="27" t="n"/>
      <c r="AY63" s="27" t="n"/>
      <c r="AZ63" s="27" t="n"/>
      <c r="BA63" s="27" t="n"/>
      <c r="BB63" s="27" t="n"/>
      <c r="BC63" s="27" t="n"/>
      <c r="BD63" s="27" t="n"/>
      <c r="BE63" s="27" t="n"/>
      <c r="BF63" s="27" t="n"/>
      <c r="BG63" s="27" t="n"/>
      <c r="BH63" s="27" t="n"/>
      <c r="BI63" s="29" t="n"/>
      <c r="BJ63" s="27" t="n"/>
      <c r="BK63" s="27" t="n"/>
      <c r="BL63" s="27" t="n"/>
      <c r="BM63" s="27" t="n"/>
      <c r="DN63" s="26">
        <f>IF('テスト条件'!A62="","",'テスト条件'!A62)</f>
        <v/>
      </c>
    </row>
    <row r="64">
      <c r="A64" s="27" t="n"/>
      <c r="B64" s="27" t="n"/>
      <c r="C64" s="28">
        <f>IF(A64="","",$B$2)</f>
        <v/>
      </c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27" t="n"/>
      <c r="AJ64" s="27" t="n"/>
      <c r="AK64" s="27" t="n"/>
      <c r="AL64" s="27" t="n"/>
      <c r="AM64" s="27" t="n"/>
      <c r="AN64" s="27" t="n"/>
      <c r="AO64" s="27" t="n"/>
      <c r="AP64" s="27" t="n"/>
      <c r="AQ64" s="27" t="n"/>
      <c r="AR64" s="27" t="n"/>
      <c r="AS64" s="27" t="n"/>
      <c r="AT64" s="27" t="n"/>
      <c r="AU64" s="27" t="n"/>
      <c r="AV64" s="27" t="n"/>
      <c r="AW64" s="27" t="n"/>
      <c r="AX64" s="27" t="n"/>
      <c r="AY64" s="27" t="n"/>
      <c r="AZ64" s="27" t="n"/>
      <c r="BA64" s="27" t="n"/>
      <c r="BB64" s="27" t="n"/>
      <c r="BC64" s="27" t="n"/>
      <c r="BD64" s="27" t="n"/>
      <c r="BE64" s="27" t="n"/>
      <c r="BF64" s="27" t="n"/>
      <c r="BG64" s="27" t="n"/>
      <c r="BH64" s="27" t="n"/>
      <c r="BI64" s="29" t="n"/>
      <c r="BJ64" s="27" t="n"/>
      <c r="BK64" s="27" t="n"/>
      <c r="BL64" s="27" t="n"/>
      <c r="BM64" s="27" t="n"/>
      <c r="DN64" s="26">
        <f>IF('テスト条件'!A63="","",'テスト条件'!A63)</f>
        <v/>
      </c>
    </row>
    <row r="65">
      <c r="A65" s="27" t="n"/>
      <c r="B65" s="27" t="n"/>
      <c r="C65" s="28">
        <f>IF(A65="","",$B$2)</f>
        <v/>
      </c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27" t="n"/>
      <c r="AJ65" s="27" t="n"/>
      <c r="AK65" s="27" t="n"/>
      <c r="AL65" s="27" t="n"/>
      <c r="AM65" s="27" t="n"/>
      <c r="AN65" s="27" t="n"/>
      <c r="AO65" s="27" t="n"/>
      <c r="AP65" s="27" t="n"/>
      <c r="AQ65" s="27" t="n"/>
      <c r="AR65" s="27" t="n"/>
      <c r="AS65" s="27" t="n"/>
      <c r="AT65" s="27" t="n"/>
      <c r="AU65" s="27" t="n"/>
      <c r="AV65" s="27" t="n"/>
      <c r="AW65" s="27" t="n"/>
      <c r="AX65" s="27" t="n"/>
      <c r="AY65" s="27" t="n"/>
      <c r="AZ65" s="27" t="n"/>
      <c r="BA65" s="27" t="n"/>
      <c r="BB65" s="27" t="n"/>
      <c r="BC65" s="27" t="n"/>
      <c r="BD65" s="27" t="n"/>
      <c r="BE65" s="27" t="n"/>
      <c r="BF65" s="27" t="n"/>
      <c r="BG65" s="27" t="n"/>
      <c r="BH65" s="27" t="n"/>
      <c r="BI65" s="29" t="n"/>
      <c r="BJ65" s="27" t="n"/>
      <c r="BK65" s="27" t="n"/>
      <c r="BL65" s="27" t="n"/>
      <c r="BM65" s="27" t="n"/>
      <c r="DN65" s="26">
        <f>IF('テスト条件'!A64="","",'テスト条件'!A64)</f>
        <v/>
      </c>
    </row>
    <row r="66">
      <c r="A66" s="27" t="n"/>
      <c r="B66" s="27" t="n"/>
      <c r="C66" s="28">
        <f>IF(A66="","",$B$2)</f>
        <v/>
      </c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27" t="n"/>
      <c r="AJ66" s="27" t="n"/>
      <c r="AK66" s="27" t="n"/>
      <c r="AL66" s="27" t="n"/>
      <c r="AM66" s="27" t="n"/>
      <c r="AN66" s="27" t="n"/>
      <c r="AO66" s="27" t="n"/>
      <c r="AP66" s="27" t="n"/>
      <c r="AQ66" s="27" t="n"/>
      <c r="AR66" s="27" t="n"/>
      <c r="AS66" s="27" t="n"/>
      <c r="AT66" s="27" t="n"/>
      <c r="AU66" s="27" t="n"/>
      <c r="AV66" s="27" t="n"/>
      <c r="AW66" s="27" t="n"/>
      <c r="AX66" s="27" t="n"/>
      <c r="AY66" s="27" t="n"/>
      <c r="AZ66" s="27" t="n"/>
      <c r="BA66" s="27" t="n"/>
      <c r="BB66" s="27" t="n"/>
      <c r="BC66" s="27" t="n"/>
      <c r="BD66" s="27" t="n"/>
      <c r="BE66" s="27" t="n"/>
      <c r="BF66" s="27" t="n"/>
      <c r="BG66" s="27" t="n"/>
      <c r="BH66" s="27" t="n"/>
      <c r="BI66" s="29" t="n"/>
      <c r="BJ66" s="27" t="n"/>
      <c r="BK66" s="27" t="n"/>
      <c r="BL66" s="27" t="n"/>
      <c r="BM66" s="27" t="n"/>
      <c r="DN66" s="26">
        <f>IF('テスト条件'!A65="","",'テスト条件'!A65)</f>
        <v/>
      </c>
    </row>
    <row r="67">
      <c r="A67" s="27" t="n"/>
      <c r="B67" s="27" t="n"/>
      <c r="C67" s="28">
        <f>IF(A67="","",$B$2)</f>
        <v/>
      </c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  <c r="AA67" s="27" t="n"/>
      <c r="AB67" s="27" t="n"/>
      <c r="AC67" s="27" t="n"/>
      <c r="AD67" s="27" t="n"/>
      <c r="AE67" s="27" t="n"/>
      <c r="AF67" s="27" t="n"/>
      <c r="AG67" s="27" t="n"/>
      <c r="AH67" s="27" t="n"/>
      <c r="AI67" s="27" t="n"/>
      <c r="AJ67" s="27" t="n"/>
      <c r="AK67" s="27" t="n"/>
      <c r="AL67" s="27" t="n"/>
      <c r="AM67" s="27" t="n"/>
      <c r="AN67" s="27" t="n"/>
      <c r="AO67" s="27" t="n"/>
      <c r="AP67" s="27" t="n"/>
      <c r="AQ67" s="27" t="n"/>
      <c r="AR67" s="27" t="n"/>
      <c r="AS67" s="27" t="n"/>
      <c r="AT67" s="27" t="n"/>
      <c r="AU67" s="27" t="n"/>
      <c r="AV67" s="27" t="n"/>
      <c r="AW67" s="27" t="n"/>
      <c r="AX67" s="27" t="n"/>
      <c r="AY67" s="27" t="n"/>
      <c r="AZ67" s="27" t="n"/>
      <c r="BA67" s="27" t="n"/>
      <c r="BB67" s="27" t="n"/>
      <c r="BC67" s="27" t="n"/>
      <c r="BD67" s="27" t="n"/>
      <c r="BE67" s="27" t="n"/>
      <c r="BF67" s="27" t="n"/>
      <c r="BG67" s="27" t="n"/>
      <c r="BH67" s="27" t="n"/>
      <c r="BI67" s="29" t="n"/>
      <c r="BJ67" s="27" t="n"/>
      <c r="BK67" s="27" t="n"/>
      <c r="BL67" s="27" t="n"/>
      <c r="BM67" s="27" t="n"/>
      <c r="DN67" s="26">
        <f>IF('テスト条件'!A66="","",'テスト条件'!A66)</f>
        <v/>
      </c>
    </row>
    <row r="68">
      <c r="A68" s="27" t="n"/>
      <c r="B68" s="27" t="n"/>
      <c r="C68" s="28">
        <f>IF(A68="","",$B$2)</f>
        <v/>
      </c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  <c r="AA68" s="27" t="n"/>
      <c r="AB68" s="27" t="n"/>
      <c r="AC68" s="27" t="n"/>
      <c r="AD68" s="27" t="n"/>
      <c r="AE68" s="27" t="n"/>
      <c r="AF68" s="27" t="n"/>
      <c r="AG68" s="27" t="n"/>
      <c r="AH68" s="27" t="n"/>
      <c r="AI68" s="27" t="n"/>
      <c r="AJ68" s="27" t="n"/>
      <c r="AK68" s="27" t="n"/>
      <c r="AL68" s="27" t="n"/>
      <c r="AM68" s="27" t="n"/>
      <c r="AN68" s="27" t="n"/>
      <c r="AO68" s="27" t="n"/>
      <c r="AP68" s="27" t="n"/>
      <c r="AQ68" s="27" t="n"/>
      <c r="AR68" s="27" t="n"/>
      <c r="AS68" s="27" t="n"/>
      <c r="AT68" s="27" t="n"/>
      <c r="AU68" s="27" t="n"/>
      <c r="AV68" s="27" t="n"/>
      <c r="AW68" s="27" t="n"/>
      <c r="AX68" s="27" t="n"/>
      <c r="AY68" s="27" t="n"/>
      <c r="AZ68" s="27" t="n"/>
      <c r="BA68" s="27" t="n"/>
      <c r="BB68" s="27" t="n"/>
      <c r="BC68" s="27" t="n"/>
      <c r="BD68" s="27" t="n"/>
      <c r="BE68" s="27" t="n"/>
      <c r="BF68" s="27" t="n"/>
      <c r="BG68" s="27" t="n"/>
      <c r="BH68" s="27" t="n"/>
      <c r="BI68" s="29" t="n"/>
      <c r="BJ68" s="27" t="n"/>
      <c r="BK68" s="27" t="n"/>
      <c r="BL68" s="27" t="n"/>
      <c r="BM68" s="27" t="n"/>
      <c r="DN68" s="26">
        <f>IF('テスト条件'!A67="","",'テスト条件'!A67)</f>
        <v/>
      </c>
    </row>
    <row r="69">
      <c r="A69" s="27" t="n"/>
      <c r="B69" s="27" t="n"/>
      <c r="C69" s="28">
        <f>IF(A69="","",$B$2)</f>
        <v/>
      </c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  <c r="AA69" s="27" t="n"/>
      <c r="AB69" s="27" t="n"/>
      <c r="AC69" s="27" t="n"/>
      <c r="AD69" s="27" t="n"/>
      <c r="AE69" s="27" t="n"/>
      <c r="AF69" s="27" t="n"/>
      <c r="AG69" s="27" t="n"/>
      <c r="AH69" s="27" t="n"/>
      <c r="AI69" s="27" t="n"/>
      <c r="AJ69" s="27" t="n"/>
      <c r="AK69" s="27" t="n"/>
      <c r="AL69" s="27" t="n"/>
      <c r="AM69" s="27" t="n"/>
      <c r="AN69" s="27" t="n"/>
      <c r="AO69" s="27" t="n"/>
      <c r="AP69" s="27" t="n"/>
      <c r="AQ69" s="27" t="n"/>
      <c r="AR69" s="27" t="n"/>
      <c r="AS69" s="27" t="n"/>
      <c r="AT69" s="27" t="n"/>
      <c r="AU69" s="27" t="n"/>
      <c r="AV69" s="27" t="n"/>
      <c r="AW69" s="27" t="n"/>
      <c r="AX69" s="27" t="n"/>
      <c r="AY69" s="27" t="n"/>
      <c r="AZ69" s="27" t="n"/>
      <c r="BA69" s="27" t="n"/>
      <c r="BB69" s="27" t="n"/>
      <c r="BC69" s="27" t="n"/>
      <c r="BD69" s="27" t="n"/>
      <c r="BE69" s="27" t="n"/>
      <c r="BF69" s="27" t="n"/>
      <c r="BG69" s="27" t="n"/>
      <c r="BH69" s="27" t="n"/>
      <c r="BI69" s="29" t="n"/>
      <c r="BJ69" s="27" t="n"/>
      <c r="BK69" s="27" t="n"/>
      <c r="BL69" s="27" t="n"/>
      <c r="BM69" s="27" t="n"/>
      <c r="DN69" s="26">
        <f>IF('テスト条件'!A68="","",'テスト条件'!A68)</f>
        <v/>
      </c>
    </row>
    <row r="70">
      <c r="A70" s="27" t="n"/>
      <c r="B70" s="27" t="n"/>
      <c r="C70" s="28">
        <f>IF(A70="","",$B$2)</f>
        <v/>
      </c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  <c r="AA70" s="27" t="n"/>
      <c r="AB70" s="27" t="n"/>
      <c r="AC70" s="27" t="n"/>
      <c r="AD70" s="27" t="n"/>
      <c r="AE70" s="27" t="n"/>
      <c r="AF70" s="27" t="n"/>
      <c r="AG70" s="27" t="n"/>
      <c r="AH70" s="27" t="n"/>
      <c r="AI70" s="27" t="n"/>
      <c r="AJ70" s="27" t="n"/>
      <c r="AK70" s="27" t="n"/>
      <c r="AL70" s="27" t="n"/>
      <c r="AM70" s="27" t="n"/>
      <c r="AN70" s="27" t="n"/>
      <c r="AO70" s="27" t="n"/>
      <c r="AP70" s="27" t="n"/>
      <c r="AQ70" s="27" t="n"/>
      <c r="AR70" s="27" t="n"/>
      <c r="AS70" s="27" t="n"/>
      <c r="AT70" s="27" t="n"/>
      <c r="AU70" s="27" t="n"/>
      <c r="AV70" s="27" t="n"/>
      <c r="AW70" s="27" t="n"/>
      <c r="AX70" s="27" t="n"/>
      <c r="AY70" s="27" t="n"/>
      <c r="AZ70" s="27" t="n"/>
      <c r="BA70" s="27" t="n"/>
      <c r="BB70" s="27" t="n"/>
      <c r="BC70" s="27" t="n"/>
      <c r="BD70" s="27" t="n"/>
      <c r="BE70" s="27" t="n"/>
      <c r="BF70" s="27" t="n"/>
      <c r="BG70" s="27" t="n"/>
      <c r="BH70" s="27" t="n"/>
      <c r="BI70" s="29" t="n"/>
      <c r="BJ70" s="27" t="n"/>
      <c r="BK70" s="27" t="n"/>
      <c r="BL70" s="27" t="n"/>
      <c r="BM70" s="27" t="n"/>
      <c r="DN70" s="26">
        <f>IF('テスト条件'!A69="","",'テスト条件'!A69)</f>
        <v/>
      </c>
    </row>
    <row r="71">
      <c r="A71" s="27" t="n"/>
      <c r="B71" s="27" t="n"/>
      <c r="C71" s="28">
        <f>IF(A71="","",$B$2)</f>
        <v/>
      </c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  <c r="AA71" s="27" t="n"/>
      <c r="AB71" s="27" t="n"/>
      <c r="AC71" s="27" t="n"/>
      <c r="AD71" s="27" t="n"/>
      <c r="AE71" s="27" t="n"/>
      <c r="AF71" s="27" t="n"/>
      <c r="AG71" s="27" t="n"/>
      <c r="AH71" s="27" t="n"/>
      <c r="AI71" s="27" t="n"/>
      <c r="AJ71" s="27" t="n"/>
      <c r="AK71" s="27" t="n"/>
      <c r="AL71" s="27" t="n"/>
      <c r="AM71" s="27" t="n"/>
      <c r="AN71" s="27" t="n"/>
      <c r="AO71" s="27" t="n"/>
      <c r="AP71" s="27" t="n"/>
      <c r="AQ71" s="27" t="n"/>
      <c r="AR71" s="27" t="n"/>
      <c r="AS71" s="27" t="n"/>
      <c r="AT71" s="27" t="n"/>
      <c r="AU71" s="27" t="n"/>
      <c r="AV71" s="27" t="n"/>
      <c r="AW71" s="27" t="n"/>
      <c r="AX71" s="27" t="n"/>
      <c r="AY71" s="27" t="n"/>
      <c r="AZ71" s="27" t="n"/>
      <c r="BA71" s="27" t="n"/>
      <c r="BB71" s="27" t="n"/>
      <c r="BC71" s="27" t="n"/>
      <c r="BD71" s="27" t="n"/>
      <c r="BE71" s="27" t="n"/>
      <c r="BF71" s="27" t="n"/>
      <c r="BG71" s="27" t="n"/>
      <c r="BH71" s="27" t="n"/>
      <c r="BI71" s="29" t="n"/>
      <c r="BJ71" s="27" t="n"/>
      <c r="BK71" s="27" t="n"/>
      <c r="BL71" s="27" t="n"/>
      <c r="BM71" s="27" t="n"/>
      <c r="DN71" s="26">
        <f>IF('テスト条件'!A70="","",'テスト条件'!A70)</f>
        <v/>
      </c>
    </row>
    <row r="72">
      <c r="A72" s="27" t="n"/>
      <c r="B72" s="27" t="n"/>
      <c r="C72" s="28">
        <f>IF(A72="","",$B$2)</f>
        <v/>
      </c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  <c r="AA72" s="27" t="n"/>
      <c r="AB72" s="27" t="n"/>
      <c r="AC72" s="27" t="n"/>
      <c r="AD72" s="27" t="n"/>
      <c r="AE72" s="27" t="n"/>
      <c r="AF72" s="27" t="n"/>
      <c r="AG72" s="27" t="n"/>
      <c r="AH72" s="27" t="n"/>
      <c r="AI72" s="27" t="n"/>
      <c r="AJ72" s="27" t="n"/>
      <c r="AK72" s="27" t="n"/>
      <c r="AL72" s="27" t="n"/>
      <c r="AM72" s="27" t="n"/>
      <c r="AN72" s="27" t="n"/>
      <c r="AO72" s="27" t="n"/>
      <c r="AP72" s="27" t="n"/>
      <c r="AQ72" s="27" t="n"/>
      <c r="AR72" s="27" t="n"/>
      <c r="AS72" s="27" t="n"/>
      <c r="AT72" s="27" t="n"/>
      <c r="AU72" s="27" t="n"/>
      <c r="AV72" s="27" t="n"/>
      <c r="AW72" s="27" t="n"/>
      <c r="AX72" s="27" t="n"/>
      <c r="AY72" s="27" t="n"/>
      <c r="AZ72" s="27" t="n"/>
      <c r="BA72" s="27" t="n"/>
      <c r="BB72" s="27" t="n"/>
      <c r="BC72" s="27" t="n"/>
      <c r="BD72" s="27" t="n"/>
      <c r="BE72" s="27" t="n"/>
      <c r="BF72" s="27" t="n"/>
      <c r="BG72" s="27" t="n"/>
      <c r="BH72" s="27" t="n"/>
      <c r="BI72" s="29" t="n"/>
      <c r="BJ72" s="27" t="n"/>
      <c r="BK72" s="27" t="n"/>
      <c r="BL72" s="27" t="n"/>
      <c r="BM72" s="27" t="n"/>
      <c r="DN72" s="26">
        <f>IF('テスト条件'!A71="","",'テスト条件'!A71)</f>
        <v/>
      </c>
    </row>
    <row r="73">
      <c r="A73" s="27" t="n"/>
      <c r="B73" s="27" t="n"/>
      <c r="C73" s="28">
        <f>IF(A73="","",$B$2)</f>
        <v/>
      </c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  <c r="AA73" s="27" t="n"/>
      <c r="AB73" s="27" t="n"/>
      <c r="AC73" s="27" t="n"/>
      <c r="AD73" s="27" t="n"/>
      <c r="AE73" s="27" t="n"/>
      <c r="AF73" s="27" t="n"/>
      <c r="AG73" s="27" t="n"/>
      <c r="AH73" s="27" t="n"/>
      <c r="AI73" s="27" t="n"/>
      <c r="AJ73" s="27" t="n"/>
      <c r="AK73" s="27" t="n"/>
      <c r="AL73" s="27" t="n"/>
      <c r="AM73" s="27" t="n"/>
      <c r="AN73" s="27" t="n"/>
      <c r="AO73" s="27" t="n"/>
      <c r="AP73" s="27" t="n"/>
      <c r="AQ73" s="27" t="n"/>
      <c r="AR73" s="27" t="n"/>
      <c r="AS73" s="27" t="n"/>
      <c r="AT73" s="27" t="n"/>
      <c r="AU73" s="27" t="n"/>
      <c r="AV73" s="27" t="n"/>
      <c r="AW73" s="27" t="n"/>
      <c r="AX73" s="27" t="n"/>
      <c r="AY73" s="27" t="n"/>
      <c r="AZ73" s="27" t="n"/>
      <c r="BA73" s="27" t="n"/>
      <c r="BB73" s="27" t="n"/>
      <c r="BC73" s="27" t="n"/>
      <c r="BD73" s="27" t="n"/>
      <c r="BE73" s="27" t="n"/>
      <c r="BF73" s="27" t="n"/>
      <c r="BG73" s="27" t="n"/>
      <c r="BH73" s="27" t="n"/>
      <c r="BI73" s="29" t="n"/>
      <c r="BJ73" s="27" t="n"/>
      <c r="BK73" s="27" t="n"/>
      <c r="BL73" s="27" t="n"/>
      <c r="BM73" s="27" t="n"/>
      <c r="DN73" s="26">
        <f>IF('テスト条件'!A72="","",'テスト条件'!A72)</f>
        <v/>
      </c>
    </row>
    <row r="74">
      <c r="A74" s="27" t="n"/>
      <c r="B74" s="27" t="n"/>
      <c r="C74" s="28">
        <f>IF(A74="","",$B$2)</f>
        <v/>
      </c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  <c r="AA74" s="27" t="n"/>
      <c r="AB74" s="27" t="n"/>
      <c r="AC74" s="27" t="n"/>
      <c r="AD74" s="27" t="n"/>
      <c r="AE74" s="27" t="n"/>
      <c r="AF74" s="27" t="n"/>
      <c r="AG74" s="27" t="n"/>
      <c r="AH74" s="27" t="n"/>
      <c r="AI74" s="27" t="n"/>
      <c r="AJ74" s="27" t="n"/>
      <c r="AK74" s="27" t="n"/>
      <c r="AL74" s="27" t="n"/>
      <c r="AM74" s="27" t="n"/>
      <c r="AN74" s="27" t="n"/>
      <c r="AO74" s="27" t="n"/>
      <c r="AP74" s="27" t="n"/>
      <c r="AQ74" s="27" t="n"/>
      <c r="AR74" s="27" t="n"/>
      <c r="AS74" s="27" t="n"/>
      <c r="AT74" s="27" t="n"/>
      <c r="AU74" s="27" t="n"/>
      <c r="AV74" s="27" t="n"/>
      <c r="AW74" s="27" t="n"/>
      <c r="AX74" s="27" t="n"/>
      <c r="AY74" s="27" t="n"/>
      <c r="AZ74" s="27" t="n"/>
      <c r="BA74" s="27" t="n"/>
      <c r="BB74" s="27" t="n"/>
      <c r="BC74" s="27" t="n"/>
      <c r="BD74" s="27" t="n"/>
      <c r="BE74" s="27" t="n"/>
      <c r="BF74" s="27" t="n"/>
      <c r="BG74" s="27" t="n"/>
      <c r="BH74" s="27" t="n"/>
      <c r="BI74" s="29" t="n"/>
      <c r="BJ74" s="27" t="n"/>
      <c r="BK74" s="27" t="n"/>
      <c r="BL74" s="27" t="n"/>
      <c r="BM74" s="27" t="n"/>
      <c r="DN74" s="26">
        <f>IF('テスト条件'!A73="","",'テスト条件'!A73)</f>
        <v/>
      </c>
    </row>
    <row r="75">
      <c r="A75" s="27" t="n"/>
      <c r="B75" s="27" t="n"/>
      <c r="C75" s="28">
        <f>IF(A75="","",$B$2)</f>
        <v/>
      </c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  <c r="AA75" s="27" t="n"/>
      <c r="AB75" s="27" t="n"/>
      <c r="AC75" s="27" t="n"/>
      <c r="AD75" s="27" t="n"/>
      <c r="AE75" s="27" t="n"/>
      <c r="AF75" s="27" t="n"/>
      <c r="AG75" s="27" t="n"/>
      <c r="AH75" s="27" t="n"/>
      <c r="AI75" s="27" t="n"/>
      <c r="AJ75" s="27" t="n"/>
      <c r="AK75" s="27" t="n"/>
      <c r="AL75" s="27" t="n"/>
      <c r="AM75" s="27" t="n"/>
      <c r="AN75" s="27" t="n"/>
      <c r="AO75" s="27" t="n"/>
      <c r="AP75" s="27" t="n"/>
      <c r="AQ75" s="27" t="n"/>
      <c r="AR75" s="27" t="n"/>
      <c r="AS75" s="27" t="n"/>
      <c r="AT75" s="27" t="n"/>
      <c r="AU75" s="27" t="n"/>
      <c r="AV75" s="27" t="n"/>
      <c r="AW75" s="27" t="n"/>
      <c r="AX75" s="27" t="n"/>
      <c r="AY75" s="27" t="n"/>
      <c r="AZ75" s="27" t="n"/>
      <c r="BA75" s="27" t="n"/>
      <c r="BB75" s="27" t="n"/>
      <c r="BC75" s="27" t="n"/>
      <c r="BD75" s="27" t="n"/>
      <c r="BE75" s="27" t="n"/>
      <c r="BF75" s="27" t="n"/>
      <c r="BG75" s="27" t="n"/>
      <c r="BH75" s="27" t="n"/>
      <c r="BI75" s="29" t="n"/>
      <c r="BJ75" s="27" t="n"/>
      <c r="BK75" s="27" t="n"/>
      <c r="BL75" s="27" t="n"/>
      <c r="BM75" s="27" t="n"/>
      <c r="DN75" s="26">
        <f>IF('テスト条件'!A74="","",'テスト条件'!A74)</f>
        <v/>
      </c>
    </row>
    <row r="76">
      <c r="A76" s="27" t="n"/>
      <c r="B76" s="27" t="n"/>
      <c r="C76" s="28">
        <f>IF(A76="","",$B$2)</f>
        <v/>
      </c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  <c r="AA76" s="27" t="n"/>
      <c r="AB76" s="27" t="n"/>
      <c r="AC76" s="27" t="n"/>
      <c r="AD76" s="27" t="n"/>
      <c r="AE76" s="27" t="n"/>
      <c r="AF76" s="27" t="n"/>
      <c r="AG76" s="27" t="n"/>
      <c r="AH76" s="27" t="n"/>
      <c r="AI76" s="27" t="n"/>
      <c r="AJ76" s="27" t="n"/>
      <c r="AK76" s="27" t="n"/>
      <c r="AL76" s="27" t="n"/>
      <c r="AM76" s="27" t="n"/>
      <c r="AN76" s="27" t="n"/>
      <c r="AO76" s="27" t="n"/>
      <c r="AP76" s="27" t="n"/>
      <c r="AQ76" s="27" t="n"/>
      <c r="AR76" s="27" t="n"/>
      <c r="AS76" s="27" t="n"/>
      <c r="AT76" s="27" t="n"/>
      <c r="AU76" s="27" t="n"/>
      <c r="AV76" s="27" t="n"/>
      <c r="AW76" s="27" t="n"/>
      <c r="AX76" s="27" t="n"/>
      <c r="AY76" s="27" t="n"/>
      <c r="AZ76" s="27" t="n"/>
      <c r="BA76" s="27" t="n"/>
      <c r="BB76" s="27" t="n"/>
      <c r="BC76" s="27" t="n"/>
      <c r="BD76" s="27" t="n"/>
      <c r="BE76" s="27" t="n"/>
      <c r="BF76" s="27" t="n"/>
      <c r="BG76" s="27" t="n"/>
      <c r="BH76" s="27" t="n"/>
      <c r="BI76" s="29" t="n"/>
      <c r="BJ76" s="27" t="n"/>
      <c r="BK76" s="27" t="n"/>
      <c r="BL76" s="27" t="n"/>
      <c r="BM76" s="27" t="n"/>
      <c r="DN76" s="26">
        <f>IF('テスト条件'!A75="","",'テスト条件'!A75)</f>
        <v/>
      </c>
    </row>
    <row r="77">
      <c r="A77" s="27" t="n"/>
      <c r="B77" s="27" t="n"/>
      <c r="C77" s="28">
        <f>IF(A77="","",$B$2)</f>
        <v/>
      </c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  <c r="AA77" s="27" t="n"/>
      <c r="AB77" s="27" t="n"/>
      <c r="AC77" s="27" t="n"/>
      <c r="AD77" s="27" t="n"/>
      <c r="AE77" s="27" t="n"/>
      <c r="AF77" s="27" t="n"/>
      <c r="AG77" s="27" t="n"/>
      <c r="AH77" s="27" t="n"/>
      <c r="AI77" s="27" t="n"/>
      <c r="AJ77" s="27" t="n"/>
      <c r="AK77" s="27" t="n"/>
      <c r="AL77" s="27" t="n"/>
      <c r="AM77" s="27" t="n"/>
      <c r="AN77" s="27" t="n"/>
      <c r="AO77" s="27" t="n"/>
      <c r="AP77" s="27" t="n"/>
      <c r="AQ77" s="27" t="n"/>
      <c r="AR77" s="27" t="n"/>
      <c r="AS77" s="27" t="n"/>
      <c r="AT77" s="27" t="n"/>
      <c r="AU77" s="27" t="n"/>
      <c r="AV77" s="27" t="n"/>
      <c r="AW77" s="27" t="n"/>
      <c r="AX77" s="27" t="n"/>
      <c r="AY77" s="27" t="n"/>
      <c r="AZ77" s="27" t="n"/>
      <c r="BA77" s="27" t="n"/>
      <c r="BB77" s="27" t="n"/>
      <c r="BC77" s="27" t="n"/>
      <c r="BD77" s="27" t="n"/>
      <c r="BE77" s="27" t="n"/>
      <c r="BF77" s="27" t="n"/>
      <c r="BG77" s="27" t="n"/>
      <c r="BH77" s="27" t="n"/>
      <c r="BI77" s="29" t="n"/>
      <c r="BJ77" s="27" t="n"/>
      <c r="BK77" s="27" t="n"/>
      <c r="BL77" s="27" t="n"/>
      <c r="BM77" s="27" t="n"/>
      <c r="DN77" s="26">
        <f>IF('テスト条件'!A76="","",'テスト条件'!A76)</f>
        <v/>
      </c>
    </row>
    <row r="78">
      <c r="A78" s="27" t="n"/>
      <c r="B78" s="27" t="n"/>
      <c r="C78" s="28">
        <f>IF(A78="","",$B$2)</f>
        <v/>
      </c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  <c r="AA78" s="27" t="n"/>
      <c r="AB78" s="27" t="n"/>
      <c r="AC78" s="27" t="n"/>
      <c r="AD78" s="27" t="n"/>
      <c r="AE78" s="27" t="n"/>
      <c r="AF78" s="27" t="n"/>
      <c r="AG78" s="27" t="n"/>
      <c r="AH78" s="27" t="n"/>
      <c r="AI78" s="27" t="n"/>
      <c r="AJ78" s="27" t="n"/>
      <c r="AK78" s="27" t="n"/>
      <c r="AL78" s="27" t="n"/>
      <c r="AM78" s="27" t="n"/>
      <c r="AN78" s="27" t="n"/>
      <c r="AO78" s="27" t="n"/>
      <c r="AP78" s="27" t="n"/>
      <c r="AQ78" s="27" t="n"/>
      <c r="AR78" s="27" t="n"/>
      <c r="AS78" s="27" t="n"/>
      <c r="AT78" s="27" t="n"/>
      <c r="AU78" s="27" t="n"/>
      <c r="AV78" s="27" t="n"/>
      <c r="AW78" s="27" t="n"/>
      <c r="AX78" s="27" t="n"/>
      <c r="AY78" s="27" t="n"/>
      <c r="AZ78" s="27" t="n"/>
      <c r="BA78" s="27" t="n"/>
      <c r="BB78" s="27" t="n"/>
      <c r="BC78" s="27" t="n"/>
      <c r="BD78" s="27" t="n"/>
      <c r="BE78" s="27" t="n"/>
      <c r="BF78" s="27" t="n"/>
      <c r="BG78" s="27" t="n"/>
      <c r="BH78" s="27" t="n"/>
      <c r="BI78" s="29" t="n"/>
      <c r="BJ78" s="27" t="n"/>
      <c r="BK78" s="27" t="n"/>
      <c r="BL78" s="27" t="n"/>
      <c r="BM78" s="27" t="n"/>
      <c r="DN78" s="26">
        <f>IF('テスト条件'!A77="","",'テスト条件'!A77)</f>
        <v/>
      </c>
    </row>
    <row r="79">
      <c r="A79" s="27" t="n"/>
      <c r="B79" s="27" t="n"/>
      <c r="C79" s="28">
        <f>IF(A79="","",$B$2)</f>
        <v/>
      </c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  <c r="AA79" s="27" t="n"/>
      <c r="AB79" s="27" t="n"/>
      <c r="AC79" s="27" t="n"/>
      <c r="AD79" s="27" t="n"/>
      <c r="AE79" s="27" t="n"/>
      <c r="AF79" s="27" t="n"/>
      <c r="AG79" s="27" t="n"/>
      <c r="AH79" s="27" t="n"/>
      <c r="AI79" s="27" t="n"/>
      <c r="AJ79" s="27" t="n"/>
      <c r="AK79" s="27" t="n"/>
      <c r="AL79" s="27" t="n"/>
      <c r="AM79" s="27" t="n"/>
      <c r="AN79" s="27" t="n"/>
      <c r="AO79" s="27" t="n"/>
      <c r="AP79" s="27" t="n"/>
      <c r="AQ79" s="27" t="n"/>
      <c r="AR79" s="27" t="n"/>
      <c r="AS79" s="27" t="n"/>
      <c r="AT79" s="27" t="n"/>
      <c r="AU79" s="27" t="n"/>
      <c r="AV79" s="27" t="n"/>
      <c r="AW79" s="27" t="n"/>
      <c r="AX79" s="27" t="n"/>
      <c r="AY79" s="27" t="n"/>
      <c r="AZ79" s="27" t="n"/>
      <c r="BA79" s="27" t="n"/>
      <c r="BB79" s="27" t="n"/>
      <c r="BC79" s="27" t="n"/>
      <c r="BD79" s="27" t="n"/>
      <c r="BE79" s="27" t="n"/>
      <c r="BF79" s="27" t="n"/>
      <c r="BG79" s="27" t="n"/>
      <c r="BH79" s="27" t="n"/>
      <c r="BI79" s="29" t="n"/>
      <c r="BJ79" s="27" t="n"/>
      <c r="BK79" s="27" t="n"/>
      <c r="BL79" s="27" t="n"/>
      <c r="BM79" s="27" t="n"/>
      <c r="DN79" s="26">
        <f>IF('テスト条件'!A78="","",'テスト条件'!A78)</f>
        <v/>
      </c>
    </row>
    <row r="80">
      <c r="A80" s="27" t="n"/>
      <c r="B80" s="27" t="n"/>
      <c r="C80" s="28">
        <f>IF(A80="","",$B$2)</f>
        <v/>
      </c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27" t="n"/>
      <c r="AJ80" s="27" t="n"/>
      <c r="AK80" s="27" t="n"/>
      <c r="AL80" s="27" t="n"/>
      <c r="AM80" s="27" t="n"/>
      <c r="AN80" s="27" t="n"/>
      <c r="AO80" s="27" t="n"/>
      <c r="AP80" s="27" t="n"/>
      <c r="AQ80" s="27" t="n"/>
      <c r="AR80" s="27" t="n"/>
      <c r="AS80" s="27" t="n"/>
      <c r="AT80" s="27" t="n"/>
      <c r="AU80" s="27" t="n"/>
      <c r="AV80" s="27" t="n"/>
      <c r="AW80" s="27" t="n"/>
      <c r="AX80" s="27" t="n"/>
      <c r="AY80" s="27" t="n"/>
      <c r="AZ80" s="27" t="n"/>
      <c r="BA80" s="27" t="n"/>
      <c r="BB80" s="27" t="n"/>
      <c r="BC80" s="27" t="n"/>
      <c r="BD80" s="27" t="n"/>
      <c r="BE80" s="27" t="n"/>
      <c r="BF80" s="27" t="n"/>
      <c r="BG80" s="27" t="n"/>
      <c r="BH80" s="27" t="n"/>
      <c r="BI80" s="29" t="n"/>
      <c r="BJ80" s="27" t="n"/>
      <c r="BK80" s="27" t="n"/>
      <c r="BL80" s="27" t="n"/>
      <c r="BM80" s="27" t="n"/>
      <c r="DN80" s="26">
        <f>IF('テスト条件'!A79="","",'テスト条件'!A79)</f>
        <v/>
      </c>
    </row>
    <row r="81">
      <c r="A81" s="27" t="n"/>
      <c r="B81" s="27" t="n"/>
      <c r="C81" s="28">
        <f>IF(A81="","",$B$2)</f>
        <v/>
      </c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  <c r="AA81" s="27" t="n"/>
      <c r="AB81" s="27" t="n"/>
      <c r="AC81" s="27" t="n"/>
      <c r="AD81" s="27" t="n"/>
      <c r="AE81" s="27" t="n"/>
      <c r="AF81" s="27" t="n"/>
      <c r="AG81" s="27" t="n"/>
      <c r="AH81" s="27" t="n"/>
      <c r="AI81" s="27" t="n"/>
      <c r="AJ81" s="27" t="n"/>
      <c r="AK81" s="27" t="n"/>
      <c r="AL81" s="27" t="n"/>
      <c r="AM81" s="27" t="n"/>
      <c r="AN81" s="27" t="n"/>
      <c r="AO81" s="27" t="n"/>
      <c r="AP81" s="27" t="n"/>
      <c r="AQ81" s="27" t="n"/>
      <c r="AR81" s="27" t="n"/>
      <c r="AS81" s="27" t="n"/>
      <c r="AT81" s="27" t="n"/>
      <c r="AU81" s="27" t="n"/>
      <c r="AV81" s="27" t="n"/>
      <c r="AW81" s="27" t="n"/>
      <c r="AX81" s="27" t="n"/>
      <c r="AY81" s="27" t="n"/>
      <c r="AZ81" s="27" t="n"/>
      <c r="BA81" s="27" t="n"/>
      <c r="BB81" s="27" t="n"/>
      <c r="BC81" s="27" t="n"/>
      <c r="BD81" s="27" t="n"/>
      <c r="BE81" s="27" t="n"/>
      <c r="BF81" s="27" t="n"/>
      <c r="BG81" s="27" t="n"/>
      <c r="BH81" s="27" t="n"/>
      <c r="BI81" s="29" t="n"/>
      <c r="BJ81" s="27" t="n"/>
      <c r="BK81" s="27" t="n"/>
      <c r="BL81" s="27" t="n"/>
      <c r="BM81" s="27" t="n"/>
      <c r="DN81" s="26">
        <f>IF('テスト条件'!A80="","",'テスト条件'!A80)</f>
        <v/>
      </c>
    </row>
    <row r="82">
      <c r="A82" s="27" t="n"/>
      <c r="B82" s="27" t="n"/>
      <c r="C82" s="28">
        <f>IF(A82="","",$B$2)</f>
        <v/>
      </c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  <c r="AA82" s="27" t="n"/>
      <c r="AB82" s="27" t="n"/>
      <c r="AC82" s="27" t="n"/>
      <c r="AD82" s="27" t="n"/>
      <c r="AE82" s="27" t="n"/>
      <c r="AF82" s="27" t="n"/>
      <c r="AG82" s="27" t="n"/>
      <c r="AH82" s="27" t="n"/>
      <c r="AI82" s="27" t="n"/>
      <c r="AJ82" s="27" t="n"/>
      <c r="AK82" s="27" t="n"/>
      <c r="AL82" s="27" t="n"/>
      <c r="AM82" s="27" t="n"/>
      <c r="AN82" s="27" t="n"/>
      <c r="AO82" s="27" t="n"/>
      <c r="AP82" s="27" t="n"/>
      <c r="AQ82" s="27" t="n"/>
      <c r="AR82" s="27" t="n"/>
      <c r="AS82" s="27" t="n"/>
      <c r="AT82" s="27" t="n"/>
      <c r="AU82" s="27" t="n"/>
      <c r="AV82" s="27" t="n"/>
      <c r="AW82" s="27" t="n"/>
      <c r="AX82" s="27" t="n"/>
      <c r="AY82" s="27" t="n"/>
      <c r="AZ82" s="27" t="n"/>
      <c r="BA82" s="27" t="n"/>
      <c r="BB82" s="27" t="n"/>
      <c r="BC82" s="27" t="n"/>
      <c r="BD82" s="27" t="n"/>
      <c r="BE82" s="27" t="n"/>
      <c r="BF82" s="27" t="n"/>
      <c r="BG82" s="27" t="n"/>
      <c r="BH82" s="27" t="n"/>
      <c r="BI82" s="29" t="n"/>
      <c r="BJ82" s="27" t="n"/>
      <c r="BK82" s="27" t="n"/>
      <c r="BL82" s="27" t="n"/>
      <c r="BM82" s="27" t="n"/>
      <c r="DN82" s="26">
        <f>IF('テスト条件'!A81="","",'テスト条件'!A81)</f>
        <v/>
      </c>
    </row>
    <row r="83">
      <c r="A83" s="27" t="n"/>
      <c r="B83" s="27" t="n"/>
      <c r="C83" s="28">
        <f>IF(A83="","",$B$2)</f>
        <v/>
      </c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  <c r="AA83" s="27" t="n"/>
      <c r="AB83" s="27" t="n"/>
      <c r="AC83" s="27" t="n"/>
      <c r="AD83" s="27" t="n"/>
      <c r="AE83" s="27" t="n"/>
      <c r="AF83" s="27" t="n"/>
      <c r="AG83" s="27" t="n"/>
      <c r="AH83" s="27" t="n"/>
      <c r="AI83" s="27" t="n"/>
      <c r="AJ83" s="27" t="n"/>
      <c r="AK83" s="27" t="n"/>
      <c r="AL83" s="27" t="n"/>
      <c r="AM83" s="27" t="n"/>
      <c r="AN83" s="27" t="n"/>
      <c r="AO83" s="27" t="n"/>
      <c r="AP83" s="27" t="n"/>
      <c r="AQ83" s="27" t="n"/>
      <c r="AR83" s="27" t="n"/>
      <c r="AS83" s="27" t="n"/>
      <c r="AT83" s="27" t="n"/>
      <c r="AU83" s="27" t="n"/>
      <c r="AV83" s="27" t="n"/>
      <c r="AW83" s="27" t="n"/>
      <c r="AX83" s="27" t="n"/>
      <c r="AY83" s="27" t="n"/>
      <c r="AZ83" s="27" t="n"/>
      <c r="BA83" s="27" t="n"/>
      <c r="BB83" s="27" t="n"/>
      <c r="BC83" s="27" t="n"/>
      <c r="BD83" s="27" t="n"/>
      <c r="BE83" s="27" t="n"/>
      <c r="BF83" s="27" t="n"/>
      <c r="BG83" s="27" t="n"/>
      <c r="BH83" s="27" t="n"/>
      <c r="BI83" s="29" t="n"/>
      <c r="BJ83" s="27" t="n"/>
      <c r="BK83" s="27" t="n"/>
      <c r="BL83" s="27" t="n"/>
      <c r="BM83" s="27" t="n"/>
      <c r="DN83" s="26">
        <f>IF('テスト条件'!A82="","",'テスト条件'!A82)</f>
        <v/>
      </c>
    </row>
    <row r="84">
      <c r="A84" s="27" t="n"/>
      <c r="B84" s="27" t="n"/>
      <c r="C84" s="28">
        <f>IF(A84="","",$B$2)</f>
        <v/>
      </c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  <c r="AA84" s="27" t="n"/>
      <c r="AB84" s="27" t="n"/>
      <c r="AC84" s="27" t="n"/>
      <c r="AD84" s="27" t="n"/>
      <c r="AE84" s="27" t="n"/>
      <c r="AF84" s="27" t="n"/>
      <c r="AG84" s="27" t="n"/>
      <c r="AH84" s="27" t="n"/>
      <c r="AI84" s="27" t="n"/>
      <c r="AJ84" s="27" t="n"/>
      <c r="AK84" s="27" t="n"/>
      <c r="AL84" s="27" t="n"/>
      <c r="AM84" s="27" t="n"/>
      <c r="AN84" s="27" t="n"/>
      <c r="AO84" s="27" t="n"/>
      <c r="AP84" s="27" t="n"/>
      <c r="AQ84" s="27" t="n"/>
      <c r="AR84" s="27" t="n"/>
      <c r="AS84" s="27" t="n"/>
      <c r="AT84" s="27" t="n"/>
      <c r="AU84" s="27" t="n"/>
      <c r="AV84" s="27" t="n"/>
      <c r="AW84" s="27" t="n"/>
      <c r="AX84" s="27" t="n"/>
      <c r="AY84" s="27" t="n"/>
      <c r="AZ84" s="27" t="n"/>
      <c r="BA84" s="27" t="n"/>
      <c r="BB84" s="27" t="n"/>
      <c r="BC84" s="27" t="n"/>
      <c r="BD84" s="27" t="n"/>
      <c r="BE84" s="27" t="n"/>
      <c r="BF84" s="27" t="n"/>
      <c r="BG84" s="27" t="n"/>
      <c r="BH84" s="27" t="n"/>
      <c r="BI84" s="29" t="n"/>
      <c r="BJ84" s="27" t="n"/>
      <c r="BK84" s="27" t="n"/>
      <c r="BL84" s="27" t="n"/>
      <c r="BM84" s="27" t="n"/>
      <c r="DN84" s="26">
        <f>IF('テスト条件'!A83="","",'テスト条件'!A83)</f>
        <v/>
      </c>
    </row>
    <row r="85">
      <c r="A85" s="27" t="n"/>
      <c r="B85" s="27" t="n"/>
      <c r="C85" s="28">
        <f>IF(A85="","",$B$2)</f>
        <v/>
      </c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  <c r="AA85" s="27" t="n"/>
      <c r="AB85" s="27" t="n"/>
      <c r="AC85" s="27" t="n"/>
      <c r="AD85" s="27" t="n"/>
      <c r="AE85" s="27" t="n"/>
      <c r="AF85" s="27" t="n"/>
      <c r="AG85" s="27" t="n"/>
      <c r="AH85" s="27" t="n"/>
      <c r="AI85" s="27" t="n"/>
      <c r="AJ85" s="27" t="n"/>
      <c r="AK85" s="27" t="n"/>
      <c r="AL85" s="27" t="n"/>
      <c r="AM85" s="27" t="n"/>
      <c r="AN85" s="27" t="n"/>
      <c r="AO85" s="27" t="n"/>
      <c r="AP85" s="27" t="n"/>
      <c r="AQ85" s="27" t="n"/>
      <c r="AR85" s="27" t="n"/>
      <c r="AS85" s="27" t="n"/>
      <c r="AT85" s="27" t="n"/>
      <c r="AU85" s="27" t="n"/>
      <c r="AV85" s="27" t="n"/>
      <c r="AW85" s="27" t="n"/>
      <c r="AX85" s="27" t="n"/>
      <c r="AY85" s="27" t="n"/>
      <c r="AZ85" s="27" t="n"/>
      <c r="BA85" s="27" t="n"/>
      <c r="BB85" s="27" t="n"/>
      <c r="BC85" s="27" t="n"/>
      <c r="BD85" s="27" t="n"/>
      <c r="BE85" s="27" t="n"/>
      <c r="BF85" s="27" t="n"/>
      <c r="BG85" s="27" t="n"/>
      <c r="BH85" s="27" t="n"/>
      <c r="BI85" s="29" t="n"/>
      <c r="BJ85" s="27" t="n"/>
      <c r="BK85" s="27" t="n"/>
      <c r="BL85" s="27" t="n"/>
      <c r="BM85" s="27" t="n"/>
      <c r="DN85" s="26">
        <f>IF('テスト条件'!A84="","",'テスト条件'!A84)</f>
        <v/>
      </c>
    </row>
    <row r="86">
      <c r="A86" s="27" t="n"/>
      <c r="B86" s="27" t="n"/>
      <c r="C86" s="28">
        <f>IF(A86="","",$B$2)</f>
        <v/>
      </c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27" t="n"/>
      <c r="AJ86" s="27" t="n"/>
      <c r="AK86" s="27" t="n"/>
      <c r="AL86" s="27" t="n"/>
      <c r="AM86" s="27" t="n"/>
      <c r="AN86" s="27" t="n"/>
      <c r="AO86" s="27" t="n"/>
      <c r="AP86" s="27" t="n"/>
      <c r="AQ86" s="27" t="n"/>
      <c r="AR86" s="27" t="n"/>
      <c r="AS86" s="27" t="n"/>
      <c r="AT86" s="27" t="n"/>
      <c r="AU86" s="27" t="n"/>
      <c r="AV86" s="27" t="n"/>
      <c r="AW86" s="27" t="n"/>
      <c r="AX86" s="27" t="n"/>
      <c r="AY86" s="27" t="n"/>
      <c r="AZ86" s="27" t="n"/>
      <c r="BA86" s="27" t="n"/>
      <c r="BB86" s="27" t="n"/>
      <c r="BC86" s="27" t="n"/>
      <c r="BD86" s="27" t="n"/>
      <c r="BE86" s="27" t="n"/>
      <c r="BF86" s="27" t="n"/>
      <c r="BG86" s="27" t="n"/>
      <c r="BH86" s="27" t="n"/>
      <c r="BI86" s="29" t="n"/>
      <c r="BJ86" s="27" t="n"/>
      <c r="BK86" s="27" t="n"/>
      <c r="BL86" s="27" t="n"/>
      <c r="BM86" s="27" t="n"/>
      <c r="DN86" s="26">
        <f>IF('テスト条件'!A85="","",'テスト条件'!A85)</f>
        <v/>
      </c>
    </row>
    <row r="87">
      <c r="A87" s="27" t="n"/>
      <c r="B87" s="27" t="n"/>
      <c r="C87" s="28">
        <f>IF(A87="","",$B$2)</f>
        <v/>
      </c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  <c r="AA87" s="27" t="n"/>
      <c r="AB87" s="27" t="n"/>
      <c r="AC87" s="27" t="n"/>
      <c r="AD87" s="27" t="n"/>
      <c r="AE87" s="27" t="n"/>
      <c r="AF87" s="27" t="n"/>
      <c r="AG87" s="27" t="n"/>
      <c r="AH87" s="27" t="n"/>
      <c r="AI87" s="27" t="n"/>
      <c r="AJ87" s="27" t="n"/>
      <c r="AK87" s="27" t="n"/>
      <c r="AL87" s="27" t="n"/>
      <c r="AM87" s="27" t="n"/>
      <c r="AN87" s="27" t="n"/>
      <c r="AO87" s="27" t="n"/>
      <c r="AP87" s="27" t="n"/>
      <c r="AQ87" s="27" t="n"/>
      <c r="AR87" s="27" t="n"/>
      <c r="AS87" s="27" t="n"/>
      <c r="AT87" s="27" t="n"/>
      <c r="AU87" s="27" t="n"/>
      <c r="AV87" s="27" t="n"/>
      <c r="AW87" s="27" t="n"/>
      <c r="AX87" s="27" t="n"/>
      <c r="AY87" s="27" t="n"/>
      <c r="AZ87" s="27" t="n"/>
      <c r="BA87" s="27" t="n"/>
      <c r="BB87" s="27" t="n"/>
      <c r="BC87" s="27" t="n"/>
      <c r="BD87" s="27" t="n"/>
      <c r="BE87" s="27" t="n"/>
      <c r="BF87" s="27" t="n"/>
      <c r="BG87" s="27" t="n"/>
      <c r="BH87" s="27" t="n"/>
      <c r="BI87" s="29" t="n"/>
      <c r="BJ87" s="27" t="n"/>
      <c r="BK87" s="27" t="n"/>
      <c r="BL87" s="27" t="n"/>
      <c r="BM87" s="27" t="n"/>
      <c r="DN87" s="26">
        <f>IF('テスト条件'!A86="","",'テスト条件'!A86)</f>
        <v/>
      </c>
    </row>
    <row r="88">
      <c r="A88" s="27" t="n"/>
      <c r="B88" s="27" t="n"/>
      <c r="C88" s="28">
        <f>IF(A88="","",$B$2)</f>
        <v/>
      </c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  <c r="AA88" s="27" t="n"/>
      <c r="AB88" s="27" t="n"/>
      <c r="AC88" s="27" t="n"/>
      <c r="AD88" s="27" t="n"/>
      <c r="AE88" s="27" t="n"/>
      <c r="AF88" s="27" t="n"/>
      <c r="AG88" s="27" t="n"/>
      <c r="AH88" s="27" t="n"/>
      <c r="AI88" s="27" t="n"/>
      <c r="AJ88" s="27" t="n"/>
      <c r="AK88" s="27" t="n"/>
      <c r="AL88" s="27" t="n"/>
      <c r="AM88" s="27" t="n"/>
      <c r="AN88" s="27" t="n"/>
      <c r="AO88" s="27" t="n"/>
      <c r="AP88" s="27" t="n"/>
      <c r="AQ88" s="27" t="n"/>
      <c r="AR88" s="27" t="n"/>
      <c r="AS88" s="27" t="n"/>
      <c r="AT88" s="27" t="n"/>
      <c r="AU88" s="27" t="n"/>
      <c r="AV88" s="27" t="n"/>
      <c r="AW88" s="27" t="n"/>
      <c r="AX88" s="27" t="n"/>
      <c r="AY88" s="27" t="n"/>
      <c r="AZ88" s="27" t="n"/>
      <c r="BA88" s="27" t="n"/>
      <c r="BB88" s="27" t="n"/>
      <c r="BC88" s="27" t="n"/>
      <c r="BD88" s="27" t="n"/>
      <c r="BE88" s="27" t="n"/>
      <c r="BF88" s="27" t="n"/>
      <c r="BG88" s="27" t="n"/>
      <c r="BH88" s="27" t="n"/>
      <c r="BI88" s="29" t="n"/>
      <c r="BJ88" s="27" t="n"/>
      <c r="BK88" s="27" t="n"/>
      <c r="BL88" s="27" t="n"/>
      <c r="BM88" s="27" t="n"/>
      <c r="DN88" s="26">
        <f>IF('テスト条件'!A87="","",'テスト条件'!A87)</f>
        <v/>
      </c>
    </row>
    <row r="89">
      <c r="A89" s="27" t="n"/>
      <c r="B89" s="27" t="n"/>
      <c r="C89" s="28">
        <f>IF(A89="","",$B$2)</f>
        <v/>
      </c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27" t="n"/>
      <c r="AJ89" s="27" t="n"/>
      <c r="AK89" s="27" t="n"/>
      <c r="AL89" s="27" t="n"/>
      <c r="AM89" s="27" t="n"/>
      <c r="AN89" s="27" t="n"/>
      <c r="AO89" s="27" t="n"/>
      <c r="AP89" s="27" t="n"/>
      <c r="AQ89" s="27" t="n"/>
      <c r="AR89" s="27" t="n"/>
      <c r="AS89" s="27" t="n"/>
      <c r="AT89" s="27" t="n"/>
      <c r="AU89" s="27" t="n"/>
      <c r="AV89" s="27" t="n"/>
      <c r="AW89" s="27" t="n"/>
      <c r="AX89" s="27" t="n"/>
      <c r="AY89" s="27" t="n"/>
      <c r="AZ89" s="27" t="n"/>
      <c r="BA89" s="27" t="n"/>
      <c r="BB89" s="27" t="n"/>
      <c r="BC89" s="27" t="n"/>
      <c r="BD89" s="27" t="n"/>
      <c r="BE89" s="27" t="n"/>
      <c r="BF89" s="27" t="n"/>
      <c r="BG89" s="27" t="n"/>
      <c r="BH89" s="27" t="n"/>
      <c r="BI89" s="29" t="n"/>
      <c r="BJ89" s="27" t="n"/>
      <c r="BK89" s="27" t="n"/>
      <c r="BL89" s="27" t="n"/>
      <c r="BM89" s="27" t="n"/>
      <c r="DN89" s="26">
        <f>IF('テスト条件'!A88="","",'テスト条件'!A88)</f>
        <v/>
      </c>
    </row>
    <row r="90">
      <c r="A90" s="27" t="n"/>
      <c r="B90" s="27" t="n"/>
      <c r="C90" s="28">
        <f>IF(A90="","",$B$2)</f>
        <v/>
      </c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  <c r="AA90" s="27" t="n"/>
      <c r="AB90" s="27" t="n"/>
      <c r="AC90" s="27" t="n"/>
      <c r="AD90" s="27" t="n"/>
      <c r="AE90" s="27" t="n"/>
      <c r="AF90" s="27" t="n"/>
      <c r="AG90" s="27" t="n"/>
      <c r="AH90" s="27" t="n"/>
      <c r="AI90" s="27" t="n"/>
      <c r="AJ90" s="27" t="n"/>
      <c r="AK90" s="27" t="n"/>
      <c r="AL90" s="27" t="n"/>
      <c r="AM90" s="27" t="n"/>
      <c r="AN90" s="27" t="n"/>
      <c r="AO90" s="27" t="n"/>
      <c r="AP90" s="27" t="n"/>
      <c r="AQ90" s="27" t="n"/>
      <c r="AR90" s="27" t="n"/>
      <c r="AS90" s="27" t="n"/>
      <c r="AT90" s="27" t="n"/>
      <c r="AU90" s="27" t="n"/>
      <c r="AV90" s="27" t="n"/>
      <c r="AW90" s="27" t="n"/>
      <c r="AX90" s="27" t="n"/>
      <c r="AY90" s="27" t="n"/>
      <c r="AZ90" s="27" t="n"/>
      <c r="BA90" s="27" t="n"/>
      <c r="BB90" s="27" t="n"/>
      <c r="BC90" s="27" t="n"/>
      <c r="BD90" s="27" t="n"/>
      <c r="BE90" s="27" t="n"/>
      <c r="BF90" s="27" t="n"/>
      <c r="BG90" s="27" t="n"/>
      <c r="BH90" s="27" t="n"/>
      <c r="BI90" s="29" t="n"/>
      <c r="BJ90" s="27" t="n"/>
      <c r="BK90" s="27" t="n"/>
      <c r="BL90" s="27" t="n"/>
      <c r="BM90" s="27" t="n"/>
      <c r="DN90" s="26">
        <f>IF('テスト条件'!A89="","",'テスト条件'!A89)</f>
        <v/>
      </c>
    </row>
    <row r="91">
      <c r="A91" s="27" t="n"/>
      <c r="B91" s="27" t="n"/>
      <c r="C91" s="28">
        <f>IF(A91="","",$B$2)</f>
        <v/>
      </c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  <c r="AA91" s="27" t="n"/>
      <c r="AB91" s="27" t="n"/>
      <c r="AC91" s="27" t="n"/>
      <c r="AD91" s="27" t="n"/>
      <c r="AE91" s="27" t="n"/>
      <c r="AF91" s="27" t="n"/>
      <c r="AG91" s="27" t="n"/>
      <c r="AH91" s="27" t="n"/>
      <c r="AI91" s="27" t="n"/>
      <c r="AJ91" s="27" t="n"/>
      <c r="AK91" s="27" t="n"/>
      <c r="AL91" s="27" t="n"/>
      <c r="AM91" s="27" t="n"/>
      <c r="AN91" s="27" t="n"/>
      <c r="AO91" s="27" t="n"/>
      <c r="AP91" s="27" t="n"/>
      <c r="AQ91" s="27" t="n"/>
      <c r="AR91" s="27" t="n"/>
      <c r="AS91" s="27" t="n"/>
      <c r="AT91" s="27" t="n"/>
      <c r="AU91" s="27" t="n"/>
      <c r="AV91" s="27" t="n"/>
      <c r="AW91" s="27" t="n"/>
      <c r="AX91" s="27" t="n"/>
      <c r="AY91" s="27" t="n"/>
      <c r="AZ91" s="27" t="n"/>
      <c r="BA91" s="27" t="n"/>
      <c r="BB91" s="27" t="n"/>
      <c r="BC91" s="27" t="n"/>
      <c r="BD91" s="27" t="n"/>
      <c r="BE91" s="27" t="n"/>
      <c r="BF91" s="27" t="n"/>
      <c r="BG91" s="27" t="n"/>
      <c r="BH91" s="27" t="n"/>
      <c r="BI91" s="29" t="n"/>
      <c r="BJ91" s="27" t="n"/>
      <c r="BK91" s="27" t="n"/>
      <c r="BL91" s="27" t="n"/>
      <c r="BM91" s="27" t="n"/>
      <c r="DN91" s="26">
        <f>IF('テスト条件'!A90="","",'テスト条件'!A90)</f>
        <v/>
      </c>
    </row>
    <row r="92">
      <c r="A92" s="27" t="n"/>
      <c r="B92" s="27" t="n"/>
      <c r="C92" s="28">
        <f>IF(A92="","",$B$2)</f>
        <v/>
      </c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  <c r="AA92" s="27" t="n"/>
      <c r="AB92" s="27" t="n"/>
      <c r="AC92" s="27" t="n"/>
      <c r="AD92" s="27" t="n"/>
      <c r="AE92" s="27" t="n"/>
      <c r="AF92" s="27" t="n"/>
      <c r="AG92" s="27" t="n"/>
      <c r="AH92" s="27" t="n"/>
      <c r="AI92" s="27" t="n"/>
      <c r="AJ92" s="27" t="n"/>
      <c r="AK92" s="27" t="n"/>
      <c r="AL92" s="27" t="n"/>
      <c r="AM92" s="27" t="n"/>
      <c r="AN92" s="27" t="n"/>
      <c r="AO92" s="27" t="n"/>
      <c r="AP92" s="27" t="n"/>
      <c r="AQ92" s="27" t="n"/>
      <c r="AR92" s="27" t="n"/>
      <c r="AS92" s="27" t="n"/>
      <c r="AT92" s="27" t="n"/>
      <c r="AU92" s="27" t="n"/>
      <c r="AV92" s="27" t="n"/>
      <c r="AW92" s="27" t="n"/>
      <c r="AX92" s="27" t="n"/>
      <c r="AY92" s="27" t="n"/>
      <c r="AZ92" s="27" t="n"/>
      <c r="BA92" s="27" t="n"/>
      <c r="BB92" s="27" t="n"/>
      <c r="BC92" s="27" t="n"/>
      <c r="BD92" s="27" t="n"/>
      <c r="BE92" s="27" t="n"/>
      <c r="BF92" s="27" t="n"/>
      <c r="BG92" s="27" t="n"/>
      <c r="BH92" s="27" t="n"/>
      <c r="BI92" s="29" t="n"/>
      <c r="BJ92" s="27" t="n"/>
      <c r="BK92" s="27" t="n"/>
      <c r="BL92" s="27" t="n"/>
      <c r="BM92" s="27" t="n"/>
      <c r="DN92" s="26">
        <f>IF('テスト条件'!A91="","",'テスト条件'!A91)</f>
        <v/>
      </c>
    </row>
    <row r="93">
      <c r="A93" s="27" t="n"/>
      <c r="B93" s="27" t="n"/>
      <c r="C93" s="28">
        <f>IF(A93="","",$B$2)</f>
        <v/>
      </c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7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9" t="n"/>
      <c r="BJ93" s="27" t="n"/>
      <c r="BK93" s="27" t="n"/>
      <c r="BL93" s="27" t="n"/>
      <c r="BM93" s="27" t="n"/>
      <c r="DN93" s="26">
        <f>IF('テスト条件'!A92="","",'テスト条件'!A92)</f>
        <v/>
      </c>
    </row>
    <row r="94">
      <c r="A94" s="27" t="n"/>
      <c r="B94" s="27" t="n"/>
      <c r="C94" s="28">
        <f>IF(A94="","",$B$2)</f>
        <v/>
      </c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7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9" t="n"/>
      <c r="BJ94" s="27" t="n"/>
      <c r="BK94" s="27" t="n"/>
      <c r="BL94" s="27" t="n"/>
      <c r="BM94" s="27" t="n"/>
      <c r="DN94" s="26">
        <f>IF('テスト条件'!A93="","",'テスト条件'!A93)</f>
        <v/>
      </c>
    </row>
    <row r="95">
      <c r="A95" s="27" t="n"/>
      <c r="B95" s="27" t="n"/>
      <c r="C95" s="28">
        <f>IF(A95="","",$B$2)</f>
        <v/>
      </c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7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9" t="n"/>
      <c r="BJ95" s="27" t="n"/>
      <c r="BK95" s="27" t="n"/>
      <c r="BL95" s="27" t="n"/>
      <c r="BM95" s="27" t="n"/>
      <c r="DN95" s="26">
        <f>IF('テスト条件'!A94="","",'テスト条件'!A94)</f>
        <v/>
      </c>
    </row>
    <row r="96">
      <c r="A96" s="27" t="n"/>
      <c r="B96" s="27" t="n"/>
      <c r="C96" s="28">
        <f>IF(A96="","",$B$2)</f>
        <v/>
      </c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7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9" t="n"/>
      <c r="BJ96" s="27" t="n"/>
      <c r="BK96" s="27" t="n"/>
      <c r="BL96" s="27" t="n"/>
      <c r="BM96" s="27" t="n"/>
      <c r="DN96" s="26">
        <f>IF('テスト条件'!A95="","",'テスト条件'!A95)</f>
        <v/>
      </c>
    </row>
    <row r="97">
      <c r="A97" s="27" t="n"/>
      <c r="B97" s="27" t="n"/>
      <c r="C97" s="28">
        <f>IF(A97="","",$B$2)</f>
        <v/>
      </c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7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9" t="n"/>
      <c r="BJ97" s="27" t="n"/>
      <c r="BK97" s="27" t="n"/>
      <c r="BL97" s="27" t="n"/>
      <c r="BM97" s="27" t="n"/>
      <c r="DN97" s="26">
        <f>IF('テスト条件'!A96="","",'テスト条件'!A96)</f>
        <v/>
      </c>
    </row>
    <row r="98">
      <c r="A98" s="27" t="n"/>
      <c r="B98" s="27" t="n"/>
      <c r="C98" s="28">
        <f>IF(A98="","",$B$2)</f>
        <v/>
      </c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  <c r="AA98" s="27" t="n"/>
      <c r="AB98" s="27" t="n"/>
      <c r="AC98" s="27" t="n"/>
      <c r="AD98" s="27" t="n"/>
      <c r="AE98" s="27" t="n"/>
      <c r="AF98" s="27" t="n"/>
      <c r="AG98" s="27" t="n"/>
      <c r="AH98" s="27" t="n"/>
      <c r="AI98" s="27" t="n"/>
      <c r="AJ98" s="27" t="n"/>
      <c r="AK98" s="27" t="n"/>
      <c r="AL98" s="27" t="n"/>
      <c r="AM98" s="27" t="n"/>
      <c r="AN98" s="27" t="n"/>
      <c r="AO98" s="27" t="n"/>
      <c r="AP98" s="27" t="n"/>
      <c r="AQ98" s="27" t="n"/>
      <c r="AR98" s="27" t="n"/>
      <c r="AS98" s="27" t="n"/>
      <c r="AT98" s="27" t="n"/>
      <c r="AU98" s="27" t="n"/>
      <c r="AV98" s="27" t="n"/>
      <c r="AW98" s="27" t="n"/>
      <c r="AX98" s="27" t="n"/>
      <c r="AY98" s="27" t="n"/>
      <c r="AZ98" s="27" t="n"/>
      <c r="BA98" s="27" t="n"/>
      <c r="BB98" s="27" t="n"/>
      <c r="BC98" s="27" t="n"/>
      <c r="BD98" s="27" t="n"/>
      <c r="BE98" s="27" t="n"/>
      <c r="BF98" s="27" t="n"/>
      <c r="BG98" s="27" t="n"/>
      <c r="BH98" s="27" t="n"/>
      <c r="BI98" s="29" t="n"/>
      <c r="BJ98" s="27" t="n"/>
      <c r="BK98" s="27" t="n"/>
      <c r="BL98" s="27" t="n"/>
      <c r="BM98" s="27" t="n"/>
      <c r="DN98" s="26">
        <f>IF('テスト条件'!A97="","",'テスト条件'!A97)</f>
        <v/>
      </c>
    </row>
    <row r="99">
      <c r="A99" s="27" t="n"/>
      <c r="B99" s="27" t="n"/>
      <c r="C99" s="28">
        <f>IF(A99="","",$B$2)</f>
        <v/>
      </c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  <c r="AA99" s="27" t="n"/>
      <c r="AB99" s="27" t="n"/>
      <c r="AC99" s="27" t="n"/>
      <c r="AD99" s="27" t="n"/>
      <c r="AE99" s="27" t="n"/>
      <c r="AF99" s="27" t="n"/>
      <c r="AG99" s="27" t="n"/>
      <c r="AH99" s="27" t="n"/>
      <c r="AI99" s="27" t="n"/>
      <c r="AJ99" s="27" t="n"/>
      <c r="AK99" s="27" t="n"/>
      <c r="AL99" s="27" t="n"/>
      <c r="AM99" s="27" t="n"/>
      <c r="AN99" s="27" t="n"/>
      <c r="AO99" s="27" t="n"/>
      <c r="AP99" s="27" t="n"/>
      <c r="AQ99" s="27" t="n"/>
      <c r="AR99" s="27" t="n"/>
      <c r="AS99" s="27" t="n"/>
      <c r="AT99" s="27" t="n"/>
      <c r="AU99" s="27" t="n"/>
      <c r="AV99" s="27" t="n"/>
      <c r="AW99" s="27" t="n"/>
      <c r="AX99" s="27" t="n"/>
      <c r="AY99" s="27" t="n"/>
      <c r="AZ99" s="27" t="n"/>
      <c r="BA99" s="27" t="n"/>
      <c r="BB99" s="27" t="n"/>
      <c r="BC99" s="27" t="n"/>
      <c r="BD99" s="27" t="n"/>
      <c r="BE99" s="27" t="n"/>
      <c r="BF99" s="27" t="n"/>
      <c r="BG99" s="27" t="n"/>
      <c r="BH99" s="27" t="n"/>
      <c r="BI99" s="29" t="n"/>
      <c r="BJ99" s="27" t="n"/>
      <c r="BK99" s="27" t="n"/>
      <c r="BL99" s="27" t="n"/>
      <c r="BM99" s="27" t="n"/>
      <c r="DN99" s="26">
        <f>IF('テスト条件'!A98="","",'テスト条件'!A98)</f>
        <v/>
      </c>
    </row>
    <row r="100">
      <c r="A100" s="27" t="n"/>
      <c r="B100" s="27" t="n"/>
      <c r="C100" s="28">
        <f>IF(A100="","",$B$2)</f>
        <v/>
      </c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  <c r="AA100" s="27" t="n"/>
      <c r="AB100" s="27" t="n"/>
      <c r="AC100" s="27" t="n"/>
      <c r="AD100" s="27" t="n"/>
      <c r="AE100" s="27" t="n"/>
      <c r="AF100" s="27" t="n"/>
      <c r="AG100" s="27" t="n"/>
      <c r="AH100" s="27" t="n"/>
      <c r="AI100" s="27" t="n"/>
      <c r="AJ100" s="27" t="n"/>
      <c r="AK100" s="27" t="n"/>
      <c r="AL100" s="27" t="n"/>
      <c r="AM100" s="27" t="n"/>
      <c r="AN100" s="27" t="n"/>
      <c r="AO100" s="27" t="n"/>
      <c r="AP100" s="27" t="n"/>
      <c r="AQ100" s="27" t="n"/>
      <c r="AR100" s="27" t="n"/>
      <c r="AS100" s="27" t="n"/>
      <c r="AT100" s="27" t="n"/>
      <c r="AU100" s="27" t="n"/>
      <c r="AV100" s="27" t="n"/>
      <c r="AW100" s="27" t="n"/>
      <c r="AX100" s="27" t="n"/>
      <c r="AY100" s="27" t="n"/>
      <c r="AZ100" s="27" t="n"/>
      <c r="BA100" s="27" t="n"/>
      <c r="BB100" s="27" t="n"/>
      <c r="BC100" s="27" t="n"/>
      <c r="BD100" s="27" t="n"/>
      <c r="BE100" s="27" t="n"/>
      <c r="BF100" s="27" t="n"/>
      <c r="BG100" s="27" t="n"/>
      <c r="BH100" s="27" t="n"/>
      <c r="BI100" s="29" t="n"/>
      <c r="BJ100" s="27" t="n"/>
      <c r="BK100" s="27" t="n"/>
      <c r="BL100" s="27" t="n"/>
      <c r="BM100" s="27" t="n"/>
      <c r="DN100" s="26">
        <f>IF('テスト条件'!A99="","",'テスト条件'!A99)</f>
        <v/>
      </c>
    </row>
    <row r="101">
      <c r="A101" s="27" t="n"/>
      <c r="B101" s="27" t="n"/>
      <c r="C101" s="28">
        <f>IF(A101="","",$B$2)</f>
        <v/>
      </c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  <c r="AA101" s="27" t="n"/>
      <c r="AB101" s="27" t="n"/>
      <c r="AC101" s="27" t="n"/>
      <c r="AD101" s="27" t="n"/>
      <c r="AE101" s="27" t="n"/>
      <c r="AF101" s="27" t="n"/>
      <c r="AG101" s="27" t="n"/>
      <c r="AH101" s="27" t="n"/>
      <c r="AI101" s="27" t="n"/>
      <c r="AJ101" s="27" t="n"/>
      <c r="AK101" s="27" t="n"/>
      <c r="AL101" s="27" t="n"/>
      <c r="AM101" s="27" t="n"/>
      <c r="AN101" s="27" t="n"/>
      <c r="AO101" s="27" t="n"/>
      <c r="AP101" s="27" t="n"/>
      <c r="AQ101" s="27" t="n"/>
      <c r="AR101" s="27" t="n"/>
      <c r="AS101" s="27" t="n"/>
      <c r="AT101" s="27" t="n"/>
      <c r="AU101" s="27" t="n"/>
      <c r="AV101" s="27" t="n"/>
      <c r="AW101" s="27" t="n"/>
      <c r="AX101" s="27" t="n"/>
      <c r="AY101" s="27" t="n"/>
      <c r="AZ101" s="27" t="n"/>
      <c r="BA101" s="27" t="n"/>
      <c r="BB101" s="27" t="n"/>
      <c r="BC101" s="27" t="n"/>
      <c r="BD101" s="27" t="n"/>
      <c r="BE101" s="27" t="n"/>
      <c r="BF101" s="27" t="n"/>
      <c r="BG101" s="27" t="n"/>
      <c r="BH101" s="27" t="n"/>
      <c r="BI101" s="29" t="n"/>
      <c r="BJ101" s="27" t="n"/>
      <c r="BK101" s="27" t="n"/>
      <c r="BL101" s="27" t="n"/>
      <c r="BM101" s="27" t="n"/>
      <c r="DN101" s="26">
        <f>IF('テスト条件'!A100="","",'テスト条件'!A100)</f>
        <v/>
      </c>
    </row>
    <row r="102">
      <c r="A102" s="27" t="n"/>
      <c r="B102" s="27" t="n"/>
      <c r="C102" s="28">
        <f>IF(A102="","",$B$2)</f>
        <v/>
      </c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  <c r="AA102" s="27" t="n"/>
      <c r="AB102" s="27" t="n"/>
      <c r="AC102" s="27" t="n"/>
      <c r="AD102" s="27" t="n"/>
      <c r="AE102" s="27" t="n"/>
      <c r="AF102" s="27" t="n"/>
      <c r="AG102" s="27" t="n"/>
      <c r="AH102" s="27" t="n"/>
      <c r="AI102" s="27" t="n"/>
      <c r="AJ102" s="27" t="n"/>
      <c r="AK102" s="27" t="n"/>
      <c r="AL102" s="27" t="n"/>
      <c r="AM102" s="27" t="n"/>
      <c r="AN102" s="27" t="n"/>
      <c r="AO102" s="27" t="n"/>
      <c r="AP102" s="27" t="n"/>
      <c r="AQ102" s="27" t="n"/>
      <c r="AR102" s="27" t="n"/>
      <c r="AS102" s="27" t="n"/>
      <c r="AT102" s="27" t="n"/>
      <c r="AU102" s="27" t="n"/>
      <c r="AV102" s="27" t="n"/>
      <c r="AW102" s="27" t="n"/>
      <c r="AX102" s="27" t="n"/>
      <c r="AY102" s="27" t="n"/>
      <c r="AZ102" s="27" t="n"/>
      <c r="BA102" s="27" t="n"/>
      <c r="BB102" s="27" t="n"/>
      <c r="BC102" s="27" t="n"/>
      <c r="BD102" s="27" t="n"/>
      <c r="BE102" s="27" t="n"/>
      <c r="BF102" s="27" t="n"/>
      <c r="BG102" s="27" t="n"/>
      <c r="BH102" s="27" t="n"/>
      <c r="BI102" s="29" t="n"/>
      <c r="BJ102" s="27" t="n"/>
      <c r="BK102" s="27" t="n"/>
      <c r="BL102" s="27" t="n"/>
      <c r="BM102" s="27" t="n"/>
      <c r="DN102" s="26">
        <f>IF('テスト条件'!A101="","",'テスト条件'!A101)</f>
        <v/>
      </c>
    </row>
    <row r="103">
      <c r="A103" s="27" t="n"/>
      <c r="B103" s="27" t="n"/>
      <c r="C103" s="28">
        <f>IF(A103="","",$B$2)</f>
        <v/>
      </c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  <c r="AA103" s="27" t="n"/>
      <c r="AB103" s="27" t="n"/>
      <c r="AC103" s="27" t="n"/>
      <c r="AD103" s="27" t="n"/>
      <c r="AE103" s="27" t="n"/>
      <c r="AF103" s="27" t="n"/>
      <c r="AG103" s="27" t="n"/>
      <c r="AH103" s="27" t="n"/>
      <c r="AI103" s="27" t="n"/>
      <c r="AJ103" s="27" t="n"/>
      <c r="AK103" s="27" t="n"/>
      <c r="AL103" s="27" t="n"/>
      <c r="AM103" s="27" t="n"/>
      <c r="AN103" s="27" t="n"/>
      <c r="AO103" s="27" t="n"/>
      <c r="AP103" s="27" t="n"/>
      <c r="AQ103" s="27" t="n"/>
      <c r="AR103" s="27" t="n"/>
      <c r="AS103" s="27" t="n"/>
      <c r="AT103" s="27" t="n"/>
      <c r="AU103" s="27" t="n"/>
      <c r="AV103" s="27" t="n"/>
      <c r="AW103" s="27" t="n"/>
      <c r="AX103" s="27" t="n"/>
      <c r="AY103" s="27" t="n"/>
      <c r="AZ103" s="27" t="n"/>
      <c r="BA103" s="27" t="n"/>
      <c r="BB103" s="27" t="n"/>
      <c r="BC103" s="27" t="n"/>
      <c r="BD103" s="27" t="n"/>
      <c r="BE103" s="27" t="n"/>
      <c r="BF103" s="27" t="n"/>
      <c r="BG103" s="27" t="n"/>
      <c r="BH103" s="27" t="n"/>
      <c r="BI103" s="29" t="n"/>
      <c r="BJ103" s="27" t="n"/>
      <c r="BK103" s="27" t="n"/>
      <c r="BL103" s="27" t="n"/>
      <c r="BM103" s="27" t="n"/>
      <c r="DN103" s="26">
        <f>IF('テスト条件'!A102="","",'テスト条件'!A102)</f>
        <v/>
      </c>
    </row>
    <row r="104">
      <c r="A104" s="27" t="n"/>
      <c r="B104" s="27" t="n"/>
      <c r="C104" s="28">
        <f>IF(A104="","",$B$2)</f>
        <v/>
      </c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  <c r="AA104" s="27" t="n"/>
      <c r="AB104" s="27" t="n"/>
      <c r="AC104" s="27" t="n"/>
      <c r="AD104" s="27" t="n"/>
      <c r="AE104" s="27" t="n"/>
      <c r="AF104" s="27" t="n"/>
      <c r="AG104" s="27" t="n"/>
      <c r="AH104" s="27" t="n"/>
      <c r="AI104" s="27" t="n"/>
      <c r="AJ104" s="27" t="n"/>
      <c r="AK104" s="27" t="n"/>
      <c r="AL104" s="27" t="n"/>
      <c r="AM104" s="27" t="n"/>
      <c r="AN104" s="27" t="n"/>
      <c r="AO104" s="27" t="n"/>
      <c r="AP104" s="27" t="n"/>
      <c r="AQ104" s="27" t="n"/>
      <c r="AR104" s="27" t="n"/>
      <c r="AS104" s="27" t="n"/>
      <c r="AT104" s="27" t="n"/>
      <c r="AU104" s="27" t="n"/>
      <c r="AV104" s="27" t="n"/>
      <c r="AW104" s="27" t="n"/>
      <c r="AX104" s="27" t="n"/>
      <c r="AY104" s="27" t="n"/>
      <c r="AZ104" s="27" t="n"/>
      <c r="BA104" s="27" t="n"/>
      <c r="BB104" s="27" t="n"/>
      <c r="BC104" s="27" t="n"/>
      <c r="BD104" s="27" t="n"/>
      <c r="BE104" s="27" t="n"/>
      <c r="BF104" s="27" t="n"/>
      <c r="BG104" s="27" t="n"/>
      <c r="BH104" s="27" t="n"/>
      <c r="BI104" s="29" t="n"/>
      <c r="BJ104" s="27" t="n"/>
      <c r="BK104" s="27" t="n"/>
      <c r="BL104" s="27" t="n"/>
      <c r="BM104" s="27" t="n"/>
      <c r="DN104" s="26">
        <f>IF('テスト条件'!A103="","",'テスト条件'!A103)</f>
        <v/>
      </c>
    </row>
    <row r="105">
      <c r="A105" s="27" t="n"/>
      <c r="B105" s="27" t="n"/>
      <c r="C105" s="28">
        <f>IF(A105="","",$B$2)</f>
        <v/>
      </c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  <c r="AA105" s="27" t="n"/>
      <c r="AB105" s="27" t="n"/>
      <c r="AC105" s="27" t="n"/>
      <c r="AD105" s="27" t="n"/>
      <c r="AE105" s="27" t="n"/>
      <c r="AF105" s="27" t="n"/>
      <c r="AG105" s="27" t="n"/>
      <c r="AH105" s="27" t="n"/>
      <c r="AI105" s="27" t="n"/>
      <c r="AJ105" s="27" t="n"/>
      <c r="AK105" s="27" t="n"/>
      <c r="AL105" s="27" t="n"/>
      <c r="AM105" s="27" t="n"/>
      <c r="AN105" s="27" t="n"/>
      <c r="AO105" s="27" t="n"/>
      <c r="AP105" s="27" t="n"/>
      <c r="AQ105" s="27" t="n"/>
      <c r="AR105" s="27" t="n"/>
      <c r="AS105" s="27" t="n"/>
      <c r="AT105" s="27" t="n"/>
      <c r="AU105" s="27" t="n"/>
      <c r="AV105" s="27" t="n"/>
      <c r="AW105" s="27" t="n"/>
      <c r="AX105" s="27" t="n"/>
      <c r="AY105" s="27" t="n"/>
      <c r="AZ105" s="27" t="n"/>
      <c r="BA105" s="27" t="n"/>
      <c r="BB105" s="27" t="n"/>
      <c r="BC105" s="27" t="n"/>
      <c r="BD105" s="27" t="n"/>
      <c r="BE105" s="27" t="n"/>
      <c r="BF105" s="27" t="n"/>
      <c r="BG105" s="27" t="n"/>
      <c r="BH105" s="27" t="n"/>
      <c r="BI105" s="29" t="n"/>
      <c r="BJ105" s="27" t="n"/>
      <c r="BK105" s="27" t="n"/>
      <c r="BL105" s="27" t="n"/>
      <c r="BM105" s="27" t="n"/>
      <c r="DN105" s="26">
        <f>IF('テスト条件'!A104="","",'テスト条件'!A104)</f>
        <v/>
      </c>
    </row>
    <row r="106">
      <c r="A106" s="27" t="n"/>
      <c r="B106" s="27" t="n"/>
      <c r="C106" s="28">
        <f>IF(A106="","",$B$2)</f>
        <v/>
      </c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  <c r="AA106" s="27" t="n"/>
      <c r="AB106" s="27" t="n"/>
      <c r="AC106" s="27" t="n"/>
      <c r="AD106" s="27" t="n"/>
      <c r="AE106" s="27" t="n"/>
      <c r="AF106" s="27" t="n"/>
      <c r="AG106" s="27" t="n"/>
      <c r="AH106" s="27" t="n"/>
      <c r="AI106" s="27" t="n"/>
      <c r="AJ106" s="27" t="n"/>
      <c r="AK106" s="27" t="n"/>
      <c r="AL106" s="27" t="n"/>
      <c r="AM106" s="27" t="n"/>
      <c r="AN106" s="27" t="n"/>
      <c r="AO106" s="27" t="n"/>
      <c r="AP106" s="27" t="n"/>
      <c r="AQ106" s="27" t="n"/>
      <c r="AR106" s="27" t="n"/>
      <c r="AS106" s="27" t="n"/>
      <c r="AT106" s="27" t="n"/>
      <c r="AU106" s="27" t="n"/>
      <c r="AV106" s="27" t="n"/>
      <c r="AW106" s="27" t="n"/>
      <c r="AX106" s="27" t="n"/>
      <c r="AY106" s="27" t="n"/>
      <c r="AZ106" s="27" t="n"/>
      <c r="BA106" s="27" t="n"/>
      <c r="BB106" s="27" t="n"/>
      <c r="BC106" s="27" t="n"/>
      <c r="BD106" s="27" t="n"/>
      <c r="BE106" s="27" t="n"/>
      <c r="BF106" s="27" t="n"/>
      <c r="BG106" s="27" t="n"/>
      <c r="BH106" s="27" t="n"/>
      <c r="BI106" s="29" t="n"/>
      <c r="BJ106" s="27" t="n"/>
      <c r="BK106" s="27" t="n"/>
      <c r="BL106" s="27" t="n"/>
      <c r="BM106" s="27" t="n"/>
    </row>
    <row r="107">
      <c r="A107" s="27" t="n"/>
      <c r="B107" s="27" t="n"/>
      <c r="C107" s="28">
        <f>IF(A107="","",$B$2)</f>
        <v/>
      </c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  <c r="AA107" s="27" t="n"/>
      <c r="AB107" s="27" t="n"/>
      <c r="AC107" s="27" t="n"/>
      <c r="AD107" s="27" t="n"/>
      <c r="AE107" s="27" t="n"/>
      <c r="AF107" s="27" t="n"/>
      <c r="AG107" s="27" t="n"/>
      <c r="AH107" s="27" t="n"/>
      <c r="AI107" s="27" t="n"/>
      <c r="AJ107" s="27" t="n"/>
      <c r="AK107" s="27" t="n"/>
      <c r="AL107" s="27" t="n"/>
      <c r="AM107" s="27" t="n"/>
      <c r="AN107" s="27" t="n"/>
      <c r="AO107" s="27" t="n"/>
      <c r="AP107" s="27" t="n"/>
      <c r="AQ107" s="27" t="n"/>
      <c r="AR107" s="27" t="n"/>
      <c r="AS107" s="27" t="n"/>
      <c r="AT107" s="27" t="n"/>
      <c r="AU107" s="27" t="n"/>
      <c r="AV107" s="27" t="n"/>
      <c r="AW107" s="27" t="n"/>
      <c r="AX107" s="27" t="n"/>
      <c r="AY107" s="27" t="n"/>
      <c r="AZ107" s="27" t="n"/>
      <c r="BA107" s="27" t="n"/>
      <c r="BB107" s="27" t="n"/>
      <c r="BC107" s="27" t="n"/>
      <c r="BD107" s="27" t="n"/>
      <c r="BE107" s="27" t="n"/>
      <c r="BF107" s="27" t="n"/>
      <c r="BG107" s="27" t="n"/>
      <c r="BH107" s="27" t="n"/>
      <c r="BI107" s="29" t="n"/>
      <c r="BJ107" s="27" t="n"/>
      <c r="BK107" s="27" t="n"/>
      <c r="BL107" s="27" t="n"/>
      <c r="BM107" s="27" t="n"/>
    </row>
    <row r="108">
      <c r="A108" s="27" t="n"/>
      <c r="B108" s="27" t="n"/>
      <c r="C108" s="28">
        <f>IF(A108="","",$B$2)</f>
        <v/>
      </c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  <c r="AA108" s="27" t="n"/>
      <c r="AB108" s="27" t="n"/>
      <c r="AC108" s="27" t="n"/>
      <c r="AD108" s="27" t="n"/>
      <c r="AE108" s="27" t="n"/>
      <c r="AF108" s="27" t="n"/>
      <c r="AG108" s="27" t="n"/>
      <c r="AH108" s="27" t="n"/>
      <c r="AI108" s="27" t="n"/>
      <c r="AJ108" s="27" t="n"/>
      <c r="AK108" s="27" t="n"/>
      <c r="AL108" s="27" t="n"/>
      <c r="AM108" s="27" t="n"/>
      <c r="AN108" s="27" t="n"/>
      <c r="AO108" s="27" t="n"/>
      <c r="AP108" s="27" t="n"/>
      <c r="AQ108" s="27" t="n"/>
      <c r="AR108" s="27" t="n"/>
      <c r="AS108" s="27" t="n"/>
      <c r="AT108" s="27" t="n"/>
      <c r="AU108" s="27" t="n"/>
      <c r="AV108" s="27" t="n"/>
      <c r="AW108" s="27" t="n"/>
      <c r="AX108" s="27" t="n"/>
      <c r="AY108" s="27" t="n"/>
      <c r="AZ108" s="27" t="n"/>
      <c r="BA108" s="27" t="n"/>
      <c r="BB108" s="27" t="n"/>
      <c r="BC108" s="27" t="n"/>
      <c r="BD108" s="27" t="n"/>
      <c r="BE108" s="27" t="n"/>
      <c r="BF108" s="27" t="n"/>
      <c r="BG108" s="27" t="n"/>
      <c r="BH108" s="27" t="n"/>
      <c r="BI108" s="29" t="n"/>
      <c r="BJ108" s="27" t="n"/>
      <c r="BK108" s="27" t="n"/>
      <c r="BL108" s="27" t="n"/>
      <c r="BM108" s="27" t="n"/>
    </row>
    <row r="109">
      <c r="A109" s="27" t="n"/>
      <c r="B109" s="27" t="n"/>
      <c r="C109" s="28">
        <f>IF(A109="","",$B$2)</f>
        <v/>
      </c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  <c r="AA109" s="27" t="n"/>
      <c r="AB109" s="27" t="n"/>
      <c r="AC109" s="27" t="n"/>
      <c r="AD109" s="27" t="n"/>
      <c r="AE109" s="27" t="n"/>
      <c r="AF109" s="27" t="n"/>
      <c r="AG109" s="27" t="n"/>
      <c r="AH109" s="27" t="n"/>
      <c r="AI109" s="27" t="n"/>
      <c r="AJ109" s="27" t="n"/>
      <c r="AK109" s="27" t="n"/>
      <c r="AL109" s="27" t="n"/>
      <c r="AM109" s="27" t="n"/>
      <c r="AN109" s="27" t="n"/>
      <c r="AO109" s="27" t="n"/>
      <c r="AP109" s="27" t="n"/>
      <c r="AQ109" s="27" t="n"/>
      <c r="AR109" s="27" t="n"/>
      <c r="AS109" s="27" t="n"/>
      <c r="AT109" s="27" t="n"/>
      <c r="AU109" s="27" t="n"/>
      <c r="AV109" s="27" t="n"/>
      <c r="AW109" s="27" t="n"/>
      <c r="AX109" s="27" t="n"/>
      <c r="AY109" s="27" t="n"/>
      <c r="AZ109" s="27" t="n"/>
      <c r="BA109" s="27" t="n"/>
      <c r="BB109" s="27" t="n"/>
      <c r="BC109" s="27" t="n"/>
      <c r="BD109" s="27" t="n"/>
      <c r="BE109" s="27" t="n"/>
      <c r="BF109" s="27" t="n"/>
      <c r="BG109" s="27" t="n"/>
      <c r="BH109" s="27" t="n"/>
      <c r="BI109" s="29" t="n"/>
      <c r="BJ109" s="27" t="n"/>
      <c r="BK109" s="27" t="n"/>
      <c r="BL109" s="27" t="n"/>
      <c r="BM109" s="27" t="n"/>
    </row>
    <row r="110">
      <c r="A110" s="27" t="n"/>
      <c r="B110" s="27" t="n"/>
      <c r="C110" s="28">
        <f>IF(A110="","",$B$2)</f>
        <v/>
      </c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  <c r="AA110" s="27" t="n"/>
      <c r="AB110" s="27" t="n"/>
      <c r="AC110" s="27" t="n"/>
      <c r="AD110" s="27" t="n"/>
      <c r="AE110" s="27" t="n"/>
      <c r="AF110" s="27" t="n"/>
      <c r="AG110" s="27" t="n"/>
      <c r="AH110" s="27" t="n"/>
      <c r="AI110" s="27" t="n"/>
      <c r="AJ110" s="27" t="n"/>
      <c r="AK110" s="27" t="n"/>
      <c r="AL110" s="27" t="n"/>
      <c r="AM110" s="27" t="n"/>
      <c r="AN110" s="27" t="n"/>
      <c r="AO110" s="27" t="n"/>
      <c r="AP110" s="27" t="n"/>
      <c r="AQ110" s="27" t="n"/>
      <c r="AR110" s="27" t="n"/>
      <c r="AS110" s="27" t="n"/>
      <c r="AT110" s="27" t="n"/>
      <c r="AU110" s="27" t="n"/>
      <c r="AV110" s="27" t="n"/>
      <c r="AW110" s="27" t="n"/>
      <c r="AX110" s="27" t="n"/>
      <c r="AY110" s="27" t="n"/>
      <c r="AZ110" s="27" t="n"/>
      <c r="BA110" s="27" t="n"/>
      <c r="BB110" s="27" t="n"/>
      <c r="BC110" s="27" t="n"/>
      <c r="BD110" s="27" t="n"/>
      <c r="BE110" s="27" t="n"/>
      <c r="BF110" s="27" t="n"/>
      <c r="BG110" s="27" t="n"/>
      <c r="BH110" s="27" t="n"/>
      <c r="BI110" s="29" t="n"/>
      <c r="BJ110" s="27" t="n"/>
      <c r="BK110" s="27" t="n"/>
      <c r="BL110" s="27" t="n"/>
      <c r="BM110" s="27" t="n"/>
    </row>
    <row r="111">
      <c r="A111" s="27" t="n"/>
      <c r="B111" s="27" t="n"/>
      <c r="C111" s="28">
        <f>IF(A111="","",$B$2)</f>
        <v/>
      </c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  <c r="AA111" s="27" t="n"/>
      <c r="AB111" s="27" t="n"/>
      <c r="AC111" s="27" t="n"/>
      <c r="AD111" s="27" t="n"/>
      <c r="AE111" s="27" t="n"/>
      <c r="AF111" s="27" t="n"/>
      <c r="AG111" s="27" t="n"/>
      <c r="AH111" s="27" t="n"/>
      <c r="AI111" s="27" t="n"/>
      <c r="AJ111" s="27" t="n"/>
      <c r="AK111" s="27" t="n"/>
      <c r="AL111" s="27" t="n"/>
      <c r="AM111" s="27" t="n"/>
      <c r="AN111" s="27" t="n"/>
      <c r="AO111" s="27" t="n"/>
      <c r="AP111" s="27" t="n"/>
      <c r="AQ111" s="27" t="n"/>
      <c r="AR111" s="27" t="n"/>
      <c r="AS111" s="27" t="n"/>
      <c r="AT111" s="27" t="n"/>
      <c r="AU111" s="27" t="n"/>
      <c r="AV111" s="27" t="n"/>
      <c r="AW111" s="27" t="n"/>
      <c r="AX111" s="27" t="n"/>
      <c r="AY111" s="27" t="n"/>
      <c r="AZ111" s="27" t="n"/>
      <c r="BA111" s="27" t="n"/>
      <c r="BB111" s="27" t="n"/>
      <c r="BC111" s="27" t="n"/>
      <c r="BD111" s="27" t="n"/>
      <c r="BE111" s="27" t="n"/>
      <c r="BF111" s="27" t="n"/>
      <c r="BG111" s="27" t="n"/>
      <c r="BH111" s="27" t="n"/>
      <c r="BI111" s="29" t="n"/>
      <c r="BJ111" s="27" t="n"/>
      <c r="BK111" s="27" t="n"/>
      <c r="BL111" s="27" t="n"/>
      <c r="BM111" s="27" t="n"/>
    </row>
    <row r="112">
      <c r="A112" s="27" t="n"/>
      <c r="B112" s="27" t="n"/>
      <c r="C112" s="28">
        <f>IF(A112="","",$B$2)</f>
        <v/>
      </c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  <c r="AA112" s="27" t="n"/>
      <c r="AB112" s="27" t="n"/>
      <c r="AC112" s="27" t="n"/>
      <c r="AD112" s="27" t="n"/>
      <c r="AE112" s="27" t="n"/>
      <c r="AF112" s="27" t="n"/>
      <c r="AG112" s="27" t="n"/>
      <c r="AH112" s="27" t="n"/>
      <c r="AI112" s="27" t="n"/>
      <c r="AJ112" s="27" t="n"/>
      <c r="AK112" s="27" t="n"/>
      <c r="AL112" s="27" t="n"/>
      <c r="AM112" s="27" t="n"/>
      <c r="AN112" s="27" t="n"/>
      <c r="AO112" s="27" t="n"/>
      <c r="AP112" s="27" t="n"/>
      <c r="AQ112" s="27" t="n"/>
      <c r="AR112" s="27" t="n"/>
      <c r="AS112" s="27" t="n"/>
      <c r="AT112" s="27" t="n"/>
      <c r="AU112" s="27" t="n"/>
      <c r="AV112" s="27" t="n"/>
      <c r="AW112" s="27" t="n"/>
      <c r="AX112" s="27" t="n"/>
      <c r="AY112" s="27" t="n"/>
      <c r="AZ112" s="27" t="n"/>
      <c r="BA112" s="27" t="n"/>
      <c r="BB112" s="27" t="n"/>
      <c r="BC112" s="27" t="n"/>
      <c r="BD112" s="27" t="n"/>
      <c r="BE112" s="27" t="n"/>
      <c r="BF112" s="27" t="n"/>
      <c r="BG112" s="27" t="n"/>
      <c r="BH112" s="27" t="n"/>
      <c r="BI112" s="29" t="n"/>
      <c r="BJ112" s="27" t="n"/>
      <c r="BK112" s="27" t="n"/>
      <c r="BL112" s="27" t="n"/>
      <c r="BM112" s="27" t="n"/>
    </row>
    <row r="113">
      <c r="A113" s="27" t="n"/>
      <c r="B113" s="27" t="n"/>
      <c r="C113" s="28">
        <f>IF(A113="","",$B$2)</f>
        <v/>
      </c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  <c r="AA113" s="27" t="n"/>
      <c r="AB113" s="27" t="n"/>
      <c r="AC113" s="27" t="n"/>
      <c r="AD113" s="27" t="n"/>
      <c r="AE113" s="27" t="n"/>
      <c r="AF113" s="27" t="n"/>
      <c r="AG113" s="27" t="n"/>
      <c r="AH113" s="27" t="n"/>
      <c r="AI113" s="27" t="n"/>
      <c r="AJ113" s="27" t="n"/>
      <c r="AK113" s="27" t="n"/>
      <c r="AL113" s="27" t="n"/>
      <c r="AM113" s="27" t="n"/>
      <c r="AN113" s="27" t="n"/>
      <c r="AO113" s="27" t="n"/>
      <c r="AP113" s="27" t="n"/>
      <c r="AQ113" s="27" t="n"/>
      <c r="AR113" s="27" t="n"/>
      <c r="AS113" s="27" t="n"/>
      <c r="AT113" s="27" t="n"/>
      <c r="AU113" s="27" t="n"/>
      <c r="AV113" s="27" t="n"/>
      <c r="AW113" s="27" t="n"/>
      <c r="AX113" s="27" t="n"/>
      <c r="AY113" s="27" t="n"/>
      <c r="AZ113" s="27" t="n"/>
      <c r="BA113" s="27" t="n"/>
      <c r="BB113" s="27" t="n"/>
      <c r="BC113" s="27" t="n"/>
      <c r="BD113" s="27" t="n"/>
      <c r="BE113" s="27" t="n"/>
      <c r="BF113" s="27" t="n"/>
      <c r="BG113" s="27" t="n"/>
      <c r="BH113" s="27" t="n"/>
      <c r="BI113" s="29" t="n"/>
      <c r="BJ113" s="27" t="n"/>
      <c r="BK113" s="27" t="n"/>
      <c r="BL113" s="27" t="n"/>
      <c r="BM113" s="27" t="n"/>
    </row>
    <row r="114">
      <c r="A114" s="27" t="n"/>
      <c r="B114" s="27" t="n"/>
      <c r="C114" s="28">
        <f>IF(A114="","",$B$2)</f>
        <v/>
      </c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  <c r="AA114" s="27" t="n"/>
      <c r="AB114" s="27" t="n"/>
      <c r="AC114" s="27" t="n"/>
      <c r="AD114" s="27" t="n"/>
      <c r="AE114" s="27" t="n"/>
      <c r="AF114" s="27" t="n"/>
      <c r="AG114" s="27" t="n"/>
      <c r="AH114" s="27" t="n"/>
      <c r="AI114" s="27" t="n"/>
      <c r="AJ114" s="27" t="n"/>
      <c r="AK114" s="27" t="n"/>
      <c r="AL114" s="27" t="n"/>
      <c r="AM114" s="27" t="n"/>
      <c r="AN114" s="27" t="n"/>
      <c r="AO114" s="27" t="n"/>
      <c r="AP114" s="27" t="n"/>
      <c r="AQ114" s="27" t="n"/>
      <c r="AR114" s="27" t="n"/>
      <c r="AS114" s="27" t="n"/>
      <c r="AT114" s="27" t="n"/>
      <c r="AU114" s="27" t="n"/>
      <c r="AV114" s="27" t="n"/>
      <c r="AW114" s="27" t="n"/>
      <c r="AX114" s="27" t="n"/>
      <c r="AY114" s="27" t="n"/>
      <c r="AZ114" s="27" t="n"/>
      <c r="BA114" s="27" t="n"/>
      <c r="BB114" s="27" t="n"/>
      <c r="BC114" s="27" t="n"/>
      <c r="BD114" s="27" t="n"/>
      <c r="BE114" s="27" t="n"/>
      <c r="BF114" s="27" t="n"/>
      <c r="BG114" s="27" t="n"/>
      <c r="BH114" s="27" t="n"/>
      <c r="BI114" s="29" t="n"/>
      <c r="BJ114" s="27" t="n"/>
      <c r="BK114" s="27" t="n"/>
      <c r="BL114" s="27" t="n"/>
      <c r="BM114" s="27" t="n"/>
    </row>
    <row r="115">
      <c r="A115" s="27" t="n"/>
      <c r="B115" s="27" t="n"/>
      <c r="C115" s="28">
        <f>IF(A115="","",$B$2)</f>
        <v/>
      </c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  <c r="AA115" s="27" t="n"/>
      <c r="AB115" s="27" t="n"/>
      <c r="AC115" s="27" t="n"/>
      <c r="AD115" s="27" t="n"/>
      <c r="AE115" s="27" t="n"/>
      <c r="AF115" s="27" t="n"/>
      <c r="AG115" s="27" t="n"/>
      <c r="AH115" s="27" t="n"/>
      <c r="AI115" s="27" t="n"/>
      <c r="AJ115" s="27" t="n"/>
      <c r="AK115" s="27" t="n"/>
      <c r="AL115" s="27" t="n"/>
      <c r="AM115" s="27" t="n"/>
      <c r="AN115" s="27" t="n"/>
      <c r="AO115" s="27" t="n"/>
      <c r="AP115" s="27" t="n"/>
      <c r="AQ115" s="27" t="n"/>
      <c r="AR115" s="27" t="n"/>
      <c r="AS115" s="27" t="n"/>
      <c r="AT115" s="27" t="n"/>
      <c r="AU115" s="27" t="n"/>
      <c r="AV115" s="27" t="n"/>
      <c r="AW115" s="27" t="n"/>
      <c r="AX115" s="27" t="n"/>
      <c r="AY115" s="27" t="n"/>
      <c r="AZ115" s="27" t="n"/>
      <c r="BA115" s="27" t="n"/>
      <c r="BB115" s="27" t="n"/>
      <c r="BC115" s="27" t="n"/>
      <c r="BD115" s="27" t="n"/>
      <c r="BE115" s="27" t="n"/>
      <c r="BF115" s="27" t="n"/>
      <c r="BG115" s="27" t="n"/>
      <c r="BH115" s="27" t="n"/>
      <c r="BI115" s="29" t="n"/>
      <c r="BJ115" s="27" t="n"/>
      <c r="BK115" s="27" t="n"/>
      <c r="BL115" s="27" t="n"/>
      <c r="BM115" s="27" t="n"/>
    </row>
    <row r="116">
      <c r="A116" s="27" t="n"/>
      <c r="B116" s="27" t="n"/>
      <c r="C116" s="28">
        <f>IF(A116="","",$B$2)</f>
        <v/>
      </c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  <c r="AA116" s="27" t="n"/>
      <c r="AB116" s="27" t="n"/>
      <c r="AC116" s="27" t="n"/>
      <c r="AD116" s="27" t="n"/>
      <c r="AE116" s="27" t="n"/>
      <c r="AF116" s="27" t="n"/>
      <c r="AG116" s="27" t="n"/>
      <c r="AH116" s="27" t="n"/>
      <c r="AI116" s="27" t="n"/>
      <c r="AJ116" s="27" t="n"/>
      <c r="AK116" s="27" t="n"/>
      <c r="AL116" s="27" t="n"/>
      <c r="AM116" s="27" t="n"/>
      <c r="AN116" s="27" t="n"/>
      <c r="AO116" s="27" t="n"/>
      <c r="AP116" s="27" t="n"/>
      <c r="AQ116" s="27" t="n"/>
      <c r="AR116" s="27" t="n"/>
      <c r="AS116" s="27" t="n"/>
      <c r="AT116" s="27" t="n"/>
      <c r="AU116" s="27" t="n"/>
      <c r="AV116" s="27" t="n"/>
      <c r="AW116" s="27" t="n"/>
      <c r="AX116" s="27" t="n"/>
      <c r="AY116" s="27" t="n"/>
      <c r="AZ116" s="27" t="n"/>
      <c r="BA116" s="27" t="n"/>
      <c r="BB116" s="27" t="n"/>
      <c r="BC116" s="27" t="n"/>
      <c r="BD116" s="27" t="n"/>
      <c r="BE116" s="27" t="n"/>
      <c r="BF116" s="27" t="n"/>
      <c r="BG116" s="27" t="n"/>
      <c r="BH116" s="27" t="n"/>
      <c r="BI116" s="29" t="n"/>
      <c r="BJ116" s="27" t="n"/>
      <c r="BK116" s="27" t="n"/>
      <c r="BL116" s="27" t="n"/>
      <c r="BM116" s="27" t="n"/>
    </row>
    <row r="117">
      <c r="A117" s="27" t="n"/>
      <c r="B117" s="27" t="n"/>
      <c r="C117" s="28">
        <f>IF(A117="","",$B$2)</f>
        <v/>
      </c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  <c r="AA117" s="27" t="n"/>
      <c r="AB117" s="27" t="n"/>
      <c r="AC117" s="27" t="n"/>
      <c r="AD117" s="27" t="n"/>
      <c r="AE117" s="27" t="n"/>
      <c r="AF117" s="27" t="n"/>
      <c r="AG117" s="27" t="n"/>
      <c r="AH117" s="27" t="n"/>
      <c r="AI117" s="27" t="n"/>
      <c r="AJ117" s="27" t="n"/>
      <c r="AK117" s="27" t="n"/>
      <c r="AL117" s="27" t="n"/>
      <c r="AM117" s="27" t="n"/>
      <c r="AN117" s="27" t="n"/>
      <c r="AO117" s="27" t="n"/>
      <c r="AP117" s="27" t="n"/>
      <c r="AQ117" s="27" t="n"/>
      <c r="AR117" s="27" t="n"/>
      <c r="AS117" s="27" t="n"/>
      <c r="AT117" s="27" t="n"/>
      <c r="AU117" s="27" t="n"/>
      <c r="AV117" s="27" t="n"/>
      <c r="AW117" s="27" t="n"/>
      <c r="AX117" s="27" t="n"/>
      <c r="AY117" s="27" t="n"/>
      <c r="AZ117" s="27" t="n"/>
      <c r="BA117" s="27" t="n"/>
      <c r="BB117" s="27" t="n"/>
      <c r="BC117" s="27" t="n"/>
      <c r="BD117" s="27" t="n"/>
      <c r="BE117" s="27" t="n"/>
      <c r="BF117" s="27" t="n"/>
      <c r="BG117" s="27" t="n"/>
      <c r="BH117" s="27" t="n"/>
      <c r="BI117" s="29" t="n"/>
      <c r="BJ117" s="27" t="n"/>
      <c r="BK117" s="27" t="n"/>
      <c r="BL117" s="27" t="n"/>
      <c r="BM117" s="27" t="n"/>
    </row>
    <row r="118">
      <c r="A118" s="27" t="n"/>
      <c r="B118" s="27" t="n"/>
      <c r="C118" s="28">
        <f>IF(A118="","",$B$2)</f>
        <v/>
      </c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  <c r="AA118" s="27" t="n"/>
      <c r="AB118" s="27" t="n"/>
      <c r="AC118" s="27" t="n"/>
      <c r="AD118" s="27" t="n"/>
      <c r="AE118" s="27" t="n"/>
      <c r="AF118" s="27" t="n"/>
      <c r="AG118" s="27" t="n"/>
      <c r="AH118" s="27" t="n"/>
      <c r="AI118" s="27" t="n"/>
      <c r="AJ118" s="27" t="n"/>
      <c r="AK118" s="27" t="n"/>
      <c r="AL118" s="27" t="n"/>
      <c r="AM118" s="27" t="n"/>
      <c r="AN118" s="27" t="n"/>
      <c r="AO118" s="27" t="n"/>
      <c r="AP118" s="27" t="n"/>
      <c r="AQ118" s="27" t="n"/>
      <c r="AR118" s="27" t="n"/>
      <c r="AS118" s="27" t="n"/>
      <c r="AT118" s="27" t="n"/>
      <c r="AU118" s="27" t="n"/>
      <c r="AV118" s="27" t="n"/>
      <c r="AW118" s="27" t="n"/>
      <c r="AX118" s="27" t="n"/>
      <c r="AY118" s="27" t="n"/>
      <c r="AZ118" s="27" t="n"/>
      <c r="BA118" s="27" t="n"/>
      <c r="BB118" s="27" t="n"/>
      <c r="BC118" s="27" t="n"/>
      <c r="BD118" s="27" t="n"/>
      <c r="BE118" s="27" t="n"/>
      <c r="BF118" s="27" t="n"/>
      <c r="BG118" s="27" t="n"/>
      <c r="BH118" s="27" t="n"/>
      <c r="BI118" s="29" t="n"/>
      <c r="BJ118" s="27" t="n"/>
      <c r="BK118" s="27" t="n"/>
      <c r="BL118" s="27" t="n"/>
      <c r="BM118" s="27" t="n"/>
    </row>
    <row r="119">
      <c r="A119" s="27" t="n"/>
      <c r="B119" s="27" t="n"/>
      <c r="C119" s="28">
        <f>IF(A119="","",$B$2)</f>
        <v/>
      </c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  <c r="AA119" s="27" t="n"/>
      <c r="AB119" s="27" t="n"/>
      <c r="AC119" s="27" t="n"/>
      <c r="AD119" s="27" t="n"/>
      <c r="AE119" s="27" t="n"/>
      <c r="AF119" s="27" t="n"/>
      <c r="AG119" s="27" t="n"/>
      <c r="AH119" s="27" t="n"/>
      <c r="AI119" s="27" t="n"/>
      <c r="AJ119" s="27" t="n"/>
      <c r="AK119" s="27" t="n"/>
      <c r="AL119" s="27" t="n"/>
      <c r="AM119" s="27" t="n"/>
      <c r="AN119" s="27" t="n"/>
      <c r="AO119" s="27" t="n"/>
      <c r="AP119" s="27" t="n"/>
      <c r="AQ119" s="27" t="n"/>
      <c r="AR119" s="27" t="n"/>
      <c r="AS119" s="27" t="n"/>
      <c r="AT119" s="27" t="n"/>
      <c r="AU119" s="27" t="n"/>
      <c r="AV119" s="27" t="n"/>
      <c r="AW119" s="27" t="n"/>
      <c r="AX119" s="27" t="n"/>
      <c r="AY119" s="27" t="n"/>
      <c r="AZ119" s="27" t="n"/>
      <c r="BA119" s="27" t="n"/>
      <c r="BB119" s="27" t="n"/>
      <c r="BC119" s="27" t="n"/>
      <c r="BD119" s="27" t="n"/>
      <c r="BE119" s="27" t="n"/>
      <c r="BF119" s="27" t="n"/>
      <c r="BG119" s="27" t="n"/>
      <c r="BH119" s="27" t="n"/>
      <c r="BI119" s="29" t="n"/>
      <c r="BJ119" s="27" t="n"/>
      <c r="BK119" s="27" t="n"/>
      <c r="BL119" s="27" t="n"/>
      <c r="BM119" s="27" t="n"/>
    </row>
    <row r="120">
      <c r="A120" s="27" t="n"/>
      <c r="B120" s="27" t="n"/>
      <c r="C120" s="28">
        <f>IF(A120="","",$B$2)</f>
        <v/>
      </c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  <c r="AA120" s="27" t="n"/>
      <c r="AB120" s="27" t="n"/>
      <c r="AC120" s="27" t="n"/>
      <c r="AD120" s="27" t="n"/>
      <c r="AE120" s="27" t="n"/>
      <c r="AF120" s="27" t="n"/>
      <c r="AG120" s="27" t="n"/>
      <c r="AH120" s="27" t="n"/>
      <c r="AI120" s="27" t="n"/>
      <c r="AJ120" s="27" t="n"/>
      <c r="AK120" s="27" t="n"/>
      <c r="AL120" s="27" t="n"/>
      <c r="AM120" s="27" t="n"/>
      <c r="AN120" s="27" t="n"/>
      <c r="AO120" s="27" t="n"/>
      <c r="AP120" s="27" t="n"/>
      <c r="AQ120" s="27" t="n"/>
      <c r="AR120" s="27" t="n"/>
      <c r="AS120" s="27" t="n"/>
      <c r="AT120" s="27" t="n"/>
      <c r="AU120" s="27" t="n"/>
      <c r="AV120" s="27" t="n"/>
      <c r="AW120" s="27" t="n"/>
      <c r="AX120" s="27" t="n"/>
      <c r="AY120" s="27" t="n"/>
      <c r="AZ120" s="27" t="n"/>
      <c r="BA120" s="27" t="n"/>
      <c r="BB120" s="27" t="n"/>
      <c r="BC120" s="27" t="n"/>
      <c r="BD120" s="27" t="n"/>
      <c r="BE120" s="27" t="n"/>
      <c r="BF120" s="27" t="n"/>
      <c r="BG120" s="27" t="n"/>
      <c r="BH120" s="27" t="n"/>
      <c r="BI120" s="29" t="n"/>
      <c r="BJ120" s="27" t="n"/>
      <c r="BK120" s="27" t="n"/>
      <c r="BL120" s="27" t="n"/>
      <c r="BM120" s="27" t="n"/>
    </row>
    <row r="121">
      <c r="A121" s="27" t="n"/>
      <c r="B121" s="27" t="n"/>
      <c r="C121" s="28">
        <f>IF(A121="","",$B$2)</f>
        <v/>
      </c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  <c r="AA121" s="27" t="n"/>
      <c r="AB121" s="27" t="n"/>
      <c r="AC121" s="27" t="n"/>
      <c r="AD121" s="27" t="n"/>
      <c r="AE121" s="27" t="n"/>
      <c r="AF121" s="27" t="n"/>
      <c r="AG121" s="27" t="n"/>
      <c r="AH121" s="27" t="n"/>
      <c r="AI121" s="27" t="n"/>
      <c r="AJ121" s="27" t="n"/>
      <c r="AK121" s="27" t="n"/>
      <c r="AL121" s="27" t="n"/>
      <c r="AM121" s="27" t="n"/>
      <c r="AN121" s="27" t="n"/>
      <c r="AO121" s="27" t="n"/>
      <c r="AP121" s="27" t="n"/>
      <c r="AQ121" s="27" t="n"/>
      <c r="AR121" s="27" t="n"/>
      <c r="AS121" s="27" t="n"/>
      <c r="AT121" s="27" t="n"/>
      <c r="AU121" s="27" t="n"/>
      <c r="AV121" s="27" t="n"/>
      <c r="AW121" s="27" t="n"/>
      <c r="AX121" s="27" t="n"/>
      <c r="AY121" s="27" t="n"/>
      <c r="AZ121" s="27" t="n"/>
      <c r="BA121" s="27" t="n"/>
      <c r="BB121" s="27" t="n"/>
      <c r="BC121" s="27" t="n"/>
      <c r="BD121" s="27" t="n"/>
      <c r="BE121" s="27" t="n"/>
      <c r="BF121" s="27" t="n"/>
      <c r="BG121" s="27" t="n"/>
      <c r="BH121" s="27" t="n"/>
      <c r="BI121" s="29" t="n"/>
      <c r="BJ121" s="27" t="n"/>
      <c r="BK121" s="27" t="n"/>
      <c r="BL121" s="27" t="n"/>
      <c r="BM121" s="27" t="n"/>
    </row>
    <row r="122">
      <c r="A122" s="27" t="n"/>
      <c r="B122" s="27" t="n"/>
      <c r="C122" s="28">
        <f>IF(A122="","",$B$2)</f>
        <v/>
      </c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  <c r="AA122" s="27" t="n"/>
      <c r="AB122" s="27" t="n"/>
      <c r="AC122" s="27" t="n"/>
      <c r="AD122" s="27" t="n"/>
      <c r="AE122" s="27" t="n"/>
      <c r="AF122" s="27" t="n"/>
      <c r="AG122" s="27" t="n"/>
      <c r="AH122" s="27" t="n"/>
      <c r="AI122" s="27" t="n"/>
      <c r="AJ122" s="27" t="n"/>
      <c r="AK122" s="27" t="n"/>
      <c r="AL122" s="27" t="n"/>
      <c r="AM122" s="27" t="n"/>
      <c r="AN122" s="27" t="n"/>
      <c r="AO122" s="27" t="n"/>
      <c r="AP122" s="27" t="n"/>
      <c r="AQ122" s="27" t="n"/>
      <c r="AR122" s="27" t="n"/>
      <c r="AS122" s="27" t="n"/>
      <c r="AT122" s="27" t="n"/>
      <c r="AU122" s="27" t="n"/>
      <c r="AV122" s="27" t="n"/>
      <c r="AW122" s="27" t="n"/>
      <c r="AX122" s="27" t="n"/>
      <c r="AY122" s="27" t="n"/>
      <c r="AZ122" s="27" t="n"/>
      <c r="BA122" s="27" t="n"/>
      <c r="BB122" s="27" t="n"/>
      <c r="BC122" s="27" t="n"/>
      <c r="BD122" s="27" t="n"/>
      <c r="BE122" s="27" t="n"/>
      <c r="BF122" s="27" t="n"/>
      <c r="BG122" s="27" t="n"/>
      <c r="BH122" s="27" t="n"/>
      <c r="BI122" s="29" t="n"/>
      <c r="BJ122" s="27" t="n"/>
      <c r="BK122" s="27" t="n"/>
      <c r="BL122" s="27" t="n"/>
      <c r="BM122" s="27" t="n"/>
    </row>
    <row r="123">
      <c r="A123" s="27" t="n"/>
      <c r="B123" s="27" t="n"/>
      <c r="C123" s="28">
        <f>IF(A123="","",$B$2)</f>
        <v/>
      </c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  <c r="AA123" s="27" t="n"/>
      <c r="AB123" s="27" t="n"/>
      <c r="AC123" s="27" t="n"/>
      <c r="AD123" s="27" t="n"/>
      <c r="AE123" s="27" t="n"/>
      <c r="AF123" s="27" t="n"/>
      <c r="AG123" s="27" t="n"/>
      <c r="AH123" s="27" t="n"/>
      <c r="AI123" s="27" t="n"/>
      <c r="AJ123" s="27" t="n"/>
      <c r="AK123" s="27" t="n"/>
      <c r="AL123" s="27" t="n"/>
      <c r="AM123" s="27" t="n"/>
      <c r="AN123" s="27" t="n"/>
      <c r="AO123" s="27" t="n"/>
      <c r="AP123" s="27" t="n"/>
      <c r="AQ123" s="27" t="n"/>
      <c r="AR123" s="27" t="n"/>
      <c r="AS123" s="27" t="n"/>
      <c r="AT123" s="27" t="n"/>
      <c r="AU123" s="27" t="n"/>
      <c r="AV123" s="27" t="n"/>
      <c r="AW123" s="27" t="n"/>
      <c r="AX123" s="27" t="n"/>
      <c r="AY123" s="27" t="n"/>
      <c r="AZ123" s="27" t="n"/>
      <c r="BA123" s="27" t="n"/>
      <c r="BB123" s="27" t="n"/>
      <c r="BC123" s="27" t="n"/>
      <c r="BD123" s="27" t="n"/>
      <c r="BE123" s="27" t="n"/>
      <c r="BF123" s="27" t="n"/>
      <c r="BG123" s="27" t="n"/>
      <c r="BH123" s="27" t="n"/>
      <c r="BI123" s="29" t="n"/>
      <c r="BJ123" s="27" t="n"/>
      <c r="BK123" s="27" t="n"/>
      <c r="BL123" s="27" t="n"/>
      <c r="BM123" s="27" t="n"/>
    </row>
    <row r="124">
      <c r="A124" s="27" t="n"/>
      <c r="B124" s="27" t="n"/>
      <c r="C124" s="28">
        <f>IF(A124="","",$B$2)</f>
        <v/>
      </c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  <c r="AA124" s="27" t="n"/>
      <c r="AB124" s="27" t="n"/>
      <c r="AC124" s="27" t="n"/>
      <c r="AD124" s="27" t="n"/>
      <c r="AE124" s="27" t="n"/>
      <c r="AF124" s="27" t="n"/>
      <c r="AG124" s="27" t="n"/>
      <c r="AH124" s="27" t="n"/>
      <c r="AI124" s="27" t="n"/>
      <c r="AJ124" s="27" t="n"/>
      <c r="AK124" s="27" t="n"/>
      <c r="AL124" s="27" t="n"/>
      <c r="AM124" s="27" t="n"/>
      <c r="AN124" s="27" t="n"/>
      <c r="AO124" s="27" t="n"/>
      <c r="AP124" s="27" t="n"/>
      <c r="AQ124" s="27" t="n"/>
      <c r="AR124" s="27" t="n"/>
      <c r="AS124" s="27" t="n"/>
      <c r="AT124" s="27" t="n"/>
      <c r="AU124" s="27" t="n"/>
      <c r="AV124" s="27" t="n"/>
      <c r="AW124" s="27" t="n"/>
      <c r="AX124" s="27" t="n"/>
      <c r="AY124" s="27" t="n"/>
      <c r="AZ124" s="27" t="n"/>
      <c r="BA124" s="27" t="n"/>
      <c r="BB124" s="27" t="n"/>
      <c r="BC124" s="27" t="n"/>
      <c r="BD124" s="27" t="n"/>
      <c r="BE124" s="27" t="n"/>
      <c r="BF124" s="27" t="n"/>
      <c r="BG124" s="27" t="n"/>
      <c r="BH124" s="27" t="n"/>
      <c r="BI124" s="29" t="n"/>
      <c r="BJ124" s="27" t="n"/>
      <c r="BK124" s="27" t="n"/>
      <c r="BL124" s="27" t="n"/>
      <c r="BM124" s="27" t="n"/>
    </row>
    <row r="125">
      <c r="A125" s="27" t="n"/>
      <c r="B125" s="27" t="n"/>
      <c r="C125" s="28">
        <f>IF(A125="","",$B$2)</f>
        <v/>
      </c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  <c r="AA125" s="27" t="n"/>
      <c r="AB125" s="27" t="n"/>
      <c r="AC125" s="27" t="n"/>
      <c r="AD125" s="27" t="n"/>
      <c r="AE125" s="27" t="n"/>
      <c r="AF125" s="27" t="n"/>
      <c r="AG125" s="27" t="n"/>
      <c r="AH125" s="27" t="n"/>
      <c r="AI125" s="27" t="n"/>
      <c r="AJ125" s="27" t="n"/>
      <c r="AK125" s="27" t="n"/>
      <c r="AL125" s="27" t="n"/>
      <c r="AM125" s="27" t="n"/>
      <c r="AN125" s="27" t="n"/>
      <c r="AO125" s="27" t="n"/>
      <c r="AP125" s="27" t="n"/>
      <c r="AQ125" s="27" t="n"/>
      <c r="AR125" s="27" t="n"/>
      <c r="AS125" s="27" t="n"/>
      <c r="AT125" s="27" t="n"/>
      <c r="AU125" s="27" t="n"/>
      <c r="AV125" s="27" t="n"/>
      <c r="AW125" s="27" t="n"/>
      <c r="AX125" s="27" t="n"/>
      <c r="AY125" s="27" t="n"/>
      <c r="AZ125" s="27" t="n"/>
      <c r="BA125" s="27" t="n"/>
      <c r="BB125" s="27" t="n"/>
      <c r="BC125" s="27" t="n"/>
      <c r="BD125" s="27" t="n"/>
      <c r="BE125" s="27" t="n"/>
      <c r="BF125" s="27" t="n"/>
      <c r="BG125" s="27" t="n"/>
      <c r="BH125" s="27" t="n"/>
      <c r="BI125" s="29" t="n"/>
      <c r="BJ125" s="27" t="n"/>
      <c r="BK125" s="27" t="n"/>
      <c r="BL125" s="27" t="n"/>
      <c r="BM125" s="27" t="n"/>
    </row>
    <row r="126">
      <c r="A126" s="27" t="n"/>
      <c r="B126" s="27" t="n"/>
      <c r="C126" s="28">
        <f>IF(A126="","",$B$2)</f>
        <v/>
      </c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  <c r="AA126" s="27" t="n"/>
      <c r="AB126" s="27" t="n"/>
      <c r="AC126" s="27" t="n"/>
      <c r="AD126" s="27" t="n"/>
      <c r="AE126" s="27" t="n"/>
      <c r="AF126" s="27" t="n"/>
      <c r="AG126" s="27" t="n"/>
      <c r="AH126" s="27" t="n"/>
      <c r="AI126" s="27" t="n"/>
      <c r="AJ126" s="27" t="n"/>
      <c r="AK126" s="27" t="n"/>
      <c r="AL126" s="27" t="n"/>
      <c r="AM126" s="27" t="n"/>
      <c r="AN126" s="27" t="n"/>
      <c r="AO126" s="27" t="n"/>
      <c r="AP126" s="27" t="n"/>
      <c r="AQ126" s="27" t="n"/>
      <c r="AR126" s="27" t="n"/>
      <c r="AS126" s="27" t="n"/>
      <c r="AT126" s="27" t="n"/>
      <c r="AU126" s="27" t="n"/>
      <c r="AV126" s="27" t="n"/>
      <c r="AW126" s="27" t="n"/>
      <c r="AX126" s="27" t="n"/>
      <c r="AY126" s="27" t="n"/>
      <c r="AZ126" s="27" t="n"/>
      <c r="BA126" s="27" t="n"/>
      <c r="BB126" s="27" t="n"/>
      <c r="BC126" s="27" t="n"/>
      <c r="BD126" s="27" t="n"/>
      <c r="BE126" s="27" t="n"/>
      <c r="BF126" s="27" t="n"/>
      <c r="BG126" s="27" t="n"/>
      <c r="BH126" s="27" t="n"/>
      <c r="BI126" s="29" t="n"/>
      <c r="BJ126" s="27" t="n"/>
      <c r="BK126" s="27" t="n"/>
      <c r="BL126" s="27" t="n"/>
      <c r="BM126" s="27" t="n"/>
    </row>
    <row r="127">
      <c r="A127" s="27" t="n"/>
      <c r="B127" s="27" t="n"/>
      <c r="C127" s="28">
        <f>IF(A127="","",$B$2)</f>
        <v/>
      </c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  <c r="AA127" s="27" t="n"/>
      <c r="AB127" s="27" t="n"/>
      <c r="AC127" s="27" t="n"/>
      <c r="AD127" s="27" t="n"/>
      <c r="AE127" s="27" t="n"/>
      <c r="AF127" s="27" t="n"/>
      <c r="AG127" s="27" t="n"/>
      <c r="AH127" s="27" t="n"/>
      <c r="AI127" s="27" t="n"/>
      <c r="AJ127" s="27" t="n"/>
      <c r="AK127" s="27" t="n"/>
      <c r="AL127" s="27" t="n"/>
      <c r="AM127" s="27" t="n"/>
      <c r="AN127" s="27" t="n"/>
      <c r="AO127" s="27" t="n"/>
      <c r="AP127" s="27" t="n"/>
      <c r="AQ127" s="27" t="n"/>
      <c r="AR127" s="27" t="n"/>
      <c r="AS127" s="27" t="n"/>
      <c r="AT127" s="27" t="n"/>
      <c r="AU127" s="27" t="n"/>
      <c r="AV127" s="27" t="n"/>
      <c r="AW127" s="27" t="n"/>
      <c r="AX127" s="27" t="n"/>
      <c r="AY127" s="27" t="n"/>
      <c r="AZ127" s="27" t="n"/>
      <c r="BA127" s="27" t="n"/>
      <c r="BB127" s="27" t="n"/>
      <c r="BC127" s="27" t="n"/>
      <c r="BD127" s="27" t="n"/>
      <c r="BE127" s="27" t="n"/>
      <c r="BF127" s="27" t="n"/>
      <c r="BG127" s="27" t="n"/>
      <c r="BH127" s="27" t="n"/>
      <c r="BI127" s="29" t="n"/>
      <c r="BJ127" s="27" t="n"/>
      <c r="BK127" s="27" t="n"/>
      <c r="BL127" s="27" t="n"/>
      <c r="BM127" s="27" t="n"/>
    </row>
    <row r="128">
      <c r="A128" s="27" t="n"/>
      <c r="B128" s="27" t="n"/>
      <c r="C128" s="28">
        <f>IF(A128="","",$B$2)</f>
        <v/>
      </c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  <c r="AA128" s="27" t="n"/>
      <c r="AB128" s="27" t="n"/>
      <c r="AC128" s="27" t="n"/>
      <c r="AD128" s="27" t="n"/>
      <c r="AE128" s="27" t="n"/>
      <c r="AF128" s="27" t="n"/>
      <c r="AG128" s="27" t="n"/>
      <c r="AH128" s="27" t="n"/>
      <c r="AI128" s="27" t="n"/>
      <c r="AJ128" s="27" t="n"/>
      <c r="AK128" s="27" t="n"/>
      <c r="AL128" s="27" t="n"/>
      <c r="AM128" s="27" t="n"/>
      <c r="AN128" s="27" t="n"/>
      <c r="AO128" s="27" t="n"/>
      <c r="AP128" s="27" t="n"/>
      <c r="AQ128" s="27" t="n"/>
      <c r="AR128" s="27" t="n"/>
      <c r="AS128" s="27" t="n"/>
      <c r="AT128" s="27" t="n"/>
      <c r="AU128" s="27" t="n"/>
      <c r="AV128" s="27" t="n"/>
      <c r="AW128" s="27" t="n"/>
      <c r="AX128" s="27" t="n"/>
      <c r="AY128" s="27" t="n"/>
      <c r="AZ128" s="27" t="n"/>
      <c r="BA128" s="27" t="n"/>
      <c r="BB128" s="27" t="n"/>
      <c r="BC128" s="27" t="n"/>
      <c r="BD128" s="27" t="n"/>
      <c r="BE128" s="27" t="n"/>
      <c r="BF128" s="27" t="n"/>
      <c r="BG128" s="27" t="n"/>
      <c r="BH128" s="27" t="n"/>
      <c r="BI128" s="29" t="n"/>
      <c r="BJ128" s="27" t="n"/>
      <c r="BK128" s="27" t="n"/>
      <c r="BL128" s="27" t="n"/>
      <c r="BM128" s="27" t="n"/>
    </row>
    <row r="129">
      <c r="A129" s="27" t="n"/>
      <c r="B129" s="27" t="n"/>
      <c r="C129" s="28">
        <f>IF(A129="","",$B$2)</f>
        <v/>
      </c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  <c r="AA129" s="27" t="n"/>
      <c r="AB129" s="27" t="n"/>
      <c r="AC129" s="27" t="n"/>
      <c r="AD129" s="27" t="n"/>
      <c r="AE129" s="27" t="n"/>
      <c r="AF129" s="27" t="n"/>
      <c r="AG129" s="27" t="n"/>
      <c r="AH129" s="27" t="n"/>
      <c r="AI129" s="27" t="n"/>
      <c r="AJ129" s="27" t="n"/>
      <c r="AK129" s="27" t="n"/>
      <c r="AL129" s="27" t="n"/>
      <c r="AM129" s="27" t="n"/>
      <c r="AN129" s="27" t="n"/>
      <c r="AO129" s="27" t="n"/>
      <c r="AP129" s="27" t="n"/>
      <c r="AQ129" s="27" t="n"/>
      <c r="AR129" s="27" t="n"/>
      <c r="AS129" s="27" t="n"/>
      <c r="AT129" s="27" t="n"/>
      <c r="AU129" s="27" t="n"/>
      <c r="AV129" s="27" t="n"/>
      <c r="AW129" s="27" t="n"/>
      <c r="AX129" s="27" t="n"/>
      <c r="AY129" s="27" t="n"/>
      <c r="AZ129" s="27" t="n"/>
      <c r="BA129" s="27" t="n"/>
      <c r="BB129" s="27" t="n"/>
      <c r="BC129" s="27" t="n"/>
      <c r="BD129" s="27" t="n"/>
      <c r="BE129" s="27" t="n"/>
      <c r="BF129" s="27" t="n"/>
      <c r="BG129" s="27" t="n"/>
      <c r="BH129" s="27" t="n"/>
      <c r="BI129" s="29" t="n"/>
      <c r="BJ129" s="27" t="n"/>
      <c r="BK129" s="27" t="n"/>
      <c r="BL129" s="27" t="n"/>
      <c r="BM129" s="27" t="n"/>
    </row>
    <row r="130">
      <c r="A130" s="27" t="n"/>
      <c r="B130" s="27" t="n"/>
      <c r="C130" s="28">
        <f>IF(A130="","",$B$2)</f>
        <v/>
      </c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  <c r="AA130" s="27" t="n"/>
      <c r="AB130" s="27" t="n"/>
      <c r="AC130" s="27" t="n"/>
      <c r="AD130" s="27" t="n"/>
      <c r="AE130" s="27" t="n"/>
      <c r="AF130" s="27" t="n"/>
      <c r="AG130" s="27" t="n"/>
      <c r="AH130" s="27" t="n"/>
      <c r="AI130" s="27" t="n"/>
      <c r="AJ130" s="27" t="n"/>
      <c r="AK130" s="27" t="n"/>
      <c r="AL130" s="27" t="n"/>
      <c r="AM130" s="27" t="n"/>
      <c r="AN130" s="27" t="n"/>
      <c r="AO130" s="27" t="n"/>
      <c r="AP130" s="27" t="n"/>
      <c r="AQ130" s="27" t="n"/>
      <c r="AR130" s="27" t="n"/>
      <c r="AS130" s="27" t="n"/>
      <c r="AT130" s="27" t="n"/>
      <c r="AU130" s="27" t="n"/>
      <c r="AV130" s="27" t="n"/>
      <c r="AW130" s="27" t="n"/>
      <c r="AX130" s="27" t="n"/>
      <c r="AY130" s="27" t="n"/>
      <c r="AZ130" s="27" t="n"/>
      <c r="BA130" s="27" t="n"/>
      <c r="BB130" s="27" t="n"/>
      <c r="BC130" s="27" t="n"/>
      <c r="BD130" s="27" t="n"/>
      <c r="BE130" s="27" t="n"/>
      <c r="BF130" s="27" t="n"/>
      <c r="BG130" s="27" t="n"/>
      <c r="BH130" s="27" t="n"/>
      <c r="BI130" s="29" t="n"/>
      <c r="BJ130" s="27" t="n"/>
      <c r="BK130" s="27" t="n"/>
      <c r="BL130" s="27" t="n"/>
      <c r="BM130" s="27" t="n"/>
    </row>
    <row r="131">
      <c r="A131" s="27" t="n"/>
      <c r="B131" s="27" t="n"/>
      <c r="C131" s="28">
        <f>IF(A131="","",$B$2)</f>
        <v/>
      </c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  <c r="AA131" s="27" t="n"/>
      <c r="AB131" s="27" t="n"/>
      <c r="AC131" s="27" t="n"/>
      <c r="AD131" s="27" t="n"/>
      <c r="AE131" s="27" t="n"/>
      <c r="AF131" s="27" t="n"/>
      <c r="AG131" s="27" t="n"/>
      <c r="AH131" s="27" t="n"/>
      <c r="AI131" s="27" t="n"/>
      <c r="AJ131" s="27" t="n"/>
      <c r="AK131" s="27" t="n"/>
      <c r="AL131" s="27" t="n"/>
      <c r="AM131" s="27" t="n"/>
      <c r="AN131" s="27" t="n"/>
      <c r="AO131" s="27" t="n"/>
      <c r="AP131" s="27" t="n"/>
      <c r="AQ131" s="27" t="n"/>
      <c r="AR131" s="27" t="n"/>
      <c r="AS131" s="27" t="n"/>
      <c r="AT131" s="27" t="n"/>
      <c r="AU131" s="27" t="n"/>
      <c r="AV131" s="27" t="n"/>
      <c r="AW131" s="27" t="n"/>
      <c r="AX131" s="27" t="n"/>
      <c r="AY131" s="27" t="n"/>
      <c r="AZ131" s="27" t="n"/>
      <c r="BA131" s="27" t="n"/>
      <c r="BB131" s="27" t="n"/>
      <c r="BC131" s="27" t="n"/>
      <c r="BD131" s="27" t="n"/>
      <c r="BE131" s="27" t="n"/>
      <c r="BF131" s="27" t="n"/>
      <c r="BG131" s="27" t="n"/>
      <c r="BH131" s="27" t="n"/>
      <c r="BI131" s="29" t="n"/>
      <c r="BJ131" s="27" t="n"/>
      <c r="BK131" s="27" t="n"/>
      <c r="BL131" s="27" t="n"/>
      <c r="BM131" s="27" t="n"/>
    </row>
    <row r="132">
      <c r="A132" s="27" t="n"/>
      <c r="B132" s="27" t="n"/>
      <c r="C132" s="28">
        <f>IF(A132="","",$B$2)</f>
        <v/>
      </c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  <c r="AA132" s="27" t="n"/>
      <c r="AB132" s="27" t="n"/>
      <c r="AC132" s="27" t="n"/>
      <c r="AD132" s="27" t="n"/>
      <c r="AE132" s="27" t="n"/>
      <c r="AF132" s="27" t="n"/>
      <c r="AG132" s="27" t="n"/>
      <c r="AH132" s="27" t="n"/>
      <c r="AI132" s="27" t="n"/>
      <c r="AJ132" s="27" t="n"/>
      <c r="AK132" s="27" t="n"/>
      <c r="AL132" s="27" t="n"/>
      <c r="AM132" s="27" t="n"/>
      <c r="AN132" s="27" t="n"/>
      <c r="AO132" s="27" t="n"/>
      <c r="AP132" s="27" t="n"/>
      <c r="AQ132" s="27" t="n"/>
      <c r="AR132" s="27" t="n"/>
      <c r="AS132" s="27" t="n"/>
      <c r="AT132" s="27" t="n"/>
      <c r="AU132" s="27" t="n"/>
      <c r="AV132" s="27" t="n"/>
      <c r="AW132" s="27" t="n"/>
      <c r="AX132" s="27" t="n"/>
      <c r="AY132" s="27" t="n"/>
      <c r="AZ132" s="27" t="n"/>
      <c r="BA132" s="27" t="n"/>
      <c r="BB132" s="27" t="n"/>
      <c r="BC132" s="27" t="n"/>
      <c r="BD132" s="27" t="n"/>
      <c r="BE132" s="27" t="n"/>
      <c r="BF132" s="27" t="n"/>
      <c r="BG132" s="27" t="n"/>
      <c r="BH132" s="27" t="n"/>
      <c r="BI132" s="29" t="n"/>
      <c r="BJ132" s="27" t="n"/>
      <c r="BK132" s="27" t="n"/>
      <c r="BL132" s="27" t="n"/>
      <c r="BM132" s="27" t="n"/>
    </row>
    <row r="133">
      <c r="A133" s="27" t="n"/>
      <c r="B133" s="27" t="n"/>
      <c r="C133" s="28">
        <f>IF(A133="","",$B$2)</f>
        <v/>
      </c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  <c r="AA133" s="27" t="n"/>
      <c r="AB133" s="27" t="n"/>
      <c r="AC133" s="27" t="n"/>
      <c r="AD133" s="27" t="n"/>
      <c r="AE133" s="27" t="n"/>
      <c r="AF133" s="27" t="n"/>
      <c r="AG133" s="27" t="n"/>
      <c r="AH133" s="27" t="n"/>
      <c r="AI133" s="27" t="n"/>
      <c r="AJ133" s="27" t="n"/>
      <c r="AK133" s="27" t="n"/>
      <c r="AL133" s="27" t="n"/>
      <c r="AM133" s="27" t="n"/>
      <c r="AN133" s="27" t="n"/>
      <c r="AO133" s="27" t="n"/>
      <c r="AP133" s="27" t="n"/>
      <c r="AQ133" s="27" t="n"/>
      <c r="AR133" s="27" t="n"/>
      <c r="AS133" s="27" t="n"/>
      <c r="AT133" s="27" t="n"/>
      <c r="AU133" s="27" t="n"/>
      <c r="AV133" s="27" t="n"/>
      <c r="AW133" s="27" t="n"/>
      <c r="AX133" s="27" t="n"/>
      <c r="AY133" s="27" t="n"/>
      <c r="AZ133" s="27" t="n"/>
      <c r="BA133" s="27" t="n"/>
      <c r="BB133" s="27" t="n"/>
      <c r="BC133" s="27" t="n"/>
      <c r="BD133" s="27" t="n"/>
      <c r="BE133" s="27" t="n"/>
      <c r="BF133" s="27" t="n"/>
      <c r="BG133" s="27" t="n"/>
      <c r="BH133" s="27" t="n"/>
      <c r="BI133" s="29" t="n"/>
      <c r="BJ133" s="27" t="n"/>
      <c r="BK133" s="27" t="n"/>
      <c r="BL133" s="27" t="n"/>
      <c r="BM133" s="27" t="n"/>
    </row>
    <row r="134">
      <c r="A134" s="27" t="n"/>
      <c r="B134" s="27" t="n"/>
      <c r="C134" s="28">
        <f>IF(A134="","",$B$2)</f>
        <v/>
      </c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  <c r="AA134" s="27" t="n"/>
      <c r="AB134" s="27" t="n"/>
      <c r="AC134" s="27" t="n"/>
      <c r="AD134" s="27" t="n"/>
      <c r="AE134" s="27" t="n"/>
      <c r="AF134" s="27" t="n"/>
      <c r="AG134" s="27" t="n"/>
      <c r="AH134" s="27" t="n"/>
      <c r="AI134" s="27" t="n"/>
      <c r="AJ134" s="27" t="n"/>
      <c r="AK134" s="27" t="n"/>
      <c r="AL134" s="27" t="n"/>
      <c r="AM134" s="27" t="n"/>
      <c r="AN134" s="27" t="n"/>
      <c r="AO134" s="27" t="n"/>
      <c r="AP134" s="27" t="n"/>
      <c r="AQ134" s="27" t="n"/>
      <c r="AR134" s="27" t="n"/>
      <c r="AS134" s="27" t="n"/>
      <c r="AT134" s="27" t="n"/>
      <c r="AU134" s="27" t="n"/>
      <c r="AV134" s="27" t="n"/>
      <c r="AW134" s="27" t="n"/>
      <c r="AX134" s="27" t="n"/>
      <c r="AY134" s="27" t="n"/>
      <c r="AZ134" s="27" t="n"/>
      <c r="BA134" s="27" t="n"/>
      <c r="BB134" s="27" t="n"/>
      <c r="BC134" s="27" t="n"/>
      <c r="BD134" s="27" t="n"/>
      <c r="BE134" s="27" t="n"/>
      <c r="BF134" s="27" t="n"/>
      <c r="BG134" s="27" t="n"/>
      <c r="BH134" s="27" t="n"/>
      <c r="BI134" s="29" t="n"/>
      <c r="BJ134" s="27" t="n"/>
      <c r="BK134" s="27" t="n"/>
      <c r="BL134" s="27" t="n"/>
      <c r="BM134" s="27" t="n"/>
    </row>
    <row r="135">
      <c r="A135" s="27" t="n"/>
      <c r="B135" s="27" t="n"/>
      <c r="C135" s="28">
        <f>IF(A135="","",$B$2)</f>
        <v/>
      </c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  <c r="AA135" s="27" t="n"/>
      <c r="AB135" s="27" t="n"/>
      <c r="AC135" s="27" t="n"/>
      <c r="AD135" s="27" t="n"/>
      <c r="AE135" s="27" t="n"/>
      <c r="AF135" s="27" t="n"/>
      <c r="AG135" s="27" t="n"/>
      <c r="AH135" s="27" t="n"/>
      <c r="AI135" s="27" t="n"/>
      <c r="AJ135" s="27" t="n"/>
      <c r="AK135" s="27" t="n"/>
      <c r="AL135" s="27" t="n"/>
      <c r="AM135" s="27" t="n"/>
      <c r="AN135" s="27" t="n"/>
      <c r="AO135" s="27" t="n"/>
      <c r="AP135" s="27" t="n"/>
      <c r="AQ135" s="27" t="n"/>
      <c r="AR135" s="27" t="n"/>
      <c r="AS135" s="27" t="n"/>
      <c r="AT135" s="27" t="n"/>
      <c r="AU135" s="27" t="n"/>
      <c r="AV135" s="27" t="n"/>
      <c r="AW135" s="27" t="n"/>
      <c r="AX135" s="27" t="n"/>
      <c r="AY135" s="27" t="n"/>
      <c r="AZ135" s="27" t="n"/>
      <c r="BA135" s="27" t="n"/>
      <c r="BB135" s="27" t="n"/>
      <c r="BC135" s="27" t="n"/>
      <c r="BD135" s="27" t="n"/>
      <c r="BE135" s="27" t="n"/>
      <c r="BF135" s="27" t="n"/>
      <c r="BG135" s="27" t="n"/>
      <c r="BH135" s="27" t="n"/>
      <c r="BI135" s="29" t="n"/>
      <c r="BJ135" s="27" t="n"/>
      <c r="BK135" s="27" t="n"/>
      <c r="BL135" s="27" t="n"/>
      <c r="BM135" s="27" t="n"/>
    </row>
    <row r="136">
      <c r="A136" s="27" t="n"/>
      <c r="B136" s="27" t="n"/>
      <c r="C136" s="28">
        <f>IF(A136="","",$B$2)</f>
        <v/>
      </c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  <c r="AA136" s="27" t="n"/>
      <c r="AB136" s="27" t="n"/>
      <c r="AC136" s="27" t="n"/>
      <c r="AD136" s="27" t="n"/>
      <c r="AE136" s="27" t="n"/>
      <c r="AF136" s="27" t="n"/>
      <c r="AG136" s="27" t="n"/>
      <c r="AH136" s="27" t="n"/>
      <c r="AI136" s="27" t="n"/>
      <c r="AJ136" s="27" t="n"/>
      <c r="AK136" s="27" t="n"/>
      <c r="AL136" s="27" t="n"/>
      <c r="AM136" s="27" t="n"/>
      <c r="AN136" s="27" t="n"/>
      <c r="AO136" s="27" t="n"/>
      <c r="AP136" s="27" t="n"/>
      <c r="AQ136" s="27" t="n"/>
      <c r="AR136" s="27" t="n"/>
      <c r="AS136" s="27" t="n"/>
      <c r="AT136" s="27" t="n"/>
      <c r="AU136" s="27" t="n"/>
      <c r="AV136" s="27" t="n"/>
      <c r="AW136" s="27" t="n"/>
      <c r="AX136" s="27" t="n"/>
      <c r="AY136" s="27" t="n"/>
      <c r="AZ136" s="27" t="n"/>
      <c r="BA136" s="27" t="n"/>
      <c r="BB136" s="27" t="n"/>
      <c r="BC136" s="27" t="n"/>
      <c r="BD136" s="27" t="n"/>
      <c r="BE136" s="27" t="n"/>
      <c r="BF136" s="27" t="n"/>
      <c r="BG136" s="27" t="n"/>
      <c r="BH136" s="27" t="n"/>
      <c r="BI136" s="29" t="n"/>
      <c r="BJ136" s="27" t="n"/>
      <c r="BK136" s="27" t="n"/>
      <c r="BL136" s="27" t="n"/>
      <c r="BM136" s="27" t="n"/>
    </row>
    <row r="137">
      <c r="A137" s="27" t="n"/>
      <c r="B137" s="27" t="n"/>
      <c r="C137" s="28">
        <f>IF(A137="","",$B$2)</f>
        <v/>
      </c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  <c r="AA137" s="27" t="n"/>
      <c r="AB137" s="27" t="n"/>
      <c r="AC137" s="27" t="n"/>
      <c r="AD137" s="27" t="n"/>
      <c r="AE137" s="27" t="n"/>
      <c r="AF137" s="27" t="n"/>
      <c r="AG137" s="27" t="n"/>
      <c r="AH137" s="27" t="n"/>
      <c r="AI137" s="27" t="n"/>
      <c r="AJ137" s="27" t="n"/>
      <c r="AK137" s="27" t="n"/>
      <c r="AL137" s="27" t="n"/>
      <c r="AM137" s="27" t="n"/>
      <c r="AN137" s="27" t="n"/>
      <c r="AO137" s="27" t="n"/>
      <c r="AP137" s="27" t="n"/>
      <c r="AQ137" s="27" t="n"/>
      <c r="AR137" s="27" t="n"/>
      <c r="AS137" s="27" t="n"/>
      <c r="AT137" s="27" t="n"/>
      <c r="AU137" s="27" t="n"/>
      <c r="AV137" s="27" t="n"/>
      <c r="AW137" s="27" t="n"/>
      <c r="AX137" s="27" t="n"/>
      <c r="AY137" s="27" t="n"/>
      <c r="AZ137" s="27" t="n"/>
      <c r="BA137" s="27" t="n"/>
      <c r="BB137" s="27" t="n"/>
      <c r="BC137" s="27" t="n"/>
      <c r="BD137" s="27" t="n"/>
      <c r="BE137" s="27" t="n"/>
      <c r="BF137" s="27" t="n"/>
      <c r="BG137" s="27" t="n"/>
      <c r="BH137" s="27" t="n"/>
      <c r="BI137" s="29" t="n"/>
      <c r="BJ137" s="27" t="n"/>
      <c r="BK137" s="27" t="n"/>
      <c r="BL137" s="27" t="n"/>
      <c r="BM137" s="27" t="n"/>
    </row>
    <row r="138">
      <c r="A138" s="27" t="n"/>
      <c r="B138" s="27" t="n"/>
      <c r="C138" s="28">
        <f>IF(A138="","",$B$2)</f>
        <v/>
      </c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  <c r="AA138" s="27" t="n"/>
      <c r="AB138" s="27" t="n"/>
      <c r="AC138" s="27" t="n"/>
      <c r="AD138" s="27" t="n"/>
      <c r="AE138" s="27" t="n"/>
      <c r="AF138" s="27" t="n"/>
      <c r="AG138" s="27" t="n"/>
      <c r="AH138" s="27" t="n"/>
      <c r="AI138" s="27" t="n"/>
      <c r="AJ138" s="27" t="n"/>
      <c r="AK138" s="27" t="n"/>
      <c r="AL138" s="27" t="n"/>
      <c r="AM138" s="27" t="n"/>
      <c r="AN138" s="27" t="n"/>
      <c r="AO138" s="27" t="n"/>
      <c r="AP138" s="27" t="n"/>
      <c r="AQ138" s="27" t="n"/>
      <c r="AR138" s="27" t="n"/>
      <c r="AS138" s="27" t="n"/>
      <c r="AT138" s="27" t="n"/>
      <c r="AU138" s="27" t="n"/>
      <c r="AV138" s="27" t="n"/>
      <c r="AW138" s="27" t="n"/>
      <c r="AX138" s="27" t="n"/>
      <c r="AY138" s="27" t="n"/>
      <c r="AZ138" s="27" t="n"/>
      <c r="BA138" s="27" t="n"/>
      <c r="BB138" s="27" t="n"/>
      <c r="BC138" s="27" t="n"/>
      <c r="BD138" s="27" t="n"/>
      <c r="BE138" s="27" t="n"/>
      <c r="BF138" s="27" t="n"/>
      <c r="BG138" s="27" t="n"/>
      <c r="BH138" s="27" t="n"/>
      <c r="BI138" s="29" t="n"/>
      <c r="BJ138" s="27" t="n"/>
      <c r="BK138" s="27" t="n"/>
      <c r="BL138" s="27" t="n"/>
      <c r="BM138" s="27" t="n"/>
    </row>
    <row r="139">
      <c r="A139" s="27" t="n"/>
      <c r="B139" s="27" t="n"/>
      <c r="C139" s="28">
        <f>IF(A139="","",$B$2)</f>
        <v/>
      </c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  <c r="AA139" s="27" t="n"/>
      <c r="AB139" s="27" t="n"/>
      <c r="AC139" s="27" t="n"/>
      <c r="AD139" s="27" t="n"/>
      <c r="AE139" s="27" t="n"/>
      <c r="AF139" s="27" t="n"/>
      <c r="AG139" s="27" t="n"/>
      <c r="AH139" s="27" t="n"/>
      <c r="AI139" s="27" t="n"/>
      <c r="AJ139" s="27" t="n"/>
      <c r="AK139" s="27" t="n"/>
      <c r="AL139" s="27" t="n"/>
      <c r="AM139" s="27" t="n"/>
      <c r="AN139" s="27" t="n"/>
      <c r="AO139" s="27" t="n"/>
      <c r="AP139" s="27" t="n"/>
      <c r="AQ139" s="27" t="n"/>
      <c r="AR139" s="27" t="n"/>
      <c r="AS139" s="27" t="n"/>
      <c r="AT139" s="27" t="n"/>
      <c r="AU139" s="27" t="n"/>
      <c r="AV139" s="27" t="n"/>
      <c r="AW139" s="27" t="n"/>
      <c r="AX139" s="27" t="n"/>
      <c r="AY139" s="27" t="n"/>
      <c r="AZ139" s="27" t="n"/>
      <c r="BA139" s="27" t="n"/>
      <c r="BB139" s="27" t="n"/>
      <c r="BC139" s="27" t="n"/>
      <c r="BD139" s="27" t="n"/>
      <c r="BE139" s="27" t="n"/>
      <c r="BF139" s="27" t="n"/>
      <c r="BG139" s="27" t="n"/>
      <c r="BH139" s="27" t="n"/>
      <c r="BI139" s="29" t="n"/>
      <c r="BJ139" s="27" t="n"/>
      <c r="BK139" s="27" t="n"/>
      <c r="BL139" s="27" t="n"/>
      <c r="BM139" s="27" t="n"/>
    </row>
    <row r="140">
      <c r="A140" s="27" t="n"/>
      <c r="B140" s="27" t="n"/>
      <c r="C140" s="28">
        <f>IF(A140="","",$B$2)</f>
        <v/>
      </c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  <c r="AA140" s="27" t="n"/>
      <c r="AB140" s="27" t="n"/>
      <c r="AC140" s="27" t="n"/>
      <c r="AD140" s="27" t="n"/>
      <c r="AE140" s="27" t="n"/>
      <c r="AF140" s="27" t="n"/>
      <c r="AG140" s="27" t="n"/>
      <c r="AH140" s="27" t="n"/>
      <c r="AI140" s="27" t="n"/>
      <c r="AJ140" s="27" t="n"/>
      <c r="AK140" s="27" t="n"/>
      <c r="AL140" s="27" t="n"/>
      <c r="AM140" s="27" t="n"/>
      <c r="AN140" s="27" t="n"/>
      <c r="AO140" s="27" t="n"/>
      <c r="AP140" s="27" t="n"/>
      <c r="AQ140" s="27" t="n"/>
      <c r="AR140" s="27" t="n"/>
      <c r="AS140" s="27" t="n"/>
      <c r="AT140" s="27" t="n"/>
      <c r="AU140" s="27" t="n"/>
      <c r="AV140" s="27" t="n"/>
      <c r="AW140" s="27" t="n"/>
      <c r="AX140" s="27" t="n"/>
      <c r="AY140" s="27" t="n"/>
      <c r="AZ140" s="27" t="n"/>
      <c r="BA140" s="27" t="n"/>
      <c r="BB140" s="27" t="n"/>
      <c r="BC140" s="27" t="n"/>
      <c r="BD140" s="27" t="n"/>
      <c r="BE140" s="27" t="n"/>
      <c r="BF140" s="27" t="n"/>
      <c r="BG140" s="27" t="n"/>
      <c r="BH140" s="27" t="n"/>
      <c r="BI140" s="29" t="n"/>
      <c r="BJ140" s="27" t="n"/>
      <c r="BK140" s="27" t="n"/>
      <c r="BL140" s="27" t="n"/>
      <c r="BM140" s="27" t="n"/>
    </row>
    <row r="141">
      <c r="A141" s="27" t="n"/>
      <c r="B141" s="27" t="n"/>
      <c r="C141" s="28">
        <f>IF(A141="","",$B$2)</f>
        <v/>
      </c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  <c r="AA141" s="27" t="n"/>
      <c r="AB141" s="27" t="n"/>
      <c r="AC141" s="27" t="n"/>
      <c r="AD141" s="27" t="n"/>
      <c r="AE141" s="27" t="n"/>
      <c r="AF141" s="27" t="n"/>
      <c r="AG141" s="27" t="n"/>
      <c r="AH141" s="27" t="n"/>
      <c r="AI141" s="27" t="n"/>
      <c r="AJ141" s="27" t="n"/>
      <c r="AK141" s="27" t="n"/>
      <c r="AL141" s="27" t="n"/>
      <c r="AM141" s="27" t="n"/>
      <c r="AN141" s="27" t="n"/>
      <c r="AO141" s="27" t="n"/>
      <c r="AP141" s="27" t="n"/>
      <c r="AQ141" s="27" t="n"/>
      <c r="AR141" s="27" t="n"/>
      <c r="AS141" s="27" t="n"/>
      <c r="AT141" s="27" t="n"/>
      <c r="AU141" s="27" t="n"/>
      <c r="AV141" s="27" t="n"/>
      <c r="AW141" s="27" t="n"/>
      <c r="AX141" s="27" t="n"/>
      <c r="AY141" s="27" t="n"/>
      <c r="AZ141" s="27" t="n"/>
      <c r="BA141" s="27" t="n"/>
      <c r="BB141" s="27" t="n"/>
      <c r="BC141" s="27" t="n"/>
      <c r="BD141" s="27" t="n"/>
      <c r="BE141" s="27" t="n"/>
      <c r="BF141" s="27" t="n"/>
      <c r="BG141" s="27" t="n"/>
      <c r="BH141" s="27" t="n"/>
      <c r="BI141" s="29" t="n"/>
      <c r="BJ141" s="27" t="n"/>
      <c r="BK141" s="27" t="n"/>
      <c r="BL141" s="27" t="n"/>
      <c r="BM141" s="27" t="n"/>
    </row>
    <row r="142">
      <c r="A142" s="27" t="n"/>
      <c r="B142" s="27" t="n"/>
      <c r="C142" s="28">
        <f>IF(A142="","",$B$2)</f>
        <v/>
      </c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  <c r="AA142" s="27" t="n"/>
      <c r="AB142" s="27" t="n"/>
      <c r="AC142" s="27" t="n"/>
      <c r="AD142" s="27" t="n"/>
      <c r="AE142" s="27" t="n"/>
      <c r="AF142" s="27" t="n"/>
      <c r="AG142" s="27" t="n"/>
      <c r="AH142" s="27" t="n"/>
      <c r="AI142" s="27" t="n"/>
      <c r="AJ142" s="27" t="n"/>
      <c r="AK142" s="27" t="n"/>
      <c r="AL142" s="27" t="n"/>
      <c r="AM142" s="27" t="n"/>
      <c r="AN142" s="27" t="n"/>
      <c r="AO142" s="27" t="n"/>
      <c r="AP142" s="27" t="n"/>
      <c r="AQ142" s="27" t="n"/>
      <c r="AR142" s="27" t="n"/>
      <c r="AS142" s="27" t="n"/>
      <c r="AT142" s="27" t="n"/>
      <c r="AU142" s="27" t="n"/>
      <c r="AV142" s="27" t="n"/>
      <c r="AW142" s="27" t="n"/>
      <c r="AX142" s="27" t="n"/>
      <c r="AY142" s="27" t="n"/>
      <c r="AZ142" s="27" t="n"/>
      <c r="BA142" s="27" t="n"/>
      <c r="BB142" s="27" t="n"/>
      <c r="BC142" s="27" t="n"/>
      <c r="BD142" s="27" t="n"/>
      <c r="BE142" s="27" t="n"/>
      <c r="BF142" s="27" t="n"/>
      <c r="BG142" s="27" t="n"/>
      <c r="BH142" s="27" t="n"/>
      <c r="BI142" s="29" t="n"/>
      <c r="BJ142" s="27" t="n"/>
      <c r="BK142" s="27" t="n"/>
      <c r="BL142" s="27" t="n"/>
      <c r="BM142" s="27" t="n"/>
    </row>
    <row r="143">
      <c r="A143" s="27" t="n"/>
      <c r="B143" s="27" t="n"/>
      <c r="C143" s="28">
        <f>IF(A143="","",$B$2)</f>
        <v/>
      </c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  <c r="AA143" s="27" t="n"/>
      <c r="AB143" s="27" t="n"/>
      <c r="AC143" s="27" t="n"/>
      <c r="AD143" s="27" t="n"/>
      <c r="AE143" s="27" t="n"/>
      <c r="AF143" s="27" t="n"/>
      <c r="AG143" s="27" t="n"/>
      <c r="AH143" s="27" t="n"/>
      <c r="AI143" s="27" t="n"/>
      <c r="AJ143" s="27" t="n"/>
      <c r="AK143" s="27" t="n"/>
      <c r="AL143" s="27" t="n"/>
      <c r="AM143" s="27" t="n"/>
      <c r="AN143" s="27" t="n"/>
      <c r="AO143" s="27" t="n"/>
      <c r="AP143" s="27" t="n"/>
      <c r="AQ143" s="27" t="n"/>
      <c r="AR143" s="27" t="n"/>
      <c r="AS143" s="27" t="n"/>
      <c r="AT143" s="27" t="n"/>
      <c r="AU143" s="27" t="n"/>
      <c r="AV143" s="27" t="n"/>
      <c r="AW143" s="27" t="n"/>
      <c r="AX143" s="27" t="n"/>
      <c r="AY143" s="27" t="n"/>
      <c r="AZ143" s="27" t="n"/>
      <c r="BA143" s="27" t="n"/>
      <c r="BB143" s="27" t="n"/>
      <c r="BC143" s="27" t="n"/>
      <c r="BD143" s="27" t="n"/>
      <c r="BE143" s="27" t="n"/>
      <c r="BF143" s="27" t="n"/>
      <c r="BG143" s="27" t="n"/>
      <c r="BH143" s="27" t="n"/>
      <c r="BI143" s="29" t="n"/>
      <c r="BJ143" s="27" t="n"/>
      <c r="BK143" s="27" t="n"/>
      <c r="BL143" s="27" t="n"/>
      <c r="BM143" s="27" t="n"/>
    </row>
    <row r="144">
      <c r="A144" s="27" t="n"/>
      <c r="B144" s="27" t="n"/>
      <c r="C144" s="28">
        <f>IF(A144="","",$B$2)</f>
        <v/>
      </c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  <c r="AA144" s="27" t="n"/>
      <c r="AB144" s="27" t="n"/>
      <c r="AC144" s="27" t="n"/>
      <c r="AD144" s="27" t="n"/>
      <c r="AE144" s="27" t="n"/>
      <c r="AF144" s="27" t="n"/>
      <c r="AG144" s="27" t="n"/>
      <c r="AH144" s="27" t="n"/>
      <c r="AI144" s="27" t="n"/>
      <c r="AJ144" s="27" t="n"/>
      <c r="AK144" s="27" t="n"/>
      <c r="AL144" s="27" t="n"/>
      <c r="AM144" s="27" t="n"/>
      <c r="AN144" s="27" t="n"/>
      <c r="AO144" s="27" t="n"/>
      <c r="AP144" s="27" t="n"/>
      <c r="AQ144" s="27" t="n"/>
      <c r="AR144" s="27" t="n"/>
      <c r="AS144" s="27" t="n"/>
      <c r="AT144" s="27" t="n"/>
      <c r="AU144" s="27" t="n"/>
      <c r="AV144" s="27" t="n"/>
      <c r="AW144" s="27" t="n"/>
      <c r="AX144" s="27" t="n"/>
      <c r="AY144" s="27" t="n"/>
      <c r="AZ144" s="27" t="n"/>
      <c r="BA144" s="27" t="n"/>
      <c r="BB144" s="27" t="n"/>
      <c r="BC144" s="27" t="n"/>
      <c r="BD144" s="27" t="n"/>
      <c r="BE144" s="27" t="n"/>
      <c r="BF144" s="27" t="n"/>
      <c r="BG144" s="27" t="n"/>
      <c r="BH144" s="27" t="n"/>
      <c r="BI144" s="29" t="n"/>
      <c r="BJ144" s="27" t="n"/>
      <c r="BK144" s="27" t="n"/>
      <c r="BL144" s="27" t="n"/>
      <c r="BM144" s="27" t="n"/>
    </row>
    <row r="145">
      <c r="A145" s="27" t="n"/>
      <c r="B145" s="27" t="n"/>
      <c r="C145" s="28">
        <f>IF(A145="","",$B$2)</f>
        <v/>
      </c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  <c r="AA145" s="27" t="n"/>
      <c r="AB145" s="27" t="n"/>
      <c r="AC145" s="27" t="n"/>
      <c r="AD145" s="27" t="n"/>
      <c r="AE145" s="27" t="n"/>
      <c r="AF145" s="27" t="n"/>
      <c r="AG145" s="27" t="n"/>
      <c r="AH145" s="27" t="n"/>
      <c r="AI145" s="27" t="n"/>
      <c r="AJ145" s="27" t="n"/>
      <c r="AK145" s="27" t="n"/>
      <c r="AL145" s="27" t="n"/>
      <c r="AM145" s="27" t="n"/>
      <c r="AN145" s="27" t="n"/>
      <c r="AO145" s="27" t="n"/>
      <c r="AP145" s="27" t="n"/>
      <c r="AQ145" s="27" t="n"/>
      <c r="AR145" s="27" t="n"/>
      <c r="AS145" s="27" t="n"/>
      <c r="AT145" s="27" t="n"/>
      <c r="AU145" s="27" t="n"/>
      <c r="AV145" s="27" t="n"/>
      <c r="AW145" s="27" t="n"/>
      <c r="AX145" s="27" t="n"/>
      <c r="AY145" s="27" t="n"/>
      <c r="AZ145" s="27" t="n"/>
      <c r="BA145" s="27" t="n"/>
      <c r="BB145" s="27" t="n"/>
      <c r="BC145" s="27" t="n"/>
      <c r="BD145" s="27" t="n"/>
      <c r="BE145" s="27" t="n"/>
      <c r="BF145" s="27" t="n"/>
      <c r="BG145" s="27" t="n"/>
      <c r="BH145" s="27" t="n"/>
      <c r="BI145" s="29" t="n"/>
      <c r="BJ145" s="27" t="n"/>
      <c r="BK145" s="27" t="n"/>
      <c r="BL145" s="27" t="n"/>
      <c r="BM145" s="27" t="n"/>
    </row>
    <row r="146">
      <c r="A146" s="27" t="n"/>
      <c r="B146" s="27" t="n"/>
      <c r="C146" s="28">
        <f>IF(A146="","",$B$2)</f>
        <v/>
      </c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  <c r="AA146" s="27" t="n"/>
      <c r="AB146" s="27" t="n"/>
      <c r="AC146" s="27" t="n"/>
      <c r="AD146" s="27" t="n"/>
      <c r="AE146" s="27" t="n"/>
      <c r="AF146" s="27" t="n"/>
      <c r="AG146" s="27" t="n"/>
      <c r="AH146" s="27" t="n"/>
      <c r="AI146" s="27" t="n"/>
      <c r="AJ146" s="27" t="n"/>
      <c r="AK146" s="27" t="n"/>
      <c r="AL146" s="27" t="n"/>
      <c r="AM146" s="27" t="n"/>
      <c r="AN146" s="27" t="n"/>
      <c r="AO146" s="27" t="n"/>
      <c r="AP146" s="27" t="n"/>
      <c r="AQ146" s="27" t="n"/>
      <c r="AR146" s="27" t="n"/>
      <c r="AS146" s="27" t="n"/>
      <c r="AT146" s="27" t="n"/>
      <c r="AU146" s="27" t="n"/>
      <c r="AV146" s="27" t="n"/>
      <c r="AW146" s="27" t="n"/>
      <c r="AX146" s="27" t="n"/>
      <c r="AY146" s="27" t="n"/>
      <c r="AZ146" s="27" t="n"/>
      <c r="BA146" s="27" t="n"/>
      <c r="BB146" s="27" t="n"/>
      <c r="BC146" s="27" t="n"/>
      <c r="BD146" s="27" t="n"/>
      <c r="BE146" s="27" t="n"/>
      <c r="BF146" s="27" t="n"/>
      <c r="BG146" s="27" t="n"/>
      <c r="BH146" s="27" t="n"/>
      <c r="BI146" s="29" t="n"/>
      <c r="BJ146" s="27" t="n"/>
      <c r="BK146" s="27" t="n"/>
      <c r="BL146" s="27" t="n"/>
      <c r="BM146" s="27" t="n"/>
    </row>
    <row r="147">
      <c r="A147" s="27" t="n"/>
      <c r="B147" s="27" t="n"/>
      <c r="C147" s="28">
        <f>IF(A147="","",$B$2)</f>
        <v/>
      </c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  <c r="AA147" s="27" t="n"/>
      <c r="AB147" s="27" t="n"/>
      <c r="AC147" s="27" t="n"/>
      <c r="AD147" s="27" t="n"/>
      <c r="AE147" s="27" t="n"/>
      <c r="AF147" s="27" t="n"/>
      <c r="AG147" s="27" t="n"/>
      <c r="AH147" s="27" t="n"/>
      <c r="AI147" s="27" t="n"/>
      <c r="AJ147" s="27" t="n"/>
      <c r="AK147" s="27" t="n"/>
      <c r="AL147" s="27" t="n"/>
      <c r="AM147" s="27" t="n"/>
      <c r="AN147" s="27" t="n"/>
      <c r="AO147" s="27" t="n"/>
      <c r="AP147" s="27" t="n"/>
      <c r="AQ147" s="27" t="n"/>
      <c r="AR147" s="27" t="n"/>
      <c r="AS147" s="27" t="n"/>
      <c r="AT147" s="27" t="n"/>
      <c r="AU147" s="27" t="n"/>
      <c r="AV147" s="27" t="n"/>
      <c r="AW147" s="27" t="n"/>
      <c r="AX147" s="27" t="n"/>
      <c r="AY147" s="27" t="n"/>
      <c r="AZ147" s="27" t="n"/>
      <c r="BA147" s="27" t="n"/>
      <c r="BB147" s="27" t="n"/>
      <c r="BC147" s="27" t="n"/>
      <c r="BD147" s="27" t="n"/>
      <c r="BE147" s="27" t="n"/>
      <c r="BF147" s="27" t="n"/>
      <c r="BG147" s="27" t="n"/>
      <c r="BH147" s="27" t="n"/>
      <c r="BI147" s="29" t="n"/>
      <c r="BJ147" s="27" t="n"/>
      <c r="BK147" s="27" t="n"/>
      <c r="BL147" s="27" t="n"/>
      <c r="BM147" s="27" t="n"/>
    </row>
    <row r="148">
      <c r="A148" s="27" t="n"/>
      <c r="B148" s="27" t="n"/>
      <c r="C148" s="28">
        <f>IF(A148="","",$B$2)</f>
        <v/>
      </c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  <c r="AA148" s="27" t="n"/>
      <c r="AB148" s="27" t="n"/>
      <c r="AC148" s="27" t="n"/>
      <c r="AD148" s="27" t="n"/>
      <c r="AE148" s="27" t="n"/>
      <c r="AF148" s="27" t="n"/>
      <c r="AG148" s="27" t="n"/>
      <c r="AH148" s="27" t="n"/>
      <c r="AI148" s="27" t="n"/>
      <c r="AJ148" s="27" t="n"/>
      <c r="AK148" s="27" t="n"/>
      <c r="AL148" s="27" t="n"/>
      <c r="AM148" s="27" t="n"/>
      <c r="AN148" s="27" t="n"/>
      <c r="AO148" s="27" t="n"/>
      <c r="AP148" s="27" t="n"/>
      <c r="AQ148" s="27" t="n"/>
      <c r="AR148" s="27" t="n"/>
      <c r="AS148" s="27" t="n"/>
      <c r="AT148" s="27" t="n"/>
      <c r="AU148" s="27" t="n"/>
      <c r="AV148" s="27" t="n"/>
      <c r="AW148" s="27" t="n"/>
      <c r="AX148" s="27" t="n"/>
      <c r="AY148" s="27" t="n"/>
      <c r="AZ148" s="27" t="n"/>
      <c r="BA148" s="27" t="n"/>
      <c r="BB148" s="27" t="n"/>
      <c r="BC148" s="27" t="n"/>
      <c r="BD148" s="27" t="n"/>
      <c r="BE148" s="27" t="n"/>
      <c r="BF148" s="27" t="n"/>
      <c r="BG148" s="27" t="n"/>
      <c r="BH148" s="27" t="n"/>
      <c r="BI148" s="29" t="n"/>
      <c r="BJ148" s="27" t="n"/>
      <c r="BK148" s="27" t="n"/>
      <c r="BL148" s="27" t="n"/>
      <c r="BM148" s="27" t="n"/>
    </row>
    <row r="149">
      <c r="A149" s="27" t="n"/>
      <c r="B149" s="27" t="n"/>
      <c r="C149" s="28">
        <f>IF(A149="","",$B$2)</f>
        <v/>
      </c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  <c r="AA149" s="27" t="n"/>
      <c r="AB149" s="27" t="n"/>
      <c r="AC149" s="27" t="n"/>
      <c r="AD149" s="27" t="n"/>
      <c r="AE149" s="27" t="n"/>
      <c r="AF149" s="27" t="n"/>
      <c r="AG149" s="27" t="n"/>
      <c r="AH149" s="27" t="n"/>
      <c r="AI149" s="27" t="n"/>
      <c r="AJ149" s="27" t="n"/>
      <c r="AK149" s="27" t="n"/>
      <c r="AL149" s="27" t="n"/>
      <c r="AM149" s="27" t="n"/>
      <c r="AN149" s="27" t="n"/>
      <c r="AO149" s="27" t="n"/>
      <c r="AP149" s="27" t="n"/>
      <c r="AQ149" s="27" t="n"/>
      <c r="AR149" s="27" t="n"/>
      <c r="AS149" s="27" t="n"/>
      <c r="AT149" s="27" t="n"/>
      <c r="AU149" s="27" t="n"/>
      <c r="AV149" s="27" t="n"/>
      <c r="AW149" s="27" t="n"/>
      <c r="AX149" s="27" t="n"/>
      <c r="AY149" s="27" t="n"/>
      <c r="AZ149" s="27" t="n"/>
      <c r="BA149" s="27" t="n"/>
      <c r="BB149" s="27" t="n"/>
      <c r="BC149" s="27" t="n"/>
      <c r="BD149" s="27" t="n"/>
      <c r="BE149" s="27" t="n"/>
      <c r="BF149" s="27" t="n"/>
      <c r="BG149" s="27" t="n"/>
      <c r="BH149" s="27" t="n"/>
      <c r="BI149" s="29" t="n"/>
      <c r="BJ149" s="27" t="n"/>
      <c r="BK149" s="27" t="n"/>
      <c r="BL149" s="27" t="n"/>
      <c r="BM149" s="27" t="n"/>
    </row>
    <row r="150">
      <c r="A150" s="27" t="n"/>
      <c r="B150" s="27" t="n"/>
      <c r="C150" s="28">
        <f>IF(A150="","",$B$2)</f>
        <v/>
      </c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  <c r="AA150" s="27" t="n"/>
      <c r="AB150" s="27" t="n"/>
      <c r="AC150" s="27" t="n"/>
      <c r="AD150" s="27" t="n"/>
      <c r="AE150" s="27" t="n"/>
      <c r="AF150" s="27" t="n"/>
      <c r="AG150" s="27" t="n"/>
      <c r="AH150" s="27" t="n"/>
      <c r="AI150" s="27" t="n"/>
      <c r="AJ150" s="27" t="n"/>
      <c r="AK150" s="27" t="n"/>
      <c r="AL150" s="27" t="n"/>
      <c r="AM150" s="27" t="n"/>
      <c r="AN150" s="27" t="n"/>
      <c r="AO150" s="27" t="n"/>
      <c r="AP150" s="27" t="n"/>
      <c r="AQ150" s="27" t="n"/>
      <c r="AR150" s="27" t="n"/>
      <c r="AS150" s="27" t="n"/>
      <c r="AT150" s="27" t="n"/>
      <c r="AU150" s="27" t="n"/>
      <c r="AV150" s="27" t="n"/>
      <c r="AW150" s="27" t="n"/>
      <c r="AX150" s="27" t="n"/>
      <c r="AY150" s="27" t="n"/>
      <c r="AZ150" s="27" t="n"/>
      <c r="BA150" s="27" t="n"/>
      <c r="BB150" s="27" t="n"/>
      <c r="BC150" s="27" t="n"/>
      <c r="BD150" s="27" t="n"/>
      <c r="BE150" s="27" t="n"/>
      <c r="BF150" s="27" t="n"/>
      <c r="BG150" s="27" t="n"/>
      <c r="BH150" s="27" t="n"/>
      <c r="BI150" s="29" t="n"/>
      <c r="BJ150" s="27" t="n"/>
      <c r="BK150" s="27" t="n"/>
      <c r="BL150" s="27" t="n"/>
      <c r="BM150" s="27" t="n"/>
    </row>
    <row r="151">
      <c r="A151" s="27" t="n"/>
      <c r="B151" s="27" t="n"/>
      <c r="C151" s="28">
        <f>IF(A151="","",$B$2)</f>
        <v/>
      </c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  <c r="AA151" s="27" t="n"/>
      <c r="AB151" s="27" t="n"/>
      <c r="AC151" s="27" t="n"/>
      <c r="AD151" s="27" t="n"/>
      <c r="AE151" s="27" t="n"/>
      <c r="AF151" s="27" t="n"/>
      <c r="AG151" s="27" t="n"/>
      <c r="AH151" s="27" t="n"/>
      <c r="AI151" s="27" t="n"/>
      <c r="AJ151" s="27" t="n"/>
      <c r="AK151" s="27" t="n"/>
      <c r="AL151" s="27" t="n"/>
      <c r="AM151" s="27" t="n"/>
      <c r="AN151" s="27" t="n"/>
      <c r="AO151" s="27" t="n"/>
      <c r="AP151" s="27" t="n"/>
      <c r="AQ151" s="27" t="n"/>
      <c r="AR151" s="27" t="n"/>
      <c r="AS151" s="27" t="n"/>
      <c r="AT151" s="27" t="n"/>
      <c r="AU151" s="27" t="n"/>
      <c r="AV151" s="27" t="n"/>
      <c r="AW151" s="27" t="n"/>
      <c r="AX151" s="27" t="n"/>
      <c r="AY151" s="27" t="n"/>
      <c r="AZ151" s="27" t="n"/>
      <c r="BA151" s="27" t="n"/>
      <c r="BB151" s="27" t="n"/>
      <c r="BC151" s="27" t="n"/>
      <c r="BD151" s="27" t="n"/>
      <c r="BE151" s="27" t="n"/>
      <c r="BF151" s="27" t="n"/>
      <c r="BG151" s="27" t="n"/>
      <c r="BH151" s="27" t="n"/>
      <c r="BI151" s="29" t="n"/>
      <c r="BJ151" s="27" t="n"/>
      <c r="BK151" s="27" t="n"/>
      <c r="BL151" s="27" t="n"/>
      <c r="BM151" s="27" t="n"/>
    </row>
    <row r="152">
      <c r="A152" s="27" t="n"/>
      <c r="B152" s="27" t="n"/>
      <c r="C152" s="28">
        <f>IF(A152="","",$B$2)</f>
        <v/>
      </c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  <c r="AA152" s="27" t="n"/>
      <c r="AB152" s="27" t="n"/>
      <c r="AC152" s="27" t="n"/>
      <c r="AD152" s="27" t="n"/>
      <c r="AE152" s="27" t="n"/>
      <c r="AF152" s="27" t="n"/>
      <c r="AG152" s="27" t="n"/>
      <c r="AH152" s="27" t="n"/>
      <c r="AI152" s="27" t="n"/>
      <c r="AJ152" s="27" t="n"/>
      <c r="AK152" s="27" t="n"/>
      <c r="AL152" s="27" t="n"/>
      <c r="AM152" s="27" t="n"/>
      <c r="AN152" s="27" t="n"/>
      <c r="AO152" s="27" t="n"/>
      <c r="AP152" s="27" t="n"/>
      <c r="AQ152" s="27" t="n"/>
      <c r="AR152" s="27" t="n"/>
      <c r="AS152" s="27" t="n"/>
      <c r="AT152" s="27" t="n"/>
      <c r="AU152" s="27" t="n"/>
      <c r="AV152" s="27" t="n"/>
      <c r="AW152" s="27" t="n"/>
      <c r="AX152" s="27" t="n"/>
      <c r="AY152" s="27" t="n"/>
      <c r="AZ152" s="27" t="n"/>
      <c r="BA152" s="27" t="n"/>
      <c r="BB152" s="27" t="n"/>
      <c r="BC152" s="27" t="n"/>
      <c r="BD152" s="27" t="n"/>
      <c r="BE152" s="27" t="n"/>
      <c r="BF152" s="27" t="n"/>
      <c r="BG152" s="27" t="n"/>
      <c r="BH152" s="27" t="n"/>
      <c r="BI152" s="29" t="n"/>
      <c r="BJ152" s="27" t="n"/>
      <c r="BK152" s="27" t="n"/>
      <c r="BL152" s="27" t="n"/>
      <c r="BM152" s="27" t="n"/>
    </row>
    <row r="153">
      <c r="A153" s="27" t="n"/>
      <c r="B153" s="27" t="n"/>
      <c r="C153" s="28">
        <f>IF(A153="","",$B$2)</f>
        <v/>
      </c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  <c r="AA153" s="27" t="n"/>
      <c r="AB153" s="27" t="n"/>
      <c r="AC153" s="27" t="n"/>
      <c r="AD153" s="27" t="n"/>
      <c r="AE153" s="27" t="n"/>
      <c r="AF153" s="27" t="n"/>
      <c r="AG153" s="27" t="n"/>
      <c r="AH153" s="27" t="n"/>
      <c r="AI153" s="27" t="n"/>
      <c r="AJ153" s="27" t="n"/>
      <c r="AK153" s="27" t="n"/>
      <c r="AL153" s="27" t="n"/>
      <c r="AM153" s="27" t="n"/>
      <c r="AN153" s="27" t="n"/>
      <c r="AO153" s="27" t="n"/>
      <c r="AP153" s="27" t="n"/>
      <c r="AQ153" s="27" t="n"/>
      <c r="AR153" s="27" t="n"/>
      <c r="AS153" s="27" t="n"/>
      <c r="AT153" s="27" t="n"/>
      <c r="AU153" s="27" t="n"/>
      <c r="AV153" s="27" t="n"/>
      <c r="AW153" s="27" t="n"/>
      <c r="AX153" s="27" t="n"/>
      <c r="AY153" s="27" t="n"/>
      <c r="AZ153" s="27" t="n"/>
      <c r="BA153" s="27" t="n"/>
      <c r="BB153" s="27" t="n"/>
      <c r="BC153" s="27" t="n"/>
      <c r="BD153" s="27" t="n"/>
      <c r="BE153" s="27" t="n"/>
      <c r="BF153" s="27" t="n"/>
      <c r="BG153" s="27" t="n"/>
      <c r="BH153" s="27" t="n"/>
      <c r="BI153" s="29" t="n"/>
      <c r="BJ153" s="27" t="n"/>
      <c r="BK153" s="27" t="n"/>
      <c r="BL153" s="27" t="n"/>
      <c r="BM153" s="27" t="n"/>
    </row>
    <row r="154">
      <c r="A154" s="27" t="n"/>
      <c r="B154" s="27" t="n"/>
      <c r="C154" s="28">
        <f>IF(A154="","",$B$2)</f>
        <v/>
      </c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  <c r="AA154" s="27" t="n"/>
      <c r="AB154" s="27" t="n"/>
      <c r="AC154" s="27" t="n"/>
      <c r="AD154" s="27" t="n"/>
      <c r="AE154" s="27" t="n"/>
      <c r="AF154" s="27" t="n"/>
      <c r="AG154" s="27" t="n"/>
      <c r="AH154" s="27" t="n"/>
      <c r="AI154" s="27" t="n"/>
      <c r="AJ154" s="27" t="n"/>
      <c r="AK154" s="27" t="n"/>
      <c r="AL154" s="27" t="n"/>
      <c r="AM154" s="27" t="n"/>
      <c r="AN154" s="27" t="n"/>
      <c r="AO154" s="27" t="n"/>
      <c r="AP154" s="27" t="n"/>
      <c r="AQ154" s="27" t="n"/>
      <c r="AR154" s="27" t="n"/>
      <c r="AS154" s="27" t="n"/>
      <c r="AT154" s="27" t="n"/>
      <c r="AU154" s="27" t="n"/>
      <c r="AV154" s="27" t="n"/>
      <c r="AW154" s="27" t="n"/>
      <c r="AX154" s="27" t="n"/>
      <c r="AY154" s="27" t="n"/>
      <c r="AZ154" s="27" t="n"/>
      <c r="BA154" s="27" t="n"/>
      <c r="BB154" s="27" t="n"/>
      <c r="BC154" s="27" t="n"/>
      <c r="BD154" s="27" t="n"/>
      <c r="BE154" s="27" t="n"/>
      <c r="BF154" s="27" t="n"/>
      <c r="BG154" s="27" t="n"/>
      <c r="BH154" s="27" t="n"/>
      <c r="BI154" s="29" t="n"/>
      <c r="BJ154" s="27" t="n"/>
      <c r="BK154" s="27" t="n"/>
      <c r="BL154" s="27" t="n"/>
      <c r="BM154" s="27" t="n"/>
    </row>
    <row r="155">
      <c r="A155" s="27" t="n"/>
      <c r="B155" s="27" t="n"/>
      <c r="C155" s="28">
        <f>IF(A155="","",$B$2)</f>
        <v/>
      </c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  <c r="AA155" s="27" t="n"/>
      <c r="AB155" s="27" t="n"/>
      <c r="AC155" s="27" t="n"/>
      <c r="AD155" s="27" t="n"/>
      <c r="AE155" s="27" t="n"/>
      <c r="AF155" s="27" t="n"/>
      <c r="AG155" s="27" t="n"/>
      <c r="AH155" s="27" t="n"/>
      <c r="AI155" s="27" t="n"/>
      <c r="AJ155" s="27" t="n"/>
      <c r="AK155" s="27" t="n"/>
      <c r="AL155" s="27" t="n"/>
      <c r="AM155" s="27" t="n"/>
      <c r="AN155" s="27" t="n"/>
      <c r="AO155" s="27" t="n"/>
      <c r="AP155" s="27" t="n"/>
      <c r="AQ155" s="27" t="n"/>
      <c r="AR155" s="27" t="n"/>
      <c r="AS155" s="27" t="n"/>
      <c r="AT155" s="27" t="n"/>
      <c r="AU155" s="27" t="n"/>
      <c r="AV155" s="27" t="n"/>
      <c r="AW155" s="27" t="n"/>
      <c r="AX155" s="27" t="n"/>
      <c r="AY155" s="27" t="n"/>
      <c r="AZ155" s="27" t="n"/>
      <c r="BA155" s="27" t="n"/>
      <c r="BB155" s="27" t="n"/>
      <c r="BC155" s="27" t="n"/>
      <c r="BD155" s="27" t="n"/>
      <c r="BE155" s="27" t="n"/>
      <c r="BF155" s="27" t="n"/>
      <c r="BG155" s="27" t="n"/>
      <c r="BH155" s="27" t="n"/>
      <c r="BI155" s="29" t="n"/>
      <c r="BJ155" s="27" t="n"/>
      <c r="BK155" s="27" t="n"/>
      <c r="BL155" s="27" t="n"/>
      <c r="BM155" s="27" t="n"/>
    </row>
    <row r="156">
      <c r="A156" s="27" t="n"/>
      <c r="B156" s="27" t="n"/>
      <c r="C156" s="28">
        <f>IF(A156="","",$B$2)</f>
        <v/>
      </c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  <c r="AA156" s="27" t="n"/>
      <c r="AB156" s="27" t="n"/>
      <c r="AC156" s="27" t="n"/>
      <c r="AD156" s="27" t="n"/>
      <c r="AE156" s="27" t="n"/>
      <c r="AF156" s="27" t="n"/>
      <c r="AG156" s="27" t="n"/>
      <c r="AH156" s="27" t="n"/>
      <c r="AI156" s="27" t="n"/>
      <c r="AJ156" s="27" t="n"/>
      <c r="AK156" s="27" t="n"/>
      <c r="AL156" s="27" t="n"/>
      <c r="AM156" s="27" t="n"/>
      <c r="AN156" s="27" t="n"/>
      <c r="AO156" s="27" t="n"/>
      <c r="AP156" s="27" t="n"/>
      <c r="AQ156" s="27" t="n"/>
      <c r="AR156" s="27" t="n"/>
      <c r="AS156" s="27" t="n"/>
      <c r="AT156" s="27" t="n"/>
      <c r="AU156" s="27" t="n"/>
      <c r="AV156" s="27" t="n"/>
      <c r="AW156" s="27" t="n"/>
      <c r="AX156" s="27" t="n"/>
      <c r="AY156" s="27" t="n"/>
      <c r="AZ156" s="27" t="n"/>
      <c r="BA156" s="27" t="n"/>
      <c r="BB156" s="27" t="n"/>
      <c r="BC156" s="27" t="n"/>
      <c r="BD156" s="27" t="n"/>
      <c r="BE156" s="27" t="n"/>
      <c r="BF156" s="27" t="n"/>
      <c r="BG156" s="27" t="n"/>
      <c r="BH156" s="27" t="n"/>
      <c r="BI156" s="29" t="n"/>
      <c r="BJ156" s="27" t="n"/>
      <c r="BK156" s="27" t="n"/>
      <c r="BL156" s="27" t="n"/>
      <c r="BM156" s="27" t="n"/>
    </row>
    <row r="157">
      <c r="A157" s="27" t="n"/>
      <c r="B157" s="27" t="n"/>
      <c r="C157" s="28">
        <f>IF(A157="","",$B$2)</f>
        <v/>
      </c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  <c r="AA157" s="27" t="n"/>
      <c r="AB157" s="27" t="n"/>
      <c r="AC157" s="27" t="n"/>
      <c r="AD157" s="27" t="n"/>
      <c r="AE157" s="27" t="n"/>
      <c r="AF157" s="27" t="n"/>
      <c r="AG157" s="27" t="n"/>
      <c r="AH157" s="27" t="n"/>
      <c r="AI157" s="27" t="n"/>
      <c r="AJ157" s="27" t="n"/>
      <c r="AK157" s="27" t="n"/>
      <c r="AL157" s="27" t="n"/>
      <c r="AM157" s="27" t="n"/>
      <c r="AN157" s="27" t="n"/>
      <c r="AO157" s="27" t="n"/>
      <c r="AP157" s="27" t="n"/>
      <c r="AQ157" s="27" t="n"/>
      <c r="AR157" s="27" t="n"/>
      <c r="AS157" s="27" t="n"/>
      <c r="AT157" s="27" t="n"/>
      <c r="AU157" s="27" t="n"/>
      <c r="AV157" s="27" t="n"/>
      <c r="AW157" s="27" t="n"/>
      <c r="AX157" s="27" t="n"/>
      <c r="AY157" s="27" t="n"/>
      <c r="AZ157" s="27" t="n"/>
      <c r="BA157" s="27" t="n"/>
      <c r="BB157" s="27" t="n"/>
      <c r="BC157" s="27" t="n"/>
      <c r="BD157" s="27" t="n"/>
      <c r="BE157" s="27" t="n"/>
      <c r="BF157" s="27" t="n"/>
      <c r="BG157" s="27" t="n"/>
      <c r="BH157" s="27" t="n"/>
      <c r="BI157" s="29" t="n"/>
      <c r="BJ157" s="27" t="n"/>
      <c r="BK157" s="27" t="n"/>
      <c r="BL157" s="27" t="n"/>
      <c r="BM157" s="27" t="n"/>
    </row>
    <row r="158">
      <c r="A158" s="27" t="n"/>
      <c r="B158" s="27" t="n"/>
      <c r="C158" s="28">
        <f>IF(A158="","",$B$2)</f>
        <v/>
      </c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  <c r="AA158" s="27" t="n"/>
      <c r="AB158" s="27" t="n"/>
      <c r="AC158" s="27" t="n"/>
      <c r="AD158" s="27" t="n"/>
      <c r="AE158" s="27" t="n"/>
      <c r="AF158" s="27" t="n"/>
      <c r="AG158" s="27" t="n"/>
      <c r="AH158" s="27" t="n"/>
      <c r="AI158" s="27" t="n"/>
      <c r="AJ158" s="27" t="n"/>
      <c r="AK158" s="27" t="n"/>
      <c r="AL158" s="27" t="n"/>
      <c r="AM158" s="27" t="n"/>
      <c r="AN158" s="27" t="n"/>
      <c r="AO158" s="27" t="n"/>
      <c r="AP158" s="27" t="n"/>
      <c r="AQ158" s="27" t="n"/>
      <c r="AR158" s="27" t="n"/>
      <c r="AS158" s="27" t="n"/>
      <c r="AT158" s="27" t="n"/>
      <c r="AU158" s="27" t="n"/>
      <c r="AV158" s="27" t="n"/>
      <c r="AW158" s="27" t="n"/>
      <c r="AX158" s="27" t="n"/>
      <c r="AY158" s="27" t="n"/>
      <c r="AZ158" s="27" t="n"/>
      <c r="BA158" s="27" t="n"/>
      <c r="BB158" s="27" t="n"/>
      <c r="BC158" s="27" t="n"/>
      <c r="BD158" s="27" t="n"/>
      <c r="BE158" s="27" t="n"/>
      <c r="BF158" s="27" t="n"/>
      <c r="BG158" s="27" t="n"/>
      <c r="BH158" s="27" t="n"/>
      <c r="BI158" s="29" t="n"/>
      <c r="BJ158" s="27" t="n"/>
      <c r="BK158" s="27" t="n"/>
      <c r="BL158" s="27" t="n"/>
      <c r="BM158" s="27" t="n"/>
    </row>
    <row r="159">
      <c r="A159" s="27" t="n"/>
      <c r="B159" s="27" t="n"/>
      <c r="C159" s="28">
        <f>IF(A159="","",$B$2)</f>
        <v/>
      </c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  <c r="AA159" s="27" t="n"/>
      <c r="AB159" s="27" t="n"/>
      <c r="AC159" s="27" t="n"/>
      <c r="AD159" s="27" t="n"/>
      <c r="AE159" s="27" t="n"/>
      <c r="AF159" s="27" t="n"/>
      <c r="AG159" s="27" t="n"/>
      <c r="AH159" s="27" t="n"/>
      <c r="AI159" s="27" t="n"/>
      <c r="AJ159" s="27" t="n"/>
      <c r="AK159" s="27" t="n"/>
      <c r="AL159" s="27" t="n"/>
      <c r="AM159" s="27" t="n"/>
      <c r="AN159" s="27" t="n"/>
      <c r="AO159" s="27" t="n"/>
      <c r="AP159" s="27" t="n"/>
      <c r="AQ159" s="27" t="n"/>
      <c r="AR159" s="27" t="n"/>
      <c r="AS159" s="27" t="n"/>
      <c r="AT159" s="27" t="n"/>
      <c r="AU159" s="27" t="n"/>
      <c r="AV159" s="27" t="n"/>
      <c r="AW159" s="27" t="n"/>
      <c r="AX159" s="27" t="n"/>
      <c r="AY159" s="27" t="n"/>
      <c r="AZ159" s="27" t="n"/>
      <c r="BA159" s="27" t="n"/>
      <c r="BB159" s="27" t="n"/>
      <c r="BC159" s="27" t="n"/>
      <c r="BD159" s="27" t="n"/>
      <c r="BE159" s="27" t="n"/>
      <c r="BF159" s="27" t="n"/>
      <c r="BG159" s="27" t="n"/>
      <c r="BH159" s="27" t="n"/>
      <c r="BI159" s="29" t="n"/>
      <c r="BJ159" s="27" t="n"/>
      <c r="BK159" s="27" t="n"/>
      <c r="BL159" s="27" t="n"/>
      <c r="BM159" s="27" t="n"/>
    </row>
    <row r="160">
      <c r="A160" s="27" t="n"/>
      <c r="B160" s="27" t="n"/>
      <c r="C160" s="28">
        <f>IF(A160="","",$B$2)</f>
        <v/>
      </c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  <c r="AA160" s="27" t="n"/>
      <c r="AB160" s="27" t="n"/>
      <c r="AC160" s="27" t="n"/>
      <c r="AD160" s="27" t="n"/>
      <c r="AE160" s="27" t="n"/>
      <c r="AF160" s="27" t="n"/>
      <c r="AG160" s="27" t="n"/>
      <c r="AH160" s="27" t="n"/>
      <c r="AI160" s="27" t="n"/>
      <c r="AJ160" s="27" t="n"/>
      <c r="AK160" s="27" t="n"/>
      <c r="AL160" s="27" t="n"/>
      <c r="AM160" s="27" t="n"/>
      <c r="AN160" s="27" t="n"/>
      <c r="AO160" s="27" t="n"/>
      <c r="AP160" s="27" t="n"/>
      <c r="AQ160" s="27" t="n"/>
      <c r="AR160" s="27" t="n"/>
      <c r="AS160" s="27" t="n"/>
      <c r="AT160" s="27" t="n"/>
      <c r="AU160" s="27" t="n"/>
      <c r="AV160" s="27" t="n"/>
      <c r="AW160" s="27" t="n"/>
      <c r="AX160" s="27" t="n"/>
      <c r="AY160" s="27" t="n"/>
      <c r="AZ160" s="27" t="n"/>
      <c r="BA160" s="27" t="n"/>
      <c r="BB160" s="27" t="n"/>
      <c r="BC160" s="27" t="n"/>
      <c r="BD160" s="27" t="n"/>
      <c r="BE160" s="27" t="n"/>
      <c r="BF160" s="27" t="n"/>
      <c r="BG160" s="27" t="n"/>
      <c r="BH160" s="27" t="n"/>
      <c r="BI160" s="29" t="n"/>
      <c r="BJ160" s="27" t="n"/>
      <c r="BK160" s="27" t="n"/>
      <c r="BL160" s="27" t="n"/>
      <c r="BM160" s="27" t="n"/>
    </row>
    <row r="161">
      <c r="A161" s="27" t="n"/>
      <c r="B161" s="27" t="n"/>
      <c r="C161" s="28">
        <f>IF(A161="","",$B$2)</f>
        <v/>
      </c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  <c r="AA161" s="27" t="n"/>
      <c r="AB161" s="27" t="n"/>
      <c r="AC161" s="27" t="n"/>
      <c r="AD161" s="27" t="n"/>
      <c r="AE161" s="27" t="n"/>
      <c r="AF161" s="27" t="n"/>
      <c r="AG161" s="27" t="n"/>
      <c r="AH161" s="27" t="n"/>
      <c r="AI161" s="27" t="n"/>
      <c r="AJ161" s="27" t="n"/>
      <c r="AK161" s="27" t="n"/>
      <c r="AL161" s="27" t="n"/>
      <c r="AM161" s="27" t="n"/>
      <c r="AN161" s="27" t="n"/>
      <c r="AO161" s="27" t="n"/>
      <c r="AP161" s="27" t="n"/>
      <c r="AQ161" s="27" t="n"/>
      <c r="AR161" s="27" t="n"/>
      <c r="AS161" s="27" t="n"/>
      <c r="AT161" s="27" t="n"/>
      <c r="AU161" s="27" t="n"/>
      <c r="AV161" s="27" t="n"/>
      <c r="AW161" s="27" t="n"/>
      <c r="AX161" s="27" t="n"/>
      <c r="AY161" s="27" t="n"/>
      <c r="AZ161" s="27" t="n"/>
      <c r="BA161" s="27" t="n"/>
      <c r="BB161" s="27" t="n"/>
      <c r="BC161" s="27" t="n"/>
      <c r="BD161" s="27" t="n"/>
      <c r="BE161" s="27" t="n"/>
      <c r="BF161" s="27" t="n"/>
      <c r="BG161" s="27" t="n"/>
      <c r="BH161" s="27" t="n"/>
      <c r="BI161" s="29" t="n"/>
      <c r="BJ161" s="27" t="n"/>
      <c r="BK161" s="27" t="n"/>
      <c r="BL161" s="27" t="n"/>
      <c r="BM161" s="27" t="n"/>
    </row>
    <row r="162">
      <c r="A162" s="27" t="n"/>
      <c r="B162" s="27" t="n"/>
      <c r="C162" s="28">
        <f>IF(A162="","",$B$2)</f>
        <v/>
      </c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  <c r="AA162" s="27" t="n"/>
      <c r="AB162" s="27" t="n"/>
      <c r="AC162" s="27" t="n"/>
      <c r="AD162" s="27" t="n"/>
      <c r="AE162" s="27" t="n"/>
      <c r="AF162" s="27" t="n"/>
      <c r="AG162" s="27" t="n"/>
      <c r="AH162" s="27" t="n"/>
      <c r="AI162" s="27" t="n"/>
      <c r="AJ162" s="27" t="n"/>
      <c r="AK162" s="27" t="n"/>
      <c r="AL162" s="27" t="n"/>
      <c r="AM162" s="27" t="n"/>
      <c r="AN162" s="27" t="n"/>
      <c r="AO162" s="27" t="n"/>
      <c r="AP162" s="27" t="n"/>
      <c r="AQ162" s="27" t="n"/>
      <c r="AR162" s="27" t="n"/>
      <c r="AS162" s="27" t="n"/>
      <c r="AT162" s="27" t="n"/>
      <c r="AU162" s="27" t="n"/>
      <c r="AV162" s="27" t="n"/>
      <c r="AW162" s="27" t="n"/>
      <c r="AX162" s="27" t="n"/>
      <c r="AY162" s="27" t="n"/>
      <c r="AZ162" s="27" t="n"/>
      <c r="BA162" s="27" t="n"/>
      <c r="BB162" s="27" t="n"/>
      <c r="BC162" s="27" t="n"/>
      <c r="BD162" s="27" t="n"/>
      <c r="BE162" s="27" t="n"/>
      <c r="BF162" s="27" t="n"/>
      <c r="BG162" s="27" t="n"/>
      <c r="BH162" s="27" t="n"/>
      <c r="BI162" s="29" t="n"/>
      <c r="BJ162" s="27" t="n"/>
      <c r="BK162" s="27" t="n"/>
      <c r="BL162" s="27" t="n"/>
      <c r="BM162" s="27" t="n"/>
    </row>
    <row r="163">
      <c r="A163" s="27" t="n"/>
      <c r="B163" s="27" t="n"/>
      <c r="C163" s="28">
        <f>IF(A163="","",$B$2)</f>
        <v/>
      </c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  <c r="AA163" s="27" t="n"/>
      <c r="AB163" s="27" t="n"/>
      <c r="AC163" s="27" t="n"/>
      <c r="AD163" s="27" t="n"/>
      <c r="AE163" s="27" t="n"/>
      <c r="AF163" s="27" t="n"/>
      <c r="AG163" s="27" t="n"/>
      <c r="AH163" s="27" t="n"/>
      <c r="AI163" s="27" t="n"/>
      <c r="AJ163" s="27" t="n"/>
      <c r="AK163" s="27" t="n"/>
      <c r="AL163" s="27" t="n"/>
      <c r="AM163" s="27" t="n"/>
      <c r="AN163" s="27" t="n"/>
      <c r="AO163" s="27" t="n"/>
      <c r="AP163" s="27" t="n"/>
      <c r="AQ163" s="27" t="n"/>
      <c r="AR163" s="27" t="n"/>
      <c r="AS163" s="27" t="n"/>
      <c r="AT163" s="27" t="n"/>
      <c r="AU163" s="27" t="n"/>
      <c r="AV163" s="27" t="n"/>
      <c r="AW163" s="27" t="n"/>
      <c r="AX163" s="27" t="n"/>
      <c r="AY163" s="27" t="n"/>
      <c r="AZ163" s="27" t="n"/>
      <c r="BA163" s="27" t="n"/>
      <c r="BB163" s="27" t="n"/>
      <c r="BC163" s="27" t="n"/>
      <c r="BD163" s="27" t="n"/>
      <c r="BE163" s="27" t="n"/>
      <c r="BF163" s="27" t="n"/>
      <c r="BG163" s="27" t="n"/>
      <c r="BH163" s="27" t="n"/>
      <c r="BI163" s="29" t="n"/>
      <c r="BJ163" s="27" t="n"/>
      <c r="BK163" s="27" t="n"/>
      <c r="BL163" s="27" t="n"/>
      <c r="BM163" s="27" t="n"/>
    </row>
    <row r="164">
      <c r="A164" s="27" t="n"/>
      <c r="B164" s="27" t="n"/>
      <c r="C164" s="28">
        <f>IF(A164="","",$B$2)</f>
        <v/>
      </c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  <c r="AA164" s="27" t="n"/>
      <c r="AB164" s="27" t="n"/>
      <c r="AC164" s="27" t="n"/>
      <c r="AD164" s="27" t="n"/>
      <c r="AE164" s="27" t="n"/>
      <c r="AF164" s="27" t="n"/>
      <c r="AG164" s="27" t="n"/>
      <c r="AH164" s="27" t="n"/>
      <c r="AI164" s="27" t="n"/>
      <c r="AJ164" s="27" t="n"/>
      <c r="AK164" s="27" t="n"/>
      <c r="AL164" s="27" t="n"/>
      <c r="AM164" s="27" t="n"/>
      <c r="AN164" s="27" t="n"/>
      <c r="AO164" s="27" t="n"/>
      <c r="AP164" s="27" t="n"/>
      <c r="AQ164" s="27" t="n"/>
      <c r="AR164" s="27" t="n"/>
      <c r="AS164" s="27" t="n"/>
      <c r="AT164" s="27" t="n"/>
      <c r="AU164" s="27" t="n"/>
      <c r="AV164" s="27" t="n"/>
      <c r="AW164" s="27" t="n"/>
      <c r="AX164" s="27" t="n"/>
      <c r="AY164" s="27" t="n"/>
      <c r="AZ164" s="27" t="n"/>
      <c r="BA164" s="27" t="n"/>
      <c r="BB164" s="27" t="n"/>
      <c r="BC164" s="27" t="n"/>
      <c r="BD164" s="27" t="n"/>
      <c r="BE164" s="27" t="n"/>
      <c r="BF164" s="27" t="n"/>
      <c r="BG164" s="27" t="n"/>
      <c r="BH164" s="27" t="n"/>
      <c r="BI164" s="29" t="n"/>
      <c r="BJ164" s="27" t="n"/>
      <c r="BK164" s="27" t="n"/>
      <c r="BL164" s="27" t="n"/>
      <c r="BM164" s="27" t="n"/>
    </row>
    <row r="165">
      <c r="A165" s="27" t="n"/>
      <c r="B165" s="27" t="n"/>
      <c r="C165" s="28">
        <f>IF(A165="","",$B$2)</f>
        <v/>
      </c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  <c r="AA165" s="27" t="n"/>
      <c r="AB165" s="27" t="n"/>
      <c r="AC165" s="27" t="n"/>
      <c r="AD165" s="27" t="n"/>
      <c r="AE165" s="27" t="n"/>
      <c r="AF165" s="27" t="n"/>
      <c r="AG165" s="27" t="n"/>
      <c r="AH165" s="27" t="n"/>
      <c r="AI165" s="27" t="n"/>
      <c r="AJ165" s="27" t="n"/>
      <c r="AK165" s="27" t="n"/>
      <c r="AL165" s="27" t="n"/>
      <c r="AM165" s="27" t="n"/>
      <c r="AN165" s="27" t="n"/>
      <c r="AO165" s="27" t="n"/>
      <c r="AP165" s="27" t="n"/>
      <c r="AQ165" s="27" t="n"/>
      <c r="AR165" s="27" t="n"/>
      <c r="AS165" s="27" t="n"/>
      <c r="AT165" s="27" t="n"/>
      <c r="AU165" s="27" t="n"/>
      <c r="AV165" s="27" t="n"/>
      <c r="AW165" s="27" t="n"/>
      <c r="AX165" s="27" t="n"/>
      <c r="AY165" s="27" t="n"/>
      <c r="AZ165" s="27" t="n"/>
      <c r="BA165" s="27" t="n"/>
      <c r="BB165" s="27" t="n"/>
      <c r="BC165" s="27" t="n"/>
      <c r="BD165" s="27" t="n"/>
      <c r="BE165" s="27" t="n"/>
      <c r="BF165" s="27" t="n"/>
      <c r="BG165" s="27" t="n"/>
      <c r="BH165" s="27" t="n"/>
      <c r="BI165" s="29" t="n"/>
      <c r="BJ165" s="27" t="n"/>
      <c r="BK165" s="27" t="n"/>
      <c r="BL165" s="27" t="n"/>
      <c r="BM165" s="27" t="n"/>
    </row>
    <row r="166">
      <c r="A166" s="27" t="n"/>
      <c r="B166" s="27" t="n"/>
      <c r="C166" s="28">
        <f>IF(A166="","",$B$2)</f>
        <v/>
      </c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  <c r="AA166" s="27" t="n"/>
      <c r="AB166" s="27" t="n"/>
      <c r="AC166" s="27" t="n"/>
      <c r="AD166" s="27" t="n"/>
      <c r="AE166" s="27" t="n"/>
      <c r="AF166" s="27" t="n"/>
      <c r="AG166" s="27" t="n"/>
      <c r="AH166" s="27" t="n"/>
      <c r="AI166" s="27" t="n"/>
      <c r="AJ166" s="27" t="n"/>
      <c r="AK166" s="27" t="n"/>
      <c r="AL166" s="27" t="n"/>
      <c r="AM166" s="27" t="n"/>
      <c r="AN166" s="27" t="n"/>
      <c r="AO166" s="27" t="n"/>
      <c r="AP166" s="27" t="n"/>
      <c r="AQ166" s="27" t="n"/>
      <c r="AR166" s="27" t="n"/>
      <c r="AS166" s="27" t="n"/>
      <c r="AT166" s="27" t="n"/>
      <c r="AU166" s="27" t="n"/>
      <c r="AV166" s="27" t="n"/>
      <c r="AW166" s="27" t="n"/>
      <c r="AX166" s="27" t="n"/>
      <c r="AY166" s="27" t="n"/>
      <c r="AZ166" s="27" t="n"/>
      <c r="BA166" s="27" t="n"/>
      <c r="BB166" s="27" t="n"/>
      <c r="BC166" s="27" t="n"/>
      <c r="BD166" s="27" t="n"/>
      <c r="BE166" s="27" t="n"/>
      <c r="BF166" s="27" t="n"/>
      <c r="BG166" s="27" t="n"/>
      <c r="BH166" s="27" t="n"/>
      <c r="BI166" s="29" t="n"/>
      <c r="BJ166" s="27" t="n"/>
      <c r="BK166" s="27" t="n"/>
      <c r="BL166" s="27" t="n"/>
      <c r="BM166" s="27" t="n"/>
    </row>
    <row r="167">
      <c r="A167" s="27" t="n"/>
      <c r="B167" s="27" t="n"/>
      <c r="C167" s="28">
        <f>IF(A167="","",$B$2)</f>
        <v/>
      </c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  <c r="AA167" s="27" t="n"/>
      <c r="AB167" s="27" t="n"/>
      <c r="AC167" s="27" t="n"/>
      <c r="AD167" s="27" t="n"/>
      <c r="AE167" s="27" t="n"/>
      <c r="AF167" s="27" t="n"/>
      <c r="AG167" s="27" t="n"/>
      <c r="AH167" s="27" t="n"/>
      <c r="AI167" s="27" t="n"/>
      <c r="AJ167" s="27" t="n"/>
      <c r="AK167" s="27" t="n"/>
      <c r="AL167" s="27" t="n"/>
      <c r="AM167" s="27" t="n"/>
      <c r="AN167" s="27" t="n"/>
      <c r="AO167" s="27" t="n"/>
      <c r="AP167" s="27" t="n"/>
      <c r="AQ167" s="27" t="n"/>
      <c r="AR167" s="27" t="n"/>
      <c r="AS167" s="27" t="n"/>
      <c r="AT167" s="27" t="n"/>
      <c r="AU167" s="27" t="n"/>
      <c r="AV167" s="27" t="n"/>
      <c r="AW167" s="27" t="n"/>
      <c r="AX167" s="27" t="n"/>
      <c r="AY167" s="27" t="n"/>
      <c r="AZ167" s="27" t="n"/>
      <c r="BA167" s="27" t="n"/>
      <c r="BB167" s="27" t="n"/>
      <c r="BC167" s="27" t="n"/>
      <c r="BD167" s="27" t="n"/>
      <c r="BE167" s="27" t="n"/>
      <c r="BF167" s="27" t="n"/>
      <c r="BG167" s="27" t="n"/>
      <c r="BH167" s="27" t="n"/>
      <c r="BI167" s="29" t="n"/>
      <c r="BJ167" s="27" t="n"/>
      <c r="BK167" s="27" t="n"/>
      <c r="BL167" s="27" t="n"/>
      <c r="BM167" s="27" t="n"/>
    </row>
    <row r="168">
      <c r="A168" s="27" t="n"/>
      <c r="B168" s="27" t="n"/>
      <c r="C168" s="28">
        <f>IF(A168="","",$B$2)</f>
        <v/>
      </c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  <c r="AA168" s="27" t="n"/>
      <c r="AB168" s="27" t="n"/>
      <c r="AC168" s="27" t="n"/>
      <c r="AD168" s="27" t="n"/>
      <c r="AE168" s="27" t="n"/>
      <c r="AF168" s="27" t="n"/>
      <c r="AG168" s="27" t="n"/>
      <c r="AH168" s="27" t="n"/>
      <c r="AI168" s="27" t="n"/>
      <c r="AJ168" s="27" t="n"/>
      <c r="AK168" s="27" t="n"/>
      <c r="AL168" s="27" t="n"/>
      <c r="AM168" s="27" t="n"/>
      <c r="AN168" s="27" t="n"/>
      <c r="AO168" s="27" t="n"/>
      <c r="AP168" s="27" t="n"/>
      <c r="AQ168" s="27" t="n"/>
      <c r="AR168" s="27" t="n"/>
      <c r="AS168" s="27" t="n"/>
      <c r="AT168" s="27" t="n"/>
      <c r="AU168" s="27" t="n"/>
      <c r="AV168" s="27" t="n"/>
      <c r="AW168" s="27" t="n"/>
      <c r="AX168" s="27" t="n"/>
      <c r="AY168" s="27" t="n"/>
      <c r="AZ168" s="27" t="n"/>
      <c r="BA168" s="27" t="n"/>
      <c r="BB168" s="27" t="n"/>
      <c r="BC168" s="27" t="n"/>
      <c r="BD168" s="27" t="n"/>
      <c r="BE168" s="27" t="n"/>
      <c r="BF168" s="27" t="n"/>
      <c r="BG168" s="27" t="n"/>
      <c r="BH168" s="27" t="n"/>
      <c r="BI168" s="29" t="n"/>
      <c r="BJ168" s="27" t="n"/>
      <c r="BK168" s="27" t="n"/>
      <c r="BL168" s="27" t="n"/>
      <c r="BM168" s="27" t="n"/>
    </row>
    <row r="169">
      <c r="A169" s="27" t="n"/>
      <c r="B169" s="27" t="n"/>
      <c r="C169" s="28">
        <f>IF(A169="","",$B$2)</f>
        <v/>
      </c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  <c r="AA169" s="27" t="n"/>
      <c r="AB169" s="27" t="n"/>
      <c r="AC169" s="27" t="n"/>
      <c r="AD169" s="27" t="n"/>
      <c r="AE169" s="27" t="n"/>
      <c r="AF169" s="27" t="n"/>
      <c r="AG169" s="27" t="n"/>
      <c r="AH169" s="27" t="n"/>
      <c r="AI169" s="27" t="n"/>
      <c r="AJ169" s="27" t="n"/>
      <c r="AK169" s="27" t="n"/>
      <c r="AL169" s="27" t="n"/>
      <c r="AM169" s="27" t="n"/>
      <c r="AN169" s="27" t="n"/>
      <c r="AO169" s="27" t="n"/>
      <c r="AP169" s="27" t="n"/>
      <c r="AQ169" s="27" t="n"/>
      <c r="AR169" s="27" t="n"/>
      <c r="AS169" s="27" t="n"/>
      <c r="AT169" s="27" t="n"/>
      <c r="AU169" s="27" t="n"/>
      <c r="AV169" s="27" t="n"/>
      <c r="AW169" s="27" t="n"/>
      <c r="AX169" s="27" t="n"/>
      <c r="AY169" s="27" t="n"/>
      <c r="AZ169" s="27" t="n"/>
      <c r="BA169" s="27" t="n"/>
      <c r="BB169" s="27" t="n"/>
      <c r="BC169" s="27" t="n"/>
      <c r="BD169" s="27" t="n"/>
      <c r="BE169" s="27" t="n"/>
      <c r="BF169" s="27" t="n"/>
      <c r="BG169" s="27" t="n"/>
      <c r="BH169" s="27" t="n"/>
      <c r="BI169" s="29" t="n"/>
      <c r="BJ169" s="27" t="n"/>
      <c r="BK169" s="27" t="n"/>
      <c r="BL169" s="27" t="n"/>
      <c r="BM169" s="27" t="n"/>
    </row>
    <row r="170">
      <c r="A170" s="27" t="n"/>
      <c r="B170" s="27" t="n"/>
      <c r="C170" s="28">
        <f>IF(A170="","",$B$2)</f>
        <v/>
      </c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  <c r="AA170" s="27" t="n"/>
      <c r="AB170" s="27" t="n"/>
      <c r="AC170" s="27" t="n"/>
      <c r="AD170" s="27" t="n"/>
      <c r="AE170" s="27" t="n"/>
      <c r="AF170" s="27" t="n"/>
      <c r="AG170" s="27" t="n"/>
      <c r="AH170" s="27" t="n"/>
      <c r="AI170" s="27" t="n"/>
      <c r="AJ170" s="27" t="n"/>
      <c r="AK170" s="27" t="n"/>
      <c r="AL170" s="27" t="n"/>
      <c r="AM170" s="27" t="n"/>
      <c r="AN170" s="27" t="n"/>
      <c r="AO170" s="27" t="n"/>
      <c r="AP170" s="27" t="n"/>
      <c r="AQ170" s="27" t="n"/>
      <c r="AR170" s="27" t="n"/>
      <c r="AS170" s="27" t="n"/>
      <c r="AT170" s="27" t="n"/>
      <c r="AU170" s="27" t="n"/>
      <c r="AV170" s="27" t="n"/>
      <c r="AW170" s="27" t="n"/>
      <c r="AX170" s="27" t="n"/>
      <c r="AY170" s="27" t="n"/>
      <c r="AZ170" s="27" t="n"/>
      <c r="BA170" s="27" t="n"/>
      <c r="BB170" s="27" t="n"/>
      <c r="BC170" s="27" t="n"/>
      <c r="BD170" s="27" t="n"/>
      <c r="BE170" s="27" t="n"/>
      <c r="BF170" s="27" t="n"/>
      <c r="BG170" s="27" t="n"/>
      <c r="BH170" s="27" t="n"/>
      <c r="BI170" s="29" t="n"/>
      <c r="BJ170" s="27" t="n"/>
      <c r="BK170" s="27" t="n"/>
      <c r="BL170" s="27" t="n"/>
      <c r="BM170" s="27" t="n"/>
    </row>
    <row r="171">
      <c r="A171" s="27" t="n"/>
      <c r="B171" s="27" t="n"/>
      <c r="C171" s="28">
        <f>IF(A171="","",$B$2)</f>
        <v/>
      </c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  <c r="AA171" s="27" t="n"/>
      <c r="AB171" s="27" t="n"/>
      <c r="AC171" s="27" t="n"/>
      <c r="AD171" s="27" t="n"/>
      <c r="AE171" s="27" t="n"/>
      <c r="AF171" s="27" t="n"/>
      <c r="AG171" s="27" t="n"/>
      <c r="AH171" s="27" t="n"/>
      <c r="AI171" s="27" t="n"/>
      <c r="AJ171" s="27" t="n"/>
      <c r="AK171" s="27" t="n"/>
      <c r="AL171" s="27" t="n"/>
      <c r="AM171" s="27" t="n"/>
      <c r="AN171" s="27" t="n"/>
      <c r="AO171" s="27" t="n"/>
      <c r="AP171" s="27" t="n"/>
      <c r="AQ171" s="27" t="n"/>
      <c r="AR171" s="27" t="n"/>
      <c r="AS171" s="27" t="n"/>
      <c r="AT171" s="27" t="n"/>
      <c r="AU171" s="27" t="n"/>
      <c r="AV171" s="27" t="n"/>
      <c r="AW171" s="27" t="n"/>
      <c r="AX171" s="27" t="n"/>
      <c r="AY171" s="27" t="n"/>
      <c r="AZ171" s="27" t="n"/>
      <c r="BA171" s="27" t="n"/>
      <c r="BB171" s="27" t="n"/>
      <c r="BC171" s="27" t="n"/>
      <c r="BD171" s="27" t="n"/>
      <c r="BE171" s="27" t="n"/>
      <c r="BF171" s="27" t="n"/>
      <c r="BG171" s="27" t="n"/>
      <c r="BH171" s="27" t="n"/>
      <c r="BI171" s="29" t="n"/>
      <c r="BJ171" s="27" t="n"/>
      <c r="BK171" s="27" t="n"/>
      <c r="BL171" s="27" t="n"/>
      <c r="BM171" s="27" t="n"/>
    </row>
    <row r="172">
      <c r="A172" s="27" t="n"/>
      <c r="B172" s="27" t="n"/>
      <c r="C172" s="28">
        <f>IF(A172="","",$B$2)</f>
        <v/>
      </c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  <c r="AA172" s="27" t="n"/>
      <c r="AB172" s="27" t="n"/>
      <c r="AC172" s="27" t="n"/>
      <c r="AD172" s="27" t="n"/>
      <c r="AE172" s="27" t="n"/>
      <c r="AF172" s="27" t="n"/>
      <c r="AG172" s="27" t="n"/>
      <c r="AH172" s="27" t="n"/>
      <c r="AI172" s="27" t="n"/>
      <c r="AJ172" s="27" t="n"/>
      <c r="AK172" s="27" t="n"/>
      <c r="AL172" s="27" t="n"/>
      <c r="AM172" s="27" t="n"/>
      <c r="AN172" s="27" t="n"/>
      <c r="AO172" s="27" t="n"/>
      <c r="AP172" s="27" t="n"/>
      <c r="AQ172" s="27" t="n"/>
      <c r="AR172" s="27" t="n"/>
      <c r="AS172" s="27" t="n"/>
      <c r="AT172" s="27" t="n"/>
      <c r="AU172" s="27" t="n"/>
      <c r="AV172" s="27" t="n"/>
      <c r="AW172" s="27" t="n"/>
      <c r="AX172" s="27" t="n"/>
      <c r="AY172" s="27" t="n"/>
      <c r="AZ172" s="27" t="n"/>
      <c r="BA172" s="27" t="n"/>
      <c r="BB172" s="27" t="n"/>
      <c r="BC172" s="27" t="n"/>
      <c r="BD172" s="27" t="n"/>
      <c r="BE172" s="27" t="n"/>
      <c r="BF172" s="27" t="n"/>
      <c r="BG172" s="27" t="n"/>
      <c r="BH172" s="27" t="n"/>
      <c r="BI172" s="29" t="n"/>
      <c r="BJ172" s="27" t="n"/>
      <c r="BK172" s="27" t="n"/>
      <c r="BL172" s="27" t="n"/>
      <c r="BM172" s="27" t="n"/>
    </row>
    <row r="173">
      <c r="A173" s="27" t="n"/>
      <c r="B173" s="27" t="n"/>
      <c r="C173" s="28">
        <f>IF(A173="","",$B$2)</f>
        <v/>
      </c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  <c r="AA173" s="27" t="n"/>
      <c r="AB173" s="27" t="n"/>
      <c r="AC173" s="27" t="n"/>
      <c r="AD173" s="27" t="n"/>
      <c r="AE173" s="27" t="n"/>
      <c r="AF173" s="27" t="n"/>
      <c r="AG173" s="27" t="n"/>
      <c r="AH173" s="27" t="n"/>
      <c r="AI173" s="27" t="n"/>
      <c r="AJ173" s="27" t="n"/>
      <c r="AK173" s="27" t="n"/>
      <c r="AL173" s="27" t="n"/>
      <c r="AM173" s="27" t="n"/>
      <c r="AN173" s="27" t="n"/>
      <c r="AO173" s="27" t="n"/>
      <c r="AP173" s="27" t="n"/>
      <c r="AQ173" s="27" t="n"/>
      <c r="AR173" s="27" t="n"/>
      <c r="AS173" s="27" t="n"/>
      <c r="AT173" s="27" t="n"/>
      <c r="AU173" s="27" t="n"/>
      <c r="AV173" s="27" t="n"/>
      <c r="AW173" s="27" t="n"/>
      <c r="AX173" s="27" t="n"/>
      <c r="AY173" s="27" t="n"/>
      <c r="AZ173" s="27" t="n"/>
      <c r="BA173" s="27" t="n"/>
      <c r="BB173" s="27" t="n"/>
      <c r="BC173" s="27" t="n"/>
      <c r="BD173" s="27" t="n"/>
      <c r="BE173" s="27" t="n"/>
      <c r="BF173" s="27" t="n"/>
      <c r="BG173" s="27" t="n"/>
      <c r="BH173" s="27" t="n"/>
      <c r="BI173" s="29" t="n"/>
      <c r="BJ173" s="27" t="n"/>
      <c r="BK173" s="27" t="n"/>
      <c r="BL173" s="27" t="n"/>
      <c r="BM173" s="27" t="n"/>
    </row>
    <row r="174">
      <c r="A174" s="27" t="n"/>
      <c r="B174" s="27" t="n"/>
      <c r="C174" s="28">
        <f>IF(A174="","",$B$2)</f>
        <v/>
      </c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  <c r="AA174" s="27" t="n"/>
      <c r="AB174" s="27" t="n"/>
      <c r="AC174" s="27" t="n"/>
      <c r="AD174" s="27" t="n"/>
      <c r="AE174" s="27" t="n"/>
      <c r="AF174" s="27" t="n"/>
      <c r="AG174" s="27" t="n"/>
      <c r="AH174" s="27" t="n"/>
      <c r="AI174" s="27" t="n"/>
      <c r="AJ174" s="27" t="n"/>
      <c r="AK174" s="27" t="n"/>
      <c r="AL174" s="27" t="n"/>
      <c r="AM174" s="27" t="n"/>
      <c r="AN174" s="27" t="n"/>
      <c r="AO174" s="27" t="n"/>
      <c r="AP174" s="27" t="n"/>
      <c r="AQ174" s="27" t="n"/>
      <c r="AR174" s="27" t="n"/>
      <c r="AS174" s="27" t="n"/>
      <c r="AT174" s="27" t="n"/>
      <c r="AU174" s="27" t="n"/>
      <c r="AV174" s="27" t="n"/>
      <c r="AW174" s="27" t="n"/>
      <c r="AX174" s="27" t="n"/>
      <c r="AY174" s="27" t="n"/>
      <c r="AZ174" s="27" t="n"/>
      <c r="BA174" s="27" t="n"/>
      <c r="BB174" s="27" t="n"/>
      <c r="BC174" s="27" t="n"/>
      <c r="BD174" s="27" t="n"/>
      <c r="BE174" s="27" t="n"/>
      <c r="BF174" s="27" t="n"/>
      <c r="BG174" s="27" t="n"/>
      <c r="BH174" s="27" t="n"/>
      <c r="BI174" s="29" t="n"/>
      <c r="BJ174" s="27" t="n"/>
      <c r="BK174" s="27" t="n"/>
      <c r="BL174" s="27" t="n"/>
      <c r="BM174" s="27" t="n"/>
    </row>
    <row r="175">
      <c r="A175" s="27" t="n"/>
      <c r="B175" s="27" t="n"/>
      <c r="C175" s="28">
        <f>IF(A175="","",$B$2)</f>
        <v/>
      </c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  <c r="AA175" s="27" t="n"/>
      <c r="AB175" s="27" t="n"/>
      <c r="AC175" s="27" t="n"/>
      <c r="AD175" s="27" t="n"/>
      <c r="AE175" s="27" t="n"/>
      <c r="AF175" s="27" t="n"/>
      <c r="AG175" s="27" t="n"/>
      <c r="AH175" s="27" t="n"/>
      <c r="AI175" s="27" t="n"/>
      <c r="AJ175" s="27" t="n"/>
      <c r="AK175" s="27" t="n"/>
      <c r="AL175" s="27" t="n"/>
      <c r="AM175" s="27" t="n"/>
      <c r="AN175" s="27" t="n"/>
      <c r="AO175" s="27" t="n"/>
      <c r="AP175" s="27" t="n"/>
      <c r="AQ175" s="27" t="n"/>
      <c r="AR175" s="27" t="n"/>
      <c r="AS175" s="27" t="n"/>
      <c r="AT175" s="27" t="n"/>
      <c r="AU175" s="27" t="n"/>
      <c r="AV175" s="27" t="n"/>
      <c r="AW175" s="27" t="n"/>
      <c r="AX175" s="27" t="n"/>
      <c r="AY175" s="27" t="n"/>
      <c r="AZ175" s="27" t="n"/>
      <c r="BA175" s="27" t="n"/>
      <c r="BB175" s="27" t="n"/>
      <c r="BC175" s="27" t="n"/>
      <c r="BD175" s="27" t="n"/>
      <c r="BE175" s="27" t="n"/>
      <c r="BF175" s="27" t="n"/>
      <c r="BG175" s="27" t="n"/>
      <c r="BH175" s="27" t="n"/>
      <c r="BI175" s="29" t="n"/>
      <c r="BJ175" s="27" t="n"/>
      <c r="BK175" s="27" t="n"/>
      <c r="BL175" s="27" t="n"/>
      <c r="BM175" s="27" t="n"/>
    </row>
    <row r="176">
      <c r="A176" s="27" t="n"/>
      <c r="B176" s="27" t="n"/>
      <c r="C176" s="28">
        <f>IF(A176="","",$B$2)</f>
        <v/>
      </c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  <c r="AA176" s="27" t="n"/>
      <c r="AB176" s="27" t="n"/>
      <c r="AC176" s="27" t="n"/>
      <c r="AD176" s="27" t="n"/>
      <c r="AE176" s="27" t="n"/>
      <c r="AF176" s="27" t="n"/>
      <c r="AG176" s="27" t="n"/>
      <c r="AH176" s="27" t="n"/>
      <c r="AI176" s="27" t="n"/>
      <c r="AJ176" s="27" t="n"/>
      <c r="AK176" s="27" t="n"/>
      <c r="AL176" s="27" t="n"/>
      <c r="AM176" s="27" t="n"/>
      <c r="AN176" s="27" t="n"/>
      <c r="AO176" s="27" t="n"/>
      <c r="AP176" s="27" t="n"/>
      <c r="AQ176" s="27" t="n"/>
      <c r="AR176" s="27" t="n"/>
      <c r="AS176" s="27" t="n"/>
      <c r="AT176" s="27" t="n"/>
      <c r="AU176" s="27" t="n"/>
      <c r="AV176" s="27" t="n"/>
      <c r="AW176" s="27" t="n"/>
      <c r="AX176" s="27" t="n"/>
      <c r="AY176" s="27" t="n"/>
      <c r="AZ176" s="27" t="n"/>
      <c r="BA176" s="27" t="n"/>
      <c r="BB176" s="27" t="n"/>
      <c r="BC176" s="27" t="n"/>
      <c r="BD176" s="27" t="n"/>
      <c r="BE176" s="27" t="n"/>
      <c r="BF176" s="27" t="n"/>
      <c r="BG176" s="27" t="n"/>
      <c r="BH176" s="27" t="n"/>
      <c r="BI176" s="29" t="n"/>
      <c r="BJ176" s="27" t="n"/>
      <c r="BK176" s="27" t="n"/>
      <c r="BL176" s="27" t="n"/>
      <c r="BM176" s="27" t="n"/>
    </row>
    <row r="177">
      <c r="A177" s="27" t="n"/>
      <c r="B177" s="27" t="n"/>
      <c r="C177" s="28">
        <f>IF(A177="","",$B$2)</f>
        <v/>
      </c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  <c r="AA177" s="27" t="n"/>
      <c r="AB177" s="27" t="n"/>
      <c r="AC177" s="27" t="n"/>
      <c r="AD177" s="27" t="n"/>
      <c r="AE177" s="27" t="n"/>
      <c r="AF177" s="27" t="n"/>
      <c r="AG177" s="27" t="n"/>
      <c r="AH177" s="27" t="n"/>
      <c r="AI177" s="27" t="n"/>
      <c r="AJ177" s="27" t="n"/>
      <c r="AK177" s="27" t="n"/>
      <c r="AL177" s="27" t="n"/>
      <c r="AM177" s="27" t="n"/>
      <c r="AN177" s="27" t="n"/>
      <c r="AO177" s="27" t="n"/>
      <c r="AP177" s="27" t="n"/>
      <c r="AQ177" s="27" t="n"/>
      <c r="AR177" s="27" t="n"/>
      <c r="AS177" s="27" t="n"/>
      <c r="AT177" s="27" t="n"/>
      <c r="AU177" s="27" t="n"/>
      <c r="AV177" s="27" t="n"/>
      <c r="AW177" s="27" t="n"/>
      <c r="AX177" s="27" t="n"/>
      <c r="AY177" s="27" t="n"/>
      <c r="AZ177" s="27" t="n"/>
      <c r="BA177" s="27" t="n"/>
      <c r="BB177" s="27" t="n"/>
      <c r="BC177" s="27" t="n"/>
      <c r="BD177" s="27" t="n"/>
      <c r="BE177" s="27" t="n"/>
      <c r="BF177" s="27" t="n"/>
      <c r="BG177" s="27" t="n"/>
      <c r="BH177" s="27" t="n"/>
      <c r="BI177" s="29" t="n"/>
      <c r="BJ177" s="27" t="n"/>
      <c r="BK177" s="27" t="n"/>
      <c r="BL177" s="27" t="n"/>
      <c r="BM177" s="27" t="n"/>
    </row>
    <row r="178">
      <c r="A178" s="27" t="n"/>
      <c r="B178" s="27" t="n"/>
      <c r="C178" s="28">
        <f>IF(A178="","",$B$2)</f>
        <v/>
      </c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  <c r="AA178" s="27" t="n"/>
      <c r="AB178" s="27" t="n"/>
      <c r="AC178" s="27" t="n"/>
      <c r="AD178" s="27" t="n"/>
      <c r="AE178" s="27" t="n"/>
      <c r="AF178" s="27" t="n"/>
      <c r="AG178" s="27" t="n"/>
      <c r="AH178" s="27" t="n"/>
      <c r="AI178" s="27" t="n"/>
      <c r="AJ178" s="27" t="n"/>
      <c r="AK178" s="27" t="n"/>
      <c r="AL178" s="27" t="n"/>
      <c r="AM178" s="27" t="n"/>
      <c r="AN178" s="27" t="n"/>
      <c r="AO178" s="27" t="n"/>
      <c r="AP178" s="27" t="n"/>
      <c r="AQ178" s="27" t="n"/>
      <c r="AR178" s="27" t="n"/>
      <c r="AS178" s="27" t="n"/>
      <c r="AT178" s="27" t="n"/>
      <c r="AU178" s="27" t="n"/>
      <c r="AV178" s="27" t="n"/>
      <c r="AW178" s="27" t="n"/>
      <c r="AX178" s="27" t="n"/>
      <c r="AY178" s="27" t="n"/>
      <c r="AZ178" s="27" t="n"/>
      <c r="BA178" s="27" t="n"/>
      <c r="BB178" s="27" t="n"/>
      <c r="BC178" s="27" t="n"/>
      <c r="BD178" s="27" t="n"/>
      <c r="BE178" s="27" t="n"/>
      <c r="BF178" s="27" t="n"/>
      <c r="BG178" s="27" t="n"/>
      <c r="BH178" s="27" t="n"/>
      <c r="BI178" s="29" t="n"/>
      <c r="BJ178" s="27" t="n"/>
      <c r="BK178" s="27" t="n"/>
      <c r="BL178" s="27" t="n"/>
      <c r="BM178" s="27" t="n"/>
    </row>
    <row r="179">
      <c r="A179" s="27" t="n"/>
      <c r="B179" s="27" t="n"/>
      <c r="C179" s="28">
        <f>IF(A179="","",$B$2)</f>
        <v/>
      </c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  <c r="AA179" s="27" t="n"/>
      <c r="AB179" s="27" t="n"/>
      <c r="AC179" s="27" t="n"/>
      <c r="AD179" s="27" t="n"/>
      <c r="AE179" s="27" t="n"/>
      <c r="AF179" s="27" t="n"/>
      <c r="AG179" s="27" t="n"/>
      <c r="AH179" s="27" t="n"/>
      <c r="AI179" s="27" t="n"/>
      <c r="AJ179" s="27" t="n"/>
      <c r="AK179" s="27" t="n"/>
      <c r="AL179" s="27" t="n"/>
      <c r="AM179" s="27" t="n"/>
      <c r="AN179" s="27" t="n"/>
      <c r="AO179" s="27" t="n"/>
      <c r="AP179" s="27" t="n"/>
      <c r="AQ179" s="27" t="n"/>
      <c r="AR179" s="27" t="n"/>
      <c r="AS179" s="27" t="n"/>
      <c r="AT179" s="27" t="n"/>
      <c r="AU179" s="27" t="n"/>
      <c r="AV179" s="27" t="n"/>
      <c r="AW179" s="27" t="n"/>
      <c r="AX179" s="27" t="n"/>
      <c r="AY179" s="27" t="n"/>
      <c r="AZ179" s="27" t="n"/>
      <c r="BA179" s="27" t="n"/>
      <c r="BB179" s="27" t="n"/>
      <c r="BC179" s="27" t="n"/>
      <c r="BD179" s="27" t="n"/>
      <c r="BE179" s="27" t="n"/>
      <c r="BF179" s="27" t="n"/>
      <c r="BG179" s="27" t="n"/>
      <c r="BH179" s="27" t="n"/>
      <c r="BI179" s="29" t="n"/>
      <c r="BJ179" s="27" t="n"/>
      <c r="BK179" s="27" t="n"/>
      <c r="BL179" s="27" t="n"/>
      <c r="BM179" s="27" t="n"/>
    </row>
    <row r="180">
      <c r="A180" s="27" t="n"/>
      <c r="B180" s="27" t="n"/>
      <c r="C180" s="28">
        <f>IF(A180="","",$B$2)</f>
        <v/>
      </c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  <c r="AA180" s="27" t="n"/>
      <c r="AB180" s="27" t="n"/>
      <c r="AC180" s="27" t="n"/>
      <c r="AD180" s="27" t="n"/>
      <c r="AE180" s="27" t="n"/>
      <c r="AF180" s="27" t="n"/>
      <c r="AG180" s="27" t="n"/>
      <c r="AH180" s="27" t="n"/>
      <c r="AI180" s="27" t="n"/>
      <c r="AJ180" s="27" t="n"/>
      <c r="AK180" s="27" t="n"/>
      <c r="AL180" s="27" t="n"/>
      <c r="AM180" s="27" t="n"/>
      <c r="AN180" s="27" t="n"/>
      <c r="AO180" s="27" t="n"/>
      <c r="AP180" s="27" t="n"/>
      <c r="AQ180" s="27" t="n"/>
      <c r="AR180" s="27" t="n"/>
      <c r="AS180" s="27" t="n"/>
      <c r="AT180" s="27" t="n"/>
      <c r="AU180" s="27" t="n"/>
      <c r="AV180" s="27" t="n"/>
      <c r="AW180" s="27" t="n"/>
      <c r="AX180" s="27" t="n"/>
      <c r="AY180" s="27" t="n"/>
      <c r="AZ180" s="27" t="n"/>
      <c r="BA180" s="27" t="n"/>
      <c r="BB180" s="27" t="n"/>
      <c r="BC180" s="27" t="n"/>
      <c r="BD180" s="27" t="n"/>
      <c r="BE180" s="27" t="n"/>
      <c r="BF180" s="27" t="n"/>
      <c r="BG180" s="27" t="n"/>
      <c r="BH180" s="27" t="n"/>
      <c r="BI180" s="29" t="n"/>
      <c r="BJ180" s="27" t="n"/>
      <c r="BK180" s="27" t="n"/>
      <c r="BL180" s="27" t="n"/>
      <c r="BM180" s="27" t="n"/>
    </row>
    <row r="181">
      <c r="A181" s="27" t="n"/>
      <c r="B181" s="27" t="n"/>
      <c r="C181" s="28">
        <f>IF(A181="","",$B$2)</f>
        <v/>
      </c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  <c r="AA181" s="27" t="n"/>
      <c r="AB181" s="27" t="n"/>
      <c r="AC181" s="27" t="n"/>
      <c r="AD181" s="27" t="n"/>
      <c r="AE181" s="27" t="n"/>
      <c r="AF181" s="27" t="n"/>
      <c r="AG181" s="27" t="n"/>
      <c r="AH181" s="27" t="n"/>
      <c r="AI181" s="27" t="n"/>
      <c r="AJ181" s="27" t="n"/>
      <c r="AK181" s="27" t="n"/>
      <c r="AL181" s="27" t="n"/>
      <c r="AM181" s="27" t="n"/>
      <c r="AN181" s="27" t="n"/>
      <c r="AO181" s="27" t="n"/>
      <c r="AP181" s="27" t="n"/>
      <c r="AQ181" s="27" t="n"/>
      <c r="AR181" s="27" t="n"/>
      <c r="AS181" s="27" t="n"/>
      <c r="AT181" s="27" t="n"/>
      <c r="AU181" s="27" t="n"/>
      <c r="AV181" s="27" t="n"/>
      <c r="AW181" s="27" t="n"/>
      <c r="AX181" s="27" t="n"/>
      <c r="AY181" s="27" t="n"/>
      <c r="AZ181" s="27" t="n"/>
      <c r="BA181" s="27" t="n"/>
      <c r="BB181" s="27" t="n"/>
      <c r="BC181" s="27" t="n"/>
      <c r="BD181" s="27" t="n"/>
      <c r="BE181" s="27" t="n"/>
      <c r="BF181" s="27" t="n"/>
      <c r="BG181" s="27" t="n"/>
      <c r="BH181" s="27" t="n"/>
      <c r="BI181" s="29" t="n"/>
      <c r="BJ181" s="27" t="n"/>
      <c r="BK181" s="27" t="n"/>
      <c r="BL181" s="27" t="n"/>
      <c r="BM181" s="27" t="n"/>
    </row>
    <row r="182">
      <c r="A182" s="27" t="n"/>
      <c r="B182" s="27" t="n"/>
      <c r="C182" s="28">
        <f>IF(A182="","",$B$2)</f>
        <v/>
      </c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  <c r="AA182" s="27" t="n"/>
      <c r="AB182" s="27" t="n"/>
      <c r="AC182" s="27" t="n"/>
      <c r="AD182" s="27" t="n"/>
      <c r="AE182" s="27" t="n"/>
      <c r="AF182" s="27" t="n"/>
      <c r="AG182" s="27" t="n"/>
      <c r="AH182" s="27" t="n"/>
      <c r="AI182" s="27" t="n"/>
      <c r="AJ182" s="27" t="n"/>
      <c r="AK182" s="27" t="n"/>
      <c r="AL182" s="27" t="n"/>
      <c r="AM182" s="27" t="n"/>
      <c r="AN182" s="27" t="n"/>
      <c r="AO182" s="27" t="n"/>
      <c r="AP182" s="27" t="n"/>
      <c r="AQ182" s="27" t="n"/>
      <c r="AR182" s="27" t="n"/>
      <c r="AS182" s="27" t="n"/>
      <c r="AT182" s="27" t="n"/>
      <c r="AU182" s="27" t="n"/>
      <c r="AV182" s="27" t="n"/>
      <c r="AW182" s="27" t="n"/>
      <c r="AX182" s="27" t="n"/>
      <c r="AY182" s="27" t="n"/>
      <c r="AZ182" s="27" t="n"/>
      <c r="BA182" s="27" t="n"/>
      <c r="BB182" s="27" t="n"/>
      <c r="BC182" s="27" t="n"/>
      <c r="BD182" s="27" t="n"/>
      <c r="BE182" s="27" t="n"/>
      <c r="BF182" s="27" t="n"/>
      <c r="BG182" s="27" t="n"/>
      <c r="BH182" s="27" t="n"/>
      <c r="BI182" s="29" t="n"/>
      <c r="BJ182" s="27" t="n"/>
      <c r="BK182" s="27" t="n"/>
      <c r="BL182" s="27" t="n"/>
      <c r="BM182" s="27" t="n"/>
    </row>
    <row r="183">
      <c r="A183" s="27" t="n"/>
      <c r="B183" s="27" t="n"/>
      <c r="C183" s="28">
        <f>IF(A183="","",$B$2)</f>
        <v/>
      </c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  <c r="AA183" s="27" t="n"/>
      <c r="AB183" s="27" t="n"/>
      <c r="AC183" s="27" t="n"/>
      <c r="AD183" s="27" t="n"/>
      <c r="AE183" s="27" t="n"/>
      <c r="AF183" s="27" t="n"/>
      <c r="AG183" s="27" t="n"/>
      <c r="AH183" s="27" t="n"/>
      <c r="AI183" s="27" t="n"/>
      <c r="AJ183" s="27" t="n"/>
      <c r="AK183" s="27" t="n"/>
      <c r="AL183" s="27" t="n"/>
      <c r="AM183" s="27" t="n"/>
      <c r="AN183" s="27" t="n"/>
      <c r="AO183" s="27" t="n"/>
      <c r="AP183" s="27" t="n"/>
      <c r="AQ183" s="27" t="n"/>
      <c r="AR183" s="27" t="n"/>
      <c r="AS183" s="27" t="n"/>
      <c r="AT183" s="27" t="n"/>
      <c r="AU183" s="27" t="n"/>
      <c r="AV183" s="27" t="n"/>
      <c r="AW183" s="27" t="n"/>
      <c r="AX183" s="27" t="n"/>
      <c r="AY183" s="27" t="n"/>
      <c r="AZ183" s="27" t="n"/>
      <c r="BA183" s="27" t="n"/>
      <c r="BB183" s="27" t="n"/>
      <c r="BC183" s="27" t="n"/>
      <c r="BD183" s="27" t="n"/>
      <c r="BE183" s="27" t="n"/>
      <c r="BF183" s="27" t="n"/>
      <c r="BG183" s="27" t="n"/>
      <c r="BH183" s="27" t="n"/>
      <c r="BI183" s="29" t="n"/>
      <c r="BJ183" s="27" t="n"/>
      <c r="BK183" s="27" t="n"/>
      <c r="BL183" s="27" t="n"/>
      <c r="BM183" s="27" t="n"/>
    </row>
    <row r="184">
      <c r="A184" s="27" t="n"/>
      <c r="B184" s="27" t="n"/>
      <c r="C184" s="28">
        <f>IF(A184="","",$B$2)</f>
        <v/>
      </c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  <c r="AA184" s="27" t="n"/>
      <c r="AB184" s="27" t="n"/>
      <c r="AC184" s="27" t="n"/>
      <c r="AD184" s="27" t="n"/>
      <c r="AE184" s="27" t="n"/>
      <c r="AF184" s="27" t="n"/>
      <c r="AG184" s="27" t="n"/>
      <c r="AH184" s="27" t="n"/>
      <c r="AI184" s="27" t="n"/>
      <c r="AJ184" s="27" t="n"/>
      <c r="AK184" s="27" t="n"/>
      <c r="AL184" s="27" t="n"/>
      <c r="AM184" s="27" t="n"/>
      <c r="AN184" s="27" t="n"/>
      <c r="AO184" s="27" t="n"/>
      <c r="AP184" s="27" t="n"/>
      <c r="AQ184" s="27" t="n"/>
      <c r="AR184" s="27" t="n"/>
      <c r="AS184" s="27" t="n"/>
      <c r="AT184" s="27" t="n"/>
      <c r="AU184" s="27" t="n"/>
      <c r="AV184" s="27" t="n"/>
      <c r="AW184" s="27" t="n"/>
      <c r="AX184" s="27" t="n"/>
      <c r="AY184" s="27" t="n"/>
      <c r="AZ184" s="27" t="n"/>
      <c r="BA184" s="27" t="n"/>
      <c r="BB184" s="27" t="n"/>
      <c r="BC184" s="27" t="n"/>
      <c r="BD184" s="27" t="n"/>
      <c r="BE184" s="27" t="n"/>
      <c r="BF184" s="27" t="n"/>
      <c r="BG184" s="27" t="n"/>
      <c r="BH184" s="27" t="n"/>
      <c r="BI184" s="29" t="n"/>
      <c r="BJ184" s="27" t="n"/>
      <c r="BK184" s="27" t="n"/>
      <c r="BL184" s="27" t="n"/>
      <c r="BM184" s="27" t="n"/>
    </row>
    <row r="185">
      <c r="A185" s="27" t="n"/>
      <c r="B185" s="27" t="n"/>
      <c r="C185" s="28">
        <f>IF(A185="","",$B$2)</f>
        <v/>
      </c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  <c r="AA185" s="27" t="n"/>
      <c r="AB185" s="27" t="n"/>
      <c r="AC185" s="27" t="n"/>
      <c r="AD185" s="27" t="n"/>
      <c r="AE185" s="27" t="n"/>
      <c r="AF185" s="27" t="n"/>
      <c r="AG185" s="27" t="n"/>
      <c r="AH185" s="27" t="n"/>
      <c r="AI185" s="27" t="n"/>
      <c r="AJ185" s="27" t="n"/>
      <c r="AK185" s="27" t="n"/>
      <c r="AL185" s="27" t="n"/>
      <c r="AM185" s="27" t="n"/>
      <c r="AN185" s="27" t="n"/>
      <c r="AO185" s="27" t="n"/>
      <c r="AP185" s="27" t="n"/>
      <c r="AQ185" s="27" t="n"/>
      <c r="AR185" s="27" t="n"/>
      <c r="AS185" s="27" t="n"/>
      <c r="AT185" s="27" t="n"/>
      <c r="AU185" s="27" t="n"/>
      <c r="AV185" s="27" t="n"/>
      <c r="AW185" s="27" t="n"/>
      <c r="AX185" s="27" t="n"/>
      <c r="AY185" s="27" t="n"/>
      <c r="AZ185" s="27" t="n"/>
      <c r="BA185" s="27" t="n"/>
      <c r="BB185" s="27" t="n"/>
      <c r="BC185" s="27" t="n"/>
      <c r="BD185" s="27" t="n"/>
      <c r="BE185" s="27" t="n"/>
      <c r="BF185" s="27" t="n"/>
      <c r="BG185" s="27" t="n"/>
      <c r="BH185" s="27" t="n"/>
      <c r="BI185" s="29" t="n"/>
      <c r="BJ185" s="27" t="n"/>
      <c r="BK185" s="27" t="n"/>
      <c r="BL185" s="27" t="n"/>
      <c r="BM185" s="27" t="n"/>
    </row>
    <row r="186">
      <c r="A186" s="27" t="n"/>
      <c r="B186" s="27" t="n"/>
      <c r="C186" s="28">
        <f>IF(A186="","",$B$2)</f>
        <v/>
      </c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  <c r="AA186" s="27" t="n"/>
      <c r="AB186" s="27" t="n"/>
      <c r="AC186" s="27" t="n"/>
      <c r="AD186" s="27" t="n"/>
      <c r="AE186" s="27" t="n"/>
      <c r="AF186" s="27" t="n"/>
      <c r="AG186" s="27" t="n"/>
      <c r="AH186" s="27" t="n"/>
      <c r="AI186" s="27" t="n"/>
      <c r="AJ186" s="27" t="n"/>
      <c r="AK186" s="27" t="n"/>
      <c r="AL186" s="27" t="n"/>
      <c r="AM186" s="27" t="n"/>
      <c r="AN186" s="27" t="n"/>
      <c r="AO186" s="27" t="n"/>
      <c r="AP186" s="27" t="n"/>
      <c r="AQ186" s="27" t="n"/>
      <c r="AR186" s="27" t="n"/>
      <c r="AS186" s="27" t="n"/>
      <c r="AT186" s="27" t="n"/>
      <c r="AU186" s="27" t="n"/>
      <c r="AV186" s="27" t="n"/>
      <c r="AW186" s="27" t="n"/>
      <c r="AX186" s="27" t="n"/>
      <c r="AY186" s="27" t="n"/>
      <c r="AZ186" s="27" t="n"/>
      <c r="BA186" s="27" t="n"/>
      <c r="BB186" s="27" t="n"/>
      <c r="BC186" s="27" t="n"/>
      <c r="BD186" s="27" t="n"/>
      <c r="BE186" s="27" t="n"/>
      <c r="BF186" s="27" t="n"/>
      <c r="BG186" s="27" t="n"/>
      <c r="BH186" s="27" t="n"/>
      <c r="BI186" s="29" t="n"/>
      <c r="BJ186" s="27" t="n"/>
      <c r="BK186" s="27" t="n"/>
      <c r="BL186" s="27" t="n"/>
      <c r="BM186" s="27" t="n"/>
    </row>
    <row r="187">
      <c r="A187" s="27" t="n"/>
      <c r="B187" s="27" t="n"/>
      <c r="C187" s="28">
        <f>IF(A187="","",$B$2)</f>
        <v/>
      </c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  <c r="AA187" s="27" t="n"/>
      <c r="AB187" s="27" t="n"/>
      <c r="AC187" s="27" t="n"/>
      <c r="AD187" s="27" t="n"/>
      <c r="AE187" s="27" t="n"/>
      <c r="AF187" s="27" t="n"/>
      <c r="AG187" s="27" t="n"/>
      <c r="AH187" s="27" t="n"/>
      <c r="AI187" s="27" t="n"/>
      <c r="AJ187" s="27" t="n"/>
      <c r="AK187" s="27" t="n"/>
      <c r="AL187" s="27" t="n"/>
      <c r="AM187" s="27" t="n"/>
      <c r="AN187" s="27" t="n"/>
      <c r="AO187" s="27" t="n"/>
      <c r="AP187" s="27" t="n"/>
      <c r="AQ187" s="27" t="n"/>
      <c r="AR187" s="27" t="n"/>
      <c r="AS187" s="27" t="n"/>
      <c r="AT187" s="27" t="n"/>
      <c r="AU187" s="27" t="n"/>
      <c r="AV187" s="27" t="n"/>
      <c r="AW187" s="27" t="n"/>
      <c r="AX187" s="27" t="n"/>
      <c r="AY187" s="27" t="n"/>
      <c r="AZ187" s="27" t="n"/>
      <c r="BA187" s="27" t="n"/>
      <c r="BB187" s="27" t="n"/>
      <c r="BC187" s="27" t="n"/>
      <c r="BD187" s="27" t="n"/>
      <c r="BE187" s="27" t="n"/>
      <c r="BF187" s="27" t="n"/>
      <c r="BG187" s="27" t="n"/>
      <c r="BH187" s="27" t="n"/>
      <c r="BI187" s="29" t="n"/>
      <c r="BJ187" s="27" t="n"/>
      <c r="BK187" s="27" t="n"/>
      <c r="BL187" s="27" t="n"/>
      <c r="BM187" s="27" t="n"/>
    </row>
    <row r="188">
      <c r="A188" s="27" t="n"/>
      <c r="B188" s="27" t="n"/>
      <c r="C188" s="28">
        <f>IF(A188="","",$B$2)</f>
        <v/>
      </c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  <c r="AA188" s="27" t="n"/>
      <c r="AB188" s="27" t="n"/>
      <c r="AC188" s="27" t="n"/>
      <c r="AD188" s="27" t="n"/>
      <c r="AE188" s="27" t="n"/>
      <c r="AF188" s="27" t="n"/>
      <c r="AG188" s="27" t="n"/>
      <c r="AH188" s="27" t="n"/>
      <c r="AI188" s="27" t="n"/>
      <c r="AJ188" s="27" t="n"/>
      <c r="AK188" s="27" t="n"/>
      <c r="AL188" s="27" t="n"/>
      <c r="AM188" s="27" t="n"/>
      <c r="AN188" s="27" t="n"/>
      <c r="AO188" s="27" t="n"/>
      <c r="AP188" s="27" t="n"/>
      <c r="AQ188" s="27" t="n"/>
      <c r="AR188" s="27" t="n"/>
      <c r="AS188" s="27" t="n"/>
      <c r="AT188" s="27" t="n"/>
      <c r="AU188" s="27" t="n"/>
      <c r="AV188" s="27" t="n"/>
      <c r="AW188" s="27" t="n"/>
      <c r="AX188" s="27" t="n"/>
      <c r="AY188" s="27" t="n"/>
      <c r="AZ188" s="27" t="n"/>
      <c r="BA188" s="27" t="n"/>
      <c r="BB188" s="27" t="n"/>
      <c r="BC188" s="27" t="n"/>
      <c r="BD188" s="27" t="n"/>
      <c r="BE188" s="27" t="n"/>
      <c r="BF188" s="27" t="n"/>
      <c r="BG188" s="27" t="n"/>
      <c r="BH188" s="27" t="n"/>
      <c r="BI188" s="29" t="n"/>
      <c r="BJ188" s="27" t="n"/>
      <c r="BK188" s="27" t="n"/>
      <c r="BL188" s="27" t="n"/>
      <c r="BM188" s="27" t="n"/>
    </row>
    <row r="189">
      <c r="A189" s="27" t="n"/>
      <c r="B189" s="27" t="n"/>
      <c r="C189" s="28">
        <f>IF(A189="","",$B$2)</f>
        <v/>
      </c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  <c r="AA189" s="27" t="n"/>
      <c r="AB189" s="27" t="n"/>
      <c r="AC189" s="27" t="n"/>
      <c r="AD189" s="27" t="n"/>
      <c r="AE189" s="27" t="n"/>
      <c r="AF189" s="27" t="n"/>
      <c r="AG189" s="27" t="n"/>
      <c r="AH189" s="27" t="n"/>
      <c r="AI189" s="27" t="n"/>
      <c r="AJ189" s="27" t="n"/>
      <c r="AK189" s="27" t="n"/>
      <c r="AL189" s="27" t="n"/>
      <c r="AM189" s="27" t="n"/>
      <c r="AN189" s="27" t="n"/>
      <c r="AO189" s="27" t="n"/>
      <c r="AP189" s="27" t="n"/>
      <c r="AQ189" s="27" t="n"/>
      <c r="AR189" s="27" t="n"/>
      <c r="AS189" s="27" t="n"/>
      <c r="AT189" s="27" t="n"/>
      <c r="AU189" s="27" t="n"/>
      <c r="AV189" s="27" t="n"/>
      <c r="AW189" s="27" t="n"/>
      <c r="AX189" s="27" t="n"/>
      <c r="AY189" s="27" t="n"/>
      <c r="AZ189" s="27" t="n"/>
      <c r="BA189" s="27" t="n"/>
      <c r="BB189" s="27" t="n"/>
      <c r="BC189" s="27" t="n"/>
      <c r="BD189" s="27" t="n"/>
      <c r="BE189" s="27" t="n"/>
      <c r="BF189" s="27" t="n"/>
      <c r="BG189" s="27" t="n"/>
      <c r="BH189" s="27" t="n"/>
      <c r="BI189" s="29" t="n"/>
      <c r="BJ189" s="27" t="n"/>
      <c r="BK189" s="27" t="n"/>
      <c r="BL189" s="27" t="n"/>
      <c r="BM189" s="27" t="n"/>
    </row>
    <row r="190">
      <c r="A190" s="27" t="n"/>
      <c r="B190" s="27" t="n"/>
      <c r="C190" s="28">
        <f>IF(A190="","",$B$2)</f>
        <v/>
      </c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  <c r="AA190" s="27" t="n"/>
      <c r="AB190" s="27" t="n"/>
      <c r="AC190" s="27" t="n"/>
      <c r="AD190" s="27" t="n"/>
      <c r="AE190" s="27" t="n"/>
      <c r="AF190" s="27" t="n"/>
      <c r="AG190" s="27" t="n"/>
      <c r="AH190" s="27" t="n"/>
      <c r="AI190" s="27" t="n"/>
      <c r="AJ190" s="27" t="n"/>
      <c r="AK190" s="27" t="n"/>
      <c r="AL190" s="27" t="n"/>
      <c r="AM190" s="27" t="n"/>
      <c r="AN190" s="27" t="n"/>
      <c r="AO190" s="27" t="n"/>
      <c r="AP190" s="27" t="n"/>
      <c r="AQ190" s="27" t="n"/>
      <c r="AR190" s="27" t="n"/>
      <c r="AS190" s="27" t="n"/>
      <c r="AT190" s="27" t="n"/>
      <c r="AU190" s="27" t="n"/>
      <c r="AV190" s="27" t="n"/>
      <c r="AW190" s="27" t="n"/>
      <c r="AX190" s="27" t="n"/>
      <c r="AY190" s="27" t="n"/>
      <c r="AZ190" s="27" t="n"/>
      <c r="BA190" s="27" t="n"/>
      <c r="BB190" s="27" t="n"/>
      <c r="BC190" s="27" t="n"/>
      <c r="BD190" s="27" t="n"/>
      <c r="BE190" s="27" t="n"/>
      <c r="BF190" s="27" t="n"/>
      <c r="BG190" s="27" t="n"/>
      <c r="BH190" s="27" t="n"/>
      <c r="BI190" s="29" t="n"/>
      <c r="BJ190" s="27" t="n"/>
      <c r="BK190" s="27" t="n"/>
      <c r="BL190" s="27" t="n"/>
      <c r="BM190" s="27" t="n"/>
    </row>
    <row r="191">
      <c r="A191" s="27" t="n"/>
      <c r="B191" s="27" t="n"/>
      <c r="C191" s="28">
        <f>IF(A191="","",$B$2)</f>
        <v/>
      </c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  <c r="AA191" s="27" t="n"/>
      <c r="AB191" s="27" t="n"/>
      <c r="AC191" s="27" t="n"/>
      <c r="AD191" s="27" t="n"/>
      <c r="AE191" s="27" t="n"/>
      <c r="AF191" s="27" t="n"/>
      <c r="AG191" s="27" t="n"/>
      <c r="AH191" s="27" t="n"/>
      <c r="AI191" s="27" t="n"/>
      <c r="AJ191" s="27" t="n"/>
      <c r="AK191" s="27" t="n"/>
      <c r="AL191" s="27" t="n"/>
      <c r="AM191" s="27" t="n"/>
      <c r="AN191" s="27" t="n"/>
      <c r="AO191" s="27" t="n"/>
      <c r="AP191" s="27" t="n"/>
      <c r="AQ191" s="27" t="n"/>
      <c r="AR191" s="27" t="n"/>
      <c r="AS191" s="27" t="n"/>
      <c r="AT191" s="27" t="n"/>
      <c r="AU191" s="27" t="n"/>
      <c r="AV191" s="27" t="n"/>
      <c r="AW191" s="27" t="n"/>
      <c r="AX191" s="27" t="n"/>
      <c r="AY191" s="27" t="n"/>
      <c r="AZ191" s="27" t="n"/>
      <c r="BA191" s="27" t="n"/>
      <c r="BB191" s="27" t="n"/>
      <c r="BC191" s="27" t="n"/>
      <c r="BD191" s="27" t="n"/>
      <c r="BE191" s="27" t="n"/>
      <c r="BF191" s="27" t="n"/>
      <c r="BG191" s="27" t="n"/>
      <c r="BH191" s="27" t="n"/>
      <c r="BI191" s="29" t="n"/>
      <c r="BJ191" s="27" t="n"/>
      <c r="BK191" s="27" t="n"/>
      <c r="BL191" s="27" t="n"/>
      <c r="BM191" s="27" t="n"/>
    </row>
    <row r="192">
      <c r="A192" s="27" t="n"/>
      <c r="B192" s="27" t="n"/>
      <c r="C192" s="28">
        <f>IF(A192="","",$B$2)</f>
        <v/>
      </c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  <c r="AA192" s="27" t="n"/>
      <c r="AB192" s="27" t="n"/>
      <c r="AC192" s="27" t="n"/>
      <c r="AD192" s="27" t="n"/>
      <c r="AE192" s="27" t="n"/>
      <c r="AF192" s="27" t="n"/>
      <c r="AG192" s="27" t="n"/>
      <c r="AH192" s="27" t="n"/>
      <c r="AI192" s="27" t="n"/>
      <c r="AJ192" s="27" t="n"/>
      <c r="AK192" s="27" t="n"/>
      <c r="AL192" s="27" t="n"/>
      <c r="AM192" s="27" t="n"/>
      <c r="AN192" s="27" t="n"/>
      <c r="AO192" s="27" t="n"/>
      <c r="AP192" s="27" t="n"/>
      <c r="AQ192" s="27" t="n"/>
      <c r="AR192" s="27" t="n"/>
      <c r="AS192" s="27" t="n"/>
      <c r="AT192" s="27" t="n"/>
      <c r="AU192" s="27" t="n"/>
      <c r="AV192" s="27" t="n"/>
      <c r="AW192" s="27" t="n"/>
      <c r="AX192" s="27" t="n"/>
      <c r="AY192" s="27" t="n"/>
      <c r="AZ192" s="27" t="n"/>
      <c r="BA192" s="27" t="n"/>
      <c r="BB192" s="27" t="n"/>
      <c r="BC192" s="27" t="n"/>
      <c r="BD192" s="27" t="n"/>
      <c r="BE192" s="27" t="n"/>
      <c r="BF192" s="27" t="n"/>
      <c r="BG192" s="27" t="n"/>
      <c r="BH192" s="27" t="n"/>
      <c r="BI192" s="29" t="n"/>
      <c r="BJ192" s="27" t="n"/>
      <c r="BK192" s="27" t="n"/>
      <c r="BL192" s="27" t="n"/>
      <c r="BM192" s="27" t="n"/>
    </row>
    <row r="193">
      <c r="A193" s="27" t="n"/>
      <c r="B193" s="27" t="n"/>
      <c r="C193" s="28">
        <f>IF(A193="","",$B$2)</f>
        <v/>
      </c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  <c r="AA193" s="27" t="n"/>
      <c r="AB193" s="27" t="n"/>
      <c r="AC193" s="27" t="n"/>
      <c r="AD193" s="27" t="n"/>
      <c r="AE193" s="27" t="n"/>
      <c r="AF193" s="27" t="n"/>
      <c r="AG193" s="27" t="n"/>
      <c r="AH193" s="27" t="n"/>
      <c r="AI193" s="27" t="n"/>
      <c r="AJ193" s="27" t="n"/>
      <c r="AK193" s="27" t="n"/>
      <c r="AL193" s="27" t="n"/>
      <c r="AM193" s="27" t="n"/>
      <c r="AN193" s="27" t="n"/>
      <c r="AO193" s="27" t="n"/>
      <c r="AP193" s="27" t="n"/>
      <c r="AQ193" s="27" t="n"/>
      <c r="AR193" s="27" t="n"/>
      <c r="AS193" s="27" t="n"/>
      <c r="AT193" s="27" t="n"/>
      <c r="AU193" s="27" t="n"/>
      <c r="AV193" s="27" t="n"/>
      <c r="AW193" s="27" t="n"/>
      <c r="AX193" s="27" t="n"/>
      <c r="AY193" s="27" t="n"/>
      <c r="AZ193" s="27" t="n"/>
      <c r="BA193" s="27" t="n"/>
      <c r="BB193" s="27" t="n"/>
      <c r="BC193" s="27" t="n"/>
      <c r="BD193" s="27" t="n"/>
      <c r="BE193" s="27" t="n"/>
      <c r="BF193" s="27" t="n"/>
      <c r="BG193" s="27" t="n"/>
      <c r="BH193" s="27" t="n"/>
      <c r="BI193" s="29" t="n"/>
      <c r="BJ193" s="27" t="n"/>
      <c r="BK193" s="27" t="n"/>
      <c r="BL193" s="27" t="n"/>
      <c r="BM193" s="27" t="n"/>
    </row>
    <row r="194">
      <c r="A194" s="27" t="n"/>
      <c r="B194" s="27" t="n"/>
      <c r="C194" s="28">
        <f>IF(A194="","",$B$2)</f>
        <v/>
      </c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  <c r="AA194" s="27" t="n"/>
      <c r="AB194" s="27" t="n"/>
      <c r="AC194" s="27" t="n"/>
      <c r="AD194" s="27" t="n"/>
      <c r="AE194" s="27" t="n"/>
      <c r="AF194" s="27" t="n"/>
      <c r="AG194" s="27" t="n"/>
      <c r="AH194" s="27" t="n"/>
      <c r="AI194" s="27" t="n"/>
      <c r="AJ194" s="27" t="n"/>
      <c r="AK194" s="27" t="n"/>
      <c r="AL194" s="27" t="n"/>
      <c r="AM194" s="27" t="n"/>
      <c r="AN194" s="27" t="n"/>
      <c r="AO194" s="27" t="n"/>
      <c r="AP194" s="27" t="n"/>
      <c r="AQ194" s="27" t="n"/>
      <c r="AR194" s="27" t="n"/>
      <c r="AS194" s="27" t="n"/>
      <c r="AT194" s="27" t="n"/>
      <c r="AU194" s="27" t="n"/>
      <c r="AV194" s="27" t="n"/>
      <c r="AW194" s="27" t="n"/>
      <c r="AX194" s="27" t="n"/>
      <c r="AY194" s="27" t="n"/>
      <c r="AZ194" s="27" t="n"/>
      <c r="BA194" s="27" t="n"/>
      <c r="BB194" s="27" t="n"/>
      <c r="BC194" s="27" t="n"/>
      <c r="BD194" s="27" t="n"/>
      <c r="BE194" s="27" t="n"/>
      <c r="BF194" s="27" t="n"/>
      <c r="BG194" s="27" t="n"/>
      <c r="BH194" s="27" t="n"/>
      <c r="BI194" s="29" t="n"/>
      <c r="BJ194" s="27" t="n"/>
      <c r="BK194" s="27" t="n"/>
      <c r="BL194" s="27" t="n"/>
      <c r="BM194" s="27" t="n"/>
    </row>
    <row r="195">
      <c r="A195" s="27" t="n"/>
      <c r="B195" s="27" t="n"/>
      <c r="C195" s="28">
        <f>IF(A195="","",$B$2)</f>
        <v/>
      </c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  <c r="AA195" s="27" t="n"/>
      <c r="AB195" s="27" t="n"/>
      <c r="AC195" s="27" t="n"/>
      <c r="AD195" s="27" t="n"/>
      <c r="AE195" s="27" t="n"/>
      <c r="AF195" s="27" t="n"/>
      <c r="AG195" s="27" t="n"/>
      <c r="AH195" s="27" t="n"/>
      <c r="AI195" s="27" t="n"/>
      <c r="AJ195" s="27" t="n"/>
      <c r="AK195" s="27" t="n"/>
      <c r="AL195" s="27" t="n"/>
      <c r="AM195" s="27" t="n"/>
      <c r="AN195" s="27" t="n"/>
      <c r="AO195" s="27" t="n"/>
      <c r="AP195" s="27" t="n"/>
      <c r="AQ195" s="27" t="n"/>
      <c r="AR195" s="27" t="n"/>
      <c r="AS195" s="27" t="n"/>
      <c r="AT195" s="27" t="n"/>
      <c r="AU195" s="27" t="n"/>
      <c r="AV195" s="27" t="n"/>
      <c r="AW195" s="27" t="n"/>
      <c r="AX195" s="27" t="n"/>
      <c r="AY195" s="27" t="n"/>
      <c r="AZ195" s="27" t="n"/>
      <c r="BA195" s="27" t="n"/>
      <c r="BB195" s="27" t="n"/>
      <c r="BC195" s="27" t="n"/>
      <c r="BD195" s="27" t="n"/>
      <c r="BE195" s="27" t="n"/>
      <c r="BF195" s="27" t="n"/>
      <c r="BG195" s="27" t="n"/>
      <c r="BH195" s="27" t="n"/>
      <c r="BI195" s="29" t="n"/>
      <c r="BJ195" s="27" t="n"/>
      <c r="BK195" s="27" t="n"/>
      <c r="BL195" s="27" t="n"/>
      <c r="BM195" s="27" t="n"/>
    </row>
    <row r="196">
      <c r="A196" s="27" t="n"/>
      <c r="B196" s="27" t="n"/>
      <c r="C196" s="28">
        <f>IF(A196="","",$B$2)</f>
        <v/>
      </c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  <c r="AA196" s="27" t="n"/>
      <c r="AB196" s="27" t="n"/>
      <c r="AC196" s="27" t="n"/>
      <c r="AD196" s="27" t="n"/>
      <c r="AE196" s="27" t="n"/>
      <c r="AF196" s="27" t="n"/>
      <c r="AG196" s="27" t="n"/>
      <c r="AH196" s="27" t="n"/>
      <c r="AI196" s="27" t="n"/>
      <c r="AJ196" s="27" t="n"/>
      <c r="AK196" s="27" t="n"/>
      <c r="AL196" s="27" t="n"/>
      <c r="AM196" s="27" t="n"/>
      <c r="AN196" s="27" t="n"/>
      <c r="AO196" s="27" t="n"/>
      <c r="AP196" s="27" t="n"/>
      <c r="AQ196" s="27" t="n"/>
      <c r="AR196" s="27" t="n"/>
      <c r="AS196" s="27" t="n"/>
      <c r="AT196" s="27" t="n"/>
      <c r="AU196" s="27" t="n"/>
      <c r="AV196" s="27" t="n"/>
      <c r="AW196" s="27" t="n"/>
      <c r="AX196" s="27" t="n"/>
      <c r="AY196" s="27" t="n"/>
      <c r="AZ196" s="27" t="n"/>
      <c r="BA196" s="27" t="n"/>
      <c r="BB196" s="27" t="n"/>
      <c r="BC196" s="27" t="n"/>
      <c r="BD196" s="27" t="n"/>
      <c r="BE196" s="27" t="n"/>
      <c r="BF196" s="27" t="n"/>
      <c r="BG196" s="27" t="n"/>
      <c r="BH196" s="27" t="n"/>
      <c r="BI196" s="29" t="n"/>
      <c r="BJ196" s="27" t="n"/>
      <c r="BK196" s="27" t="n"/>
      <c r="BL196" s="27" t="n"/>
      <c r="BM196" s="27" t="n"/>
    </row>
    <row r="197">
      <c r="A197" s="27" t="n"/>
      <c r="B197" s="27" t="n"/>
      <c r="C197" s="28">
        <f>IF(A197="","",$B$2)</f>
        <v/>
      </c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  <c r="AA197" s="27" t="n"/>
      <c r="AB197" s="27" t="n"/>
      <c r="AC197" s="27" t="n"/>
      <c r="AD197" s="27" t="n"/>
      <c r="AE197" s="27" t="n"/>
      <c r="AF197" s="27" t="n"/>
      <c r="AG197" s="27" t="n"/>
      <c r="AH197" s="27" t="n"/>
      <c r="AI197" s="27" t="n"/>
      <c r="AJ197" s="27" t="n"/>
      <c r="AK197" s="27" t="n"/>
      <c r="AL197" s="27" t="n"/>
      <c r="AM197" s="27" t="n"/>
      <c r="AN197" s="27" t="n"/>
      <c r="AO197" s="27" t="n"/>
      <c r="AP197" s="27" t="n"/>
      <c r="AQ197" s="27" t="n"/>
      <c r="AR197" s="27" t="n"/>
      <c r="AS197" s="27" t="n"/>
      <c r="AT197" s="27" t="n"/>
      <c r="AU197" s="27" t="n"/>
      <c r="AV197" s="27" t="n"/>
      <c r="AW197" s="27" t="n"/>
      <c r="AX197" s="27" t="n"/>
      <c r="AY197" s="27" t="n"/>
      <c r="AZ197" s="27" t="n"/>
      <c r="BA197" s="27" t="n"/>
      <c r="BB197" s="27" t="n"/>
      <c r="BC197" s="27" t="n"/>
      <c r="BD197" s="27" t="n"/>
      <c r="BE197" s="27" t="n"/>
      <c r="BF197" s="27" t="n"/>
      <c r="BG197" s="27" t="n"/>
      <c r="BH197" s="27" t="n"/>
      <c r="BI197" s="29" t="n"/>
      <c r="BJ197" s="27" t="n"/>
      <c r="BK197" s="27" t="n"/>
      <c r="BL197" s="27" t="n"/>
      <c r="BM197" s="27" t="n"/>
    </row>
    <row r="198">
      <c r="A198" s="27" t="n"/>
      <c r="B198" s="27" t="n"/>
      <c r="C198" s="28">
        <f>IF(A198="","",$B$2)</f>
        <v/>
      </c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  <c r="AA198" s="27" t="n"/>
      <c r="AB198" s="27" t="n"/>
      <c r="AC198" s="27" t="n"/>
      <c r="AD198" s="27" t="n"/>
      <c r="AE198" s="27" t="n"/>
      <c r="AF198" s="27" t="n"/>
      <c r="AG198" s="27" t="n"/>
      <c r="AH198" s="27" t="n"/>
      <c r="AI198" s="27" t="n"/>
      <c r="AJ198" s="27" t="n"/>
      <c r="AK198" s="27" t="n"/>
      <c r="AL198" s="27" t="n"/>
      <c r="AM198" s="27" t="n"/>
      <c r="AN198" s="27" t="n"/>
      <c r="AO198" s="27" t="n"/>
      <c r="AP198" s="27" t="n"/>
      <c r="AQ198" s="27" t="n"/>
      <c r="AR198" s="27" t="n"/>
      <c r="AS198" s="27" t="n"/>
      <c r="AT198" s="27" t="n"/>
      <c r="AU198" s="27" t="n"/>
      <c r="AV198" s="27" t="n"/>
      <c r="AW198" s="27" t="n"/>
      <c r="AX198" s="27" t="n"/>
      <c r="AY198" s="27" t="n"/>
      <c r="AZ198" s="27" t="n"/>
      <c r="BA198" s="27" t="n"/>
      <c r="BB198" s="27" t="n"/>
      <c r="BC198" s="27" t="n"/>
      <c r="BD198" s="27" t="n"/>
      <c r="BE198" s="27" t="n"/>
      <c r="BF198" s="27" t="n"/>
      <c r="BG198" s="27" t="n"/>
      <c r="BH198" s="27" t="n"/>
      <c r="BI198" s="29" t="n"/>
      <c r="BJ198" s="27" t="n"/>
      <c r="BK198" s="27" t="n"/>
      <c r="BL198" s="27" t="n"/>
      <c r="BM198" s="27" t="n"/>
    </row>
    <row r="199">
      <c r="A199" s="27" t="n"/>
      <c r="B199" s="27" t="n"/>
      <c r="C199" s="28">
        <f>IF(A199="","",$B$2)</f>
        <v/>
      </c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  <c r="AA199" s="27" t="n"/>
      <c r="AB199" s="27" t="n"/>
      <c r="AC199" s="27" t="n"/>
      <c r="AD199" s="27" t="n"/>
      <c r="AE199" s="27" t="n"/>
      <c r="AF199" s="27" t="n"/>
      <c r="AG199" s="27" t="n"/>
      <c r="AH199" s="27" t="n"/>
      <c r="AI199" s="27" t="n"/>
      <c r="AJ199" s="27" t="n"/>
      <c r="AK199" s="27" t="n"/>
      <c r="AL199" s="27" t="n"/>
      <c r="AM199" s="27" t="n"/>
      <c r="AN199" s="27" t="n"/>
      <c r="AO199" s="27" t="n"/>
      <c r="AP199" s="27" t="n"/>
      <c r="AQ199" s="27" t="n"/>
      <c r="AR199" s="27" t="n"/>
      <c r="AS199" s="27" t="n"/>
      <c r="AT199" s="27" t="n"/>
      <c r="AU199" s="27" t="n"/>
      <c r="AV199" s="27" t="n"/>
      <c r="AW199" s="27" t="n"/>
      <c r="AX199" s="27" t="n"/>
      <c r="AY199" s="27" t="n"/>
      <c r="AZ199" s="27" t="n"/>
      <c r="BA199" s="27" t="n"/>
      <c r="BB199" s="27" t="n"/>
      <c r="BC199" s="27" t="n"/>
      <c r="BD199" s="27" t="n"/>
      <c r="BE199" s="27" t="n"/>
      <c r="BF199" s="27" t="n"/>
      <c r="BG199" s="27" t="n"/>
      <c r="BH199" s="27" t="n"/>
      <c r="BI199" s="29" t="n"/>
      <c r="BJ199" s="27" t="n"/>
      <c r="BK199" s="27" t="n"/>
      <c r="BL199" s="27" t="n"/>
      <c r="BM199" s="27" t="n"/>
    </row>
    <row r="200">
      <c r="A200" s="27" t="n"/>
      <c r="B200" s="27" t="n"/>
      <c r="C200" s="28">
        <f>IF(A200="","",$B$2)</f>
        <v/>
      </c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  <c r="AA200" s="27" t="n"/>
      <c r="AB200" s="27" t="n"/>
      <c r="AC200" s="27" t="n"/>
      <c r="AD200" s="27" t="n"/>
      <c r="AE200" s="27" t="n"/>
      <c r="AF200" s="27" t="n"/>
      <c r="AG200" s="27" t="n"/>
      <c r="AH200" s="27" t="n"/>
      <c r="AI200" s="27" t="n"/>
      <c r="AJ200" s="27" t="n"/>
      <c r="AK200" s="27" t="n"/>
      <c r="AL200" s="27" t="n"/>
      <c r="AM200" s="27" t="n"/>
      <c r="AN200" s="27" t="n"/>
      <c r="AO200" s="27" t="n"/>
      <c r="AP200" s="27" t="n"/>
      <c r="AQ200" s="27" t="n"/>
      <c r="AR200" s="27" t="n"/>
      <c r="AS200" s="27" t="n"/>
      <c r="AT200" s="27" t="n"/>
      <c r="AU200" s="27" t="n"/>
      <c r="AV200" s="27" t="n"/>
      <c r="AW200" s="27" t="n"/>
      <c r="AX200" s="27" t="n"/>
      <c r="AY200" s="27" t="n"/>
      <c r="AZ200" s="27" t="n"/>
      <c r="BA200" s="27" t="n"/>
      <c r="BB200" s="27" t="n"/>
      <c r="BC200" s="27" t="n"/>
      <c r="BD200" s="27" t="n"/>
      <c r="BE200" s="27" t="n"/>
      <c r="BF200" s="27" t="n"/>
      <c r="BG200" s="27" t="n"/>
      <c r="BH200" s="27" t="n"/>
      <c r="BI200" s="29" t="n"/>
      <c r="BJ200" s="27" t="n"/>
      <c r="BK200" s="27" t="n"/>
      <c r="BL200" s="27" t="n"/>
      <c r="BM200" s="27" t="n"/>
    </row>
    <row r="201">
      <c r="A201" s="27" t="n"/>
      <c r="B201" s="27" t="n"/>
      <c r="C201" s="28">
        <f>IF(A201="","",$B$2)</f>
        <v/>
      </c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  <c r="AA201" s="27" t="n"/>
      <c r="AB201" s="27" t="n"/>
      <c r="AC201" s="27" t="n"/>
      <c r="AD201" s="27" t="n"/>
      <c r="AE201" s="27" t="n"/>
      <c r="AF201" s="27" t="n"/>
      <c r="AG201" s="27" t="n"/>
      <c r="AH201" s="27" t="n"/>
      <c r="AI201" s="27" t="n"/>
      <c r="AJ201" s="27" t="n"/>
      <c r="AK201" s="27" t="n"/>
      <c r="AL201" s="27" t="n"/>
      <c r="AM201" s="27" t="n"/>
      <c r="AN201" s="27" t="n"/>
      <c r="AO201" s="27" t="n"/>
      <c r="AP201" s="27" t="n"/>
      <c r="AQ201" s="27" t="n"/>
      <c r="AR201" s="27" t="n"/>
      <c r="AS201" s="27" t="n"/>
      <c r="AT201" s="27" t="n"/>
      <c r="AU201" s="27" t="n"/>
      <c r="AV201" s="27" t="n"/>
      <c r="AW201" s="27" t="n"/>
      <c r="AX201" s="27" t="n"/>
      <c r="AY201" s="27" t="n"/>
      <c r="AZ201" s="27" t="n"/>
      <c r="BA201" s="27" t="n"/>
      <c r="BB201" s="27" t="n"/>
      <c r="BC201" s="27" t="n"/>
      <c r="BD201" s="27" t="n"/>
      <c r="BE201" s="27" t="n"/>
      <c r="BF201" s="27" t="n"/>
      <c r="BG201" s="27" t="n"/>
      <c r="BH201" s="27" t="n"/>
      <c r="BI201" s="29" t="n"/>
      <c r="BJ201" s="27" t="n"/>
      <c r="BK201" s="27" t="n"/>
      <c r="BL201" s="27" t="n"/>
      <c r="BM201" s="27" t="n"/>
    </row>
    <row r="202">
      <c r="A202" s="27" t="n"/>
      <c r="B202" s="27" t="n"/>
      <c r="C202" s="28">
        <f>IF(A202="","",$B$2)</f>
        <v/>
      </c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  <c r="AA202" s="27" t="n"/>
      <c r="AB202" s="27" t="n"/>
      <c r="AC202" s="27" t="n"/>
      <c r="AD202" s="27" t="n"/>
      <c r="AE202" s="27" t="n"/>
      <c r="AF202" s="27" t="n"/>
      <c r="AG202" s="27" t="n"/>
      <c r="AH202" s="27" t="n"/>
      <c r="AI202" s="27" t="n"/>
      <c r="AJ202" s="27" t="n"/>
      <c r="AK202" s="27" t="n"/>
      <c r="AL202" s="27" t="n"/>
      <c r="AM202" s="27" t="n"/>
      <c r="AN202" s="27" t="n"/>
      <c r="AO202" s="27" t="n"/>
      <c r="AP202" s="27" t="n"/>
      <c r="AQ202" s="27" t="n"/>
      <c r="AR202" s="27" t="n"/>
      <c r="AS202" s="27" t="n"/>
      <c r="AT202" s="27" t="n"/>
      <c r="AU202" s="27" t="n"/>
      <c r="AV202" s="27" t="n"/>
      <c r="AW202" s="27" t="n"/>
      <c r="AX202" s="27" t="n"/>
      <c r="AY202" s="27" t="n"/>
      <c r="AZ202" s="27" t="n"/>
      <c r="BA202" s="27" t="n"/>
      <c r="BB202" s="27" t="n"/>
      <c r="BC202" s="27" t="n"/>
      <c r="BD202" s="27" t="n"/>
      <c r="BE202" s="27" t="n"/>
      <c r="BF202" s="27" t="n"/>
      <c r="BG202" s="27" t="n"/>
      <c r="BH202" s="27" t="n"/>
      <c r="BI202" s="29" t="n"/>
      <c r="BJ202" s="27" t="n"/>
      <c r="BK202" s="27" t="n"/>
      <c r="BL202" s="27" t="n"/>
      <c r="BM202" s="27" t="n"/>
    </row>
    <row r="203">
      <c r="A203" s="27" t="n"/>
      <c r="B203" s="27" t="n"/>
      <c r="C203" s="28">
        <f>IF(A203="","",$B$2)</f>
        <v/>
      </c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  <c r="AA203" s="27" t="n"/>
      <c r="AB203" s="27" t="n"/>
      <c r="AC203" s="27" t="n"/>
      <c r="AD203" s="27" t="n"/>
      <c r="AE203" s="27" t="n"/>
      <c r="AF203" s="27" t="n"/>
      <c r="AG203" s="27" t="n"/>
      <c r="AH203" s="27" t="n"/>
      <c r="AI203" s="27" t="n"/>
      <c r="AJ203" s="27" t="n"/>
      <c r="AK203" s="27" t="n"/>
      <c r="AL203" s="27" t="n"/>
      <c r="AM203" s="27" t="n"/>
      <c r="AN203" s="27" t="n"/>
      <c r="AO203" s="27" t="n"/>
      <c r="AP203" s="27" t="n"/>
      <c r="AQ203" s="27" t="n"/>
      <c r="AR203" s="27" t="n"/>
      <c r="AS203" s="27" t="n"/>
      <c r="AT203" s="27" t="n"/>
      <c r="AU203" s="27" t="n"/>
      <c r="AV203" s="27" t="n"/>
      <c r="AW203" s="27" t="n"/>
      <c r="AX203" s="27" t="n"/>
      <c r="AY203" s="27" t="n"/>
      <c r="AZ203" s="27" t="n"/>
      <c r="BA203" s="27" t="n"/>
      <c r="BB203" s="27" t="n"/>
      <c r="BC203" s="27" t="n"/>
      <c r="BD203" s="27" t="n"/>
      <c r="BE203" s="27" t="n"/>
      <c r="BF203" s="27" t="n"/>
      <c r="BG203" s="27" t="n"/>
      <c r="BH203" s="27" t="n"/>
      <c r="BI203" s="29" t="n"/>
      <c r="BJ203" s="27" t="n"/>
      <c r="BK203" s="27" t="n"/>
      <c r="BL203" s="27" t="n"/>
      <c r="BM203" s="27" t="n"/>
    </row>
    <row r="204">
      <c r="A204" s="27" t="n"/>
      <c r="B204" s="27" t="n"/>
      <c r="C204" s="28">
        <f>IF(A204="","",$B$2)</f>
        <v/>
      </c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  <c r="AA204" s="27" t="n"/>
      <c r="AB204" s="27" t="n"/>
      <c r="AC204" s="27" t="n"/>
      <c r="AD204" s="27" t="n"/>
      <c r="AE204" s="27" t="n"/>
      <c r="AF204" s="27" t="n"/>
      <c r="AG204" s="27" t="n"/>
      <c r="AH204" s="27" t="n"/>
      <c r="AI204" s="27" t="n"/>
      <c r="AJ204" s="27" t="n"/>
      <c r="AK204" s="27" t="n"/>
      <c r="AL204" s="27" t="n"/>
      <c r="AM204" s="27" t="n"/>
      <c r="AN204" s="27" t="n"/>
      <c r="AO204" s="27" t="n"/>
      <c r="AP204" s="27" t="n"/>
      <c r="AQ204" s="27" t="n"/>
      <c r="AR204" s="27" t="n"/>
      <c r="AS204" s="27" t="n"/>
      <c r="AT204" s="27" t="n"/>
      <c r="AU204" s="27" t="n"/>
      <c r="AV204" s="27" t="n"/>
      <c r="AW204" s="27" t="n"/>
      <c r="AX204" s="27" t="n"/>
      <c r="AY204" s="27" t="n"/>
      <c r="AZ204" s="27" t="n"/>
      <c r="BA204" s="27" t="n"/>
      <c r="BB204" s="27" t="n"/>
      <c r="BC204" s="27" t="n"/>
      <c r="BD204" s="27" t="n"/>
      <c r="BE204" s="27" t="n"/>
      <c r="BF204" s="27" t="n"/>
      <c r="BG204" s="27" t="n"/>
      <c r="BH204" s="27" t="n"/>
      <c r="BI204" s="29" t="n"/>
      <c r="BJ204" s="27" t="n"/>
      <c r="BK204" s="27" t="n"/>
      <c r="BL204" s="27" t="n"/>
      <c r="BM204" s="27" t="n"/>
    </row>
    <row r="205">
      <c r="A205" s="27" t="n"/>
      <c r="B205" s="27" t="n"/>
      <c r="C205" s="28">
        <f>IF(A205="","",$B$2)</f>
        <v/>
      </c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  <c r="AA205" s="27" t="n"/>
      <c r="AB205" s="27" t="n"/>
      <c r="AC205" s="27" t="n"/>
      <c r="AD205" s="27" t="n"/>
      <c r="AE205" s="27" t="n"/>
      <c r="AF205" s="27" t="n"/>
      <c r="AG205" s="27" t="n"/>
      <c r="AH205" s="27" t="n"/>
      <c r="AI205" s="27" t="n"/>
      <c r="AJ205" s="27" t="n"/>
      <c r="AK205" s="27" t="n"/>
      <c r="AL205" s="27" t="n"/>
      <c r="AM205" s="27" t="n"/>
      <c r="AN205" s="27" t="n"/>
      <c r="AO205" s="27" t="n"/>
      <c r="AP205" s="27" t="n"/>
      <c r="AQ205" s="27" t="n"/>
      <c r="AR205" s="27" t="n"/>
      <c r="AS205" s="27" t="n"/>
      <c r="AT205" s="27" t="n"/>
      <c r="AU205" s="27" t="n"/>
      <c r="AV205" s="27" t="n"/>
      <c r="AW205" s="27" t="n"/>
      <c r="AX205" s="27" t="n"/>
      <c r="AY205" s="27" t="n"/>
      <c r="AZ205" s="27" t="n"/>
      <c r="BA205" s="27" t="n"/>
      <c r="BB205" s="27" t="n"/>
      <c r="BC205" s="27" t="n"/>
      <c r="BD205" s="27" t="n"/>
      <c r="BE205" s="27" t="n"/>
      <c r="BF205" s="27" t="n"/>
      <c r="BG205" s="27" t="n"/>
      <c r="BH205" s="27" t="n"/>
      <c r="BI205" s="29" t="n"/>
      <c r="BJ205" s="27" t="n"/>
      <c r="BK205" s="27" t="n"/>
      <c r="BL205" s="27" t="n"/>
      <c r="BM205" s="27" t="n"/>
    </row>
  </sheetData>
  <autoFilter ref="A5:BM205"/>
  <mergeCells count="21">
    <mergeCell ref="BH4:BH5"/>
    <mergeCell ref="C4:C5"/>
    <mergeCell ref="E4:E5"/>
    <mergeCell ref="BE4:BE5"/>
    <mergeCell ref="BG4:BG5"/>
    <mergeCell ref="BK4:BK5"/>
    <mergeCell ref="A3:F3"/>
    <mergeCell ref="D4:D5"/>
    <mergeCell ref="BE3:BH3"/>
    <mergeCell ref="BF4:BF5"/>
    <mergeCell ref="BL4:BL5"/>
    <mergeCell ref="BI3:BM3"/>
    <mergeCell ref="A4:A5"/>
    <mergeCell ref="BO4:DN4"/>
    <mergeCell ref="BI4:BI5"/>
    <mergeCell ref="BM4:BM5"/>
    <mergeCell ref="G3:BD3"/>
    <mergeCell ref="B4:B5"/>
    <mergeCell ref="F4:F5"/>
    <mergeCell ref="BJ4:BJ5"/>
    <mergeCell ref="B2:D2"/>
  </mergeCells>
  <dataValidations count="56">
    <dataValidation sqref="G6:G205" showDropDown="0" showInputMessage="0" showErrorMessage="0" allowBlank="1" type="list">
      <formula1>'テストケース6'!$BO$6:$BO$15</formula1>
    </dataValidation>
    <dataValidation sqref="H6:H205" showDropDown="0" showInputMessage="0" showErrorMessage="0" allowBlank="1" type="list">
      <formula1>'テストケース6'!$BP$6:$BP$15</formula1>
    </dataValidation>
    <dataValidation sqref="I6:I205" showDropDown="0" showInputMessage="0" showErrorMessage="0" allowBlank="1" type="list">
      <formula1>'テストケース6'!$BQ$6:$BQ$15</formula1>
    </dataValidation>
    <dataValidation sqref="J6:J205" showDropDown="0" showInputMessage="0" showErrorMessage="0" allowBlank="1" type="list">
      <formula1>'テストケース6'!$BR$6:$BR$15</formula1>
    </dataValidation>
    <dataValidation sqref="K6:K205" showDropDown="0" showInputMessage="0" showErrorMessage="0" allowBlank="1" type="list">
      <formula1>'テストケース6'!$BS$6:$BS$15</formula1>
    </dataValidation>
    <dataValidation sqref="L6:L205" showDropDown="0" showInputMessage="0" showErrorMessage="0" allowBlank="1" type="list">
      <formula1>'テストケース6'!$BT$6:$BT$15</formula1>
    </dataValidation>
    <dataValidation sqref="M6:M205" showDropDown="0" showInputMessage="0" showErrorMessage="0" allowBlank="1" type="list">
      <formula1>'テストケース6'!$BU$6:$BU$15</formula1>
    </dataValidation>
    <dataValidation sqref="N6:N205" showDropDown="0" showInputMessage="0" showErrorMessage="0" allowBlank="1" type="list">
      <formula1>'テストケース6'!$BV$6:$BV$15</formula1>
    </dataValidation>
    <dataValidation sqref="O6:O205" showDropDown="0" showInputMessage="0" showErrorMessage="0" allowBlank="1" type="list">
      <formula1>'テストケース6'!$BW$6:$BW$15</formula1>
    </dataValidation>
    <dataValidation sqref="P6:P205" showDropDown="0" showInputMessage="0" showErrorMessage="0" allowBlank="1" type="list">
      <formula1>'テストケース6'!$BX$6:$BX$15</formula1>
    </dataValidation>
    <dataValidation sqref="Q6:Q205" showDropDown="0" showInputMessage="0" showErrorMessage="0" allowBlank="1" type="list">
      <formula1>'テストケース6'!$BY$6:$BY$15</formula1>
    </dataValidation>
    <dataValidation sqref="R6:R205" showDropDown="0" showInputMessage="0" showErrorMessage="0" allowBlank="1" type="list">
      <formula1>'テストケース6'!$BZ$6:$BZ$15</formula1>
    </dataValidation>
    <dataValidation sqref="S6:S205" showDropDown="0" showInputMessage="0" showErrorMessage="0" allowBlank="1" type="list">
      <formula1>'テストケース6'!$CA$6:$CA$15</formula1>
    </dataValidation>
    <dataValidation sqref="T6:T205" showDropDown="0" showInputMessage="0" showErrorMessage="0" allowBlank="1" type="list">
      <formula1>'テストケース6'!$CB$6:$CB$15</formula1>
    </dataValidation>
    <dataValidation sqref="U6:U205" showDropDown="0" showInputMessage="0" showErrorMessage="0" allowBlank="1" type="list">
      <formula1>'テストケース6'!$CC$6:$CC$15</formula1>
    </dataValidation>
    <dataValidation sqref="V6:V205" showDropDown="0" showInputMessage="0" showErrorMessage="0" allowBlank="1" type="list">
      <formula1>'テストケース6'!$CD$6:$CD$15</formula1>
    </dataValidation>
    <dataValidation sqref="W6:W205" showDropDown="0" showInputMessage="0" showErrorMessage="0" allowBlank="1" type="list">
      <formula1>'テストケース6'!$CE$6:$CE$15</formula1>
    </dataValidation>
    <dataValidation sqref="X6:X205" showDropDown="0" showInputMessage="0" showErrorMessage="0" allowBlank="1" type="list">
      <formula1>'テストケース6'!$CF$6:$CF$15</formula1>
    </dataValidation>
    <dataValidation sqref="Y6:Y205" showDropDown="0" showInputMessage="0" showErrorMessage="0" allowBlank="1" type="list">
      <formula1>'テストケース6'!$CG$6:$CG$15</formula1>
    </dataValidation>
    <dataValidation sqref="Z6:Z205" showDropDown="0" showInputMessage="0" showErrorMessage="0" allowBlank="1" type="list">
      <formula1>'テストケース6'!$CH$6:$CH$15</formula1>
    </dataValidation>
    <dataValidation sqref="AA6:AA205" showDropDown="0" showInputMessage="0" showErrorMessage="0" allowBlank="1" type="list">
      <formula1>'テストケース6'!$CI$6:$CI$15</formula1>
    </dataValidation>
    <dataValidation sqref="AB6:AB205" showDropDown="0" showInputMessage="0" showErrorMessage="0" allowBlank="1" type="list">
      <formula1>'テストケース6'!$CJ$6:$CJ$15</formula1>
    </dataValidation>
    <dataValidation sqref="AC6:AC205" showDropDown="0" showInputMessage="0" showErrorMessage="0" allowBlank="1" type="list">
      <formula1>'テストケース6'!$CK$6:$CK$15</formula1>
    </dataValidation>
    <dataValidation sqref="AD6:AD205" showDropDown="0" showInputMessage="0" showErrorMessage="0" allowBlank="1" type="list">
      <formula1>'テストケース6'!$CL$6:$CL$15</formula1>
    </dataValidation>
    <dataValidation sqref="AE6:AE205" showDropDown="0" showInputMessage="0" showErrorMessage="0" allowBlank="1" type="list">
      <formula1>'テストケース6'!$CM$6:$CM$15</formula1>
    </dataValidation>
    <dataValidation sqref="AF6:AF205" showDropDown="0" showInputMessage="0" showErrorMessage="0" allowBlank="1" type="list">
      <formula1>'テストケース6'!$CN$6:$CN$15</formula1>
    </dataValidation>
    <dataValidation sqref="AG6:AG205" showDropDown="0" showInputMessage="0" showErrorMessage="0" allowBlank="1" type="list">
      <formula1>'テストケース6'!$CO$6:$CO$15</formula1>
    </dataValidation>
    <dataValidation sqref="AH6:AH205" showDropDown="0" showInputMessage="0" showErrorMessage="0" allowBlank="1" type="list">
      <formula1>'テストケース6'!$CP$6:$CP$15</formula1>
    </dataValidation>
    <dataValidation sqref="AI6:AI205" showDropDown="0" showInputMessage="0" showErrorMessage="0" allowBlank="1" type="list">
      <formula1>'テストケース6'!$CQ$6:$CQ$15</formula1>
    </dataValidation>
    <dataValidation sqref="AJ6:AJ205" showDropDown="0" showInputMessage="0" showErrorMessage="0" allowBlank="1" type="list">
      <formula1>'テストケース6'!$CR$6:$CR$15</formula1>
    </dataValidation>
    <dataValidation sqref="AK6:AK205" showDropDown="0" showInputMessage="0" showErrorMessage="0" allowBlank="1" type="list">
      <formula1>'テストケース6'!$CS$6:$CS$15</formula1>
    </dataValidation>
    <dataValidation sqref="AL6:AL205" showDropDown="0" showInputMessage="0" showErrorMessage="0" allowBlank="1" type="list">
      <formula1>'テストケース6'!$CT$6:$CT$15</formula1>
    </dataValidation>
    <dataValidation sqref="AM6:AM205" showDropDown="0" showInputMessage="0" showErrorMessage="0" allowBlank="1" type="list">
      <formula1>'テストケース6'!$CU$6:$CU$15</formula1>
    </dataValidation>
    <dataValidation sqref="AN6:AN205" showDropDown="0" showInputMessage="0" showErrorMessage="0" allowBlank="1" type="list">
      <formula1>'テストケース6'!$CV$6:$CV$15</formula1>
    </dataValidation>
    <dataValidation sqref="AO6:AO205" showDropDown="0" showInputMessage="0" showErrorMessage="0" allowBlank="1" type="list">
      <formula1>'テストケース6'!$CW$6:$CW$15</formula1>
    </dataValidation>
    <dataValidation sqref="AP6:AP205" showDropDown="0" showInputMessage="0" showErrorMessage="0" allowBlank="1" type="list">
      <formula1>'テストケース6'!$CX$6:$CX$15</formula1>
    </dataValidation>
    <dataValidation sqref="AQ6:AQ205" showDropDown="0" showInputMessage="0" showErrorMessage="0" allowBlank="1" type="list">
      <formula1>'テストケース6'!$CY$6:$CY$15</formula1>
    </dataValidation>
    <dataValidation sqref="AR6:AR205" showDropDown="0" showInputMessage="0" showErrorMessage="0" allowBlank="1" type="list">
      <formula1>'テストケース6'!$CZ$6:$CZ$15</formula1>
    </dataValidation>
    <dataValidation sqref="AS6:AS205" showDropDown="0" showInputMessage="0" showErrorMessage="0" allowBlank="1" type="list">
      <formula1>'テストケース6'!$DA$6:$DA$15</formula1>
    </dataValidation>
    <dataValidation sqref="AT6:AT205" showDropDown="0" showInputMessage="0" showErrorMessage="0" allowBlank="1" type="list">
      <formula1>'テストケース6'!$DB$6:$DB$15</formula1>
    </dataValidation>
    <dataValidation sqref="AU6:AU205" showDropDown="0" showInputMessage="0" showErrorMessage="0" allowBlank="1" type="list">
      <formula1>'テストケース6'!$DC$6:$DC$15</formula1>
    </dataValidation>
    <dataValidation sqref="AV6:AV205" showDropDown="0" showInputMessage="0" showErrorMessage="0" allowBlank="1" type="list">
      <formula1>'テストケース6'!$DD$6:$DD$15</formula1>
    </dataValidation>
    <dataValidation sqref="AW6:AW205" showDropDown="0" showInputMessage="0" showErrorMessage="0" allowBlank="1" type="list">
      <formula1>'テストケース6'!$DE$6:$DE$15</formula1>
    </dataValidation>
    <dataValidation sqref="AX6:AX205" showDropDown="0" showInputMessage="0" showErrorMessage="0" allowBlank="1" type="list">
      <formula1>'テストケース6'!$DF$6:$DF$15</formula1>
    </dataValidation>
    <dataValidation sqref="AY6:AY205" showDropDown="0" showInputMessage="0" showErrorMessage="0" allowBlank="1" type="list">
      <formula1>'テストケース6'!$DG$6:$DG$15</formula1>
    </dataValidation>
    <dataValidation sqref="AZ6:AZ205" showDropDown="0" showInputMessage="0" showErrorMessage="0" allowBlank="1" type="list">
      <formula1>'テストケース6'!$DH$6:$DH$15</formula1>
    </dataValidation>
    <dataValidation sqref="BA6:BA205" showDropDown="0" showInputMessage="0" showErrorMessage="0" allowBlank="1" type="list">
      <formula1>'テストケース6'!$DI$6:$DI$15</formula1>
    </dataValidation>
    <dataValidation sqref="BB6:BB205" showDropDown="0" showInputMessage="0" showErrorMessage="0" allowBlank="1" type="list">
      <formula1>'テストケース6'!$DJ$6:$DJ$15</formula1>
    </dataValidation>
    <dataValidation sqref="BC6:BC205" showDropDown="0" showInputMessage="0" showErrorMessage="0" allowBlank="1" type="list">
      <formula1>'テストケース6'!$DK$6:$DK$15</formula1>
    </dataValidation>
    <dataValidation sqref="BD6:BD205" showDropDown="0" showInputMessage="0" showErrorMessage="0" allowBlank="1" type="list">
      <formula1>'テストケース6'!$DL$6:$DL$15</formula1>
    </dataValidation>
    <dataValidation sqref="C6:C205" showDropDown="0" showInputMessage="0" showErrorMessage="0" allowBlank="1" type="list">
      <formula1>'テストケース6'!$DM$6:$DM$35</formula1>
    </dataValidation>
    <dataValidation sqref="B2" showDropDown="0" showInputMessage="0" showErrorMessage="0" allowBlank="1" type="list">
      <formula1>'テストケース6'!$DM$6:$DM$35</formula1>
    </dataValidation>
    <dataValidation sqref="B6:B205" showDropDown="0" showInputMessage="0" showErrorMessage="0" allowBlank="1" type="list">
      <formula1>'テストケース6'!$DN$6:$DN$105</formula1>
    </dataValidation>
    <dataValidation sqref="E6:E205" showDropDown="0" showInputMessage="0" showErrorMessage="0" allowBlank="1" type="list">
      <formula1>"高,中,低"</formula1>
    </dataValidation>
    <dataValidation sqref="BH6:BH205" showDropDown="0" showInputMessage="0" showErrorMessage="0" allowBlank="1" type="list">
      <formula1>"要,否,済"</formula1>
    </dataValidation>
    <dataValidation sqref="BK6:BK205" showDropDown="0" showInputMessage="0" showErrorMessage="0" allowBlank="1" type="list">
      <formula1>"OK,NG,保留,対象外"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0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8" customWidth="1" min="4" max="4"/>
    <col width="7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30" customWidth="1" min="57" max="57"/>
    <col width="34" customWidth="1" min="58" max="58"/>
    <col width="14" customWidth="1" min="59" max="59"/>
    <col width="9" customWidth="1" min="60" max="60"/>
    <col width="11" customWidth="1" min="61" max="61"/>
    <col width="10" customWidth="1" min="62" max="62"/>
    <col width="9" customWidth="1" min="63" max="63"/>
    <col width="10" customWidth="1" min="64" max="64"/>
    <col width="24" customWidth="1" min="65" max="65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</cols>
  <sheetData>
    <row r="1">
      <c r="A1" s="1" t="inlineStr">
        <is>
          <t>テストケース</t>
        </is>
      </c>
      <c r="E1" s="2" t="inlineStr">
        <is>
          <t>2 行目でカテゴリを選ぶと、そのカテゴリの因子が左から自動で入ります。セルは水準のプルダウンから選べます。</t>
        </is>
      </c>
    </row>
    <row r="2">
      <c r="A2" s="11" t="inlineStr">
        <is>
          <t>カテゴリ</t>
        </is>
      </c>
      <c r="B2" s="8" t="n"/>
      <c r="C2" s="9" t="n"/>
      <c r="D2" s="10" t="n"/>
      <c r="E2" s="18">
        <f>IF($B$2="","",COUNTIF('因子水準表'!$B$5:$KO$5,$B$2)&amp;" 因子")</f>
        <v/>
      </c>
    </row>
    <row r="3">
      <c r="A3" s="21" t="inlineStr">
        <is>
          <t>テストケース</t>
        </is>
      </c>
      <c r="B3" s="9" t="n"/>
      <c r="C3" s="9" t="n"/>
      <c r="D3" s="9" t="n"/>
      <c r="E3" s="9" t="n"/>
      <c r="F3" s="10" t="n"/>
      <c r="G3" s="21" t="inlineStr">
        <is>
          <t>因子の水準（シートのカテゴリの因子が自動で入る）</t>
        </is>
      </c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  <c r="AQ3" s="9" t="n"/>
      <c r="AR3" s="9" t="n"/>
      <c r="AS3" s="9" t="n"/>
      <c r="AT3" s="9" t="n"/>
      <c r="AU3" s="9" t="n"/>
      <c r="AV3" s="9" t="n"/>
      <c r="AW3" s="9" t="n"/>
      <c r="AX3" s="9" t="n"/>
      <c r="AY3" s="9" t="n"/>
      <c r="AZ3" s="9" t="n"/>
      <c r="BA3" s="9" t="n"/>
      <c r="BB3" s="9" t="n"/>
      <c r="BC3" s="9" t="n"/>
      <c r="BD3" s="10" t="n"/>
      <c r="BE3" s="21" t="inlineStr">
        <is>
          <t>内容</t>
        </is>
      </c>
      <c r="BF3" s="9" t="n"/>
      <c r="BG3" s="9" t="n"/>
      <c r="BH3" s="10" t="n"/>
      <c r="BI3" s="21" t="inlineStr">
        <is>
          <t>実行結果</t>
        </is>
      </c>
      <c r="BJ3" s="9" t="n"/>
      <c r="BK3" s="9" t="n"/>
      <c r="BL3" s="9" t="n"/>
      <c r="BM3" s="10" t="n"/>
    </row>
    <row r="4">
      <c r="A4" s="12" t="inlineStr">
        <is>
          <t>ID</t>
        </is>
      </c>
      <c r="B4" s="12" t="inlineStr">
        <is>
          <t>条件ID</t>
        </is>
      </c>
      <c r="C4" s="12" t="inlineStr">
        <is>
          <t>カテゴリ</t>
        </is>
      </c>
      <c r="D4" s="12" t="inlineStr">
        <is>
          <t>テスト観点（目的）</t>
        </is>
      </c>
      <c r="E4" s="12" t="inlineStr">
        <is>
          <t>優先度</t>
        </is>
      </c>
      <c r="F4" s="12" t="inlineStr">
        <is>
          <t>事前条件</t>
        </is>
      </c>
      <c r="G4" s="22">
        <f>IF($B$2="","",IFERROR(INDEX('因子水準表'!$B$4:$KO$4,MATCH($B$2&amp;"|1",'因子水準表'!$B$20:$KO$20,0)),""))</f>
        <v/>
      </c>
      <c r="H4" s="22">
        <f>IF($B$2="","",IFERROR(INDEX('因子水準表'!$B$4:$KO$4,MATCH($B$2&amp;"|2",'因子水準表'!$B$20:$KO$20,0)),""))</f>
        <v/>
      </c>
      <c r="I4" s="22">
        <f>IF($B$2="","",IFERROR(INDEX('因子水準表'!$B$4:$KO$4,MATCH($B$2&amp;"|3",'因子水準表'!$B$20:$KO$20,0)),""))</f>
        <v/>
      </c>
      <c r="J4" s="22">
        <f>IF($B$2="","",IFERROR(INDEX('因子水準表'!$B$4:$KO$4,MATCH($B$2&amp;"|4",'因子水準表'!$B$20:$KO$20,0)),""))</f>
        <v/>
      </c>
      <c r="K4" s="22">
        <f>IF($B$2="","",IFERROR(INDEX('因子水準表'!$B$4:$KO$4,MATCH($B$2&amp;"|5",'因子水準表'!$B$20:$KO$20,0)),""))</f>
        <v/>
      </c>
      <c r="L4" s="22">
        <f>IF($B$2="","",IFERROR(INDEX('因子水準表'!$B$4:$KO$4,MATCH($B$2&amp;"|6",'因子水準表'!$B$20:$KO$20,0)),""))</f>
        <v/>
      </c>
      <c r="M4" s="22">
        <f>IF($B$2="","",IFERROR(INDEX('因子水準表'!$B$4:$KO$4,MATCH($B$2&amp;"|7",'因子水準表'!$B$20:$KO$20,0)),""))</f>
        <v/>
      </c>
      <c r="N4" s="22">
        <f>IF($B$2="","",IFERROR(INDEX('因子水準表'!$B$4:$KO$4,MATCH($B$2&amp;"|8",'因子水準表'!$B$20:$KO$20,0)),""))</f>
        <v/>
      </c>
      <c r="O4" s="22">
        <f>IF($B$2="","",IFERROR(INDEX('因子水準表'!$B$4:$KO$4,MATCH($B$2&amp;"|9",'因子水準表'!$B$20:$KO$20,0)),""))</f>
        <v/>
      </c>
      <c r="P4" s="22">
        <f>IF($B$2="","",IFERROR(INDEX('因子水準表'!$B$4:$KO$4,MATCH($B$2&amp;"|10",'因子水準表'!$B$20:$KO$20,0)),""))</f>
        <v/>
      </c>
      <c r="Q4" s="22">
        <f>IF($B$2="","",IFERROR(INDEX('因子水準表'!$B$4:$KO$4,MATCH($B$2&amp;"|11",'因子水準表'!$B$20:$KO$20,0)),""))</f>
        <v/>
      </c>
      <c r="R4" s="22">
        <f>IF($B$2="","",IFERROR(INDEX('因子水準表'!$B$4:$KO$4,MATCH($B$2&amp;"|12",'因子水準表'!$B$20:$KO$20,0)),""))</f>
        <v/>
      </c>
      <c r="S4" s="22">
        <f>IF($B$2="","",IFERROR(INDEX('因子水準表'!$B$4:$KO$4,MATCH($B$2&amp;"|13",'因子水準表'!$B$20:$KO$20,0)),""))</f>
        <v/>
      </c>
      <c r="T4" s="22">
        <f>IF($B$2="","",IFERROR(INDEX('因子水準表'!$B$4:$KO$4,MATCH($B$2&amp;"|14",'因子水準表'!$B$20:$KO$20,0)),""))</f>
        <v/>
      </c>
      <c r="U4" s="22">
        <f>IF($B$2="","",IFERROR(INDEX('因子水準表'!$B$4:$KO$4,MATCH($B$2&amp;"|15",'因子水準表'!$B$20:$KO$20,0)),""))</f>
        <v/>
      </c>
      <c r="V4" s="22">
        <f>IF($B$2="","",IFERROR(INDEX('因子水準表'!$B$4:$KO$4,MATCH($B$2&amp;"|16",'因子水準表'!$B$20:$KO$20,0)),""))</f>
        <v/>
      </c>
      <c r="W4" s="22">
        <f>IF($B$2="","",IFERROR(INDEX('因子水準表'!$B$4:$KO$4,MATCH($B$2&amp;"|17",'因子水準表'!$B$20:$KO$20,0)),""))</f>
        <v/>
      </c>
      <c r="X4" s="22">
        <f>IF($B$2="","",IFERROR(INDEX('因子水準表'!$B$4:$KO$4,MATCH($B$2&amp;"|18",'因子水準表'!$B$20:$KO$20,0)),""))</f>
        <v/>
      </c>
      <c r="Y4" s="22">
        <f>IF($B$2="","",IFERROR(INDEX('因子水準表'!$B$4:$KO$4,MATCH($B$2&amp;"|19",'因子水準表'!$B$20:$KO$20,0)),""))</f>
        <v/>
      </c>
      <c r="Z4" s="22">
        <f>IF($B$2="","",IFERROR(INDEX('因子水準表'!$B$4:$KO$4,MATCH($B$2&amp;"|20",'因子水準表'!$B$20:$KO$20,0)),""))</f>
        <v/>
      </c>
      <c r="AA4" s="22">
        <f>IF($B$2="","",IFERROR(INDEX('因子水準表'!$B$4:$KO$4,MATCH($B$2&amp;"|21",'因子水準表'!$B$20:$KO$20,0)),""))</f>
        <v/>
      </c>
      <c r="AB4" s="22">
        <f>IF($B$2="","",IFERROR(INDEX('因子水準表'!$B$4:$KO$4,MATCH($B$2&amp;"|22",'因子水準表'!$B$20:$KO$20,0)),""))</f>
        <v/>
      </c>
      <c r="AC4" s="22">
        <f>IF($B$2="","",IFERROR(INDEX('因子水準表'!$B$4:$KO$4,MATCH($B$2&amp;"|23",'因子水準表'!$B$20:$KO$20,0)),""))</f>
        <v/>
      </c>
      <c r="AD4" s="22">
        <f>IF($B$2="","",IFERROR(INDEX('因子水準表'!$B$4:$KO$4,MATCH($B$2&amp;"|24",'因子水準表'!$B$20:$KO$20,0)),""))</f>
        <v/>
      </c>
      <c r="AE4" s="22">
        <f>IF($B$2="","",IFERROR(INDEX('因子水準表'!$B$4:$KO$4,MATCH($B$2&amp;"|25",'因子水準表'!$B$20:$KO$20,0)),""))</f>
        <v/>
      </c>
      <c r="AF4" s="22">
        <f>IF($B$2="","",IFERROR(INDEX('因子水準表'!$B$4:$KO$4,MATCH($B$2&amp;"|26",'因子水準表'!$B$20:$KO$20,0)),""))</f>
        <v/>
      </c>
      <c r="AG4" s="22">
        <f>IF($B$2="","",IFERROR(INDEX('因子水準表'!$B$4:$KO$4,MATCH($B$2&amp;"|27",'因子水準表'!$B$20:$KO$20,0)),""))</f>
        <v/>
      </c>
      <c r="AH4" s="22">
        <f>IF($B$2="","",IFERROR(INDEX('因子水準表'!$B$4:$KO$4,MATCH($B$2&amp;"|28",'因子水準表'!$B$20:$KO$20,0)),""))</f>
        <v/>
      </c>
      <c r="AI4" s="22">
        <f>IF($B$2="","",IFERROR(INDEX('因子水準表'!$B$4:$KO$4,MATCH($B$2&amp;"|29",'因子水準表'!$B$20:$KO$20,0)),""))</f>
        <v/>
      </c>
      <c r="AJ4" s="22">
        <f>IF($B$2="","",IFERROR(INDEX('因子水準表'!$B$4:$KO$4,MATCH($B$2&amp;"|30",'因子水準表'!$B$20:$KO$20,0)),""))</f>
        <v/>
      </c>
      <c r="AK4" s="22">
        <f>IF($B$2="","",IFERROR(INDEX('因子水準表'!$B$4:$KO$4,MATCH($B$2&amp;"|31",'因子水準表'!$B$20:$KO$20,0)),""))</f>
        <v/>
      </c>
      <c r="AL4" s="22">
        <f>IF($B$2="","",IFERROR(INDEX('因子水準表'!$B$4:$KO$4,MATCH($B$2&amp;"|32",'因子水準表'!$B$20:$KO$20,0)),""))</f>
        <v/>
      </c>
      <c r="AM4" s="22">
        <f>IF($B$2="","",IFERROR(INDEX('因子水準表'!$B$4:$KO$4,MATCH($B$2&amp;"|33",'因子水準表'!$B$20:$KO$20,0)),""))</f>
        <v/>
      </c>
      <c r="AN4" s="22">
        <f>IF($B$2="","",IFERROR(INDEX('因子水準表'!$B$4:$KO$4,MATCH($B$2&amp;"|34",'因子水準表'!$B$20:$KO$20,0)),""))</f>
        <v/>
      </c>
      <c r="AO4" s="22">
        <f>IF($B$2="","",IFERROR(INDEX('因子水準表'!$B$4:$KO$4,MATCH($B$2&amp;"|35",'因子水準表'!$B$20:$KO$20,0)),""))</f>
        <v/>
      </c>
      <c r="AP4" s="22">
        <f>IF($B$2="","",IFERROR(INDEX('因子水準表'!$B$4:$KO$4,MATCH($B$2&amp;"|36",'因子水準表'!$B$20:$KO$20,0)),""))</f>
        <v/>
      </c>
      <c r="AQ4" s="22">
        <f>IF($B$2="","",IFERROR(INDEX('因子水準表'!$B$4:$KO$4,MATCH($B$2&amp;"|37",'因子水準表'!$B$20:$KO$20,0)),""))</f>
        <v/>
      </c>
      <c r="AR4" s="22">
        <f>IF($B$2="","",IFERROR(INDEX('因子水準表'!$B$4:$KO$4,MATCH($B$2&amp;"|38",'因子水準表'!$B$20:$KO$20,0)),""))</f>
        <v/>
      </c>
      <c r="AS4" s="22">
        <f>IF($B$2="","",IFERROR(INDEX('因子水準表'!$B$4:$KO$4,MATCH($B$2&amp;"|39",'因子水準表'!$B$20:$KO$20,0)),""))</f>
        <v/>
      </c>
      <c r="AT4" s="22">
        <f>IF($B$2="","",IFERROR(INDEX('因子水準表'!$B$4:$KO$4,MATCH($B$2&amp;"|40",'因子水準表'!$B$20:$KO$20,0)),""))</f>
        <v/>
      </c>
      <c r="AU4" s="22">
        <f>IF($B$2="","",IFERROR(INDEX('因子水準表'!$B$4:$KO$4,MATCH($B$2&amp;"|41",'因子水準表'!$B$20:$KO$20,0)),""))</f>
        <v/>
      </c>
      <c r="AV4" s="22">
        <f>IF($B$2="","",IFERROR(INDEX('因子水準表'!$B$4:$KO$4,MATCH($B$2&amp;"|42",'因子水準表'!$B$20:$KO$20,0)),""))</f>
        <v/>
      </c>
      <c r="AW4" s="22">
        <f>IF($B$2="","",IFERROR(INDEX('因子水準表'!$B$4:$KO$4,MATCH($B$2&amp;"|43",'因子水準表'!$B$20:$KO$20,0)),""))</f>
        <v/>
      </c>
      <c r="AX4" s="22">
        <f>IF($B$2="","",IFERROR(INDEX('因子水準表'!$B$4:$KO$4,MATCH($B$2&amp;"|44",'因子水準表'!$B$20:$KO$20,0)),""))</f>
        <v/>
      </c>
      <c r="AY4" s="22">
        <f>IF($B$2="","",IFERROR(INDEX('因子水準表'!$B$4:$KO$4,MATCH($B$2&amp;"|45",'因子水準表'!$B$20:$KO$20,0)),""))</f>
        <v/>
      </c>
      <c r="AZ4" s="22">
        <f>IF($B$2="","",IFERROR(INDEX('因子水準表'!$B$4:$KO$4,MATCH($B$2&amp;"|46",'因子水準表'!$B$20:$KO$20,0)),""))</f>
        <v/>
      </c>
      <c r="BA4" s="22">
        <f>IF($B$2="","",IFERROR(INDEX('因子水準表'!$B$4:$KO$4,MATCH($B$2&amp;"|47",'因子水準表'!$B$20:$KO$20,0)),""))</f>
        <v/>
      </c>
      <c r="BB4" s="22">
        <f>IF($B$2="","",IFERROR(INDEX('因子水準表'!$B$4:$KO$4,MATCH($B$2&amp;"|48",'因子水準表'!$B$20:$KO$20,0)),""))</f>
        <v/>
      </c>
      <c r="BC4" s="22">
        <f>IF($B$2="","",IFERROR(INDEX('因子水準表'!$B$4:$KO$4,MATCH($B$2&amp;"|49",'因子水準表'!$B$20:$KO$20,0)),""))</f>
        <v/>
      </c>
      <c r="BD4" s="22">
        <f>IF($B$2="","",IFERROR(INDEX('因子水準表'!$B$4:$KO$4,MATCH($B$2&amp;"|50",'因子水準表'!$B$20:$KO$20,0)),""))</f>
        <v/>
      </c>
      <c r="BE4" s="12" t="inlineStr">
        <is>
          <t>手順</t>
        </is>
      </c>
      <c r="BF4" s="12" t="inlineStr">
        <is>
          <t>期待結果</t>
        </is>
      </c>
      <c r="BG4" s="12" t="inlineStr">
        <is>
          <t>技法</t>
        </is>
      </c>
      <c r="BH4" s="12" t="inlineStr">
        <is>
          <t>自動化</t>
        </is>
      </c>
      <c r="BI4" s="12" t="inlineStr">
        <is>
          <t>実行日</t>
        </is>
      </c>
      <c r="BJ4" s="12" t="inlineStr">
        <is>
          <t>実行者</t>
        </is>
      </c>
      <c r="BK4" s="12" t="inlineStr">
        <is>
          <t>結果</t>
        </is>
      </c>
      <c r="BL4" s="12" t="inlineStr">
        <is>
          <t>欠陥ID</t>
        </is>
      </c>
      <c r="BM4" s="12" t="inlineStr">
        <is>
          <t>備考</t>
        </is>
      </c>
      <c r="BO4" s="21" t="inlineStr">
        <is>
          <t>プルダウン用（非表示・編集しない）</t>
        </is>
      </c>
      <c r="BP4" s="9" t="n"/>
      <c r="BQ4" s="9" t="n"/>
      <c r="BR4" s="9" t="n"/>
      <c r="BS4" s="9" t="n"/>
      <c r="BT4" s="9" t="n"/>
      <c r="BU4" s="9" t="n"/>
      <c r="BV4" s="9" t="n"/>
      <c r="BW4" s="9" t="n"/>
      <c r="BX4" s="9" t="n"/>
      <c r="BY4" s="9" t="n"/>
      <c r="BZ4" s="9" t="n"/>
      <c r="CA4" s="9" t="n"/>
      <c r="CB4" s="9" t="n"/>
      <c r="CC4" s="9" t="n"/>
      <c r="CD4" s="9" t="n"/>
      <c r="CE4" s="9" t="n"/>
      <c r="CF4" s="9" t="n"/>
      <c r="CG4" s="9" t="n"/>
      <c r="CH4" s="9" t="n"/>
      <c r="CI4" s="9" t="n"/>
      <c r="CJ4" s="9" t="n"/>
      <c r="CK4" s="9" t="n"/>
      <c r="CL4" s="9" t="n"/>
      <c r="CM4" s="9" t="n"/>
      <c r="CN4" s="9" t="n"/>
      <c r="CO4" s="9" t="n"/>
      <c r="CP4" s="9" t="n"/>
      <c r="CQ4" s="9" t="n"/>
      <c r="CR4" s="9" t="n"/>
      <c r="CS4" s="9" t="n"/>
      <c r="CT4" s="9" t="n"/>
      <c r="CU4" s="9" t="n"/>
      <c r="CV4" s="9" t="n"/>
      <c r="CW4" s="9" t="n"/>
      <c r="CX4" s="9" t="n"/>
      <c r="CY4" s="9" t="n"/>
      <c r="CZ4" s="9" t="n"/>
      <c r="DA4" s="9" t="n"/>
      <c r="DB4" s="9" t="n"/>
      <c r="DC4" s="9" t="n"/>
      <c r="DD4" s="9" t="n"/>
      <c r="DE4" s="9" t="n"/>
      <c r="DF4" s="9" t="n"/>
      <c r="DG4" s="9" t="n"/>
      <c r="DH4" s="9" t="n"/>
      <c r="DI4" s="9" t="n"/>
      <c r="DJ4" s="9" t="n"/>
      <c r="DK4" s="9" t="n"/>
      <c r="DL4" s="9" t="n"/>
      <c r="DM4" s="9" t="n"/>
      <c r="DN4" s="10" t="n"/>
    </row>
    <row r="5">
      <c r="A5" s="23" t="n"/>
      <c r="B5" s="23" t="n"/>
      <c r="C5" s="23" t="n"/>
      <c r="D5" s="23" t="n"/>
      <c r="E5" s="23" t="n"/>
      <c r="F5" s="23" t="n"/>
      <c r="G5" s="12">
        <f>IF(G4="","（未使用）",IFERROR(INDEX('因子水準表'!$B$6:$KO$6,MATCH(G4,'因子水準表'!$B$4:$KO$4,0)),"（ID不明）"))</f>
        <v/>
      </c>
      <c r="H5" s="12">
        <f>IF(H4="","（未使用）",IFERROR(INDEX('因子水準表'!$B$6:$KO$6,MATCH(H4,'因子水準表'!$B$4:$KO$4,0)),"（ID不明）"))</f>
        <v/>
      </c>
      <c r="I5" s="12">
        <f>IF(I4="","（未使用）",IFERROR(INDEX('因子水準表'!$B$6:$KO$6,MATCH(I4,'因子水準表'!$B$4:$KO$4,0)),"（ID不明）"))</f>
        <v/>
      </c>
      <c r="J5" s="12">
        <f>IF(J4="","（未使用）",IFERROR(INDEX('因子水準表'!$B$6:$KO$6,MATCH(J4,'因子水準表'!$B$4:$KO$4,0)),"（ID不明）"))</f>
        <v/>
      </c>
      <c r="K5" s="12">
        <f>IF(K4="","（未使用）",IFERROR(INDEX('因子水準表'!$B$6:$KO$6,MATCH(K4,'因子水準表'!$B$4:$KO$4,0)),"（ID不明）"))</f>
        <v/>
      </c>
      <c r="L5" s="12">
        <f>IF(L4="","（未使用）",IFERROR(INDEX('因子水準表'!$B$6:$KO$6,MATCH(L4,'因子水準表'!$B$4:$KO$4,0)),"（ID不明）"))</f>
        <v/>
      </c>
      <c r="M5" s="12">
        <f>IF(M4="","（未使用）",IFERROR(INDEX('因子水準表'!$B$6:$KO$6,MATCH(M4,'因子水準表'!$B$4:$KO$4,0)),"（ID不明）"))</f>
        <v/>
      </c>
      <c r="N5" s="12">
        <f>IF(N4="","（未使用）",IFERROR(INDEX('因子水準表'!$B$6:$KO$6,MATCH(N4,'因子水準表'!$B$4:$KO$4,0)),"（ID不明）"))</f>
        <v/>
      </c>
      <c r="O5" s="12">
        <f>IF(O4="","（未使用）",IFERROR(INDEX('因子水準表'!$B$6:$KO$6,MATCH(O4,'因子水準表'!$B$4:$KO$4,0)),"（ID不明）"))</f>
        <v/>
      </c>
      <c r="P5" s="12">
        <f>IF(P4="","（未使用）",IFERROR(INDEX('因子水準表'!$B$6:$KO$6,MATCH(P4,'因子水準表'!$B$4:$KO$4,0)),"（ID不明）"))</f>
        <v/>
      </c>
      <c r="Q5" s="12">
        <f>IF(Q4="","（未使用）",IFERROR(INDEX('因子水準表'!$B$6:$KO$6,MATCH(Q4,'因子水準表'!$B$4:$KO$4,0)),"（ID不明）"))</f>
        <v/>
      </c>
      <c r="R5" s="12">
        <f>IF(R4="","（未使用）",IFERROR(INDEX('因子水準表'!$B$6:$KO$6,MATCH(R4,'因子水準表'!$B$4:$KO$4,0)),"（ID不明）"))</f>
        <v/>
      </c>
      <c r="S5" s="12">
        <f>IF(S4="","（未使用）",IFERROR(INDEX('因子水準表'!$B$6:$KO$6,MATCH(S4,'因子水準表'!$B$4:$KO$4,0)),"（ID不明）"))</f>
        <v/>
      </c>
      <c r="T5" s="12">
        <f>IF(T4="","（未使用）",IFERROR(INDEX('因子水準表'!$B$6:$KO$6,MATCH(T4,'因子水準表'!$B$4:$KO$4,0)),"（ID不明）"))</f>
        <v/>
      </c>
      <c r="U5" s="12">
        <f>IF(U4="","（未使用）",IFERROR(INDEX('因子水準表'!$B$6:$KO$6,MATCH(U4,'因子水準表'!$B$4:$KO$4,0)),"（ID不明）"))</f>
        <v/>
      </c>
      <c r="V5" s="12">
        <f>IF(V4="","（未使用）",IFERROR(INDEX('因子水準表'!$B$6:$KO$6,MATCH(V4,'因子水準表'!$B$4:$KO$4,0)),"（ID不明）"))</f>
        <v/>
      </c>
      <c r="W5" s="12">
        <f>IF(W4="","（未使用）",IFERROR(INDEX('因子水準表'!$B$6:$KO$6,MATCH(W4,'因子水準表'!$B$4:$KO$4,0)),"（ID不明）"))</f>
        <v/>
      </c>
      <c r="X5" s="12">
        <f>IF(X4="","（未使用）",IFERROR(INDEX('因子水準表'!$B$6:$KO$6,MATCH(X4,'因子水準表'!$B$4:$KO$4,0)),"（ID不明）"))</f>
        <v/>
      </c>
      <c r="Y5" s="12">
        <f>IF(Y4="","（未使用）",IFERROR(INDEX('因子水準表'!$B$6:$KO$6,MATCH(Y4,'因子水準表'!$B$4:$KO$4,0)),"（ID不明）"))</f>
        <v/>
      </c>
      <c r="Z5" s="12">
        <f>IF(Z4="","（未使用）",IFERROR(INDEX('因子水準表'!$B$6:$KO$6,MATCH(Z4,'因子水準表'!$B$4:$KO$4,0)),"（ID不明）"))</f>
        <v/>
      </c>
      <c r="AA5" s="12">
        <f>IF(AA4="","（未使用）",IFERROR(INDEX('因子水準表'!$B$6:$KO$6,MATCH(AA4,'因子水準表'!$B$4:$KO$4,0)),"（ID不明）"))</f>
        <v/>
      </c>
      <c r="AB5" s="12">
        <f>IF(AB4="","（未使用）",IFERROR(INDEX('因子水準表'!$B$6:$KO$6,MATCH(AB4,'因子水準表'!$B$4:$KO$4,0)),"（ID不明）"))</f>
        <v/>
      </c>
      <c r="AC5" s="12">
        <f>IF(AC4="","（未使用）",IFERROR(INDEX('因子水準表'!$B$6:$KO$6,MATCH(AC4,'因子水準表'!$B$4:$KO$4,0)),"（ID不明）"))</f>
        <v/>
      </c>
      <c r="AD5" s="12">
        <f>IF(AD4="","（未使用）",IFERROR(INDEX('因子水準表'!$B$6:$KO$6,MATCH(AD4,'因子水準表'!$B$4:$KO$4,0)),"（ID不明）"))</f>
        <v/>
      </c>
      <c r="AE5" s="12">
        <f>IF(AE4="","（未使用）",IFERROR(INDEX('因子水準表'!$B$6:$KO$6,MATCH(AE4,'因子水準表'!$B$4:$KO$4,0)),"（ID不明）"))</f>
        <v/>
      </c>
      <c r="AF5" s="12">
        <f>IF(AF4="","（未使用）",IFERROR(INDEX('因子水準表'!$B$6:$KO$6,MATCH(AF4,'因子水準表'!$B$4:$KO$4,0)),"（ID不明）"))</f>
        <v/>
      </c>
      <c r="AG5" s="12">
        <f>IF(AG4="","（未使用）",IFERROR(INDEX('因子水準表'!$B$6:$KO$6,MATCH(AG4,'因子水準表'!$B$4:$KO$4,0)),"（ID不明）"))</f>
        <v/>
      </c>
      <c r="AH5" s="12">
        <f>IF(AH4="","（未使用）",IFERROR(INDEX('因子水準表'!$B$6:$KO$6,MATCH(AH4,'因子水準表'!$B$4:$KO$4,0)),"（ID不明）"))</f>
        <v/>
      </c>
      <c r="AI5" s="12">
        <f>IF(AI4="","（未使用）",IFERROR(INDEX('因子水準表'!$B$6:$KO$6,MATCH(AI4,'因子水準表'!$B$4:$KO$4,0)),"（ID不明）"))</f>
        <v/>
      </c>
      <c r="AJ5" s="12">
        <f>IF(AJ4="","（未使用）",IFERROR(INDEX('因子水準表'!$B$6:$KO$6,MATCH(AJ4,'因子水準表'!$B$4:$KO$4,0)),"（ID不明）"))</f>
        <v/>
      </c>
      <c r="AK5" s="12">
        <f>IF(AK4="","（未使用）",IFERROR(INDEX('因子水準表'!$B$6:$KO$6,MATCH(AK4,'因子水準表'!$B$4:$KO$4,0)),"（ID不明）"))</f>
        <v/>
      </c>
      <c r="AL5" s="12">
        <f>IF(AL4="","（未使用）",IFERROR(INDEX('因子水準表'!$B$6:$KO$6,MATCH(AL4,'因子水準表'!$B$4:$KO$4,0)),"（ID不明）"))</f>
        <v/>
      </c>
      <c r="AM5" s="12">
        <f>IF(AM4="","（未使用）",IFERROR(INDEX('因子水準表'!$B$6:$KO$6,MATCH(AM4,'因子水準表'!$B$4:$KO$4,0)),"（ID不明）"))</f>
        <v/>
      </c>
      <c r="AN5" s="12">
        <f>IF(AN4="","（未使用）",IFERROR(INDEX('因子水準表'!$B$6:$KO$6,MATCH(AN4,'因子水準表'!$B$4:$KO$4,0)),"（ID不明）"))</f>
        <v/>
      </c>
      <c r="AO5" s="12">
        <f>IF(AO4="","（未使用）",IFERROR(INDEX('因子水準表'!$B$6:$KO$6,MATCH(AO4,'因子水準表'!$B$4:$KO$4,0)),"（ID不明）"))</f>
        <v/>
      </c>
      <c r="AP5" s="12">
        <f>IF(AP4="","（未使用）",IFERROR(INDEX('因子水準表'!$B$6:$KO$6,MATCH(AP4,'因子水準表'!$B$4:$KO$4,0)),"（ID不明）"))</f>
        <v/>
      </c>
      <c r="AQ5" s="12">
        <f>IF(AQ4="","（未使用）",IFERROR(INDEX('因子水準表'!$B$6:$KO$6,MATCH(AQ4,'因子水準表'!$B$4:$KO$4,0)),"（ID不明）"))</f>
        <v/>
      </c>
      <c r="AR5" s="12">
        <f>IF(AR4="","（未使用）",IFERROR(INDEX('因子水準表'!$B$6:$KO$6,MATCH(AR4,'因子水準表'!$B$4:$KO$4,0)),"（ID不明）"))</f>
        <v/>
      </c>
      <c r="AS5" s="12">
        <f>IF(AS4="","（未使用）",IFERROR(INDEX('因子水準表'!$B$6:$KO$6,MATCH(AS4,'因子水準表'!$B$4:$KO$4,0)),"（ID不明）"))</f>
        <v/>
      </c>
      <c r="AT5" s="12">
        <f>IF(AT4="","（未使用）",IFERROR(INDEX('因子水準表'!$B$6:$KO$6,MATCH(AT4,'因子水準表'!$B$4:$KO$4,0)),"（ID不明）"))</f>
        <v/>
      </c>
      <c r="AU5" s="12">
        <f>IF(AU4="","（未使用）",IFERROR(INDEX('因子水準表'!$B$6:$KO$6,MATCH(AU4,'因子水準表'!$B$4:$KO$4,0)),"（ID不明）"))</f>
        <v/>
      </c>
      <c r="AV5" s="12">
        <f>IF(AV4="","（未使用）",IFERROR(INDEX('因子水準表'!$B$6:$KO$6,MATCH(AV4,'因子水準表'!$B$4:$KO$4,0)),"（ID不明）"))</f>
        <v/>
      </c>
      <c r="AW5" s="12">
        <f>IF(AW4="","（未使用）",IFERROR(INDEX('因子水準表'!$B$6:$KO$6,MATCH(AW4,'因子水準表'!$B$4:$KO$4,0)),"（ID不明）"))</f>
        <v/>
      </c>
      <c r="AX5" s="12">
        <f>IF(AX4="","（未使用）",IFERROR(INDEX('因子水準表'!$B$6:$KO$6,MATCH(AX4,'因子水準表'!$B$4:$KO$4,0)),"（ID不明）"))</f>
        <v/>
      </c>
      <c r="AY5" s="12">
        <f>IF(AY4="","（未使用）",IFERROR(INDEX('因子水準表'!$B$6:$KO$6,MATCH(AY4,'因子水準表'!$B$4:$KO$4,0)),"（ID不明）"))</f>
        <v/>
      </c>
      <c r="AZ5" s="12">
        <f>IF(AZ4="","（未使用）",IFERROR(INDEX('因子水準表'!$B$6:$KO$6,MATCH(AZ4,'因子水準表'!$B$4:$KO$4,0)),"（ID不明）"))</f>
        <v/>
      </c>
      <c r="BA5" s="12">
        <f>IF(BA4="","（未使用）",IFERROR(INDEX('因子水準表'!$B$6:$KO$6,MATCH(BA4,'因子水準表'!$B$4:$KO$4,0)),"（ID不明）"))</f>
        <v/>
      </c>
      <c r="BB5" s="12">
        <f>IF(BB4="","（未使用）",IFERROR(INDEX('因子水準表'!$B$6:$KO$6,MATCH(BB4,'因子水準表'!$B$4:$KO$4,0)),"（ID不明）"))</f>
        <v/>
      </c>
      <c r="BC5" s="12">
        <f>IF(BC4="","（未使用）",IFERROR(INDEX('因子水準表'!$B$6:$KO$6,MATCH(BC4,'因子水準表'!$B$4:$KO$4,0)),"（ID不明）"))</f>
        <v/>
      </c>
      <c r="BD5" s="12">
        <f>IF(BD4="","（未使用）",IFERROR(INDEX('因子水準表'!$B$6:$KO$6,MATCH(BD4,'因子水準表'!$B$4:$KO$4,0)),"（ID不明）"))</f>
        <v/>
      </c>
      <c r="BE5" s="23" t="n"/>
      <c r="BF5" s="23" t="n"/>
      <c r="BG5" s="23" t="n"/>
      <c r="BH5" s="23" t="n"/>
      <c r="BI5" s="23" t="n"/>
      <c r="BJ5" s="23" t="n"/>
      <c r="BK5" s="23" t="n"/>
      <c r="BL5" s="23" t="n"/>
      <c r="BM5" s="23" t="n"/>
      <c r="BO5" s="12" t="inlineStr">
        <is>
          <t>1列目の水準</t>
        </is>
      </c>
      <c r="BP5" s="12" t="inlineStr">
        <is>
          <t>2列目の水準</t>
        </is>
      </c>
      <c r="BQ5" s="12" t="inlineStr">
        <is>
          <t>3列目の水準</t>
        </is>
      </c>
      <c r="BR5" s="12" t="inlineStr">
        <is>
          <t>4列目の水準</t>
        </is>
      </c>
      <c r="BS5" s="12" t="inlineStr">
        <is>
          <t>5列目の水準</t>
        </is>
      </c>
      <c r="BT5" s="12" t="inlineStr">
        <is>
          <t>6列目の水準</t>
        </is>
      </c>
      <c r="BU5" s="12" t="inlineStr">
        <is>
          <t>7列目の水準</t>
        </is>
      </c>
      <c r="BV5" s="12" t="inlineStr">
        <is>
          <t>8列目の水準</t>
        </is>
      </c>
      <c r="BW5" s="12" t="inlineStr">
        <is>
          <t>9列目の水準</t>
        </is>
      </c>
      <c r="BX5" s="12" t="inlineStr">
        <is>
          <t>10列目の水準</t>
        </is>
      </c>
      <c r="BY5" s="12" t="inlineStr">
        <is>
          <t>11列目の水準</t>
        </is>
      </c>
      <c r="BZ5" s="12" t="inlineStr">
        <is>
          <t>12列目の水準</t>
        </is>
      </c>
      <c r="CA5" s="12" t="inlineStr">
        <is>
          <t>13列目の水準</t>
        </is>
      </c>
      <c r="CB5" s="12" t="inlineStr">
        <is>
          <t>14列目の水準</t>
        </is>
      </c>
      <c r="CC5" s="12" t="inlineStr">
        <is>
          <t>15列目の水準</t>
        </is>
      </c>
      <c r="CD5" s="12" t="inlineStr">
        <is>
          <t>16列目の水準</t>
        </is>
      </c>
      <c r="CE5" s="12" t="inlineStr">
        <is>
          <t>17列目の水準</t>
        </is>
      </c>
      <c r="CF5" s="12" t="inlineStr">
        <is>
          <t>18列目の水準</t>
        </is>
      </c>
      <c r="CG5" s="12" t="inlineStr">
        <is>
          <t>19列目の水準</t>
        </is>
      </c>
      <c r="CH5" s="12" t="inlineStr">
        <is>
          <t>20列目の水準</t>
        </is>
      </c>
      <c r="CI5" s="12" t="inlineStr">
        <is>
          <t>21列目の水準</t>
        </is>
      </c>
      <c r="CJ5" s="12" t="inlineStr">
        <is>
          <t>22列目の水準</t>
        </is>
      </c>
      <c r="CK5" s="12" t="inlineStr">
        <is>
          <t>23列目の水準</t>
        </is>
      </c>
      <c r="CL5" s="12" t="inlineStr">
        <is>
          <t>24列目の水準</t>
        </is>
      </c>
      <c r="CM5" s="12" t="inlineStr">
        <is>
          <t>25列目の水準</t>
        </is>
      </c>
      <c r="CN5" s="12" t="inlineStr">
        <is>
          <t>26列目の水準</t>
        </is>
      </c>
      <c r="CO5" s="12" t="inlineStr">
        <is>
          <t>27列目の水準</t>
        </is>
      </c>
      <c r="CP5" s="12" t="inlineStr">
        <is>
          <t>28列目の水準</t>
        </is>
      </c>
      <c r="CQ5" s="12" t="inlineStr">
        <is>
          <t>29列目の水準</t>
        </is>
      </c>
      <c r="CR5" s="12" t="inlineStr">
        <is>
          <t>30列目の水準</t>
        </is>
      </c>
      <c r="CS5" s="12" t="inlineStr">
        <is>
          <t>31列目の水準</t>
        </is>
      </c>
      <c r="CT5" s="12" t="inlineStr">
        <is>
          <t>32列目の水準</t>
        </is>
      </c>
      <c r="CU5" s="12" t="inlineStr">
        <is>
          <t>33列目の水準</t>
        </is>
      </c>
      <c r="CV5" s="12" t="inlineStr">
        <is>
          <t>34列目の水準</t>
        </is>
      </c>
      <c r="CW5" s="12" t="inlineStr">
        <is>
          <t>35列目の水準</t>
        </is>
      </c>
      <c r="CX5" s="12" t="inlineStr">
        <is>
          <t>36列目の水準</t>
        </is>
      </c>
      <c r="CY5" s="12" t="inlineStr">
        <is>
          <t>37列目の水準</t>
        </is>
      </c>
      <c r="CZ5" s="12" t="inlineStr">
        <is>
          <t>38列目の水準</t>
        </is>
      </c>
      <c r="DA5" s="12" t="inlineStr">
        <is>
          <t>39列目の水準</t>
        </is>
      </c>
      <c r="DB5" s="12" t="inlineStr">
        <is>
          <t>40列目の水準</t>
        </is>
      </c>
      <c r="DC5" s="12" t="inlineStr">
        <is>
          <t>41列目の水準</t>
        </is>
      </c>
      <c r="DD5" s="12" t="inlineStr">
        <is>
          <t>42列目の水準</t>
        </is>
      </c>
      <c r="DE5" s="12" t="inlineStr">
        <is>
          <t>43列目の水準</t>
        </is>
      </c>
      <c r="DF5" s="12" t="inlineStr">
        <is>
          <t>44列目の水準</t>
        </is>
      </c>
      <c r="DG5" s="12" t="inlineStr">
        <is>
          <t>45列目の水準</t>
        </is>
      </c>
      <c r="DH5" s="12" t="inlineStr">
        <is>
          <t>46列目の水準</t>
        </is>
      </c>
      <c r="DI5" s="12" t="inlineStr">
        <is>
          <t>47列目の水準</t>
        </is>
      </c>
      <c r="DJ5" s="12" t="inlineStr">
        <is>
          <t>48列目の水準</t>
        </is>
      </c>
      <c r="DK5" s="12" t="inlineStr">
        <is>
          <t>49列目の水準</t>
        </is>
      </c>
      <c r="DL5" s="12" t="inlineStr">
        <is>
          <t>50列目の水準</t>
        </is>
      </c>
      <c r="DM5" s="12" t="inlineStr">
        <is>
          <t>カテゴリ</t>
        </is>
      </c>
      <c r="DN5" s="12" t="inlineStr">
        <is>
          <t>条件ID</t>
        </is>
      </c>
    </row>
    <row r="6">
      <c r="A6" s="27" t="n"/>
      <c r="B6" s="27" t="n"/>
      <c r="C6" s="28">
        <f>IF(A6="","",$B$2)</f>
        <v/>
      </c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  <c r="AI6" s="27" t="n"/>
      <c r="AJ6" s="27" t="n"/>
      <c r="AK6" s="27" t="n"/>
      <c r="AL6" s="27" t="n"/>
      <c r="AM6" s="27" t="n"/>
      <c r="AN6" s="27" t="n"/>
      <c r="AO6" s="27" t="n"/>
      <c r="AP6" s="27" t="n"/>
      <c r="AQ6" s="27" t="n"/>
      <c r="AR6" s="27" t="n"/>
      <c r="AS6" s="27" t="n"/>
      <c r="AT6" s="27" t="n"/>
      <c r="AU6" s="27" t="n"/>
      <c r="AV6" s="27" t="n"/>
      <c r="AW6" s="27" t="n"/>
      <c r="AX6" s="27" t="n"/>
      <c r="AY6" s="27" t="n"/>
      <c r="AZ6" s="27" t="n"/>
      <c r="BA6" s="27" t="n"/>
      <c r="BB6" s="27" t="n"/>
      <c r="BC6" s="27" t="n"/>
      <c r="BD6" s="27" t="n"/>
      <c r="BE6" s="27" t="n"/>
      <c r="BF6" s="27" t="n"/>
      <c r="BG6" s="27" t="n"/>
      <c r="BH6" s="27" t="n"/>
      <c r="BI6" s="29" t="n"/>
      <c r="BJ6" s="27" t="n"/>
      <c r="BK6" s="27" t="n"/>
      <c r="BL6" s="27" t="n"/>
      <c r="BM6" s="27" t="n"/>
      <c r="BO6" s="26">
        <f>IF(G$4="","",IFERROR(INDEX('因子水準表'!$B$9:$KO$18,1,MATCH(G$4,'因子水準表'!$B$4:$KO$4,0))&amp;"",""))</f>
        <v/>
      </c>
      <c r="BP6" s="26">
        <f>IF(H$4="","",IFERROR(INDEX('因子水準表'!$B$9:$KO$18,1,MATCH(H$4,'因子水準表'!$B$4:$KO$4,0))&amp;"",""))</f>
        <v/>
      </c>
      <c r="BQ6" s="26">
        <f>IF(I$4="","",IFERROR(INDEX('因子水準表'!$B$9:$KO$18,1,MATCH(I$4,'因子水準表'!$B$4:$KO$4,0))&amp;"",""))</f>
        <v/>
      </c>
      <c r="BR6" s="26">
        <f>IF(J$4="","",IFERROR(INDEX('因子水準表'!$B$9:$KO$18,1,MATCH(J$4,'因子水準表'!$B$4:$KO$4,0))&amp;"",""))</f>
        <v/>
      </c>
      <c r="BS6" s="26">
        <f>IF(K$4="","",IFERROR(INDEX('因子水準表'!$B$9:$KO$18,1,MATCH(K$4,'因子水準表'!$B$4:$KO$4,0))&amp;"",""))</f>
        <v/>
      </c>
      <c r="BT6" s="26">
        <f>IF(L$4="","",IFERROR(INDEX('因子水準表'!$B$9:$KO$18,1,MATCH(L$4,'因子水準表'!$B$4:$KO$4,0))&amp;"",""))</f>
        <v/>
      </c>
      <c r="BU6" s="26">
        <f>IF(M$4="","",IFERROR(INDEX('因子水準表'!$B$9:$KO$18,1,MATCH(M$4,'因子水準表'!$B$4:$KO$4,0))&amp;"",""))</f>
        <v/>
      </c>
      <c r="BV6" s="26">
        <f>IF(N$4="","",IFERROR(INDEX('因子水準表'!$B$9:$KO$18,1,MATCH(N$4,'因子水準表'!$B$4:$KO$4,0))&amp;"",""))</f>
        <v/>
      </c>
      <c r="BW6" s="26">
        <f>IF(O$4="","",IFERROR(INDEX('因子水準表'!$B$9:$KO$18,1,MATCH(O$4,'因子水準表'!$B$4:$KO$4,0))&amp;"",""))</f>
        <v/>
      </c>
      <c r="BX6" s="26">
        <f>IF(P$4="","",IFERROR(INDEX('因子水準表'!$B$9:$KO$18,1,MATCH(P$4,'因子水準表'!$B$4:$KO$4,0))&amp;"",""))</f>
        <v/>
      </c>
      <c r="BY6" s="26">
        <f>IF(Q$4="","",IFERROR(INDEX('因子水準表'!$B$9:$KO$18,1,MATCH(Q$4,'因子水準表'!$B$4:$KO$4,0))&amp;"",""))</f>
        <v/>
      </c>
      <c r="BZ6" s="26">
        <f>IF(R$4="","",IFERROR(INDEX('因子水準表'!$B$9:$KO$18,1,MATCH(R$4,'因子水準表'!$B$4:$KO$4,0))&amp;"",""))</f>
        <v/>
      </c>
      <c r="CA6" s="26">
        <f>IF(S$4="","",IFERROR(INDEX('因子水準表'!$B$9:$KO$18,1,MATCH(S$4,'因子水準表'!$B$4:$KO$4,0))&amp;"",""))</f>
        <v/>
      </c>
      <c r="CB6" s="26">
        <f>IF(T$4="","",IFERROR(INDEX('因子水準表'!$B$9:$KO$18,1,MATCH(T$4,'因子水準表'!$B$4:$KO$4,0))&amp;"",""))</f>
        <v/>
      </c>
      <c r="CC6" s="26">
        <f>IF(U$4="","",IFERROR(INDEX('因子水準表'!$B$9:$KO$18,1,MATCH(U$4,'因子水準表'!$B$4:$KO$4,0))&amp;"",""))</f>
        <v/>
      </c>
      <c r="CD6" s="26">
        <f>IF(V$4="","",IFERROR(INDEX('因子水準表'!$B$9:$KO$18,1,MATCH(V$4,'因子水準表'!$B$4:$KO$4,0))&amp;"",""))</f>
        <v/>
      </c>
      <c r="CE6" s="26">
        <f>IF(W$4="","",IFERROR(INDEX('因子水準表'!$B$9:$KO$18,1,MATCH(W$4,'因子水準表'!$B$4:$KO$4,0))&amp;"",""))</f>
        <v/>
      </c>
      <c r="CF6" s="26">
        <f>IF(X$4="","",IFERROR(INDEX('因子水準表'!$B$9:$KO$18,1,MATCH(X$4,'因子水準表'!$B$4:$KO$4,0))&amp;"",""))</f>
        <v/>
      </c>
      <c r="CG6" s="26">
        <f>IF(Y$4="","",IFERROR(INDEX('因子水準表'!$B$9:$KO$18,1,MATCH(Y$4,'因子水準表'!$B$4:$KO$4,0))&amp;"",""))</f>
        <v/>
      </c>
      <c r="CH6" s="26">
        <f>IF(Z$4="","",IFERROR(INDEX('因子水準表'!$B$9:$KO$18,1,MATCH(Z$4,'因子水準表'!$B$4:$KO$4,0))&amp;"",""))</f>
        <v/>
      </c>
      <c r="CI6" s="26">
        <f>IF(AA$4="","",IFERROR(INDEX('因子水準表'!$B$9:$KO$18,1,MATCH(AA$4,'因子水準表'!$B$4:$KO$4,0))&amp;"",""))</f>
        <v/>
      </c>
      <c r="CJ6" s="26">
        <f>IF(AB$4="","",IFERROR(INDEX('因子水準表'!$B$9:$KO$18,1,MATCH(AB$4,'因子水準表'!$B$4:$KO$4,0))&amp;"",""))</f>
        <v/>
      </c>
      <c r="CK6" s="26">
        <f>IF(AC$4="","",IFERROR(INDEX('因子水準表'!$B$9:$KO$18,1,MATCH(AC$4,'因子水準表'!$B$4:$KO$4,0))&amp;"",""))</f>
        <v/>
      </c>
      <c r="CL6" s="26">
        <f>IF(AD$4="","",IFERROR(INDEX('因子水準表'!$B$9:$KO$18,1,MATCH(AD$4,'因子水準表'!$B$4:$KO$4,0))&amp;"",""))</f>
        <v/>
      </c>
      <c r="CM6" s="26">
        <f>IF(AE$4="","",IFERROR(INDEX('因子水準表'!$B$9:$KO$18,1,MATCH(AE$4,'因子水準表'!$B$4:$KO$4,0))&amp;"",""))</f>
        <v/>
      </c>
      <c r="CN6" s="26">
        <f>IF(AF$4="","",IFERROR(INDEX('因子水準表'!$B$9:$KO$18,1,MATCH(AF$4,'因子水準表'!$B$4:$KO$4,0))&amp;"",""))</f>
        <v/>
      </c>
      <c r="CO6" s="26">
        <f>IF(AG$4="","",IFERROR(INDEX('因子水準表'!$B$9:$KO$18,1,MATCH(AG$4,'因子水準表'!$B$4:$KO$4,0))&amp;"",""))</f>
        <v/>
      </c>
      <c r="CP6" s="26">
        <f>IF(AH$4="","",IFERROR(INDEX('因子水準表'!$B$9:$KO$18,1,MATCH(AH$4,'因子水準表'!$B$4:$KO$4,0))&amp;"",""))</f>
        <v/>
      </c>
      <c r="CQ6" s="26">
        <f>IF(AI$4="","",IFERROR(INDEX('因子水準表'!$B$9:$KO$18,1,MATCH(AI$4,'因子水準表'!$B$4:$KO$4,0))&amp;"",""))</f>
        <v/>
      </c>
      <c r="CR6" s="26">
        <f>IF(AJ$4="","",IFERROR(INDEX('因子水準表'!$B$9:$KO$18,1,MATCH(AJ$4,'因子水準表'!$B$4:$KO$4,0))&amp;"",""))</f>
        <v/>
      </c>
      <c r="CS6" s="26">
        <f>IF(AK$4="","",IFERROR(INDEX('因子水準表'!$B$9:$KO$18,1,MATCH(AK$4,'因子水準表'!$B$4:$KO$4,0))&amp;"",""))</f>
        <v/>
      </c>
      <c r="CT6" s="26">
        <f>IF(AL$4="","",IFERROR(INDEX('因子水準表'!$B$9:$KO$18,1,MATCH(AL$4,'因子水準表'!$B$4:$KO$4,0))&amp;"",""))</f>
        <v/>
      </c>
      <c r="CU6" s="26">
        <f>IF(AM$4="","",IFERROR(INDEX('因子水準表'!$B$9:$KO$18,1,MATCH(AM$4,'因子水準表'!$B$4:$KO$4,0))&amp;"",""))</f>
        <v/>
      </c>
      <c r="CV6" s="26">
        <f>IF(AN$4="","",IFERROR(INDEX('因子水準表'!$B$9:$KO$18,1,MATCH(AN$4,'因子水準表'!$B$4:$KO$4,0))&amp;"",""))</f>
        <v/>
      </c>
      <c r="CW6" s="26">
        <f>IF(AO$4="","",IFERROR(INDEX('因子水準表'!$B$9:$KO$18,1,MATCH(AO$4,'因子水準表'!$B$4:$KO$4,0))&amp;"",""))</f>
        <v/>
      </c>
      <c r="CX6" s="26">
        <f>IF(AP$4="","",IFERROR(INDEX('因子水準表'!$B$9:$KO$18,1,MATCH(AP$4,'因子水準表'!$B$4:$KO$4,0))&amp;"",""))</f>
        <v/>
      </c>
      <c r="CY6" s="26">
        <f>IF(AQ$4="","",IFERROR(INDEX('因子水準表'!$B$9:$KO$18,1,MATCH(AQ$4,'因子水準表'!$B$4:$KO$4,0))&amp;"",""))</f>
        <v/>
      </c>
      <c r="CZ6" s="26">
        <f>IF(AR$4="","",IFERROR(INDEX('因子水準表'!$B$9:$KO$18,1,MATCH(AR$4,'因子水準表'!$B$4:$KO$4,0))&amp;"",""))</f>
        <v/>
      </c>
      <c r="DA6" s="26">
        <f>IF(AS$4="","",IFERROR(INDEX('因子水準表'!$B$9:$KO$18,1,MATCH(AS$4,'因子水準表'!$B$4:$KO$4,0))&amp;"",""))</f>
        <v/>
      </c>
      <c r="DB6" s="26">
        <f>IF(AT$4="","",IFERROR(INDEX('因子水準表'!$B$9:$KO$18,1,MATCH(AT$4,'因子水準表'!$B$4:$KO$4,0))&amp;"",""))</f>
        <v/>
      </c>
      <c r="DC6" s="26">
        <f>IF(AU$4="","",IFERROR(INDEX('因子水準表'!$B$9:$KO$18,1,MATCH(AU$4,'因子水準表'!$B$4:$KO$4,0))&amp;"",""))</f>
        <v/>
      </c>
      <c r="DD6" s="26">
        <f>IF(AV$4="","",IFERROR(INDEX('因子水準表'!$B$9:$KO$18,1,MATCH(AV$4,'因子水準表'!$B$4:$KO$4,0))&amp;"",""))</f>
        <v/>
      </c>
      <c r="DE6" s="26">
        <f>IF(AW$4="","",IFERROR(INDEX('因子水準表'!$B$9:$KO$18,1,MATCH(AW$4,'因子水準表'!$B$4:$KO$4,0))&amp;"",""))</f>
        <v/>
      </c>
      <c r="DF6" s="26">
        <f>IF(AX$4="","",IFERROR(INDEX('因子水準表'!$B$9:$KO$18,1,MATCH(AX$4,'因子水準表'!$B$4:$KO$4,0))&amp;"",""))</f>
        <v/>
      </c>
      <c r="DG6" s="26">
        <f>IF(AY$4="","",IFERROR(INDEX('因子水準表'!$B$9:$KO$18,1,MATCH(AY$4,'因子水準表'!$B$4:$KO$4,0))&amp;"",""))</f>
        <v/>
      </c>
      <c r="DH6" s="26">
        <f>IF(AZ$4="","",IFERROR(INDEX('因子水準表'!$B$9:$KO$18,1,MATCH(AZ$4,'因子水準表'!$B$4:$KO$4,0))&amp;"",""))</f>
        <v/>
      </c>
      <c r="DI6" s="26">
        <f>IF(BA$4="","",IFERROR(INDEX('因子水準表'!$B$9:$KO$18,1,MATCH(BA$4,'因子水準表'!$B$4:$KO$4,0))&amp;"",""))</f>
        <v/>
      </c>
      <c r="DJ6" s="26">
        <f>IF(BB$4="","",IFERROR(INDEX('因子水準表'!$B$9:$KO$18,1,MATCH(BB$4,'因子水準表'!$B$4:$KO$4,0))&amp;"",""))</f>
        <v/>
      </c>
      <c r="DK6" s="26">
        <f>IF(BC$4="","",IFERROR(INDEX('因子水準表'!$B$9:$KO$18,1,MATCH(BC$4,'因子水準表'!$B$4:$KO$4,0))&amp;"",""))</f>
        <v/>
      </c>
      <c r="DL6" s="26">
        <f>IF(BD$4="","",IFERROR(INDEX('因子水準表'!$B$9:$KO$18,1,MATCH(BD$4,'因子水準表'!$B$4:$KO$4,0))&amp;"",""))</f>
        <v/>
      </c>
      <c r="DM6" s="26">
        <f>IF('因子水準表'!B29="","",'因子水準表'!B29)</f>
        <v/>
      </c>
      <c r="DN6" s="26">
        <f>IF('テスト条件'!A5="","",'テスト条件'!A5)</f>
        <v/>
      </c>
    </row>
    <row r="7">
      <c r="A7" s="27" t="n"/>
      <c r="B7" s="27" t="n"/>
      <c r="C7" s="28">
        <f>IF(A7="","",$B$2)</f>
        <v/>
      </c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7" t="n"/>
      <c r="BE7" s="27" t="n"/>
      <c r="BF7" s="27" t="n"/>
      <c r="BG7" s="27" t="n"/>
      <c r="BH7" s="27" t="n"/>
      <c r="BI7" s="29" t="n"/>
      <c r="BJ7" s="27" t="n"/>
      <c r="BK7" s="27" t="n"/>
      <c r="BL7" s="27" t="n"/>
      <c r="BM7" s="27" t="n"/>
      <c r="BO7" s="26">
        <f>IF(G$4="","",IFERROR(INDEX('因子水準表'!$B$9:$KO$18,2,MATCH(G$4,'因子水準表'!$B$4:$KO$4,0))&amp;"",""))</f>
        <v/>
      </c>
      <c r="BP7" s="26">
        <f>IF(H$4="","",IFERROR(INDEX('因子水準表'!$B$9:$KO$18,2,MATCH(H$4,'因子水準表'!$B$4:$KO$4,0))&amp;"",""))</f>
        <v/>
      </c>
      <c r="BQ7" s="26">
        <f>IF(I$4="","",IFERROR(INDEX('因子水準表'!$B$9:$KO$18,2,MATCH(I$4,'因子水準表'!$B$4:$KO$4,0))&amp;"",""))</f>
        <v/>
      </c>
      <c r="BR7" s="26">
        <f>IF(J$4="","",IFERROR(INDEX('因子水準表'!$B$9:$KO$18,2,MATCH(J$4,'因子水準表'!$B$4:$KO$4,0))&amp;"",""))</f>
        <v/>
      </c>
      <c r="BS7" s="26">
        <f>IF(K$4="","",IFERROR(INDEX('因子水準表'!$B$9:$KO$18,2,MATCH(K$4,'因子水準表'!$B$4:$KO$4,0))&amp;"",""))</f>
        <v/>
      </c>
      <c r="BT7" s="26">
        <f>IF(L$4="","",IFERROR(INDEX('因子水準表'!$B$9:$KO$18,2,MATCH(L$4,'因子水準表'!$B$4:$KO$4,0))&amp;"",""))</f>
        <v/>
      </c>
      <c r="BU7" s="26">
        <f>IF(M$4="","",IFERROR(INDEX('因子水準表'!$B$9:$KO$18,2,MATCH(M$4,'因子水準表'!$B$4:$KO$4,0))&amp;"",""))</f>
        <v/>
      </c>
      <c r="BV7" s="26">
        <f>IF(N$4="","",IFERROR(INDEX('因子水準表'!$B$9:$KO$18,2,MATCH(N$4,'因子水準表'!$B$4:$KO$4,0))&amp;"",""))</f>
        <v/>
      </c>
      <c r="BW7" s="26">
        <f>IF(O$4="","",IFERROR(INDEX('因子水準表'!$B$9:$KO$18,2,MATCH(O$4,'因子水準表'!$B$4:$KO$4,0))&amp;"",""))</f>
        <v/>
      </c>
      <c r="BX7" s="26">
        <f>IF(P$4="","",IFERROR(INDEX('因子水準表'!$B$9:$KO$18,2,MATCH(P$4,'因子水準表'!$B$4:$KO$4,0))&amp;"",""))</f>
        <v/>
      </c>
      <c r="BY7" s="26">
        <f>IF(Q$4="","",IFERROR(INDEX('因子水準表'!$B$9:$KO$18,2,MATCH(Q$4,'因子水準表'!$B$4:$KO$4,0))&amp;"",""))</f>
        <v/>
      </c>
      <c r="BZ7" s="26">
        <f>IF(R$4="","",IFERROR(INDEX('因子水準表'!$B$9:$KO$18,2,MATCH(R$4,'因子水準表'!$B$4:$KO$4,0))&amp;"",""))</f>
        <v/>
      </c>
      <c r="CA7" s="26">
        <f>IF(S$4="","",IFERROR(INDEX('因子水準表'!$B$9:$KO$18,2,MATCH(S$4,'因子水準表'!$B$4:$KO$4,0))&amp;"",""))</f>
        <v/>
      </c>
      <c r="CB7" s="26">
        <f>IF(T$4="","",IFERROR(INDEX('因子水準表'!$B$9:$KO$18,2,MATCH(T$4,'因子水準表'!$B$4:$KO$4,0))&amp;"",""))</f>
        <v/>
      </c>
      <c r="CC7" s="26">
        <f>IF(U$4="","",IFERROR(INDEX('因子水準表'!$B$9:$KO$18,2,MATCH(U$4,'因子水準表'!$B$4:$KO$4,0))&amp;"",""))</f>
        <v/>
      </c>
      <c r="CD7" s="26">
        <f>IF(V$4="","",IFERROR(INDEX('因子水準表'!$B$9:$KO$18,2,MATCH(V$4,'因子水準表'!$B$4:$KO$4,0))&amp;"",""))</f>
        <v/>
      </c>
      <c r="CE7" s="26">
        <f>IF(W$4="","",IFERROR(INDEX('因子水準表'!$B$9:$KO$18,2,MATCH(W$4,'因子水準表'!$B$4:$KO$4,0))&amp;"",""))</f>
        <v/>
      </c>
      <c r="CF7" s="26">
        <f>IF(X$4="","",IFERROR(INDEX('因子水準表'!$B$9:$KO$18,2,MATCH(X$4,'因子水準表'!$B$4:$KO$4,0))&amp;"",""))</f>
        <v/>
      </c>
      <c r="CG7" s="26">
        <f>IF(Y$4="","",IFERROR(INDEX('因子水準表'!$B$9:$KO$18,2,MATCH(Y$4,'因子水準表'!$B$4:$KO$4,0))&amp;"",""))</f>
        <v/>
      </c>
      <c r="CH7" s="26">
        <f>IF(Z$4="","",IFERROR(INDEX('因子水準表'!$B$9:$KO$18,2,MATCH(Z$4,'因子水準表'!$B$4:$KO$4,0))&amp;"",""))</f>
        <v/>
      </c>
      <c r="CI7" s="26">
        <f>IF(AA$4="","",IFERROR(INDEX('因子水準表'!$B$9:$KO$18,2,MATCH(AA$4,'因子水準表'!$B$4:$KO$4,0))&amp;"",""))</f>
        <v/>
      </c>
      <c r="CJ7" s="26">
        <f>IF(AB$4="","",IFERROR(INDEX('因子水準表'!$B$9:$KO$18,2,MATCH(AB$4,'因子水準表'!$B$4:$KO$4,0))&amp;"",""))</f>
        <v/>
      </c>
      <c r="CK7" s="26">
        <f>IF(AC$4="","",IFERROR(INDEX('因子水準表'!$B$9:$KO$18,2,MATCH(AC$4,'因子水準表'!$B$4:$KO$4,0))&amp;"",""))</f>
        <v/>
      </c>
      <c r="CL7" s="26">
        <f>IF(AD$4="","",IFERROR(INDEX('因子水準表'!$B$9:$KO$18,2,MATCH(AD$4,'因子水準表'!$B$4:$KO$4,0))&amp;"",""))</f>
        <v/>
      </c>
      <c r="CM7" s="26">
        <f>IF(AE$4="","",IFERROR(INDEX('因子水準表'!$B$9:$KO$18,2,MATCH(AE$4,'因子水準表'!$B$4:$KO$4,0))&amp;"",""))</f>
        <v/>
      </c>
      <c r="CN7" s="26">
        <f>IF(AF$4="","",IFERROR(INDEX('因子水準表'!$B$9:$KO$18,2,MATCH(AF$4,'因子水準表'!$B$4:$KO$4,0))&amp;"",""))</f>
        <v/>
      </c>
      <c r="CO7" s="26">
        <f>IF(AG$4="","",IFERROR(INDEX('因子水準表'!$B$9:$KO$18,2,MATCH(AG$4,'因子水準表'!$B$4:$KO$4,0))&amp;"",""))</f>
        <v/>
      </c>
      <c r="CP7" s="26">
        <f>IF(AH$4="","",IFERROR(INDEX('因子水準表'!$B$9:$KO$18,2,MATCH(AH$4,'因子水準表'!$B$4:$KO$4,0))&amp;"",""))</f>
        <v/>
      </c>
      <c r="CQ7" s="26">
        <f>IF(AI$4="","",IFERROR(INDEX('因子水準表'!$B$9:$KO$18,2,MATCH(AI$4,'因子水準表'!$B$4:$KO$4,0))&amp;"",""))</f>
        <v/>
      </c>
      <c r="CR7" s="26">
        <f>IF(AJ$4="","",IFERROR(INDEX('因子水準表'!$B$9:$KO$18,2,MATCH(AJ$4,'因子水準表'!$B$4:$KO$4,0))&amp;"",""))</f>
        <v/>
      </c>
      <c r="CS7" s="26">
        <f>IF(AK$4="","",IFERROR(INDEX('因子水準表'!$B$9:$KO$18,2,MATCH(AK$4,'因子水準表'!$B$4:$KO$4,0))&amp;"",""))</f>
        <v/>
      </c>
      <c r="CT7" s="26">
        <f>IF(AL$4="","",IFERROR(INDEX('因子水準表'!$B$9:$KO$18,2,MATCH(AL$4,'因子水準表'!$B$4:$KO$4,0))&amp;"",""))</f>
        <v/>
      </c>
      <c r="CU7" s="26">
        <f>IF(AM$4="","",IFERROR(INDEX('因子水準表'!$B$9:$KO$18,2,MATCH(AM$4,'因子水準表'!$B$4:$KO$4,0))&amp;"",""))</f>
        <v/>
      </c>
      <c r="CV7" s="26">
        <f>IF(AN$4="","",IFERROR(INDEX('因子水準表'!$B$9:$KO$18,2,MATCH(AN$4,'因子水準表'!$B$4:$KO$4,0))&amp;"",""))</f>
        <v/>
      </c>
      <c r="CW7" s="26">
        <f>IF(AO$4="","",IFERROR(INDEX('因子水準表'!$B$9:$KO$18,2,MATCH(AO$4,'因子水準表'!$B$4:$KO$4,0))&amp;"",""))</f>
        <v/>
      </c>
      <c r="CX7" s="26">
        <f>IF(AP$4="","",IFERROR(INDEX('因子水準表'!$B$9:$KO$18,2,MATCH(AP$4,'因子水準表'!$B$4:$KO$4,0))&amp;"",""))</f>
        <v/>
      </c>
      <c r="CY7" s="26">
        <f>IF(AQ$4="","",IFERROR(INDEX('因子水準表'!$B$9:$KO$18,2,MATCH(AQ$4,'因子水準表'!$B$4:$KO$4,0))&amp;"",""))</f>
        <v/>
      </c>
      <c r="CZ7" s="26">
        <f>IF(AR$4="","",IFERROR(INDEX('因子水準表'!$B$9:$KO$18,2,MATCH(AR$4,'因子水準表'!$B$4:$KO$4,0))&amp;"",""))</f>
        <v/>
      </c>
      <c r="DA7" s="26">
        <f>IF(AS$4="","",IFERROR(INDEX('因子水準表'!$B$9:$KO$18,2,MATCH(AS$4,'因子水準表'!$B$4:$KO$4,0))&amp;"",""))</f>
        <v/>
      </c>
      <c r="DB7" s="26">
        <f>IF(AT$4="","",IFERROR(INDEX('因子水準表'!$B$9:$KO$18,2,MATCH(AT$4,'因子水準表'!$B$4:$KO$4,0))&amp;"",""))</f>
        <v/>
      </c>
      <c r="DC7" s="26">
        <f>IF(AU$4="","",IFERROR(INDEX('因子水準表'!$B$9:$KO$18,2,MATCH(AU$4,'因子水準表'!$B$4:$KO$4,0))&amp;"",""))</f>
        <v/>
      </c>
      <c r="DD7" s="26">
        <f>IF(AV$4="","",IFERROR(INDEX('因子水準表'!$B$9:$KO$18,2,MATCH(AV$4,'因子水準表'!$B$4:$KO$4,0))&amp;"",""))</f>
        <v/>
      </c>
      <c r="DE7" s="26">
        <f>IF(AW$4="","",IFERROR(INDEX('因子水準表'!$B$9:$KO$18,2,MATCH(AW$4,'因子水準表'!$B$4:$KO$4,0))&amp;"",""))</f>
        <v/>
      </c>
      <c r="DF7" s="26">
        <f>IF(AX$4="","",IFERROR(INDEX('因子水準表'!$B$9:$KO$18,2,MATCH(AX$4,'因子水準表'!$B$4:$KO$4,0))&amp;"",""))</f>
        <v/>
      </c>
      <c r="DG7" s="26">
        <f>IF(AY$4="","",IFERROR(INDEX('因子水準表'!$B$9:$KO$18,2,MATCH(AY$4,'因子水準表'!$B$4:$KO$4,0))&amp;"",""))</f>
        <v/>
      </c>
      <c r="DH7" s="26">
        <f>IF(AZ$4="","",IFERROR(INDEX('因子水準表'!$B$9:$KO$18,2,MATCH(AZ$4,'因子水準表'!$B$4:$KO$4,0))&amp;"",""))</f>
        <v/>
      </c>
      <c r="DI7" s="26">
        <f>IF(BA$4="","",IFERROR(INDEX('因子水準表'!$B$9:$KO$18,2,MATCH(BA$4,'因子水準表'!$B$4:$KO$4,0))&amp;"",""))</f>
        <v/>
      </c>
      <c r="DJ7" s="26">
        <f>IF(BB$4="","",IFERROR(INDEX('因子水準表'!$B$9:$KO$18,2,MATCH(BB$4,'因子水準表'!$B$4:$KO$4,0))&amp;"",""))</f>
        <v/>
      </c>
      <c r="DK7" s="26">
        <f>IF(BC$4="","",IFERROR(INDEX('因子水準表'!$B$9:$KO$18,2,MATCH(BC$4,'因子水準表'!$B$4:$KO$4,0))&amp;"",""))</f>
        <v/>
      </c>
      <c r="DL7" s="26">
        <f>IF(BD$4="","",IFERROR(INDEX('因子水準表'!$B$9:$KO$18,2,MATCH(BD$4,'因子水準表'!$B$4:$KO$4,0))&amp;"",""))</f>
        <v/>
      </c>
      <c r="DM7" s="26">
        <f>IF('因子水準表'!B30="","",'因子水準表'!B30)</f>
        <v/>
      </c>
      <c r="DN7" s="26">
        <f>IF('テスト条件'!A6="","",'テスト条件'!A6)</f>
        <v/>
      </c>
    </row>
    <row r="8">
      <c r="A8" s="27" t="n"/>
      <c r="B8" s="27" t="n"/>
      <c r="C8" s="28">
        <f>IF(A8="","",$B$2)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  <c r="AJ8" s="27" t="n"/>
      <c r="AK8" s="27" t="n"/>
      <c r="AL8" s="27" t="n"/>
      <c r="AM8" s="27" t="n"/>
      <c r="AN8" s="27" t="n"/>
      <c r="AO8" s="27" t="n"/>
      <c r="AP8" s="27" t="n"/>
      <c r="AQ8" s="27" t="n"/>
      <c r="AR8" s="27" t="n"/>
      <c r="AS8" s="27" t="n"/>
      <c r="AT8" s="27" t="n"/>
      <c r="AU8" s="27" t="n"/>
      <c r="AV8" s="27" t="n"/>
      <c r="AW8" s="27" t="n"/>
      <c r="AX8" s="27" t="n"/>
      <c r="AY8" s="27" t="n"/>
      <c r="AZ8" s="27" t="n"/>
      <c r="BA8" s="27" t="n"/>
      <c r="BB8" s="27" t="n"/>
      <c r="BC8" s="27" t="n"/>
      <c r="BD8" s="27" t="n"/>
      <c r="BE8" s="27" t="n"/>
      <c r="BF8" s="27" t="n"/>
      <c r="BG8" s="27" t="n"/>
      <c r="BH8" s="27" t="n"/>
      <c r="BI8" s="29" t="n"/>
      <c r="BJ8" s="27" t="n"/>
      <c r="BK8" s="27" t="n"/>
      <c r="BL8" s="27" t="n"/>
      <c r="BM8" s="27" t="n"/>
      <c r="BO8" s="26">
        <f>IF(G$4="","",IFERROR(INDEX('因子水準表'!$B$9:$KO$18,3,MATCH(G$4,'因子水準表'!$B$4:$KO$4,0))&amp;"",""))</f>
        <v/>
      </c>
      <c r="BP8" s="26">
        <f>IF(H$4="","",IFERROR(INDEX('因子水準表'!$B$9:$KO$18,3,MATCH(H$4,'因子水準表'!$B$4:$KO$4,0))&amp;"",""))</f>
        <v/>
      </c>
      <c r="BQ8" s="26">
        <f>IF(I$4="","",IFERROR(INDEX('因子水準表'!$B$9:$KO$18,3,MATCH(I$4,'因子水準表'!$B$4:$KO$4,0))&amp;"",""))</f>
        <v/>
      </c>
      <c r="BR8" s="26">
        <f>IF(J$4="","",IFERROR(INDEX('因子水準表'!$B$9:$KO$18,3,MATCH(J$4,'因子水準表'!$B$4:$KO$4,0))&amp;"",""))</f>
        <v/>
      </c>
      <c r="BS8" s="26">
        <f>IF(K$4="","",IFERROR(INDEX('因子水準表'!$B$9:$KO$18,3,MATCH(K$4,'因子水準表'!$B$4:$KO$4,0))&amp;"",""))</f>
        <v/>
      </c>
      <c r="BT8" s="26">
        <f>IF(L$4="","",IFERROR(INDEX('因子水準表'!$B$9:$KO$18,3,MATCH(L$4,'因子水準表'!$B$4:$KO$4,0))&amp;"",""))</f>
        <v/>
      </c>
      <c r="BU8" s="26">
        <f>IF(M$4="","",IFERROR(INDEX('因子水準表'!$B$9:$KO$18,3,MATCH(M$4,'因子水準表'!$B$4:$KO$4,0))&amp;"",""))</f>
        <v/>
      </c>
      <c r="BV8" s="26">
        <f>IF(N$4="","",IFERROR(INDEX('因子水準表'!$B$9:$KO$18,3,MATCH(N$4,'因子水準表'!$B$4:$KO$4,0))&amp;"",""))</f>
        <v/>
      </c>
      <c r="BW8" s="26">
        <f>IF(O$4="","",IFERROR(INDEX('因子水準表'!$B$9:$KO$18,3,MATCH(O$4,'因子水準表'!$B$4:$KO$4,0))&amp;"",""))</f>
        <v/>
      </c>
      <c r="BX8" s="26">
        <f>IF(P$4="","",IFERROR(INDEX('因子水準表'!$B$9:$KO$18,3,MATCH(P$4,'因子水準表'!$B$4:$KO$4,0))&amp;"",""))</f>
        <v/>
      </c>
      <c r="BY8" s="26">
        <f>IF(Q$4="","",IFERROR(INDEX('因子水準表'!$B$9:$KO$18,3,MATCH(Q$4,'因子水準表'!$B$4:$KO$4,0))&amp;"",""))</f>
        <v/>
      </c>
      <c r="BZ8" s="26">
        <f>IF(R$4="","",IFERROR(INDEX('因子水準表'!$B$9:$KO$18,3,MATCH(R$4,'因子水準表'!$B$4:$KO$4,0))&amp;"",""))</f>
        <v/>
      </c>
      <c r="CA8" s="26">
        <f>IF(S$4="","",IFERROR(INDEX('因子水準表'!$B$9:$KO$18,3,MATCH(S$4,'因子水準表'!$B$4:$KO$4,0))&amp;"",""))</f>
        <v/>
      </c>
      <c r="CB8" s="26">
        <f>IF(T$4="","",IFERROR(INDEX('因子水準表'!$B$9:$KO$18,3,MATCH(T$4,'因子水準表'!$B$4:$KO$4,0))&amp;"",""))</f>
        <v/>
      </c>
      <c r="CC8" s="26">
        <f>IF(U$4="","",IFERROR(INDEX('因子水準表'!$B$9:$KO$18,3,MATCH(U$4,'因子水準表'!$B$4:$KO$4,0))&amp;"",""))</f>
        <v/>
      </c>
      <c r="CD8" s="26">
        <f>IF(V$4="","",IFERROR(INDEX('因子水準表'!$B$9:$KO$18,3,MATCH(V$4,'因子水準表'!$B$4:$KO$4,0))&amp;"",""))</f>
        <v/>
      </c>
      <c r="CE8" s="26">
        <f>IF(W$4="","",IFERROR(INDEX('因子水準表'!$B$9:$KO$18,3,MATCH(W$4,'因子水準表'!$B$4:$KO$4,0))&amp;"",""))</f>
        <v/>
      </c>
      <c r="CF8" s="26">
        <f>IF(X$4="","",IFERROR(INDEX('因子水準表'!$B$9:$KO$18,3,MATCH(X$4,'因子水準表'!$B$4:$KO$4,0))&amp;"",""))</f>
        <v/>
      </c>
      <c r="CG8" s="26">
        <f>IF(Y$4="","",IFERROR(INDEX('因子水準表'!$B$9:$KO$18,3,MATCH(Y$4,'因子水準表'!$B$4:$KO$4,0))&amp;"",""))</f>
        <v/>
      </c>
      <c r="CH8" s="26">
        <f>IF(Z$4="","",IFERROR(INDEX('因子水準表'!$B$9:$KO$18,3,MATCH(Z$4,'因子水準表'!$B$4:$KO$4,0))&amp;"",""))</f>
        <v/>
      </c>
      <c r="CI8" s="26">
        <f>IF(AA$4="","",IFERROR(INDEX('因子水準表'!$B$9:$KO$18,3,MATCH(AA$4,'因子水準表'!$B$4:$KO$4,0))&amp;"",""))</f>
        <v/>
      </c>
      <c r="CJ8" s="26">
        <f>IF(AB$4="","",IFERROR(INDEX('因子水準表'!$B$9:$KO$18,3,MATCH(AB$4,'因子水準表'!$B$4:$KO$4,0))&amp;"",""))</f>
        <v/>
      </c>
      <c r="CK8" s="26">
        <f>IF(AC$4="","",IFERROR(INDEX('因子水準表'!$B$9:$KO$18,3,MATCH(AC$4,'因子水準表'!$B$4:$KO$4,0))&amp;"",""))</f>
        <v/>
      </c>
      <c r="CL8" s="26">
        <f>IF(AD$4="","",IFERROR(INDEX('因子水準表'!$B$9:$KO$18,3,MATCH(AD$4,'因子水準表'!$B$4:$KO$4,0))&amp;"",""))</f>
        <v/>
      </c>
      <c r="CM8" s="26">
        <f>IF(AE$4="","",IFERROR(INDEX('因子水準表'!$B$9:$KO$18,3,MATCH(AE$4,'因子水準表'!$B$4:$KO$4,0))&amp;"",""))</f>
        <v/>
      </c>
      <c r="CN8" s="26">
        <f>IF(AF$4="","",IFERROR(INDEX('因子水準表'!$B$9:$KO$18,3,MATCH(AF$4,'因子水準表'!$B$4:$KO$4,0))&amp;"",""))</f>
        <v/>
      </c>
      <c r="CO8" s="26">
        <f>IF(AG$4="","",IFERROR(INDEX('因子水準表'!$B$9:$KO$18,3,MATCH(AG$4,'因子水準表'!$B$4:$KO$4,0))&amp;"",""))</f>
        <v/>
      </c>
      <c r="CP8" s="26">
        <f>IF(AH$4="","",IFERROR(INDEX('因子水準表'!$B$9:$KO$18,3,MATCH(AH$4,'因子水準表'!$B$4:$KO$4,0))&amp;"",""))</f>
        <v/>
      </c>
      <c r="CQ8" s="26">
        <f>IF(AI$4="","",IFERROR(INDEX('因子水準表'!$B$9:$KO$18,3,MATCH(AI$4,'因子水準表'!$B$4:$KO$4,0))&amp;"",""))</f>
        <v/>
      </c>
      <c r="CR8" s="26">
        <f>IF(AJ$4="","",IFERROR(INDEX('因子水準表'!$B$9:$KO$18,3,MATCH(AJ$4,'因子水準表'!$B$4:$KO$4,0))&amp;"",""))</f>
        <v/>
      </c>
      <c r="CS8" s="26">
        <f>IF(AK$4="","",IFERROR(INDEX('因子水準表'!$B$9:$KO$18,3,MATCH(AK$4,'因子水準表'!$B$4:$KO$4,0))&amp;"",""))</f>
        <v/>
      </c>
      <c r="CT8" s="26">
        <f>IF(AL$4="","",IFERROR(INDEX('因子水準表'!$B$9:$KO$18,3,MATCH(AL$4,'因子水準表'!$B$4:$KO$4,0))&amp;"",""))</f>
        <v/>
      </c>
      <c r="CU8" s="26">
        <f>IF(AM$4="","",IFERROR(INDEX('因子水準表'!$B$9:$KO$18,3,MATCH(AM$4,'因子水準表'!$B$4:$KO$4,0))&amp;"",""))</f>
        <v/>
      </c>
      <c r="CV8" s="26">
        <f>IF(AN$4="","",IFERROR(INDEX('因子水準表'!$B$9:$KO$18,3,MATCH(AN$4,'因子水準表'!$B$4:$KO$4,0))&amp;"",""))</f>
        <v/>
      </c>
      <c r="CW8" s="26">
        <f>IF(AO$4="","",IFERROR(INDEX('因子水準表'!$B$9:$KO$18,3,MATCH(AO$4,'因子水準表'!$B$4:$KO$4,0))&amp;"",""))</f>
        <v/>
      </c>
      <c r="CX8" s="26">
        <f>IF(AP$4="","",IFERROR(INDEX('因子水準表'!$B$9:$KO$18,3,MATCH(AP$4,'因子水準表'!$B$4:$KO$4,0))&amp;"",""))</f>
        <v/>
      </c>
      <c r="CY8" s="26">
        <f>IF(AQ$4="","",IFERROR(INDEX('因子水準表'!$B$9:$KO$18,3,MATCH(AQ$4,'因子水準表'!$B$4:$KO$4,0))&amp;"",""))</f>
        <v/>
      </c>
      <c r="CZ8" s="26">
        <f>IF(AR$4="","",IFERROR(INDEX('因子水準表'!$B$9:$KO$18,3,MATCH(AR$4,'因子水準表'!$B$4:$KO$4,0))&amp;"",""))</f>
        <v/>
      </c>
      <c r="DA8" s="26">
        <f>IF(AS$4="","",IFERROR(INDEX('因子水準表'!$B$9:$KO$18,3,MATCH(AS$4,'因子水準表'!$B$4:$KO$4,0))&amp;"",""))</f>
        <v/>
      </c>
      <c r="DB8" s="26">
        <f>IF(AT$4="","",IFERROR(INDEX('因子水準表'!$B$9:$KO$18,3,MATCH(AT$4,'因子水準表'!$B$4:$KO$4,0))&amp;"",""))</f>
        <v/>
      </c>
      <c r="DC8" s="26">
        <f>IF(AU$4="","",IFERROR(INDEX('因子水準表'!$B$9:$KO$18,3,MATCH(AU$4,'因子水準表'!$B$4:$KO$4,0))&amp;"",""))</f>
        <v/>
      </c>
      <c r="DD8" s="26">
        <f>IF(AV$4="","",IFERROR(INDEX('因子水準表'!$B$9:$KO$18,3,MATCH(AV$4,'因子水準表'!$B$4:$KO$4,0))&amp;"",""))</f>
        <v/>
      </c>
      <c r="DE8" s="26">
        <f>IF(AW$4="","",IFERROR(INDEX('因子水準表'!$B$9:$KO$18,3,MATCH(AW$4,'因子水準表'!$B$4:$KO$4,0))&amp;"",""))</f>
        <v/>
      </c>
      <c r="DF8" s="26">
        <f>IF(AX$4="","",IFERROR(INDEX('因子水準表'!$B$9:$KO$18,3,MATCH(AX$4,'因子水準表'!$B$4:$KO$4,0))&amp;"",""))</f>
        <v/>
      </c>
      <c r="DG8" s="26">
        <f>IF(AY$4="","",IFERROR(INDEX('因子水準表'!$B$9:$KO$18,3,MATCH(AY$4,'因子水準表'!$B$4:$KO$4,0))&amp;"",""))</f>
        <v/>
      </c>
      <c r="DH8" s="26">
        <f>IF(AZ$4="","",IFERROR(INDEX('因子水準表'!$B$9:$KO$18,3,MATCH(AZ$4,'因子水準表'!$B$4:$KO$4,0))&amp;"",""))</f>
        <v/>
      </c>
      <c r="DI8" s="26">
        <f>IF(BA$4="","",IFERROR(INDEX('因子水準表'!$B$9:$KO$18,3,MATCH(BA$4,'因子水準表'!$B$4:$KO$4,0))&amp;"",""))</f>
        <v/>
      </c>
      <c r="DJ8" s="26">
        <f>IF(BB$4="","",IFERROR(INDEX('因子水準表'!$B$9:$KO$18,3,MATCH(BB$4,'因子水準表'!$B$4:$KO$4,0))&amp;"",""))</f>
        <v/>
      </c>
      <c r="DK8" s="26">
        <f>IF(BC$4="","",IFERROR(INDEX('因子水準表'!$B$9:$KO$18,3,MATCH(BC$4,'因子水準表'!$B$4:$KO$4,0))&amp;"",""))</f>
        <v/>
      </c>
      <c r="DL8" s="26">
        <f>IF(BD$4="","",IFERROR(INDEX('因子水準表'!$B$9:$KO$18,3,MATCH(BD$4,'因子水準表'!$B$4:$KO$4,0))&amp;"",""))</f>
        <v/>
      </c>
      <c r="DM8" s="26">
        <f>IF('因子水準表'!B31="","",'因子水準表'!B31)</f>
        <v/>
      </c>
      <c r="DN8" s="26">
        <f>IF('テスト条件'!A7="","",'テスト条件'!A7)</f>
        <v/>
      </c>
    </row>
    <row r="9">
      <c r="A9" s="27" t="n"/>
      <c r="B9" s="27" t="n"/>
      <c r="C9" s="28">
        <f>IF(A9="","",$B$2)</f>
        <v/>
      </c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  <c r="AA9" s="27" t="n"/>
      <c r="AB9" s="27" t="n"/>
      <c r="AC9" s="27" t="n"/>
      <c r="AD9" s="27" t="n"/>
      <c r="AE9" s="27" t="n"/>
      <c r="AF9" s="27" t="n"/>
      <c r="AG9" s="27" t="n"/>
      <c r="AH9" s="27" t="n"/>
      <c r="AI9" s="27" t="n"/>
      <c r="AJ9" s="27" t="n"/>
      <c r="AK9" s="27" t="n"/>
      <c r="AL9" s="27" t="n"/>
      <c r="AM9" s="27" t="n"/>
      <c r="AN9" s="27" t="n"/>
      <c r="AO9" s="27" t="n"/>
      <c r="AP9" s="27" t="n"/>
      <c r="AQ9" s="27" t="n"/>
      <c r="AR9" s="27" t="n"/>
      <c r="AS9" s="27" t="n"/>
      <c r="AT9" s="27" t="n"/>
      <c r="AU9" s="27" t="n"/>
      <c r="AV9" s="27" t="n"/>
      <c r="AW9" s="27" t="n"/>
      <c r="AX9" s="27" t="n"/>
      <c r="AY9" s="27" t="n"/>
      <c r="AZ9" s="27" t="n"/>
      <c r="BA9" s="27" t="n"/>
      <c r="BB9" s="27" t="n"/>
      <c r="BC9" s="27" t="n"/>
      <c r="BD9" s="27" t="n"/>
      <c r="BE9" s="27" t="n"/>
      <c r="BF9" s="27" t="n"/>
      <c r="BG9" s="27" t="n"/>
      <c r="BH9" s="27" t="n"/>
      <c r="BI9" s="29" t="n"/>
      <c r="BJ9" s="27" t="n"/>
      <c r="BK9" s="27" t="n"/>
      <c r="BL9" s="27" t="n"/>
      <c r="BM9" s="27" t="n"/>
      <c r="BO9" s="26">
        <f>IF(G$4="","",IFERROR(INDEX('因子水準表'!$B$9:$KO$18,4,MATCH(G$4,'因子水準表'!$B$4:$KO$4,0))&amp;"",""))</f>
        <v/>
      </c>
      <c r="BP9" s="26">
        <f>IF(H$4="","",IFERROR(INDEX('因子水準表'!$B$9:$KO$18,4,MATCH(H$4,'因子水準表'!$B$4:$KO$4,0))&amp;"",""))</f>
        <v/>
      </c>
      <c r="BQ9" s="26">
        <f>IF(I$4="","",IFERROR(INDEX('因子水準表'!$B$9:$KO$18,4,MATCH(I$4,'因子水準表'!$B$4:$KO$4,0))&amp;"",""))</f>
        <v/>
      </c>
      <c r="BR9" s="26">
        <f>IF(J$4="","",IFERROR(INDEX('因子水準表'!$B$9:$KO$18,4,MATCH(J$4,'因子水準表'!$B$4:$KO$4,0))&amp;"",""))</f>
        <v/>
      </c>
      <c r="BS9" s="26">
        <f>IF(K$4="","",IFERROR(INDEX('因子水準表'!$B$9:$KO$18,4,MATCH(K$4,'因子水準表'!$B$4:$KO$4,0))&amp;"",""))</f>
        <v/>
      </c>
      <c r="BT9" s="26">
        <f>IF(L$4="","",IFERROR(INDEX('因子水準表'!$B$9:$KO$18,4,MATCH(L$4,'因子水準表'!$B$4:$KO$4,0))&amp;"",""))</f>
        <v/>
      </c>
      <c r="BU9" s="26">
        <f>IF(M$4="","",IFERROR(INDEX('因子水準表'!$B$9:$KO$18,4,MATCH(M$4,'因子水準表'!$B$4:$KO$4,0))&amp;"",""))</f>
        <v/>
      </c>
      <c r="BV9" s="26">
        <f>IF(N$4="","",IFERROR(INDEX('因子水準表'!$B$9:$KO$18,4,MATCH(N$4,'因子水準表'!$B$4:$KO$4,0))&amp;"",""))</f>
        <v/>
      </c>
      <c r="BW9" s="26">
        <f>IF(O$4="","",IFERROR(INDEX('因子水準表'!$B$9:$KO$18,4,MATCH(O$4,'因子水準表'!$B$4:$KO$4,0))&amp;"",""))</f>
        <v/>
      </c>
      <c r="BX9" s="26">
        <f>IF(P$4="","",IFERROR(INDEX('因子水準表'!$B$9:$KO$18,4,MATCH(P$4,'因子水準表'!$B$4:$KO$4,0))&amp;"",""))</f>
        <v/>
      </c>
      <c r="BY9" s="26">
        <f>IF(Q$4="","",IFERROR(INDEX('因子水準表'!$B$9:$KO$18,4,MATCH(Q$4,'因子水準表'!$B$4:$KO$4,0))&amp;"",""))</f>
        <v/>
      </c>
      <c r="BZ9" s="26">
        <f>IF(R$4="","",IFERROR(INDEX('因子水準表'!$B$9:$KO$18,4,MATCH(R$4,'因子水準表'!$B$4:$KO$4,0))&amp;"",""))</f>
        <v/>
      </c>
      <c r="CA9" s="26">
        <f>IF(S$4="","",IFERROR(INDEX('因子水準表'!$B$9:$KO$18,4,MATCH(S$4,'因子水準表'!$B$4:$KO$4,0))&amp;"",""))</f>
        <v/>
      </c>
      <c r="CB9" s="26">
        <f>IF(T$4="","",IFERROR(INDEX('因子水準表'!$B$9:$KO$18,4,MATCH(T$4,'因子水準表'!$B$4:$KO$4,0))&amp;"",""))</f>
        <v/>
      </c>
      <c r="CC9" s="26">
        <f>IF(U$4="","",IFERROR(INDEX('因子水準表'!$B$9:$KO$18,4,MATCH(U$4,'因子水準表'!$B$4:$KO$4,0))&amp;"",""))</f>
        <v/>
      </c>
      <c r="CD9" s="26">
        <f>IF(V$4="","",IFERROR(INDEX('因子水準表'!$B$9:$KO$18,4,MATCH(V$4,'因子水準表'!$B$4:$KO$4,0))&amp;"",""))</f>
        <v/>
      </c>
      <c r="CE9" s="26">
        <f>IF(W$4="","",IFERROR(INDEX('因子水準表'!$B$9:$KO$18,4,MATCH(W$4,'因子水準表'!$B$4:$KO$4,0))&amp;"",""))</f>
        <v/>
      </c>
      <c r="CF9" s="26">
        <f>IF(X$4="","",IFERROR(INDEX('因子水準表'!$B$9:$KO$18,4,MATCH(X$4,'因子水準表'!$B$4:$KO$4,0))&amp;"",""))</f>
        <v/>
      </c>
      <c r="CG9" s="26">
        <f>IF(Y$4="","",IFERROR(INDEX('因子水準表'!$B$9:$KO$18,4,MATCH(Y$4,'因子水準表'!$B$4:$KO$4,0))&amp;"",""))</f>
        <v/>
      </c>
      <c r="CH9" s="26">
        <f>IF(Z$4="","",IFERROR(INDEX('因子水準表'!$B$9:$KO$18,4,MATCH(Z$4,'因子水準表'!$B$4:$KO$4,0))&amp;"",""))</f>
        <v/>
      </c>
      <c r="CI9" s="26">
        <f>IF(AA$4="","",IFERROR(INDEX('因子水準表'!$B$9:$KO$18,4,MATCH(AA$4,'因子水準表'!$B$4:$KO$4,0))&amp;"",""))</f>
        <v/>
      </c>
      <c r="CJ9" s="26">
        <f>IF(AB$4="","",IFERROR(INDEX('因子水準表'!$B$9:$KO$18,4,MATCH(AB$4,'因子水準表'!$B$4:$KO$4,0))&amp;"",""))</f>
        <v/>
      </c>
      <c r="CK9" s="26">
        <f>IF(AC$4="","",IFERROR(INDEX('因子水準表'!$B$9:$KO$18,4,MATCH(AC$4,'因子水準表'!$B$4:$KO$4,0))&amp;"",""))</f>
        <v/>
      </c>
      <c r="CL9" s="26">
        <f>IF(AD$4="","",IFERROR(INDEX('因子水準表'!$B$9:$KO$18,4,MATCH(AD$4,'因子水準表'!$B$4:$KO$4,0))&amp;"",""))</f>
        <v/>
      </c>
      <c r="CM9" s="26">
        <f>IF(AE$4="","",IFERROR(INDEX('因子水準表'!$B$9:$KO$18,4,MATCH(AE$4,'因子水準表'!$B$4:$KO$4,0))&amp;"",""))</f>
        <v/>
      </c>
      <c r="CN9" s="26">
        <f>IF(AF$4="","",IFERROR(INDEX('因子水準表'!$B$9:$KO$18,4,MATCH(AF$4,'因子水準表'!$B$4:$KO$4,0))&amp;"",""))</f>
        <v/>
      </c>
      <c r="CO9" s="26">
        <f>IF(AG$4="","",IFERROR(INDEX('因子水準表'!$B$9:$KO$18,4,MATCH(AG$4,'因子水準表'!$B$4:$KO$4,0))&amp;"",""))</f>
        <v/>
      </c>
      <c r="CP9" s="26">
        <f>IF(AH$4="","",IFERROR(INDEX('因子水準表'!$B$9:$KO$18,4,MATCH(AH$4,'因子水準表'!$B$4:$KO$4,0))&amp;"",""))</f>
        <v/>
      </c>
      <c r="CQ9" s="26">
        <f>IF(AI$4="","",IFERROR(INDEX('因子水準表'!$B$9:$KO$18,4,MATCH(AI$4,'因子水準表'!$B$4:$KO$4,0))&amp;"",""))</f>
        <v/>
      </c>
      <c r="CR9" s="26">
        <f>IF(AJ$4="","",IFERROR(INDEX('因子水準表'!$B$9:$KO$18,4,MATCH(AJ$4,'因子水準表'!$B$4:$KO$4,0))&amp;"",""))</f>
        <v/>
      </c>
      <c r="CS9" s="26">
        <f>IF(AK$4="","",IFERROR(INDEX('因子水準表'!$B$9:$KO$18,4,MATCH(AK$4,'因子水準表'!$B$4:$KO$4,0))&amp;"",""))</f>
        <v/>
      </c>
      <c r="CT9" s="26">
        <f>IF(AL$4="","",IFERROR(INDEX('因子水準表'!$B$9:$KO$18,4,MATCH(AL$4,'因子水準表'!$B$4:$KO$4,0))&amp;"",""))</f>
        <v/>
      </c>
      <c r="CU9" s="26">
        <f>IF(AM$4="","",IFERROR(INDEX('因子水準表'!$B$9:$KO$18,4,MATCH(AM$4,'因子水準表'!$B$4:$KO$4,0))&amp;"",""))</f>
        <v/>
      </c>
      <c r="CV9" s="26">
        <f>IF(AN$4="","",IFERROR(INDEX('因子水準表'!$B$9:$KO$18,4,MATCH(AN$4,'因子水準表'!$B$4:$KO$4,0))&amp;"",""))</f>
        <v/>
      </c>
      <c r="CW9" s="26">
        <f>IF(AO$4="","",IFERROR(INDEX('因子水準表'!$B$9:$KO$18,4,MATCH(AO$4,'因子水準表'!$B$4:$KO$4,0))&amp;"",""))</f>
        <v/>
      </c>
      <c r="CX9" s="26">
        <f>IF(AP$4="","",IFERROR(INDEX('因子水準表'!$B$9:$KO$18,4,MATCH(AP$4,'因子水準表'!$B$4:$KO$4,0))&amp;"",""))</f>
        <v/>
      </c>
      <c r="CY9" s="26">
        <f>IF(AQ$4="","",IFERROR(INDEX('因子水準表'!$B$9:$KO$18,4,MATCH(AQ$4,'因子水準表'!$B$4:$KO$4,0))&amp;"",""))</f>
        <v/>
      </c>
      <c r="CZ9" s="26">
        <f>IF(AR$4="","",IFERROR(INDEX('因子水準表'!$B$9:$KO$18,4,MATCH(AR$4,'因子水準表'!$B$4:$KO$4,0))&amp;"",""))</f>
        <v/>
      </c>
      <c r="DA9" s="26">
        <f>IF(AS$4="","",IFERROR(INDEX('因子水準表'!$B$9:$KO$18,4,MATCH(AS$4,'因子水準表'!$B$4:$KO$4,0))&amp;"",""))</f>
        <v/>
      </c>
      <c r="DB9" s="26">
        <f>IF(AT$4="","",IFERROR(INDEX('因子水準表'!$B$9:$KO$18,4,MATCH(AT$4,'因子水準表'!$B$4:$KO$4,0))&amp;"",""))</f>
        <v/>
      </c>
      <c r="DC9" s="26">
        <f>IF(AU$4="","",IFERROR(INDEX('因子水準表'!$B$9:$KO$18,4,MATCH(AU$4,'因子水準表'!$B$4:$KO$4,0))&amp;"",""))</f>
        <v/>
      </c>
      <c r="DD9" s="26">
        <f>IF(AV$4="","",IFERROR(INDEX('因子水準表'!$B$9:$KO$18,4,MATCH(AV$4,'因子水準表'!$B$4:$KO$4,0))&amp;"",""))</f>
        <v/>
      </c>
      <c r="DE9" s="26">
        <f>IF(AW$4="","",IFERROR(INDEX('因子水準表'!$B$9:$KO$18,4,MATCH(AW$4,'因子水準表'!$B$4:$KO$4,0))&amp;"",""))</f>
        <v/>
      </c>
      <c r="DF9" s="26">
        <f>IF(AX$4="","",IFERROR(INDEX('因子水準表'!$B$9:$KO$18,4,MATCH(AX$4,'因子水準表'!$B$4:$KO$4,0))&amp;"",""))</f>
        <v/>
      </c>
      <c r="DG9" s="26">
        <f>IF(AY$4="","",IFERROR(INDEX('因子水準表'!$B$9:$KO$18,4,MATCH(AY$4,'因子水準表'!$B$4:$KO$4,0))&amp;"",""))</f>
        <v/>
      </c>
      <c r="DH9" s="26">
        <f>IF(AZ$4="","",IFERROR(INDEX('因子水準表'!$B$9:$KO$18,4,MATCH(AZ$4,'因子水準表'!$B$4:$KO$4,0))&amp;"",""))</f>
        <v/>
      </c>
      <c r="DI9" s="26">
        <f>IF(BA$4="","",IFERROR(INDEX('因子水準表'!$B$9:$KO$18,4,MATCH(BA$4,'因子水準表'!$B$4:$KO$4,0))&amp;"",""))</f>
        <v/>
      </c>
      <c r="DJ9" s="26">
        <f>IF(BB$4="","",IFERROR(INDEX('因子水準表'!$B$9:$KO$18,4,MATCH(BB$4,'因子水準表'!$B$4:$KO$4,0))&amp;"",""))</f>
        <v/>
      </c>
      <c r="DK9" s="26">
        <f>IF(BC$4="","",IFERROR(INDEX('因子水準表'!$B$9:$KO$18,4,MATCH(BC$4,'因子水準表'!$B$4:$KO$4,0))&amp;"",""))</f>
        <v/>
      </c>
      <c r="DL9" s="26">
        <f>IF(BD$4="","",IFERROR(INDEX('因子水準表'!$B$9:$KO$18,4,MATCH(BD$4,'因子水準表'!$B$4:$KO$4,0))&amp;"",""))</f>
        <v/>
      </c>
      <c r="DM9" s="26">
        <f>IF('因子水準表'!B32="","",'因子水準表'!B32)</f>
        <v/>
      </c>
      <c r="DN9" s="26">
        <f>IF('テスト条件'!A8="","",'テスト条件'!A8)</f>
        <v/>
      </c>
    </row>
    <row r="10">
      <c r="A10" s="27" t="n"/>
      <c r="B10" s="27" t="n"/>
      <c r="C10" s="28">
        <f>IF(A10="","",$B$2)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  <c r="AI10" s="27" t="n"/>
      <c r="AJ10" s="27" t="n"/>
      <c r="AK10" s="27" t="n"/>
      <c r="AL10" s="27" t="n"/>
      <c r="AM10" s="27" t="n"/>
      <c r="AN10" s="27" t="n"/>
      <c r="AO10" s="27" t="n"/>
      <c r="AP10" s="27" t="n"/>
      <c r="AQ10" s="27" t="n"/>
      <c r="AR10" s="27" t="n"/>
      <c r="AS10" s="27" t="n"/>
      <c r="AT10" s="27" t="n"/>
      <c r="AU10" s="27" t="n"/>
      <c r="AV10" s="27" t="n"/>
      <c r="AW10" s="27" t="n"/>
      <c r="AX10" s="27" t="n"/>
      <c r="AY10" s="27" t="n"/>
      <c r="AZ10" s="27" t="n"/>
      <c r="BA10" s="27" t="n"/>
      <c r="BB10" s="27" t="n"/>
      <c r="BC10" s="27" t="n"/>
      <c r="BD10" s="27" t="n"/>
      <c r="BE10" s="27" t="n"/>
      <c r="BF10" s="27" t="n"/>
      <c r="BG10" s="27" t="n"/>
      <c r="BH10" s="27" t="n"/>
      <c r="BI10" s="29" t="n"/>
      <c r="BJ10" s="27" t="n"/>
      <c r="BK10" s="27" t="n"/>
      <c r="BL10" s="27" t="n"/>
      <c r="BM10" s="27" t="n"/>
      <c r="BO10" s="26">
        <f>IF(G$4="","",IFERROR(INDEX('因子水準表'!$B$9:$KO$18,5,MATCH(G$4,'因子水準表'!$B$4:$KO$4,0))&amp;"",""))</f>
        <v/>
      </c>
      <c r="BP10" s="26">
        <f>IF(H$4="","",IFERROR(INDEX('因子水準表'!$B$9:$KO$18,5,MATCH(H$4,'因子水準表'!$B$4:$KO$4,0))&amp;"",""))</f>
        <v/>
      </c>
      <c r="BQ10" s="26">
        <f>IF(I$4="","",IFERROR(INDEX('因子水準表'!$B$9:$KO$18,5,MATCH(I$4,'因子水準表'!$B$4:$KO$4,0))&amp;"",""))</f>
        <v/>
      </c>
      <c r="BR10" s="26">
        <f>IF(J$4="","",IFERROR(INDEX('因子水準表'!$B$9:$KO$18,5,MATCH(J$4,'因子水準表'!$B$4:$KO$4,0))&amp;"",""))</f>
        <v/>
      </c>
      <c r="BS10" s="26">
        <f>IF(K$4="","",IFERROR(INDEX('因子水準表'!$B$9:$KO$18,5,MATCH(K$4,'因子水準表'!$B$4:$KO$4,0))&amp;"",""))</f>
        <v/>
      </c>
      <c r="BT10" s="26">
        <f>IF(L$4="","",IFERROR(INDEX('因子水準表'!$B$9:$KO$18,5,MATCH(L$4,'因子水準表'!$B$4:$KO$4,0))&amp;"",""))</f>
        <v/>
      </c>
      <c r="BU10" s="26">
        <f>IF(M$4="","",IFERROR(INDEX('因子水準表'!$B$9:$KO$18,5,MATCH(M$4,'因子水準表'!$B$4:$KO$4,0))&amp;"",""))</f>
        <v/>
      </c>
      <c r="BV10" s="26">
        <f>IF(N$4="","",IFERROR(INDEX('因子水準表'!$B$9:$KO$18,5,MATCH(N$4,'因子水準表'!$B$4:$KO$4,0))&amp;"",""))</f>
        <v/>
      </c>
      <c r="BW10" s="26">
        <f>IF(O$4="","",IFERROR(INDEX('因子水準表'!$B$9:$KO$18,5,MATCH(O$4,'因子水準表'!$B$4:$KO$4,0))&amp;"",""))</f>
        <v/>
      </c>
      <c r="BX10" s="26">
        <f>IF(P$4="","",IFERROR(INDEX('因子水準表'!$B$9:$KO$18,5,MATCH(P$4,'因子水準表'!$B$4:$KO$4,0))&amp;"",""))</f>
        <v/>
      </c>
      <c r="BY10" s="26">
        <f>IF(Q$4="","",IFERROR(INDEX('因子水準表'!$B$9:$KO$18,5,MATCH(Q$4,'因子水準表'!$B$4:$KO$4,0))&amp;"",""))</f>
        <v/>
      </c>
      <c r="BZ10" s="26">
        <f>IF(R$4="","",IFERROR(INDEX('因子水準表'!$B$9:$KO$18,5,MATCH(R$4,'因子水準表'!$B$4:$KO$4,0))&amp;"",""))</f>
        <v/>
      </c>
      <c r="CA10" s="26">
        <f>IF(S$4="","",IFERROR(INDEX('因子水準表'!$B$9:$KO$18,5,MATCH(S$4,'因子水準表'!$B$4:$KO$4,0))&amp;"",""))</f>
        <v/>
      </c>
      <c r="CB10" s="26">
        <f>IF(T$4="","",IFERROR(INDEX('因子水準表'!$B$9:$KO$18,5,MATCH(T$4,'因子水準表'!$B$4:$KO$4,0))&amp;"",""))</f>
        <v/>
      </c>
      <c r="CC10" s="26">
        <f>IF(U$4="","",IFERROR(INDEX('因子水準表'!$B$9:$KO$18,5,MATCH(U$4,'因子水準表'!$B$4:$KO$4,0))&amp;"",""))</f>
        <v/>
      </c>
      <c r="CD10" s="26">
        <f>IF(V$4="","",IFERROR(INDEX('因子水準表'!$B$9:$KO$18,5,MATCH(V$4,'因子水準表'!$B$4:$KO$4,0))&amp;"",""))</f>
        <v/>
      </c>
      <c r="CE10" s="26">
        <f>IF(W$4="","",IFERROR(INDEX('因子水準表'!$B$9:$KO$18,5,MATCH(W$4,'因子水準表'!$B$4:$KO$4,0))&amp;"",""))</f>
        <v/>
      </c>
      <c r="CF10" s="26">
        <f>IF(X$4="","",IFERROR(INDEX('因子水準表'!$B$9:$KO$18,5,MATCH(X$4,'因子水準表'!$B$4:$KO$4,0))&amp;"",""))</f>
        <v/>
      </c>
      <c r="CG10" s="26">
        <f>IF(Y$4="","",IFERROR(INDEX('因子水準表'!$B$9:$KO$18,5,MATCH(Y$4,'因子水準表'!$B$4:$KO$4,0))&amp;"",""))</f>
        <v/>
      </c>
      <c r="CH10" s="26">
        <f>IF(Z$4="","",IFERROR(INDEX('因子水準表'!$B$9:$KO$18,5,MATCH(Z$4,'因子水準表'!$B$4:$KO$4,0))&amp;"",""))</f>
        <v/>
      </c>
      <c r="CI10" s="26">
        <f>IF(AA$4="","",IFERROR(INDEX('因子水準表'!$B$9:$KO$18,5,MATCH(AA$4,'因子水準表'!$B$4:$KO$4,0))&amp;"",""))</f>
        <v/>
      </c>
      <c r="CJ10" s="26">
        <f>IF(AB$4="","",IFERROR(INDEX('因子水準表'!$B$9:$KO$18,5,MATCH(AB$4,'因子水準表'!$B$4:$KO$4,0))&amp;"",""))</f>
        <v/>
      </c>
      <c r="CK10" s="26">
        <f>IF(AC$4="","",IFERROR(INDEX('因子水準表'!$B$9:$KO$18,5,MATCH(AC$4,'因子水準表'!$B$4:$KO$4,0))&amp;"",""))</f>
        <v/>
      </c>
      <c r="CL10" s="26">
        <f>IF(AD$4="","",IFERROR(INDEX('因子水準表'!$B$9:$KO$18,5,MATCH(AD$4,'因子水準表'!$B$4:$KO$4,0))&amp;"",""))</f>
        <v/>
      </c>
      <c r="CM10" s="26">
        <f>IF(AE$4="","",IFERROR(INDEX('因子水準表'!$B$9:$KO$18,5,MATCH(AE$4,'因子水準表'!$B$4:$KO$4,0))&amp;"",""))</f>
        <v/>
      </c>
      <c r="CN10" s="26">
        <f>IF(AF$4="","",IFERROR(INDEX('因子水準表'!$B$9:$KO$18,5,MATCH(AF$4,'因子水準表'!$B$4:$KO$4,0))&amp;"",""))</f>
        <v/>
      </c>
      <c r="CO10" s="26">
        <f>IF(AG$4="","",IFERROR(INDEX('因子水準表'!$B$9:$KO$18,5,MATCH(AG$4,'因子水準表'!$B$4:$KO$4,0))&amp;"",""))</f>
        <v/>
      </c>
      <c r="CP10" s="26">
        <f>IF(AH$4="","",IFERROR(INDEX('因子水準表'!$B$9:$KO$18,5,MATCH(AH$4,'因子水準表'!$B$4:$KO$4,0))&amp;"",""))</f>
        <v/>
      </c>
      <c r="CQ10" s="26">
        <f>IF(AI$4="","",IFERROR(INDEX('因子水準表'!$B$9:$KO$18,5,MATCH(AI$4,'因子水準表'!$B$4:$KO$4,0))&amp;"",""))</f>
        <v/>
      </c>
      <c r="CR10" s="26">
        <f>IF(AJ$4="","",IFERROR(INDEX('因子水準表'!$B$9:$KO$18,5,MATCH(AJ$4,'因子水準表'!$B$4:$KO$4,0))&amp;"",""))</f>
        <v/>
      </c>
      <c r="CS10" s="26">
        <f>IF(AK$4="","",IFERROR(INDEX('因子水準表'!$B$9:$KO$18,5,MATCH(AK$4,'因子水準表'!$B$4:$KO$4,0))&amp;"",""))</f>
        <v/>
      </c>
      <c r="CT10" s="26">
        <f>IF(AL$4="","",IFERROR(INDEX('因子水準表'!$B$9:$KO$18,5,MATCH(AL$4,'因子水準表'!$B$4:$KO$4,0))&amp;"",""))</f>
        <v/>
      </c>
      <c r="CU10" s="26">
        <f>IF(AM$4="","",IFERROR(INDEX('因子水準表'!$B$9:$KO$18,5,MATCH(AM$4,'因子水準表'!$B$4:$KO$4,0))&amp;"",""))</f>
        <v/>
      </c>
      <c r="CV10" s="26">
        <f>IF(AN$4="","",IFERROR(INDEX('因子水準表'!$B$9:$KO$18,5,MATCH(AN$4,'因子水準表'!$B$4:$KO$4,0))&amp;"",""))</f>
        <v/>
      </c>
      <c r="CW10" s="26">
        <f>IF(AO$4="","",IFERROR(INDEX('因子水準表'!$B$9:$KO$18,5,MATCH(AO$4,'因子水準表'!$B$4:$KO$4,0))&amp;"",""))</f>
        <v/>
      </c>
      <c r="CX10" s="26">
        <f>IF(AP$4="","",IFERROR(INDEX('因子水準表'!$B$9:$KO$18,5,MATCH(AP$4,'因子水準表'!$B$4:$KO$4,0))&amp;"",""))</f>
        <v/>
      </c>
      <c r="CY10" s="26">
        <f>IF(AQ$4="","",IFERROR(INDEX('因子水準表'!$B$9:$KO$18,5,MATCH(AQ$4,'因子水準表'!$B$4:$KO$4,0))&amp;"",""))</f>
        <v/>
      </c>
      <c r="CZ10" s="26">
        <f>IF(AR$4="","",IFERROR(INDEX('因子水準表'!$B$9:$KO$18,5,MATCH(AR$4,'因子水準表'!$B$4:$KO$4,0))&amp;"",""))</f>
        <v/>
      </c>
      <c r="DA10" s="26">
        <f>IF(AS$4="","",IFERROR(INDEX('因子水準表'!$B$9:$KO$18,5,MATCH(AS$4,'因子水準表'!$B$4:$KO$4,0))&amp;"",""))</f>
        <v/>
      </c>
      <c r="DB10" s="26">
        <f>IF(AT$4="","",IFERROR(INDEX('因子水準表'!$B$9:$KO$18,5,MATCH(AT$4,'因子水準表'!$B$4:$KO$4,0))&amp;"",""))</f>
        <v/>
      </c>
      <c r="DC10" s="26">
        <f>IF(AU$4="","",IFERROR(INDEX('因子水準表'!$B$9:$KO$18,5,MATCH(AU$4,'因子水準表'!$B$4:$KO$4,0))&amp;"",""))</f>
        <v/>
      </c>
      <c r="DD10" s="26">
        <f>IF(AV$4="","",IFERROR(INDEX('因子水準表'!$B$9:$KO$18,5,MATCH(AV$4,'因子水準表'!$B$4:$KO$4,0))&amp;"",""))</f>
        <v/>
      </c>
      <c r="DE10" s="26">
        <f>IF(AW$4="","",IFERROR(INDEX('因子水準表'!$B$9:$KO$18,5,MATCH(AW$4,'因子水準表'!$B$4:$KO$4,0))&amp;"",""))</f>
        <v/>
      </c>
      <c r="DF10" s="26">
        <f>IF(AX$4="","",IFERROR(INDEX('因子水準表'!$B$9:$KO$18,5,MATCH(AX$4,'因子水準表'!$B$4:$KO$4,0))&amp;"",""))</f>
        <v/>
      </c>
      <c r="DG10" s="26">
        <f>IF(AY$4="","",IFERROR(INDEX('因子水準表'!$B$9:$KO$18,5,MATCH(AY$4,'因子水準表'!$B$4:$KO$4,0))&amp;"",""))</f>
        <v/>
      </c>
      <c r="DH10" s="26">
        <f>IF(AZ$4="","",IFERROR(INDEX('因子水準表'!$B$9:$KO$18,5,MATCH(AZ$4,'因子水準表'!$B$4:$KO$4,0))&amp;"",""))</f>
        <v/>
      </c>
      <c r="DI10" s="26">
        <f>IF(BA$4="","",IFERROR(INDEX('因子水準表'!$B$9:$KO$18,5,MATCH(BA$4,'因子水準表'!$B$4:$KO$4,0))&amp;"",""))</f>
        <v/>
      </c>
      <c r="DJ10" s="26">
        <f>IF(BB$4="","",IFERROR(INDEX('因子水準表'!$B$9:$KO$18,5,MATCH(BB$4,'因子水準表'!$B$4:$KO$4,0))&amp;"",""))</f>
        <v/>
      </c>
      <c r="DK10" s="26">
        <f>IF(BC$4="","",IFERROR(INDEX('因子水準表'!$B$9:$KO$18,5,MATCH(BC$4,'因子水準表'!$B$4:$KO$4,0))&amp;"",""))</f>
        <v/>
      </c>
      <c r="DL10" s="26">
        <f>IF(BD$4="","",IFERROR(INDEX('因子水準表'!$B$9:$KO$18,5,MATCH(BD$4,'因子水準表'!$B$4:$KO$4,0))&amp;"",""))</f>
        <v/>
      </c>
      <c r="DM10" s="26">
        <f>IF('因子水準表'!B33="","",'因子水準表'!B33)</f>
        <v/>
      </c>
      <c r="DN10" s="26">
        <f>IF('テスト条件'!A9="","",'テスト条件'!A9)</f>
        <v/>
      </c>
    </row>
    <row r="11">
      <c r="A11" s="27" t="n"/>
      <c r="B11" s="27" t="n"/>
      <c r="C11" s="28">
        <f>IF(A11="","",$B$2)</f>
        <v/>
      </c>
      <c r="D11" s="27" t="n"/>
      <c r="E11" s="27" t="n"/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  <c r="AA11" s="27" t="n"/>
      <c r="AB11" s="27" t="n"/>
      <c r="AC11" s="27" t="n"/>
      <c r="AD11" s="27" t="n"/>
      <c r="AE11" s="27" t="n"/>
      <c r="AF11" s="27" t="n"/>
      <c r="AG11" s="27" t="n"/>
      <c r="AH11" s="27" t="n"/>
      <c r="AI11" s="27" t="n"/>
      <c r="AJ11" s="27" t="n"/>
      <c r="AK11" s="27" t="n"/>
      <c r="AL11" s="27" t="n"/>
      <c r="AM11" s="27" t="n"/>
      <c r="AN11" s="27" t="n"/>
      <c r="AO11" s="27" t="n"/>
      <c r="AP11" s="27" t="n"/>
      <c r="AQ11" s="27" t="n"/>
      <c r="AR11" s="27" t="n"/>
      <c r="AS11" s="27" t="n"/>
      <c r="AT11" s="27" t="n"/>
      <c r="AU11" s="27" t="n"/>
      <c r="AV11" s="27" t="n"/>
      <c r="AW11" s="27" t="n"/>
      <c r="AX11" s="27" t="n"/>
      <c r="AY11" s="27" t="n"/>
      <c r="AZ11" s="27" t="n"/>
      <c r="BA11" s="27" t="n"/>
      <c r="BB11" s="27" t="n"/>
      <c r="BC11" s="27" t="n"/>
      <c r="BD11" s="27" t="n"/>
      <c r="BE11" s="27" t="n"/>
      <c r="BF11" s="27" t="n"/>
      <c r="BG11" s="27" t="n"/>
      <c r="BH11" s="27" t="n"/>
      <c r="BI11" s="29" t="n"/>
      <c r="BJ11" s="27" t="n"/>
      <c r="BK11" s="27" t="n"/>
      <c r="BL11" s="27" t="n"/>
      <c r="BM11" s="27" t="n"/>
      <c r="BO11" s="26">
        <f>IF(G$4="","",IFERROR(INDEX('因子水準表'!$B$9:$KO$18,6,MATCH(G$4,'因子水準表'!$B$4:$KO$4,0))&amp;"",""))</f>
        <v/>
      </c>
      <c r="BP11" s="26">
        <f>IF(H$4="","",IFERROR(INDEX('因子水準表'!$B$9:$KO$18,6,MATCH(H$4,'因子水準表'!$B$4:$KO$4,0))&amp;"",""))</f>
        <v/>
      </c>
      <c r="BQ11" s="26">
        <f>IF(I$4="","",IFERROR(INDEX('因子水準表'!$B$9:$KO$18,6,MATCH(I$4,'因子水準表'!$B$4:$KO$4,0))&amp;"",""))</f>
        <v/>
      </c>
      <c r="BR11" s="26">
        <f>IF(J$4="","",IFERROR(INDEX('因子水準表'!$B$9:$KO$18,6,MATCH(J$4,'因子水準表'!$B$4:$KO$4,0))&amp;"",""))</f>
        <v/>
      </c>
      <c r="BS11" s="26">
        <f>IF(K$4="","",IFERROR(INDEX('因子水準表'!$B$9:$KO$18,6,MATCH(K$4,'因子水準表'!$B$4:$KO$4,0))&amp;"",""))</f>
        <v/>
      </c>
      <c r="BT11" s="26">
        <f>IF(L$4="","",IFERROR(INDEX('因子水準表'!$B$9:$KO$18,6,MATCH(L$4,'因子水準表'!$B$4:$KO$4,0))&amp;"",""))</f>
        <v/>
      </c>
      <c r="BU11" s="26">
        <f>IF(M$4="","",IFERROR(INDEX('因子水準表'!$B$9:$KO$18,6,MATCH(M$4,'因子水準表'!$B$4:$KO$4,0))&amp;"",""))</f>
        <v/>
      </c>
      <c r="BV11" s="26">
        <f>IF(N$4="","",IFERROR(INDEX('因子水準表'!$B$9:$KO$18,6,MATCH(N$4,'因子水準表'!$B$4:$KO$4,0))&amp;"",""))</f>
        <v/>
      </c>
      <c r="BW11" s="26">
        <f>IF(O$4="","",IFERROR(INDEX('因子水準表'!$B$9:$KO$18,6,MATCH(O$4,'因子水準表'!$B$4:$KO$4,0))&amp;"",""))</f>
        <v/>
      </c>
      <c r="BX11" s="26">
        <f>IF(P$4="","",IFERROR(INDEX('因子水準表'!$B$9:$KO$18,6,MATCH(P$4,'因子水準表'!$B$4:$KO$4,0))&amp;"",""))</f>
        <v/>
      </c>
      <c r="BY11" s="26">
        <f>IF(Q$4="","",IFERROR(INDEX('因子水準表'!$B$9:$KO$18,6,MATCH(Q$4,'因子水準表'!$B$4:$KO$4,0))&amp;"",""))</f>
        <v/>
      </c>
      <c r="BZ11" s="26">
        <f>IF(R$4="","",IFERROR(INDEX('因子水準表'!$B$9:$KO$18,6,MATCH(R$4,'因子水準表'!$B$4:$KO$4,0))&amp;"",""))</f>
        <v/>
      </c>
      <c r="CA11" s="26">
        <f>IF(S$4="","",IFERROR(INDEX('因子水準表'!$B$9:$KO$18,6,MATCH(S$4,'因子水準表'!$B$4:$KO$4,0))&amp;"",""))</f>
        <v/>
      </c>
      <c r="CB11" s="26">
        <f>IF(T$4="","",IFERROR(INDEX('因子水準表'!$B$9:$KO$18,6,MATCH(T$4,'因子水準表'!$B$4:$KO$4,0))&amp;"",""))</f>
        <v/>
      </c>
      <c r="CC11" s="26">
        <f>IF(U$4="","",IFERROR(INDEX('因子水準表'!$B$9:$KO$18,6,MATCH(U$4,'因子水準表'!$B$4:$KO$4,0))&amp;"",""))</f>
        <v/>
      </c>
      <c r="CD11" s="26">
        <f>IF(V$4="","",IFERROR(INDEX('因子水準表'!$B$9:$KO$18,6,MATCH(V$4,'因子水準表'!$B$4:$KO$4,0))&amp;"",""))</f>
        <v/>
      </c>
      <c r="CE11" s="26">
        <f>IF(W$4="","",IFERROR(INDEX('因子水準表'!$B$9:$KO$18,6,MATCH(W$4,'因子水準表'!$B$4:$KO$4,0))&amp;"",""))</f>
        <v/>
      </c>
      <c r="CF11" s="26">
        <f>IF(X$4="","",IFERROR(INDEX('因子水準表'!$B$9:$KO$18,6,MATCH(X$4,'因子水準表'!$B$4:$KO$4,0))&amp;"",""))</f>
        <v/>
      </c>
      <c r="CG11" s="26">
        <f>IF(Y$4="","",IFERROR(INDEX('因子水準表'!$B$9:$KO$18,6,MATCH(Y$4,'因子水準表'!$B$4:$KO$4,0))&amp;"",""))</f>
        <v/>
      </c>
      <c r="CH11" s="26">
        <f>IF(Z$4="","",IFERROR(INDEX('因子水準表'!$B$9:$KO$18,6,MATCH(Z$4,'因子水準表'!$B$4:$KO$4,0))&amp;"",""))</f>
        <v/>
      </c>
      <c r="CI11" s="26">
        <f>IF(AA$4="","",IFERROR(INDEX('因子水準表'!$B$9:$KO$18,6,MATCH(AA$4,'因子水準表'!$B$4:$KO$4,0))&amp;"",""))</f>
        <v/>
      </c>
      <c r="CJ11" s="26">
        <f>IF(AB$4="","",IFERROR(INDEX('因子水準表'!$B$9:$KO$18,6,MATCH(AB$4,'因子水準表'!$B$4:$KO$4,0))&amp;"",""))</f>
        <v/>
      </c>
      <c r="CK11" s="26">
        <f>IF(AC$4="","",IFERROR(INDEX('因子水準表'!$B$9:$KO$18,6,MATCH(AC$4,'因子水準表'!$B$4:$KO$4,0))&amp;"",""))</f>
        <v/>
      </c>
      <c r="CL11" s="26">
        <f>IF(AD$4="","",IFERROR(INDEX('因子水準表'!$B$9:$KO$18,6,MATCH(AD$4,'因子水準表'!$B$4:$KO$4,0))&amp;"",""))</f>
        <v/>
      </c>
      <c r="CM11" s="26">
        <f>IF(AE$4="","",IFERROR(INDEX('因子水準表'!$B$9:$KO$18,6,MATCH(AE$4,'因子水準表'!$B$4:$KO$4,0))&amp;"",""))</f>
        <v/>
      </c>
      <c r="CN11" s="26">
        <f>IF(AF$4="","",IFERROR(INDEX('因子水準表'!$B$9:$KO$18,6,MATCH(AF$4,'因子水準表'!$B$4:$KO$4,0))&amp;"",""))</f>
        <v/>
      </c>
      <c r="CO11" s="26">
        <f>IF(AG$4="","",IFERROR(INDEX('因子水準表'!$B$9:$KO$18,6,MATCH(AG$4,'因子水準表'!$B$4:$KO$4,0))&amp;"",""))</f>
        <v/>
      </c>
      <c r="CP11" s="26">
        <f>IF(AH$4="","",IFERROR(INDEX('因子水準表'!$B$9:$KO$18,6,MATCH(AH$4,'因子水準表'!$B$4:$KO$4,0))&amp;"",""))</f>
        <v/>
      </c>
      <c r="CQ11" s="26">
        <f>IF(AI$4="","",IFERROR(INDEX('因子水準表'!$B$9:$KO$18,6,MATCH(AI$4,'因子水準表'!$B$4:$KO$4,0))&amp;"",""))</f>
        <v/>
      </c>
      <c r="CR11" s="26">
        <f>IF(AJ$4="","",IFERROR(INDEX('因子水準表'!$B$9:$KO$18,6,MATCH(AJ$4,'因子水準表'!$B$4:$KO$4,0))&amp;"",""))</f>
        <v/>
      </c>
      <c r="CS11" s="26">
        <f>IF(AK$4="","",IFERROR(INDEX('因子水準表'!$B$9:$KO$18,6,MATCH(AK$4,'因子水準表'!$B$4:$KO$4,0))&amp;"",""))</f>
        <v/>
      </c>
      <c r="CT11" s="26">
        <f>IF(AL$4="","",IFERROR(INDEX('因子水準表'!$B$9:$KO$18,6,MATCH(AL$4,'因子水準表'!$B$4:$KO$4,0))&amp;"",""))</f>
        <v/>
      </c>
      <c r="CU11" s="26">
        <f>IF(AM$4="","",IFERROR(INDEX('因子水準表'!$B$9:$KO$18,6,MATCH(AM$4,'因子水準表'!$B$4:$KO$4,0))&amp;"",""))</f>
        <v/>
      </c>
      <c r="CV11" s="26">
        <f>IF(AN$4="","",IFERROR(INDEX('因子水準表'!$B$9:$KO$18,6,MATCH(AN$4,'因子水準表'!$B$4:$KO$4,0))&amp;"",""))</f>
        <v/>
      </c>
      <c r="CW11" s="26">
        <f>IF(AO$4="","",IFERROR(INDEX('因子水準表'!$B$9:$KO$18,6,MATCH(AO$4,'因子水準表'!$B$4:$KO$4,0))&amp;"",""))</f>
        <v/>
      </c>
      <c r="CX11" s="26">
        <f>IF(AP$4="","",IFERROR(INDEX('因子水準表'!$B$9:$KO$18,6,MATCH(AP$4,'因子水準表'!$B$4:$KO$4,0))&amp;"",""))</f>
        <v/>
      </c>
      <c r="CY11" s="26">
        <f>IF(AQ$4="","",IFERROR(INDEX('因子水準表'!$B$9:$KO$18,6,MATCH(AQ$4,'因子水準表'!$B$4:$KO$4,0))&amp;"",""))</f>
        <v/>
      </c>
      <c r="CZ11" s="26">
        <f>IF(AR$4="","",IFERROR(INDEX('因子水準表'!$B$9:$KO$18,6,MATCH(AR$4,'因子水準表'!$B$4:$KO$4,0))&amp;"",""))</f>
        <v/>
      </c>
      <c r="DA11" s="26">
        <f>IF(AS$4="","",IFERROR(INDEX('因子水準表'!$B$9:$KO$18,6,MATCH(AS$4,'因子水準表'!$B$4:$KO$4,0))&amp;"",""))</f>
        <v/>
      </c>
      <c r="DB11" s="26">
        <f>IF(AT$4="","",IFERROR(INDEX('因子水準表'!$B$9:$KO$18,6,MATCH(AT$4,'因子水準表'!$B$4:$KO$4,0))&amp;"",""))</f>
        <v/>
      </c>
      <c r="DC11" s="26">
        <f>IF(AU$4="","",IFERROR(INDEX('因子水準表'!$B$9:$KO$18,6,MATCH(AU$4,'因子水準表'!$B$4:$KO$4,0))&amp;"",""))</f>
        <v/>
      </c>
      <c r="DD11" s="26">
        <f>IF(AV$4="","",IFERROR(INDEX('因子水準表'!$B$9:$KO$18,6,MATCH(AV$4,'因子水準表'!$B$4:$KO$4,0))&amp;"",""))</f>
        <v/>
      </c>
      <c r="DE11" s="26">
        <f>IF(AW$4="","",IFERROR(INDEX('因子水準表'!$B$9:$KO$18,6,MATCH(AW$4,'因子水準表'!$B$4:$KO$4,0))&amp;"",""))</f>
        <v/>
      </c>
      <c r="DF11" s="26">
        <f>IF(AX$4="","",IFERROR(INDEX('因子水準表'!$B$9:$KO$18,6,MATCH(AX$4,'因子水準表'!$B$4:$KO$4,0))&amp;"",""))</f>
        <v/>
      </c>
      <c r="DG11" s="26">
        <f>IF(AY$4="","",IFERROR(INDEX('因子水準表'!$B$9:$KO$18,6,MATCH(AY$4,'因子水準表'!$B$4:$KO$4,0))&amp;"",""))</f>
        <v/>
      </c>
      <c r="DH11" s="26">
        <f>IF(AZ$4="","",IFERROR(INDEX('因子水準表'!$B$9:$KO$18,6,MATCH(AZ$4,'因子水準表'!$B$4:$KO$4,0))&amp;"",""))</f>
        <v/>
      </c>
      <c r="DI11" s="26">
        <f>IF(BA$4="","",IFERROR(INDEX('因子水準表'!$B$9:$KO$18,6,MATCH(BA$4,'因子水準表'!$B$4:$KO$4,0))&amp;"",""))</f>
        <v/>
      </c>
      <c r="DJ11" s="26">
        <f>IF(BB$4="","",IFERROR(INDEX('因子水準表'!$B$9:$KO$18,6,MATCH(BB$4,'因子水準表'!$B$4:$KO$4,0))&amp;"",""))</f>
        <v/>
      </c>
      <c r="DK11" s="26">
        <f>IF(BC$4="","",IFERROR(INDEX('因子水準表'!$B$9:$KO$18,6,MATCH(BC$4,'因子水準表'!$B$4:$KO$4,0))&amp;"",""))</f>
        <v/>
      </c>
      <c r="DL11" s="26">
        <f>IF(BD$4="","",IFERROR(INDEX('因子水準表'!$B$9:$KO$18,6,MATCH(BD$4,'因子水準表'!$B$4:$KO$4,0))&amp;"",""))</f>
        <v/>
      </c>
      <c r="DM11" s="26">
        <f>IF('因子水準表'!B34="","",'因子水準表'!B34)</f>
        <v/>
      </c>
      <c r="DN11" s="26">
        <f>IF('テスト条件'!A10="","",'テスト条件'!A10)</f>
        <v/>
      </c>
    </row>
    <row r="12">
      <c r="A12" s="27" t="n"/>
      <c r="B12" s="27" t="n"/>
      <c r="C12" s="28">
        <f>IF(A12="","",$B$2)</f>
        <v/>
      </c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  <c r="AJ12" s="27" t="n"/>
      <c r="AK12" s="27" t="n"/>
      <c r="AL12" s="27" t="n"/>
      <c r="AM12" s="27" t="n"/>
      <c r="AN12" s="27" t="n"/>
      <c r="AO12" s="27" t="n"/>
      <c r="AP12" s="27" t="n"/>
      <c r="AQ12" s="27" t="n"/>
      <c r="AR12" s="27" t="n"/>
      <c r="AS12" s="27" t="n"/>
      <c r="AT12" s="27" t="n"/>
      <c r="AU12" s="27" t="n"/>
      <c r="AV12" s="27" t="n"/>
      <c r="AW12" s="27" t="n"/>
      <c r="AX12" s="27" t="n"/>
      <c r="AY12" s="27" t="n"/>
      <c r="AZ12" s="27" t="n"/>
      <c r="BA12" s="27" t="n"/>
      <c r="BB12" s="27" t="n"/>
      <c r="BC12" s="27" t="n"/>
      <c r="BD12" s="27" t="n"/>
      <c r="BE12" s="27" t="n"/>
      <c r="BF12" s="27" t="n"/>
      <c r="BG12" s="27" t="n"/>
      <c r="BH12" s="27" t="n"/>
      <c r="BI12" s="29" t="n"/>
      <c r="BJ12" s="27" t="n"/>
      <c r="BK12" s="27" t="n"/>
      <c r="BL12" s="27" t="n"/>
      <c r="BM12" s="27" t="n"/>
      <c r="BO12" s="26">
        <f>IF(G$4="","",IFERROR(INDEX('因子水準表'!$B$9:$KO$18,7,MATCH(G$4,'因子水準表'!$B$4:$KO$4,0))&amp;"",""))</f>
        <v/>
      </c>
      <c r="BP12" s="26">
        <f>IF(H$4="","",IFERROR(INDEX('因子水準表'!$B$9:$KO$18,7,MATCH(H$4,'因子水準表'!$B$4:$KO$4,0))&amp;"",""))</f>
        <v/>
      </c>
      <c r="BQ12" s="26">
        <f>IF(I$4="","",IFERROR(INDEX('因子水準表'!$B$9:$KO$18,7,MATCH(I$4,'因子水準表'!$B$4:$KO$4,0))&amp;"",""))</f>
        <v/>
      </c>
      <c r="BR12" s="26">
        <f>IF(J$4="","",IFERROR(INDEX('因子水準表'!$B$9:$KO$18,7,MATCH(J$4,'因子水準表'!$B$4:$KO$4,0))&amp;"",""))</f>
        <v/>
      </c>
      <c r="BS12" s="26">
        <f>IF(K$4="","",IFERROR(INDEX('因子水準表'!$B$9:$KO$18,7,MATCH(K$4,'因子水準表'!$B$4:$KO$4,0))&amp;"",""))</f>
        <v/>
      </c>
      <c r="BT12" s="26">
        <f>IF(L$4="","",IFERROR(INDEX('因子水準表'!$B$9:$KO$18,7,MATCH(L$4,'因子水準表'!$B$4:$KO$4,0))&amp;"",""))</f>
        <v/>
      </c>
      <c r="BU12" s="26">
        <f>IF(M$4="","",IFERROR(INDEX('因子水準表'!$B$9:$KO$18,7,MATCH(M$4,'因子水準表'!$B$4:$KO$4,0))&amp;"",""))</f>
        <v/>
      </c>
      <c r="BV12" s="26">
        <f>IF(N$4="","",IFERROR(INDEX('因子水準表'!$B$9:$KO$18,7,MATCH(N$4,'因子水準表'!$B$4:$KO$4,0))&amp;"",""))</f>
        <v/>
      </c>
      <c r="BW12" s="26">
        <f>IF(O$4="","",IFERROR(INDEX('因子水準表'!$B$9:$KO$18,7,MATCH(O$4,'因子水準表'!$B$4:$KO$4,0))&amp;"",""))</f>
        <v/>
      </c>
      <c r="BX12" s="26">
        <f>IF(P$4="","",IFERROR(INDEX('因子水準表'!$B$9:$KO$18,7,MATCH(P$4,'因子水準表'!$B$4:$KO$4,0))&amp;"",""))</f>
        <v/>
      </c>
      <c r="BY12" s="26">
        <f>IF(Q$4="","",IFERROR(INDEX('因子水準表'!$B$9:$KO$18,7,MATCH(Q$4,'因子水準表'!$B$4:$KO$4,0))&amp;"",""))</f>
        <v/>
      </c>
      <c r="BZ12" s="26">
        <f>IF(R$4="","",IFERROR(INDEX('因子水準表'!$B$9:$KO$18,7,MATCH(R$4,'因子水準表'!$B$4:$KO$4,0))&amp;"",""))</f>
        <v/>
      </c>
      <c r="CA12" s="26">
        <f>IF(S$4="","",IFERROR(INDEX('因子水準表'!$B$9:$KO$18,7,MATCH(S$4,'因子水準表'!$B$4:$KO$4,0))&amp;"",""))</f>
        <v/>
      </c>
      <c r="CB12" s="26">
        <f>IF(T$4="","",IFERROR(INDEX('因子水準表'!$B$9:$KO$18,7,MATCH(T$4,'因子水準表'!$B$4:$KO$4,0))&amp;"",""))</f>
        <v/>
      </c>
      <c r="CC12" s="26">
        <f>IF(U$4="","",IFERROR(INDEX('因子水準表'!$B$9:$KO$18,7,MATCH(U$4,'因子水準表'!$B$4:$KO$4,0))&amp;"",""))</f>
        <v/>
      </c>
      <c r="CD12" s="26">
        <f>IF(V$4="","",IFERROR(INDEX('因子水準表'!$B$9:$KO$18,7,MATCH(V$4,'因子水準表'!$B$4:$KO$4,0))&amp;"",""))</f>
        <v/>
      </c>
      <c r="CE12" s="26">
        <f>IF(W$4="","",IFERROR(INDEX('因子水準表'!$B$9:$KO$18,7,MATCH(W$4,'因子水準表'!$B$4:$KO$4,0))&amp;"",""))</f>
        <v/>
      </c>
      <c r="CF12" s="26">
        <f>IF(X$4="","",IFERROR(INDEX('因子水準表'!$B$9:$KO$18,7,MATCH(X$4,'因子水準表'!$B$4:$KO$4,0))&amp;"",""))</f>
        <v/>
      </c>
      <c r="CG12" s="26">
        <f>IF(Y$4="","",IFERROR(INDEX('因子水準表'!$B$9:$KO$18,7,MATCH(Y$4,'因子水準表'!$B$4:$KO$4,0))&amp;"",""))</f>
        <v/>
      </c>
      <c r="CH12" s="26">
        <f>IF(Z$4="","",IFERROR(INDEX('因子水準表'!$B$9:$KO$18,7,MATCH(Z$4,'因子水準表'!$B$4:$KO$4,0))&amp;"",""))</f>
        <v/>
      </c>
      <c r="CI12" s="26">
        <f>IF(AA$4="","",IFERROR(INDEX('因子水準表'!$B$9:$KO$18,7,MATCH(AA$4,'因子水準表'!$B$4:$KO$4,0))&amp;"",""))</f>
        <v/>
      </c>
      <c r="CJ12" s="26">
        <f>IF(AB$4="","",IFERROR(INDEX('因子水準表'!$B$9:$KO$18,7,MATCH(AB$4,'因子水準表'!$B$4:$KO$4,0))&amp;"",""))</f>
        <v/>
      </c>
      <c r="CK12" s="26">
        <f>IF(AC$4="","",IFERROR(INDEX('因子水準表'!$B$9:$KO$18,7,MATCH(AC$4,'因子水準表'!$B$4:$KO$4,0))&amp;"",""))</f>
        <v/>
      </c>
      <c r="CL12" s="26">
        <f>IF(AD$4="","",IFERROR(INDEX('因子水準表'!$B$9:$KO$18,7,MATCH(AD$4,'因子水準表'!$B$4:$KO$4,0))&amp;"",""))</f>
        <v/>
      </c>
      <c r="CM12" s="26">
        <f>IF(AE$4="","",IFERROR(INDEX('因子水準表'!$B$9:$KO$18,7,MATCH(AE$4,'因子水準表'!$B$4:$KO$4,0))&amp;"",""))</f>
        <v/>
      </c>
      <c r="CN12" s="26">
        <f>IF(AF$4="","",IFERROR(INDEX('因子水準表'!$B$9:$KO$18,7,MATCH(AF$4,'因子水準表'!$B$4:$KO$4,0))&amp;"",""))</f>
        <v/>
      </c>
      <c r="CO12" s="26">
        <f>IF(AG$4="","",IFERROR(INDEX('因子水準表'!$B$9:$KO$18,7,MATCH(AG$4,'因子水準表'!$B$4:$KO$4,0))&amp;"",""))</f>
        <v/>
      </c>
      <c r="CP12" s="26">
        <f>IF(AH$4="","",IFERROR(INDEX('因子水準表'!$B$9:$KO$18,7,MATCH(AH$4,'因子水準表'!$B$4:$KO$4,0))&amp;"",""))</f>
        <v/>
      </c>
      <c r="CQ12" s="26">
        <f>IF(AI$4="","",IFERROR(INDEX('因子水準表'!$B$9:$KO$18,7,MATCH(AI$4,'因子水準表'!$B$4:$KO$4,0))&amp;"",""))</f>
        <v/>
      </c>
      <c r="CR12" s="26">
        <f>IF(AJ$4="","",IFERROR(INDEX('因子水準表'!$B$9:$KO$18,7,MATCH(AJ$4,'因子水準表'!$B$4:$KO$4,0))&amp;"",""))</f>
        <v/>
      </c>
      <c r="CS12" s="26">
        <f>IF(AK$4="","",IFERROR(INDEX('因子水準表'!$B$9:$KO$18,7,MATCH(AK$4,'因子水準表'!$B$4:$KO$4,0))&amp;"",""))</f>
        <v/>
      </c>
      <c r="CT12" s="26">
        <f>IF(AL$4="","",IFERROR(INDEX('因子水準表'!$B$9:$KO$18,7,MATCH(AL$4,'因子水準表'!$B$4:$KO$4,0))&amp;"",""))</f>
        <v/>
      </c>
      <c r="CU12" s="26">
        <f>IF(AM$4="","",IFERROR(INDEX('因子水準表'!$B$9:$KO$18,7,MATCH(AM$4,'因子水準表'!$B$4:$KO$4,0))&amp;"",""))</f>
        <v/>
      </c>
      <c r="CV12" s="26">
        <f>IF(AN$4="","",IFERROR(INDEX('因子水準表'!$B$9:$KO$18,7,MATCH(AN$4,'因子水準表'!$B$4:$KO$4,0))&amp;"",""))</f>
        <v/>
      </c>
      <c r="CW12" s="26">
        <f>IF(AO$4="","",IFERROR(INDEX('因子水準表'!$B$9:$KO$18,7,MATCH(AO$4,'因子水準表'!$B$4:$KO$4,0))&amp;"",""))</f>
        <v/>
      </c>
      <c r="CX12" s="26">
        <f>IF(AP$4="","",IFERROR(INDEX('因子水準表'!$B$9:$KO$18,7,MATCH(AP$4,'因子水準表'!$B$4:$KO$4,0))&amp;"",""))</f>
        <v/>
      </c>
      <c r="CY12" s="26">
        <f>IF(AQ$4="","",IFERROR(INDEX('因子水準表'!$B$9:$KO$18,7,MATCH(AQ$4,'因子水準表'!$B$4:$KO$4,0))&amp;"",""))</f>
        <v/>
      </c>
      <c r="CZ12" s="26">
        <f>IF(AR$4="","",IFERROR(INDEX('因子水準表'!$B$9:$KO$18,7,MATCH(AR$4,'因子水準表'!$B$4:$KO$4,0))&amp;"",""))</f>
        <v/>
      </c>
      <c r="DA12" s="26">
        <f>IF(AS$4="","",IFERROR(INDEX('因子水準表'!$B$9:$KO$18,7,MATCH(AS$4,'因子水準表'!$B$4:$KO$4,0))&amp;"",""))</f>
        <v/>
      </c>
      <c r="DB12" s="26">
        <f>IF(AT$4="","",IFERROR(INDEX('因子水準表'!$B$9:$KO$18,7,MATCH(AT$4,'因子水準表'!$B$4:$KO$4,0))&amp;"",""))</f>
        <v/>
      </c>
      <c r="DC12" s="26">
        <f>IF(AU$4="","",IFERROR(INDEX('因子水準表'!$B$9:$KO$18,7,MATCH(AU$4,'因子水準表'!$B$4:$KO$4,0))&amp;"",""))</f>
        <v/>
      </c>
      <c r="DD12" s="26">
        <f>IF(AV$4="","",IFERROR(INDEX('因子水準表'!$B$9:$KO$18,7,MATCH(AV$4,'因子水準表'!$B$4:$KO$4,0))&amp;"",""))</f>
        <v/>
      </c>
      <c r="DE12" s="26">
        <f>IF(AW$4="","",IFERROR(INDEX('因子水準表'!$B$9:$KO$18,7,MATCH(AW$4,'因子水準表'!$B$4:$KO$4,0))&amp;"",""))</f>
        <v/>
      </c>
      <c r="DF12" s="26">
        <f>IF(AX$4="","",IFERROR(INDEX('因子水準表'!$B$9:$KO$18,7,MATCH(AX$4,'因子水準表'!$B$4:$KO$4,0))&amp;"",""))</f>
        <v/>
      </c>
      <c r="DG12" s="26">
        <f>IF(AY$4="","",IFERROR(INDEX('因子水準表'!$B$9:$KO$18,7,MATCH(AY$4,'因子水準表'!$B$4:$KO$4,0))&amp;"",""))</f>
        <v/>
      </c>
      <c r="DH12" s="26">
        <f>IF(AZ$4="","",IFERROR(INDEX('因子水準表'!$B$9:$KO$18,7,MATCH(AZ$4,'因子水準表'!$B$4:$KO$4,0))&amp;"",""))</f>
        <v/>
      </c>
      <c r="DI12" s="26">
        <f>IF(BA$4="","",IFERROR(INDEX('因子水準表'!$B$9:$KO$18,7,MATCH(BA$4,'因子水準表'!$B$4:$KO$4,0))&amp;"",""))</f>
        <v/>
      </c>
      <c r="DJ12" s="26">
        <f>IF(BB$4="","",IFERROR(INDEX('因子水準表'!$B$9:$KO$18,7,MATCH(BB$4,'因子水準表'!$B$4:$KO$4,0))&amp;"",""))</f>
        <v/>
      </c>
      <c r="DK12" s="26">
        <f>IF(BC$4="","",IFERROR(INDEX('因子水準表'!$B$9:$KO$18,7,MATCH(BC$4,'因子水準表'!$B$4:$KO$4,0))&amp;"",""))</f>
        <v/>
      </c>
      <c r="DL12" s="26">
        <f>IF(BD$4="","",IFERROR(INDEX('因子水準表'!$B$9:$KO$18,7,MATCH(BD$4,'因子水準表'!$B$4:$KO$4,0))&amp;"",""))</f>
        <v/>
      </c>
      <c r="DM12" s="26">
        <f>IF('因子水準表'!B35="","",'因子水準表'!B35)</f>
        <v/>
      </c>
      <c r="DN12" s="26">
        <f>IF('テスト条件'!A11="","",'テスト条件'!A11)</f>
        <v/>
      </c>
    </row>
    <row r="13">
      <c r="A13" s="27" t="n"/>
      <c r="B13" s="27" t="n"/>
      <c r="C13" s="28">
        <f>IF(A13="","",$B$2)</f>
        <v/>
      </c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  <c r="AA13" s="27" t="n"/>
      <c r="AB13" s="27" t="n"/>
      <c r="AC13" s="27" t="n"/>
      <c r="AD13" s="27" t="n"/>
      <c r="AE13" s="27" t="n"/>
      <c r="AF13" s="27" t="n"/>
      <c r="AG13" s="27" t="n"/>
      <c r="AH13" s="27" t="n"/>
      <c r="AI13" s="27" t="n"/>
      <c r="AJ13" s="27" t="n"/>
      <c r="AK13" s="27" t="n"/>
      <c r="AL13" s="27" t="n"/>
      <c r="AM13" s="27" t="n"/>
      <c r="AN13" s="27" t="n"/>
      <c r="AO13" s="27" t="n"/>
      <c r="AP13" s="27" t="n"/>
      <c r="AQ13" s="27" t="n"/>
      <c r="AR13" s="27" t="n"/>
      <c r="AS13" s="27" t="n"/>
      <c r="AT13" s="27" t="n"/>
      <c r="AU13" s="27" t="n"/>
      <c r="AV13" s="27" t="n"/>
      <c r="AW13" s="27" t="n"/>
      <c r="AX13" s="27" t="n"/>
      <c r="AY13" s="27" t="n"/>
      <c r="AZ13" s="27" t="n"/>
      <c r="BA13" s="27" t="n"/>
      <c r="BB13" s="27" t="n"/>
      <c r="BC13" s="27" t="n"/>
      <c r="BD13" s="27" t="n"/>
      <c r="BE13" s="27" t="n"/>
      <c r="BF13" s="27" t="n"/>
      <c r="BG13" s="27" t="n"/>
      <c r="BH13" s="27" t="n"/>
      <c r="BI13" s="29" t="n"/>
      <c r="BJ13" s="27" t="n"/>
      <c r="BK13" s="27" t="n"/>
      <c r="BL13" s="27" t="n"/>
      <c r="BM13" s="27" t="n"/>
      <c r="BO13" s="26">
        <f>IF(G$4="","",IFERROR(INDEX('因子水準表'!$B$9:$KO$18,8,MATCH(G$4,'因子水準表'!$B$4:$KO$4,0))&amp;"",""))</f>
        <v/>
      </c>
      <c r="BP13" s="26">
        <f>IF(H$4="","",IFERROR(INDEX('因子水準表'!$B$9:$KO$18,8,MATCH(H$4,'因子水準表'!$B$4:$KO$4,0))&amp;"",""))</f>
        <v/>
      </c>
      <c r="BQ13" s="26">
        <f>IF(I$4="","",IFERROR(INDEX('因子水準表'!$B$9:$KO$18,8,MATCH(I$4,'因子水準表'!$B$4:$KO$4,0))&amp;"",""))</f>
        <v/>
      </c>
      <c r="BR13" s="26">
        <f>IF(J$4="","",IFERROR(INDEX('因子水準表'!$B$9:$KO$18,8,MATCH(J$4,'因子水準表'!$B$4:$KO$4,0))&amp;"",""))</f>
        <v/>
      </c>
      <c r="BS13" s="26">
        <f>IF(K$4="","",IFERROR(INDEX('因子水準表'!$B$9:$KO$18,8,MATCH(K$4,'因子水準表'!$B$4:$KO$4,0))&amp;"",""))</f>
        <v/>
      </c>
      <c r="BT13" s="26">
        <f>IF(L$4="","",IFERROR(INDEX('因子水準表'!$B$9:$KO$18,8,MATCH(L$4,'因子水準表'!$B$4:$KO$4,0))&amp;"",""))</f>
        <v/>
      </c>
      <c r="BU13" s="26">
        <f>IF(M$4="","",IFERROR(INDEX('因子水準表'!$B$9:$KO$18,8,MATCH(M$4,'因子水準表'!$B$4:$KO$4,0))&amp;"",""))</f>
        <v/>
      </c>
      <c r="BV13" s="26">
        <f>IF(N$4="","",IFERROR(INDEX('因子水準表'!$B$9:$KO$18,8,MATCH(N$4,'因子水準表'!$B$4:$KO$4,0))&amp;"",""))</f>
        <v/>
      </c>
      <c r="BW13" s="26">
        <f>IF(O$4="","",IFERROR(INDEX('因子水準表'!$B$9:$KO$18,8,MATCH(O$4,'因子水準表'!$B$4:$KO$4,0))&amp;"",""))</f>
        <v/>
      </c>
      <c r="BX13" s="26">
        <f>IF(P$4="","",IFERROR(INDEX('因子水準表'!$B$9:$KO$18,8,MATCH(P$4,'因子水準表'!$B$4:$KO$4,0))&amp;"",""))</f>
        <v/>
      </c>
      <c r="BY13" s="26">
        <f>IF(Q$4="","",IFERROR(INDEX('因子水準表'!$B$9:$KO$18,8,MATCH(Q$4,'因子水準表'!$B$4:$KO$4,0))&amp;"",""))</f>
        <v/>
      </c>
      <c r="BZ13" s="26">
        <f>IF(R$4="","",IFERROR(INDEX('因子水準表'!$B$9:$KO$18,8,MATCH(R$4,'因子水準表'!$B$4:$KO$4,0))&amp;"",""))</f>
        <v/>
      </c>
      <c r="CA13" s="26">
        <f>IF(S$4="","",IFERROR(INDEX('因子水準表'!$B$9:$KO$18,8,MATCH(S$4,'因子水準表'!$B$4:$KO$4,0))&amp;"",""))</f>
        <v/>
      </c>
      <c r="CB13" s="26">
        <f>IF(T$4="","",IFERROR(INDEX('因子水準表'!$B$9:$KO$18,8,MATCH(T$4,'因子水準表'!$B$4:$KO$4,0))&amp;"",""))</f>
        <v/>
      </c>
      <c r="CC13" s="26">
        <f>IF(U$4="","",IFERROR(INDEX('因子水準表'!$B$9:$KO$18,8,MATCH(U$4,'因子水準表'!$B$4:$KO$4,0))&amp;"",""))</f>
        <v/>
      </c>
      <c r="CD13" s="26">
        <f>IF(V$4="","",IFERROR(INDEX('因子水準表'!$B$9:$KO$18,8,MATCH(V$4,'因子水準表'!$B$4:$KO$4,0))&amp;"",""))</f>
        <v/>
      </c>
      <c r="CE13" s="26">
        <f>IF(W$4="","",IFERROR(INDEX('因子水準表'!$B$9:$KO$18,8,MATCH(W$4,'因子水準表'!$B$4:$KO$4,0))&amp;"",""))</f>
        <v/>
      </c>
      <c r="CF13" s="26">
        <f>IF(X$4="","",IFERROR(INDEX('因子水準表'!$B$9:$KO$18,8,MATCH(X$4,'因子水準表'!$B$4:$KO$4,0))&amp;"",""))</f>
        <v/>
      </c>
      <c r="CG13" s="26">
        <f>IF(Y$4="","",IFERROR(INDEX('因子水準表'!$B$9:$KO$18,8,MATCH(Y$4,'因子水準表'!$B$4:$KO$4,0))&amp;"",""))</f>
        <v/>
      </c>
      <c r="CH13" s="26">
        <f>IF(Z$4="","",IFERROR(INDEX('因子水準表'!$B$9:$KO$18,8,MATCH(Z$4,'因子水準表'!$B$4:$KO$4,0))&amp;"",""))</f>
        <v/>
      </c>
      <c r="CI13" s="26">
        <f>IF(AA$4="","",IFERROR(INDEX('因子水準表'!$B$9:$KO$18,8,MATCH(AA$4,'因子水準表'!$B$4:$KO$4,0))&amp;"",""))</f>
        <v/>
      </c>
      <c r="CJ13" s="26">
        <f>IF(AB$4="","",IFERROR(INDEX('因子水準表'!$B$9:$KO$18,8,MATCH(AB$4,'因子水準表'!$B$4:$KO$4,0))&amp;"",""))</f>
        <v/>
      </c>
      <c r="CK13" s="26">
        <f>IF(AC$4="","",IFERROR(INDEX('因子水準表'!$B$9:$KO$18,8,MATCH(AC$4,'因子水準表'!$B$4:$KO$4,0))&amp;"",""))</f>
        <v/>
      </c>
      <c r="CL13" s="26">
        <f>IF(AD$4="","",IFERROR(INDEX('因子水準表'!$B$9:$KO$18,8,MATCH(AD$4,'因子水準表'!$B$4:$KO$4,0))&amp;"",""))</f>
        <v/>
      </c>
      <c r="CM13" s="26">
        <f>IF(AE$4="","",IFERROR(INDEX('因子水準表'!$B$9:$KO$18,8,MATCH(AE$4,'因子水準表'!$B$4:$KO$4,0))&amp;"",""))</f>
        <v/>
      </c>
      <c r="CN13" s="26">
        <f>IF(AF$4="","",IFERROR(INDEX('因子水準表'!$B$9:$KO$18,8,MATCH(AF$4,'因子水準表'!$B$4:$KO$4,0))&amp;"",""))</f>
        <v/>
      </c>
      <c r="CO13" s="26">
        <f>IF(AG$4="","",IFERROR(INDEX('因子水準表'!$B$9:$KO$18,8,MATCH(AG$4,'因子水準表'!$B$4:$KO$4,0))&amp;"",""))</f>
        <v/>
      </c>
      <c r="CP13" s="26">
        <f>IF(AH$4="","",IFERROR(INDEX('因子水準表'!$B$9:$KO$18,8,MATCH(AH$4,'因子水準表'!$B$4:$KO$4,0))&amp;"",""))</f>
        <v/>
      </c>
      <c r="CQ13" s="26">
        <f>IF(AI$4="","",IFERROR(INDEX('因子水準表'!$B$9:$KO$18,8,MATCH(AI$4,'因子水準表'!$B$4:$KO$4,0))&amp;"",""))</f>
        <v/>
      </c>
      <c r="CR13" s="26">
        <f>IF(AJ$4="","",IFERROR(INDEX('因子水準表'!$B$9:$KO$18,8,MATCH(AJ$4,'因子水準表'!$B$4:$KO$4,0))&amp;"",""))</f>
        <v/>
      </c>
      <c r="CS13" s="26">
        <f>IF(AK$4="","",IFERROR(INDEX('因子水準表'!$B$9:$KO$18,8,MATCH(AK$4,'因子水準表'!$B$4:$KO$4,0))&amp;"",""))</f>
        <v/>
      </c>
      <c r="CT13" s="26">
        <f>IF(AL$4="","",IFERROR(INDEX('因子水準表'!$B$9:$KO$18,8,MATCH(AL$4,'因子水準表'!$B$4:$KO$4,0))&amp;"",""))</f>
        <v/>
      </c>
      <c r="CU13" s="26">
        <f>IF(AM$4="","",IFERROR(INDEX('因子水準表'!$B$9:$KO$18,8,MATCH(AM$4,'因子水準表'!$B$4:$KO$4,0))&amp;"",""))</f>
        <v/>
      </c>
      <c r="CV13" s="26">
        <f>IF(AN$4="","",IFERROR(INDEX('因子水準表'!$B$9:$KO$18,8,MATCH(AN$4,'因子水準表'!$B$4:$KO$4,0))&amp;"",""))</f>
        <v/>
      </c>
      <c r="CW13" s="26">
        <f>IF(AO$4="","",IFERROR(INDEX('因子水準表'!$B$9:$KO$18,8,MATCH(AO$4,'因子水準表'!$B$4:$KO$4,0))&amp;"",""))</f>
        <v/>
      </c>
      <c r="CX13" s="26">
        <f>IF(AP$4="","",IFERROR(INDEX('因子水準表'!$B$9:$KO$18,8,MATCH(AP$4,'因子水準表'!$B$4:$KO$4,0))&amp;"",""))</f>
        <v/>
      </c>
      <c r="CY13" s="26">
        <f>IF(AQ$4="","",IFERROR(INDEX('因子水準表'!$B$9:$KO$18,8,MATCH(AQ$4,'因子水準表'!$B$4:$KO$4,0))&amp;"",""))</f>
        <v/>
      </c>
      <c r="CZ13" s="26">
        <f>IF(AR$4="","",IFERROR(INDEX('因子水準表'!$B$9:$KO$18,8,MATCH(AR$4,'因子水準表'!$B$4:$KO$4,0))&amp;"",""))</f>
        <v/>
      </c>
      <c r="DA13" s="26">
        <f>IF(AS$4="","",IFERROR(INDEX('因子水準表'!$B$9:$KO$18,8,MATCH(AS$4,'因子水準表'!$B$4:$KO$4,0))&amp;"",""))</f>
        <v/>
      </c>
      <c r="DB13" s="26">
        <f>IF(AT$4="","",IFERROR(INDEX('因子水準表'!$B$9:$KO$18,8,MATCH(AT$4,'因子水準表'!$B$4:$KO$4,0))&amp;"",""))</f>
        <v/>
      </c>
      <c r="DC13" s="26">
        <f>IF(AU$4="","",IFERROR(INDEX('因子水準表'!$B$9:$KO$18,8,MATCH(AU$4,'因子水準表'!$B$4:$KO$4,0))&amp;"",""))</f>
        <v/>
      </c>
      <c r="DD13" s="26">
        <f>IF(AV$4="","",IFERROR(INDEX('因子水準表'!$B$9:$KO$18,8,MATCH(AV$4,'因子水準表'!$B$4:$KO$4,0))&amp;"",""))</f>
        <v/>
      </c>
      <c r="DE13" s="26">
        <f>IF(AW$4="","",IFERROR(INDEX('因子水準表'!$B$9:$KO$18,8,MATCH(AW$4,'因子水準表'!$B$4:$KO$4,0))&amp;"",""))</f>
        <v/>
      </c>
      <c r="DF13" s="26">
        <f>IF(AX$4="","",IFERROR(INDEX('因子水準表'!$B$9:$KO$18,8,MATCH(AX$4,'因子水準表'!$B$4:$KO$4,0))&amp;"",""))</f>
        <v/>
      </c>
      <c r="DG13" s="26">
        <f>IF(AY$4="","",IFERROR(INDEX('因子水準表'!$B$9:$KO$18,8,MATCH(AY$4,'因子水準表'!$B$4:$KO$4,0))&amp;"",""))</f>
        <v/>
      </c>
      <c r="DH13" s="26">
        <f>IF(AZ$4="","",IFERROR(INDEX('因子水準表'!$B$9:$KO$18,8,MATCH(AZ$4,'因子水準表'!$B$4:$KO$4,0))&amp;"",""))</f>
        <v/>
      </c>
      <c r="DI13" s="26">
        <f>IF(BA$4="","",IFERROR(INDEX('因子水準表'!$B$9:$KO$18,8,MATCH(BA$4,'因子水準表'!$B$4:$KO$4,0))&amp;"",""))</f>
        <v/>
      </c>
      <c r="DJ13" s="26">
        <f>IF(BB$4="","",IFERROR(INDEX('因子水準表'!$B$9:$KO$18,8,MATCH(BB$4,'因子水準表'!$B$4:$KO$4,0))&amp;"",""))</f>
        <v/>
      </c>
      <c r="DK13" s="26">
        <f>IF(BC$4="","",IFERROR(INDEX('因子水準表'!$B$9:$KO$18,8,MATCH(BC$4,'因子水準表'!$B$4:$KO$4,0))&amp;"",""))</f>
        <v/>
      </c>
      <c r="DL13" s="26">
        <f>IF(BD$4="","",IFERROR(INDEX('因子水準表'!$B$9:$KO$18,8,MATCH(BD$4,'因子水準表'!$B$4:$KO$4,0))&amp;"",""))</f>
        <v/>
      </c>
      <c r="DM13" s="26">
        <f>IF('因子水準表'!B36="","",'因子水準表'!B36)</f>
        <v/>
      </c>
      <c r="DN13" s="26">
        <f>IF('テスト条件'!A12="","",'テスト条件'!A12)</f>
        <v/>
      </c>
    </row>
    <row r="14">
      <c r="A14" s="27" t="n"/>
      <c r="B14" s="27" t="n"/>
      <c r="C14" s="28">
        <f>IF(A14="","",$B$2)</f>
        <v/>
      </c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7" t="n"/>
      <c r="AO14" s="27" t="n"/>
      <c r="AP14" s="27" t="n"/>
      <c r="AQ14" s="27" t="n"/>
      <c r="AR14" s="27" t="n"/>
      <c r="AS14" s="27" t="n"/>
      <c r="AT14" s="27" t="n"/>
      <c r="AU14" s="27" t="n"/>
      <c r="AV14" s="27" t="n"/>
      <c r="AW14" s="27" t="n"/>
      <c r="AX14" s="27" t="n"/>
      <c r="AY14" s="27" t="n"/>
      <c r="AZ14" s="27" t="n"/>
      <c r="BA14" s="27" t="n"/>
      <c r="BB14" s="27" t="n"/>
      <c r="BC14" s="27" t="n"/>
      <c r="BD14" s="27" t="n"/>
      <c r="BE14" s="27" t="n"/>
      <c r="BF14" s="27" t="n"/>
      <c r="BG14" s="27" t="n"/>
      <c r="BH14" s="27" t="n"/>
      <c r="BI14" s="29" t="n"/>
      <c r="BJ14" s="27" t="n"/>
      <c r="BK14" s="27" t="n"/>
      <c r="BL14" s="27" t="n"/>
      <c r="BM14" s="27" t="n"/>
      <c r="BO14" s="26">
        <f>IF(G$4="","",IFERROR(INDEX('因子水準表'!$B$9:$KO$18,9,MATCH(G$4,'因子水準表'!$B$4:$KO$4,0))&amp;"",""))</f>
        <v/>
      </c>
      <c r="BP14" s="26">
        <f>IF(H$4="","",IFERROR(INDEX('因子水準表'!$B$9:$KO$18,9,MATCH(H$4,'因子水準表'!$B$4:$KO$4,0))&amp;"",""))</f>
        <v/>
      </c>
      <c r="BQ14" s="26">
        <f>IF(I$4="","",IFERROR(INDEX('因子水準表'!$B$9:$KO$18,9,MATCH(I$4,'因子水準表'!$B$4:$KO$4,0))&amp;"",""))</f>
        <v/>
      </c>
      <c r="BR14" s="26">
        <f>IF(J$4="","",IFERROR(INDEX('因子水準表'!$B$9:$KO$18,9,MATCH(J$4,'因子水準表'!$B$4:$KO$4,0))&amp;"",""))</f>
        <v/>
      </c>
      <c r="BS14" s="26">
        <f>IF(K$4="","",IFERROR(INDEX('因子水準表'!$B$9:$KO$18,9,MATCH(K$4,'因子水準表'!$B$4:$KO$4,0))&amp;"",""))</f>
        <v/>
      </c>
      <c r="BT14" s="26">
        <f>IF(L$4="","",IFERROR(INDEX('因子水準表'!$B$9:$KO$18,9,MATCH(L$4,'因子水準表'!$B$4:$KO$4,0))&amp;"",""))</f>
        <v/>
      </c>
      <c r="BU14" s="26">
        <f>IF(M$4="","",IFERROR(INDEX('因子水準表'!$B$9:$KO$18,9,MATCH(M$4,'因子水準表'!$B$4:$KO$4,0))&amp;"",""))</f>
        <v/>
      </c>
      <c r="BV14" s="26">
        <f>IF(N$4="","",IFERROR(INDEX('因子水準表'!$B$9:$KO$18,9,MATCH(N$4,'因子水準表'!$B$4:$KO$4,0))&amp;"",""))</f>
        <v/>
      </c>
      <c r="BW14" s="26">
        <f>IF(O$4="","",IFERROR(INDEX('因子水準表'!$B$9:$KO$18,9,MATCH(O$4,'因子水準表'!$B$4:$KO$4,0))&amp;"",""))</f>
        <v/>
      </c>
      <c r="BX14" s="26">
        <f>IF(P$4="","",IFERROR(INDEX('因子水準表'!$B$9:$KO$18,9,MATCH(P$4,'因子水準表'!$B$4:$KO$4,0))&amp;"",""))</f>
        <v/>
      </c>
      <c r="BY14" s="26">
        <f>IF(Q$4="","",IFERROR(INDEX('因子水準表'!$B$9:$KO$18,9,MATCH(Q$4,'因子水準表'!$B$4:$KO$4,0))&amp;"",""))</f>
        <v/>
      </c>
      <c r="BZ14" s="26">
        <f>IF(R$4="","",IFERROR(INDEX('因子水準表'!$B$9:$KO$18,9,MATCH(R$4,'因子水準表'!$B$4:$KO$4,0))&amp;"",""))</f>
        <v/>
      </c>
      <c r="CA14" s="26">
        <f>IF(S$4="","",IFERROR(INDEX('因子水準表'!$B$9:$KO$18,9,MATCH(S$4,'因子水準表'!$B$4:$KO$4,0))&amp;"",""))</f>
        <v/>
      </c>
      <c r="CB14" s="26">
        <f>IF(T$4="","",IFERROR(INDEX('因子水準表'!$B$9:$KO$18,9,MATCH(T$4,'因子水準表'!$B$4:$KO$4,0))&amp;"",""))</f>
        <v/>
      </c>
      <c r="CC14" s="26">
        <f>IF(U$4="","",IFERROR(INDEX('因子水準表'!$B$9:$KO$18,9,MATCH(U$4,'因子水準表'!$B$4:$KO$4,0))&amp;"",""))</f>
        <v/>
      </c>
      <c r="CD14" s="26">
        <f>IF(V$4="","",IFERROR(INDEX('因子水準表'!$B$9:$KO$18,9,MATCH(V$4,'因子水準表'!$B$4:$KO$4,0))&amp;"",""))</f>
        <v/>
      </c>
      <c r="CE14" s="26">
        <f>IF(W$4="","",IFERROR(INDEX('因子水準表'!$B$9:$KO$18,9,MATCH(W$4,'因子水準表'!$B$4:$KO$4,0))&amp;"",""))</f>
        <v/>
      </c>
      <c r="CF14" s="26">
        <f>IF(X$4="","",IFERROR(INDEX('因子水準表'!$B$9:$KO$18,9,MATCH(X$4,'因子水準表'!$B$4:$KO$4,0))&amp;"",""))</f>
        <v/>
      </c>
      <c r="CG14" s="26">
        <f>IF(Y$4="","",IFERROR(INDEX('因子水準表'!$B$9:$KO$18,9,MATCH(Y$4,'因子水準表'!$B$4:$KO$4,0))&amp;"",""))</f>
        <v/>
      </c>
      <c r="CH14" s="26">
        <f>IF(Z$4="","",IFERROR(INDEX('因子水準表'!$B$9:$KO$18,9,MATCH(Z$4,'因子水準表'!$B$4:$KO$4,0))&amp;"",""))</f>
        <v/>
      </c>
      <c r="CI14" s="26">
        <f>IF(AA$4="","",IFERROR(INDEX('因子水準表'!$B$9:$KO$18,9,MATCH(AA$4,'因子水準表'!$B$4:$KO$4,0))&amp;"",""))</f>
        <v/>
      </c>
      <c r="CJ14" s="26">
        <f>IF(AB$4="","",IFERROR(INDEX('因子水準表'!$B$9:$KO$18,9,MATCH(AB$4,'因子水準表'!$B$4:$KO$4,0))&amp;"",""))</f>
        <v/>
      </c>
      <c r="CK14" s="26">
        <f>IF(AC$4="","",IFERROR(INDEX('因子水準表'!$B$9:$KO$18,9,MATCH(AC$4,'因子水準表'!$B$4:$KO$4,0))&amp;"",""))</f>
        <v/>
      </c>
      <c r="CL14" s="26">
        <f>IF(AD$4="","",IFERROR(INDEX('因子水準表'!$B$9:$KO$18,9,MATCH(AD$4,'因子水準表'!$B$4:$KO$4,0))&amp;"",""))</f>
        <v/>
      </c>
      <c r="CM14" s="26">
        <f>IF(AE$4="","",IFERROR(INDEX('因子水準表'!$B$9:$KO$18,9,MATCH(AE$4,'因子水準表'!$B$4:$KO$4,0))&amp;"",""))</f>
        <v/>
      </c>
      <c r="CN14" s="26">
        <f>IF(AF$4="","",IFERROR(INDEX('因子水準表'!$B$9:$KO$18,9,MATCH(AF$4,'因子水準表'!$B$4:$KO$4,0))&amp;"",""))</f>
        <v/>
      </c>
      <c r="CO14" s="26">
        <f>IF(AG$4="","",IFERROR(INDEX('因子水準表'!$B$9:$KO$18,9,MATCH(AG$4,'因子水準表'!$B$4:$KO$4,0))&amp;"",""))</f>
        <v/>
      </c>
      <c r="CP14" s="26">
        <f>IF(AH$4="","",IFERROR(INDEX('因子水準表'!$B$9:$KO$18,9,MATCH(AH$4,'因子水準表'!$B$4:$KO$4,0))&amp;"",""))</f>
        <v/>
      </c>
      <c r="CQ14" s="26">
        <f>IF(AI$4="","",IFERROR(INDEX('因子水準表'!$B$9:$KO$18,9,MATCH(AI$4,'因子水準表'!$B$4:$KO$4,0))&amp;"",""))</f>
        <v/>
      </c>
      <c r="CR14" s="26">
        <f>IF(AJ$4="","",IFERROR(INDEX('因子水準表'!$B$9:$KO$18,9,MATCH(AJ$4,'因子水準表'!$B$4:$KO$4,0))&amp;"",""))</f>
        <v/>
      </c>
      <c r="CS14" s="26">
        <f>IF(AK$4="","",IFERROR(INDEX('因子水準表'!$B$9:$KO$18,9,MATCH(AK$4,'因子水準表'!$B$4:$KO$4,0))&amp;"",""))</f>
        <v/>
      </c>
      <c r="CT14" s="26">
        <f>IF(AL$4="","",IFERROR(INDEX('因子水準表'!$B$9:$KO$18,9,MATCH(AL$4,'因子水準表'!$B$4:$KO$4,0))&amp;"",""))</f>
        <v/>
      </c>
      <c r="CU14" s="26">
        <f>IF(AM$4="","",IFERROR(INDEX('因子水準表'!$B$9:$KO$18,9,MATCH(AM$4,'因子水準表'!$B$4:$KO$4,0))&amp;"",""))</f>
        <v/>
      </c>
      <c r="CV14" s="26">
        <f>IF(AN$4="","",IFERROR(INDEX('因子水準表'!$B$9:$KO$18,9,MATCH(AN$4,'因子水準表'!$B$4:$KO$4,0))&amp;"",""))</f>
        <v/>
      </c>
      <c r="CW14" s="26">
        <f>IF(AO$4="","",IFERROR(INDEX('因子水準表'!$B$9:$KO$18,9,MATCH(AO$4,'因子水準表'!$B$4:$KO$4,0))&amp;"",""))</f>
        <v/>
      </c>
      <c r="CX14" s="26">
        <f>IF(AP$4="","",IFERROR(INDEX('因子水準表'!$B$9:$KO$18,9,MATCH(AP$4,'因子水準表'!$B$4:$KO$4,0))&amp;"",""))</f>
        <v/>
      </c>
      <c r="CY14" s="26">
        <f>IF(AQ$4="","",IFERROR(INDEX('因子水準表'!$B$9:$KO$18,9,MATCH(AQ$4,'因子水準表'!$B$4:$KO$4,0))&amp;"",""))</f>
        <v/>
      </c>
      <c r="CZ14" s="26">
        <f>IF(AR$4="","",IFERROR(INDEX('因子水準表'!$B$9:$KO$18,9,MATCH(AR$4,'因子水準表'!$B$4:$KO$4,0))&amp;"",""))</f>
        <v/>
      </c>
      <c r="DA14" s="26">
        <f>IF(AS$4="","",IFERROR(INDEX('因子水準表'!$B$9:$KO$18,9,MATCH(AS$4,'因子水準表'!$B$4:$KO$4,0))&amp;"",""))</f>
        <v/>
      </c>
      <c r="DB14" s="26">
        <f>IF(AT$4="","",IFERROR(INDEX('因子水準表'!$B$9:$KO$18,9,MATCH(AT$4,'因子水準表'!$B$4:$KO$4,0))&amp;"",""))</f>
        <v/>
      </c>
      <c r="DC14" s="26">
        <f>IF(AU$4="","",IFERROR(INDEX('因子水準表'!$B$9:$KO$18,9,MATCH(AU$4,'因子水準表'!$B$4:$KO$4,0))&amp;"",""))</f>
        <v/>
      </c>
      <c r="DD14" s="26">
        <f>IF(AV$4="","",IFERROR(INDEX('因子水準表'!$B$9:$KO$18,9,MATCH(AV$4,'因子水準表'!$B$4:$KO$4,0))&amp;"",""))</f>
        <v/>
      </c>
      <c r="DE14" s="26">
        <f>IF(AW$4="","",IFERROR(INDEX('因子水準表'!$B$9:$KO$18,9,MATCH(AW$4,'因子水準表'!$B$4:$KO$4,0))&amp;"",""))</f>
        <v/>
      </c>
      <c r="DF14" s="26">
        <f>IF(AX$4="","",IFERROR(INDEX('因子水準表'!$B$9:$KO$18,9,MATCH(AX$4,'因子水準表'!$B$4:$KO$4,0))&amp;"",""))</f>
        <v/>
      </c>
      <c r="DG14" s="26">
        <f>IF(AY$4="","",IFERROR(INDEX('因子水準表'!$B$9:$KO$18,9,MATCH(AY$4,'因子水準表'!$B$4:$KO$4,0))&amp;"",""))</f>
        <v/>
      </c>
      <c r="DH14" s="26">
        <f>IF(AZ$4="","",IFERROR(INDEX('因子水準表'!$B$9:$KO$18,9,MATCH(AZ$4,'因子水準表'!$B$4:$KO$4,0))&amp;"",""))</f>
        <v/>
      </c>
      <c r="DI14" s="26">
        <f>IF(BA$4="","",IFERROR(INDEX('因子水準表'!$B$9:$KO$18,9,MATCH(BA$4,'因子水準表'!$B$4:$KO$4,0))&amp;"",""))</f>
        <v/>
      </c>
      <c r="DJ14" s="26">
        <f>IF(BB$4="","",IFERROR(INDEX('因子水準表'!$B$9:$KO$18,9,MATCH(BB$4,'因子水準表'!$B$4:$KO$4,0))&amp;"",""))</f>
        <v/>
      </c>
      <c r="DK14" s="26">
        <f>IF(BC$4="","",IFERROR(INDEX('因子水準表'!$B$9:$KO$18,9,MATCH(BC$4,'因子水準表'!$B$4:$KO$4,0))&amp;"",""))</f>
        <v/>
      </c>
      <c r="DL14" s="26">
        <f>IF(BD$4="","",IFERROR(INDEX('因子水準表'!$B$9:$KO$18,9,MATCH(BD$4,'因子水準表'!$B$4:$KO$4,0))&amp;"",""))</f>
        <v/>
      </c>
      <c r="DM14" s="26">
        <f>IF('因子水準表'!B37="","",'因子水準表'!B37)</f>
        <v/>
      </c>
      <c r="DN14" s="26">
        <f>IF('テスト条件'!A13="","",'テスト条件'!A13)</f>
        <v/>
      </c>
    </row>
    <row r="15">
      <c r="A15" s="27" t="n"/>
      <c r="B15" s="27" t="n"/>
      <c r="C15" s="28">
        <f>IF(A15="","",$B$2)</f>
        <v/>
      </c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  <c r="AI15" s="27" t="n"/>
      <c r="AJ15" s="27" t="n"/>
      <c r="AK15" s="27" t="n"/>
      <c r="AL15" s="27" t="n"/>
      <c r="AM15" s="27" t="n"/>
      <c r="AN15" s="27" t="n"/>
      <c r="AO15" s="27" t="n"/>
      <c r="AP15" s="27" t="n"/>
      <c r="AQ15" s="27" t="n"/>
      <c r="AR15" s="27" t="n"/>
      <c r="AS15" s="27" t="n"/>
      <c r="AT15" s="27" t="n"/>
      <c r="AU15" s="27" t="n"/>
      <c r="AV15" s="27" t="n"/>
      <c r="AW15" s="27" t="n"/>
      <c r="AX15" s="27" t="n"/>
      <c r="AY15" s="27" t="n"/>
      <c r="AZ15" s="27" t="n"/>
      <c r="BA15" s="27" t="n"/>
      <c r="BB15" s="27" t="n"/>
      <c r="BC15" s="27" t="n"/>
      <c r="BD15" s="27" t="n"/>
      <c r="BE15" s="27" t="n"/>
      <c r="BF15" s="27" t="n"/>
      <c r="BG15" s="27" t="n"/>
      <c r="BH15" s="27" t="n"/>
      <c r="BI15" s="29" t="n"/>
      <c r="BJ15" s="27" t="n"/>
      <c r="BK15" s="27" t="n"/>
      <c r="BL15" s="27" t="n"/>
      <c r="BM15" s="27" t="n"/>
      <c r="BO15" s="26">
        <f>IF(G$4="","",IFERROR(INDEX('因子水準表'!$B$9:$KO$18,10,MATCH(G$4,'因子水準表'!$B$4:$KO$4,0))&amp;"",""))</f>
        <v/>
      </c>
      <c r="BP15" s="26">
        <f>IF(H$4="","",IFERROR(INDEX('因子水準表'!$B$9:$KO$18,10,MATCH(H$4,'因子水準表'!$B$4:$KO$4,0))&amp;"",""))</f>
        <v/>
      </c>
      <c r="BQ15" s="26">
        <f>IF(I$4="","",IFERROR(INDEX('因子水準表'!$B$9:$KO$18,10,MATCH(I$4,'因子水準表'!$B$4:$KO$4,0))&amp;"",""))</f>
        <v/>
      </c>
      <c r="BR15" s="26">
        <f>IF(J$4="","",IFERROR(INDEX('因子水準表'!$B$9:$KO$18,10,MATCH(J$4,'因子水準表'!$B$4:$KO$4,0))&amp;"",""))</f>
        <v/>
      </c>
      <c r="BS15" s="26">
        <f>IF(K$4="","",IFERROR(INDEX('因子水準表'!$B$9:$KO$18,10,MATCH(K$4,'因子水準表'!$B$4:$KO$4,0))&amp;"",""))</f>
        <v/>
      </c>
      <c r="BT15" s="26">
        <f>IF(L$4="","",IFERROR(INDEX('因子水準表'!$B$9:$KO$18,10,MATCH(L$4,'因子水準表'!$B$4:$KO$4,0))&amp;"",""))</f>
        <v/>
      </c>
      <c r="BU15" s="26">
        <f>IF(M$4="","",IFERROR(INDEX('因子水準表'!$B$9:$KO$18,10,MATCH(M$4,'因子水準表'!$B$4:$KO$4,0))&amp;"",""))</f>
        <v/>
      </c>
      <c r="BV15" s="26">
        <f>IF(N$4="","",IFERROR(INDEX('因子水準表'!$B$9:$KO$18,10,MATCH(N$4,'因子水準表'!$B$4:$KO$4,0))&amp;"",""))</f>
        <v/>
      </c>
      <c r="BW15" s="26">
        <f>IF(O$4="","",IFERROR(INDEX('因子水準表'!$B$9:$KO$18,10,MATCH(O$4,'因子水準表'!$B$4:$KO$4,0))&amp;"",""))</f>
        <v/>
      </c>
      <c r="BX15" s="26">
        <f>IF(P$4="","",IFERROR(INDEX('因子水準表'!$B$9:$KO$18,10,MATCH(P$4,'因子水準表'!$B$4:$KO$4,0))&amp;"",""))</f>
        <v/>
      </c>
      <c r="BY15" s="26">
        <f>IF(Q$4="","",IFERROR(INDEX('因子水準表'!$B$9:$KO$18,10,MATCH(Q$4,'因子水準表'!$B$4:$KO$4,0))&amp;"",""))</f>
        <v/>
      </c>
      <c r="BZ15" s="26">
        <f>IF(R$4="","",IFERROR(INDEX('因子水準表'!$B$9:$KO$18,10,MATCH(R$4,'因子水準表'!$B$4:$KO$4,0))&amp;"",""))</f>
        <v/>
      </c>
      <c r="CA15" s="26">
        <f>IF(S$4="","",IFERROR(INDEX('因子水準表'!$B$9:$KO$18,10,MATCH(S$4,'因子水準表'!$B$4:$KO$4,0))&amp;"",""))</f>
        <v/>
      </c>
      <c r="CB15" s="26">
        <f>IF(T$4="","",IFERROR(INDEX('因子水準表'!$B$9:$KO$18,10,MATCH(T$4,'因子水準表'!$B$4:$KO$4,0))&amp;"",""))</f>
        <v/>
      </c>
      <c r="CC15" s="26">
        <f>IF(U$4="","",IFERROR(INDEX('因子水準表'!$B$9:$KO$18,10,MATCH(U$4,'因子水準表'!$B$4:$KO$4,0))&amp;"",""))</f>
        <v/>
      </c>
      <c r="CD15" s="26">
        <f>IF(V$4="","",IFERROR(INDEX('因子水準表'!$B$9:$KO$18,10,MATCH(V$4,'因子水準表'!$B$4:$KO$4,0))&amp;"",""))</f>
        <v/>
      </c>
      <c r="CE15" s="26">
        <f>IF(W$4="","",IFERROR(INDEX('因子水準表'!$B$9:$KO$18,10,MATCH(W$4,'因子水準表'!$B$4:$KO$4,0))&amp;"",""))</f>
        <v/>
      </c>
      <c r="CF15" s="26">
        <f>IF(X$4="","",IFERROR(INDEX('因子水準表'!$B$9:$KO$18,10,MATCH(X$4,'因子水準表'!$B$4:$KO$4,0))&amp;"",""))</f>
        <v/>
      </c>
      <c r="CG15" s="26">
        <f>IF(Y$4="","",IFERROR(INDEX('因子水準表'!$B$9:$KO$18,10,MATCH(Y$4,'因子水準表'!$B$4:$KO$4,0))&amp;"",""))</f>
        <v/>
      </c>
      <c r="CH15" s="26">
        <f>IF(Z$4="","",IFERROR(INDEX('因子水準表'!$B$9:$KO$18,10,MATCH(Z$4,'因子水準表'!$B$4:$KO$4,0))&amp;"",""))</f>
        <v/>
      </c>
      <c r="CI15" s="26">
        <f>IF(AA$4="","",IFERROR(INDEX('因子水準表'!$B$9:$KO$18,10,MATCH(AA$4,'因子水準表'!$B$4:$KO$4,0))&amp;"",""))</f>
        <v/>
      </c>
      <c r="CJ15" s="26">
        <f>IF(AB$4="","",IFERROR(INDEX('因子水準表'!$B$9:$KO$18,10,MATCH(AB$4,'因子水準表'!$B$4:$KO$4,0))&amp;"",""))</f>
        <v/>
      </c>
      <c r="CK15" s="26">
        <f>IF(AC$4="","",IFERROR(INDEX('因子水準表'!$B$9:$KO$18,10,MATCH(AC$4,'因子水準表'!$B$4:$KO$4,0))&amp;"",""))</f>
        <v/>
      </c>
      <c r="CL15" s="26">
        <f>IF(AD$4="","",IFERROR(INDEX('因子水準表'!$B$9:$KO$18,10,MATCH(AD$4,'因子水準表'!$B$4:$KO$4,0))&amp;"",""))</f>
        <v/>
      </c>
      <c r="CM15" s="26">
        <f>IF(AE$4="","",IFERROR(INDEX('因子水準表'!$B$9:$KO$18,10,MATCH(AE$4,'因子水準表'!$B$4:$KO$4,0))&amp;"",""))</f>
        <v/>
      </c>
      <c r="CN15" s="26">
        <f>IF(AF$4="","",IFERROR(INDEX('因子水準表'!$B$9:$KO$18,10,MATCH(AF$4,'因子水準表'!$B$4:$KO$4,0))&amp;"",""))</f>
        <v/>
      </c>
      <c r="CO15" s="26">
        <f>IF(AG$4="","",IFERROR(INDEX('因子水準表'!$B$9:$KO$18,10,MATCH(AG$4,'因子水準表'!$B$4:$KO$4,0))&amp;"",""))</f>
        <v/>
      </c>
      <c r="CP15" s="26">
        <f>IF(AH$4="","",IFERROR(INDEX('因子水準表'!$B$9:$KO$18,10,MATCH(AH$4,'因子水準表'!$B$4:$KO$4,0))&amp;"",""))</f>
        <v/>
      </c>
      <c r="CQ15" s="26">
        <f>IF(AI$4="","",IFERROR(INDEX('因子水準表'!$B$9:$KO$18,10,MATCH(AI$4,'因子水準表'!$B$4:$KO$4,0))&amp;"",""))</f>
        <v/>
      </c>
      <c r="CR15" s="26">
        <f>IF(AJ$4="","",IFERROR(INDEX('因子水準表'!$B$9:$KO$18,10,MATCH(AJ$4,'因子水準表'!$B$4:$KO$4,0))&amp;"",""))</f>
        <v/>
      </c>
      <c r="CS15" s="26">
        <f>IF(AK$4="","",IFERROR(INDEX('因子水準表'!$B$9:$KO$18,10,MATCH(AK$4,'因子水準表'!$B$4:$KO$4,0))&amp;"",""))</f>
        <v/>
      </c>
      <c r="CT15" s="26">
        <f>IF(AL$4="","",IFERROR(INDEX('因子水準表'!$B$9:$KO$18,10,MATCH(AL$4,'因子水準表'!$B$4:$KO$4,0))&amp;"",""))</f>
        <v/>
      </c>
      <c r="CU15" s="26">
        <f>IF(AM$4="","",IFERROR(INDEX('因子水準表'!$B$9:$KO$18,10,MATCH(AM$4,'因子水準表'!$B$4:$KO$4,0))&amp;"",""))</f>
        <v/>
      </c>
      <c r="CV15" s="26">
        <f>IF(AN$4="","",IFERROR(INDEX('因子水準表'!$B$9:$KO$18,10,MATCH(AN$4,'因子水準表'!$B$4:$KO$4,0))&amp;"",""))</f>
        <v/>
      </c>
      <c r="CW15" s="26">
        <f>IF(AO$4="","",IFERROR(INDEX('因子水準表'!$B$9:$KO$18,10,MATCH(AO$4,'因子水準表'!$B$4:$KO$4,0))&amp;"",""))</f>
        <v/>
      </c>
      <c r="CX15" s="26">
        <f>IF(AP$4="","",IFERROR(INDEX('因子水準表'!$B$9:$KO$18,10,MATCH(AP$4,'因子水準表'!$B$4:$KO$4,0))&amp;"",""))</f>
        <v/>
      </c>
      <c r="CY15" s="26">
        <f>IF(AQ$4="","",IFERROR(INDEX('因子水準表'!$B$9:$KO$18,10,MATCH(AQ$4,'因子水準表'!$B$4:$KO$4,0))&amp;"",""))</f>
        <v/>
      </c>
      <c r="CZ15" s="26">
        <f>IF(AR$4="","",IFERROR(INDEX('因子水準表'!$B$9:$KO$18,10,MATCH(AR$4,'因子水準表'!$B$4:$KO$4,0))&amp;"",""))</f>
        <v/>
      </c>
      <c r="DA15" s="26">
        <f>IF(AS$4="","",IFERROR(INDEX('因子水準表'!$B$9:$KO$18,10,MATCH(AS$4,'因子水準表'!$B$4:$KO$4,0))&amp;"",""))</f>
        <v/>
      </c>
      <c r="DB15" s="26">
        <f>IF(AT$4="","",IFERROR(INDEX('因子水準表'!$B$9:$KO$18,10,MATCH(AT$4,'因子水準表'!$B$4:$KO$4,0))&amp;"",""))</f>
        <v/>
      </c>
      <c r="DC15" s="26">
        <f>IF(AU$4="","",IFERROR(INDEX('因子水準表'!$B$9:$KO$18,10,MATCH(AU$4,'因子水準表'!$B$4:$KO$4,0))&amp;"",""))</f>
        <v/>
      </c>
      <c r="DD15" s="26">
        <f>IF(AV$4="","",IFERROR(INDEX('因子水準表'!$B$9:$KO$18,10,MATCH(AV$4,'因子水準表'!$B$4:$KO$4,0))&amp;"",""))</f>
        <v/>
      </c>
      <c r="DE15" s="26">
        <f>IF(AW$4="","",IFERROR(INDEX('因子水準表'!$B$9:$KO$18,10,MATCH(AW$4,'因子水準表'!$B$4:$KO$4,0))&amp;"",""))</f>
        <v/>
      </c>
      <c r="DF15" s="26">
        <f>IF(AX$4="","",IFERROR(INDEX('因子水準表'!$B$9:$KO$18,10,MATCH(AX$4,'因子水準表'!$B$4:$KO$4,0))&amp;"",""))</f>
        <v/>
      </c>
      <c r="DG15" s="26">
        <f>IF(AY$4="","",IFERROR(INDEX('因子水準表'!$B$9:$KO$18,10,MATCH(AY$4,'因子水準表'!$B$4:$KO$4,0))&amp;"",""))</f>
        <v/>
      </c>
      <c r="DH15" s="26">
        <f>IF(AZ$4="","",IFERROR(INDEX('因子水準表'!$B$9:$KO$18,10,MATCH(AZ$4,'因子水準表'!$B$4:$KO$4,0))&amp;"",""))</f>
        <v/>
      </c>
      <c r="DI15" s="26">
        <f>IF(BA$4="","",IFERROR(INDEX('因子水準表'!$B$9:$KO$18,10,MATCH(BA$4,'因子水準表'!$B$4:$KO$4,0))&amp;"",""))</f>
        <v/>
      </c>
      <c r="DJ15" s="26">
        <f>IF(BB$4="","",IFERROR(INDEX('因子水準表'!$B$9:$KO$18,10,MATCH(BB$4,'因子水準表'!$B$4:$KO$4,0))&amp;"",""))</f>
        <v/>
      </c>
      <c r="DK15" s="26">
        <f>IF(BC$4="","",IFERROR(INDEX('因子水準表'!$B$9:$KO$18,10,MATCH(BC$4,'因子水準表'!$B$4:$KO$4,0))&amp;"",""))</f>
        <v/>
      </c>
      <c r="DL15" s="26">
        <f>IF(BD$4="","",IFERROR(INDEX('因子水準表'!$B$9:$KO$18,10,MATCH(BD$4,'因子水準表'!$B$4:$KO$4,0))&amp;"",""))</f>
        <v/>
      </c>
      <c r="DM15" s="26">
        <f>IF('因子水準表'!B38="","",'因子水準表'!B38)</f>
        <v/>
      </c>
      <c r="DN15" s="26">
        <f>IF('テスト条件'!A14="","",'テスト条件'!A14)</f>
        <v/>
      </c>
    </row>
    <row r="16">
      <c r="A16" s="27" t="n"/>
      <c r="B16" s="27" t="n"/>
      <c r="C16" s="28">
        <f>IF(A16="","",$B$2)</f>
        <v/>
      </c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  <c r="AA16" s="27" t="n"/>
      <c r="AB16" s="27" t="n"/>
      <c r="AC16" s="27" t="n"/>
      <c r="AD16" s="27" t="n"/>
      <c r="AE16" s="27" t="n"/>
      <c r="AF16" s="27" t="n"/>
      <c r="AG16" s="27" t="n"/>
      <c r="AH16" s="27" t="n"/>
      <c r="AI16" s="27" t="n"/>
      <c r="AJ16" s="27" t="n"/>
      <c r="AK16" s="27" t="n"/>
      <c r="AL16" s="27" t="n"/>
      <c r="AM16" s="27" t="n"/>
      <c r="AN16" s="27" t="n"/>
      <c r="AO16" s="27" t="n"/>
      <c r="AP16" s="27" t="n"/>
      <c r="AQ16" s="27" t="n"/>
      <c r="AR16" s="27" t="n"/>
      <c r="AS16" s="27" t="n"/>
      <c r="AT16" s="27" t="n"/>
      <c r="AU16" s="27" t="n"/>
      <c r="AV16" s="27" t="n"/>
      <c r="AW16" s="27" t="n"/>
      <c r="AX16" s="27" t="n"/>
      <c r="AY16" s="27" t="n"/>
      <c r="AZ16" s="27" t="n"/>
      <c r="BA16" s="27" t="n"/>
      <c r="BB16" s="27" t="n"/>
      <c r="BC16" s="27" t="n"/>
      <c r="BD16" s="27" t="n"/>
      <c r="BE16" s="27" t="n"/>
      <c r="BF16" s="27" t="n"/>
      <c r="BG16" s="27" t="n"/>
      <c r="BH16" s="27" t="n"/>
      <c r="BI16" s="29" t="n"/>
      <c r="BJ16" s="27" t="n"/>
      <c r="BK16" s="27" t="n"/>
      <c r="BL16" s="27" t="n"/>
      <c r="BM16" s="27" t="n"/>
      <c r="DM16" s="26">
        <f>IF('因子水準表'!B39="","",'因子水準表'!B39)</f>
        <v/>
      </c>
      <c r="DN16" s="26">
        <f>IF('テスト条件'!A15="","",'テスト条件'!A15)</f>
        <v/>
      </c>
    </row>
    <row r="17">
      <c r="A17" s="27" t="n"/>
      <c r="B17" s="27" t="n"/>
      <c r="C17" s="28">
        <f>IF(A17="","",$B$2)</f>
        <v/>
      </c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  <c r="AI17" s="27" t="n"/>
      <c r="AJ17" s="27" t="n"/>
      <c r="AK17" s="27" t="n"/>
      <c r="AL17" s="27" t="n"/>
      <c r="AM17" s="27" t="n"/>
      <c r="AN17" s="27" t="n"/>
      <c r="AO17" s="27" t="n"/>
      <c r="AP17" s="27" t="n"/>
      <c r="AQ17" s="27" t="n"/>
      <c r="AR17" s="27" t="n"/>
      <c r="AS17" s="27" t="n"/>
      <c r="AT17" s="27" t="n"/>
      <c r="AU17" s="27" t="n"/>
      <c r="AV17" s="27" t="n"/>
      <c r="AW17" s="27" t="n"/>
      <c r="AX17" s="27" t="n"/>
      <c r="AY17" s="27" t="n"/>
      <c r="AZ17" s="27" t="n"/>
      <c r="BA17" s="27" t="n"/>
      <c r="BB17" s="27" t="n"/>
      <c r="BC17" s="27" t="n"/>
      <c r="BD17" s="27" t="n"/>
      <c r="BE17" s="27" t="n"/>
      <c r="BF17" s="27" t="n"/>
      <c r="BG17" s="27" t="n"/>
      <c r="BH17" s="27" t="n"/>
      <c r="BI17" s="29" t="n"/>
      <c r="BJ17" s="27" t="n"/>
      <c r="BK17" s="27" t="n"/>
      <c r="BL17" s="27" t="n"/>
      <c r="BM17" s="27" t="n"/>
      <c r="DM17" s="26">
        <f>IF('因子水準表'!B40="","",'因子水準表'!B40)</f>
        <v/>
      </c>
      <c r="DN17" s="26">
        <f>IF('テスト条件'!A16="","",'テスト条件'!A16)</f>
        <v/>
      </c>
    </row>
    <row r="18">
      <c r="A18" s="27" t="n"/>
      <c r="B18" s="27" t="n"/>
      <c r="C18" s="28">
        <f>IF(A18="","",$B$2)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  <c r="AJ18" s="27" t="n"/>
      <c r="AK18" s="27" t="n"/>
      <c r="AL18" s="27" t="n"/>
      <c r="AM18" s="27" t="n"/>
      <c r="AN18" s="27" t="n"/>
      <c r="AO18" s="27" t="n"/>
      <c r="AP18" s="27" t="n"/>
      <c r="AQ18" s="27" t="n"/>
      <c r="AR18" s="27" t="n"/>
      <c r="AS18" s="27" t="n"/>
      <c r="AT18" s="27" t="n"/>
      <c r="AU18" s="27" t="n"/>
      <c r="AV18" s="27" t="n"/>
      <c r="AW18" s="27" t="n"/>
      <c r="AX18" s="27" t="n"/>
      <c r="AY18" s="27" t="n"/>
      <c r="AZ18" s="27" t="n"/>
      <c r="BA18" s="27" t="n"/>
      <c r="BB18" s="27" t="n"/>
      <c r="BC18" s="27" t="n"/>
      <c r="BD18" s="27" t="n"/>
      <c r="BE18" s="27" t="n"/>
      <c r="BF18" s="27" t="n"/>
      <c r="BG18" s="27" t="n"/>
      <c r="BH18" s="27" t="n"/>
      <c r="BI18" s="29" t="n"/>
      <c r="BJ18" s="27" t="n"/>
      <c r="BK18" s="27" t="n"/>
      <c r="BL18" s="27" t="n"/>
      <c r="BM18" s="27" t="n"/>
      <c r="DM18" s="26">
        <f>IF('因子水準表'!B41="","",'因子水準表'!B41)</f>
        <v/>
      </c>
      <c r="DN18" s="26">
        <f>IF('テスト条件'!A17="","",'テスト条件'!A17)</f>
        <v/>
      </c>
    </row>
    <row r="19">
      <c r="A19" s="27" t="n"/>
      <c r="B19" s="27" t="n"/>
      <c r="C19" s="28">
        <f>IF(A19="","",$B$2)</f>
        <v/>
      </c>
      <c r="D19" s="27" t="n"/>
      <c r="E19" s="27" t="n"/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  <c r="AA19" s="27" t="n"/>
      <c r="AB19" s="27" t="n"/>
      <c r="AC19" s="27" t="n"/>
      <c r="AD19" s="27" t="n"/>
      <c r="AE19" s="27" t="n"/>
      <c r="AF19" s="27" t="n"/>
      <c r="AG19" s="27" t="n"/>
      <c r="AH19" s="27" t="n"/>
      <c r="AI19" s="27" t="n"/>
      <c r="AJ19" s="27" t="n"/>
      <c r="AK19" s="27" t="n"/>
      <c r="AL19" s="27" t="n"/>
      <c r="AM19" s="27" t="n"/>
      <c r="AN19" s="27" t="n"/>
      <c r="AO19" s="27" t="n"/>
      <c r="AP19" s="27" t="n"/>
      <c r="AQ19" s="27" t="n"/>
      <c r="AR19" s="27" t="n"/>
      <c r="AS19" s="27" t="n"/>
      <c r="AT19" s="27" t="n"/>
      <c r="AU19" s="27" t="n"/>
      <c r="AV19" s="27" t="n"/>
      <c r="AW19" s="27" t="n"/>
      <c r="AX19" s="27" t="n"/>
      <c r="AY19" s="27" t="n"/>
      <c r="AZ19" s="27" t="n"/>
      <c r="BA19" s="27" t="n"/>
      <c r="BB19" s="27" t="n"/>
      <c r="BC19" s="27" t="n"/>
      <c r="BD19" s="27" t="n"/>
      <c r="BE19" s="27" t="n"/>
      <c r="BF19" s="27" t="n"/>
      <c r="BG19" s="27" t="n"/>
      <c r="BH19" s="27" t="n"/>
      <c r="BI19" s="29" t="n"/>
      <c r="BJ19" s="27" t="n"/>
      <c r="BK19" s="27" t="n"/>
      <c r="BL19" s="27" t="n"/>
      <c r="BM19" s="27" t="n"/>
      <c r="DM19" s="26">
        <f>IF('因子水準表'!B42="","",'因子水準表'!B42)</f>
        <v/>
      </c>
      <c r="DN19" s="26">
        <f>IF('テスト条件'!A18="","",'テスト条件'!A18)</f>
        <v/>
      </c>
    </row>
    <row r="20">
      <c r="A20" s="27" t="n"/>
      <c r="B20" s="27" t="n"/>
      <c r="C20" s="28">
        <f>IF(A20="","",$B$2)</f>
        <v/>
      </c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7" t="n"/>
      <c r="AI20" s="27" t="n"/>
      <c r="AJ20" s="27" t="n"/>
      <c r="AK20" s="27" t="n"/>
      <c r="AL20" s="27" t="n"/>
      <c r="AM20" s="27" t="n"/>
      <c r="AN20" s="27" t="n"/>
      <c r="AO20" s="27" t="n"/>
      <c r="AP20" s="27" t="n"/>
      <c r="AQ20" s="27" t="n"/>
      <c r="AR20" s="27" t="n"/>
      <c r="AS20" s="27" t="n"/>
      <c r="AT20" s="27" t="n"/>
      <c r="AU20" s="27" t="n"/>
      <c r="AV20" s="27" t="n"/>
      <c r="AW20" s="27" t="n"/>
      <c r="AX20" s="27" t="n"/>
      <c r="AY20" s="27" t="n"/>
      <c r="AZ20" s="27" t="n"/>
      <c r="BA20" s="27" t="n"/>
      <c r="BB20" s="27" t="n"/>
      <c r="BC20" s="27" t="n"/>
      <c r="BD20" s="27" t="n"/>
      <c r="BE20" s="27" t="n"/>
      <c r="BF20" s="27" t="n"/>
      <c r="BG20" s="27" t="n"/>
      <c r="BH20" s="27" t="n"/>
      <c r="BI20" s="29" t="n"/>
      <c r="BJ20" s="27" t="n"/>
      <c r="BK20" s="27" t="n"/>
      <c r="BL20" s="27" t="n"/>
      <c r="BM20" s="27" t="n"/>
      <c r="DM20" s="26">
        <f>IF('因子水準表'!B43="","",'因子水準表'!B43)</f>
        <v/>
      </c>
      <c r="DN20" s="26">
        <f>IF('テスト条件'!A19="","",'テスト条件'!A19)</f>
        <v/>
      </c>
    </row>
    <row r="21">
      <c r="A21" s="27" t="n"/>
      <c r="B21" s="27" t="n"/>
      <c r="C21" s="28">
        <f>IF(A21="","",$B$2)</f>
        <v/>
      </c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  <c r="AI21" s="27" t="n"/>
      <c r="AJ21" s="27" t="n"/>
      <c r="AK21" s="27" t="n"/>
      <c r="AL21" s="27" t="n"/>
      <c r="AM21" s="27" t="n"/>
      <c r="AN21" s="27" t="n"/>
      <c r="AO21" s="27" t="n"/>
      <c r="AP21" s="27" t="n"/>
      <c r="AQ21" s="27" t="n"/>
      <c r="AR21" s="27" t="n"/>
      <c r="AS21" s="27" t="n"/>
      <c r="AT21" s="27" t="n"/>
      <c r="AU21" s="27" t="n"/>
      <c r="AV21" s="27" t="n"/>
      <c r="AW21" s="27" t="n"/>
      <c r="AX21" s="27" t="n"/>
      <c r="AY21" s="27" t="n"/>
      <c r="AZ21" s="27" t="n"/>
      <c r="BA21" s="27" t="n"/>
      <c r="BB21" s="27" t="n"/>
      <c r="BC21" s="27" t="n"/>
      <c r="BD21" s="27" t="n"/>
      <c r="BE21" s="27" t="n"/>
      <c r="BF21" s="27" t="n"/>
      <c r="BG21" s="27" t="n"/>
      <c r="BH21" s="27" t="n"/>
      <c r="BI21" s="29" t="n"/>
      <c r="BJ21" s="27" t="n"/>
      <c r="BK21" s="27" t="n"/>
      <c r="BL21" s="27" t="n"/>
      <c r="BM21" s="27" t="n"/>
      <c r="DM21" s="26">
        <f>IF('因子水準表'!B44="","",'因子水準表'!B44)</f>
        <v/>
      </c>
      <c r="DN21" s="26">
        <f>IF('テスト条件'!A20="","",'テスト条件'!A20)</f>
        <v/>
      </c>
    </row>
    <row r="22">
      <c r="A22" s="27" t="n"/>
      <c r="B22" s="27" t="n"/>
      <c r="C22" s="28">
        <f>IF(A22="","",$B$2)</f>
        <v/>
      </c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  <c r="AA22" s="27" t="n"/>
      <c r="AB22" s="27" t="n"/>
      <c r="AC22" s="27" t="n"/>
      <c r="AD22" s="27" t="n"/>
      <c r="AE22" s="27" t="n"/>
      <c r="AF22" s="27" t="n"/>
      <c r="AG22" s="27" t="n"/>
      <c r="AH22" s="27" t="n"/>
      <c r="AI22" s="27" t="n"/>
      <c r="AJ22" s="27" t="n"/>
      <c r="AK22" s="27" t="n"/>
      <c r="AL22" s="27" t="n"/>
      <c r="AM22" s="27" t="n"/>
      <c r="AN22" s="27" t="n"/>
      <c r="AO22" s="27" t="n"/>
      <c r="AP22" s="27" t="n"/>
      <c r="AQ22" s="27" t="n"/>
      <c r="AR22" s="27" t="n"/>
      <c r="AS22" s="27" t="n"/>
      <c r="AT22" s="27" t="n"/>
      <c r="AU22" s="27" t="n"/>
      <c r="AV22" s="27" t="n"/>
      <c r="AW22" s="27" t="n"/>
      <c r="AX22" s="27" t="n"/>
      <c r="AY22" s="27" t="n"/>
      <c r="AZ22" s="27" t="n"/>
      <c r="BA22" s="27" t="n"/>
      <c r="BB22" s="27" t="n"/>
      <c r="BC22" s="27" t="n"/>
      <c r="BD22" s="27" t="n"/>
      <c r="BE22" s="27" t="n"/>
      <c r="BF22" s="27" t="n"/>
      <c r="BG22" s="27" t="n"/>
      <c r="BH22" s="27" t="n"/>
      <c r="BI22" s="29" t="n"/>
      <c r="BJ22" s="27" t="n"/>
      <c r="BK22" s="27" t="n"/>
      <c r="BL22" s="27" t="n"/>
      <c r="BM22" s="27" t="n"/>
      <c r="DM22" s="26">
        <f>IF('因子水準表'!B45="","",'因子水準表'!B45)</f>
        <v/>
      </c>
      <c r="DN22" s="26">
        <f>IF('テスト条件'!A21="","",'テスト条件'!A21)</f>
        <v/>
      </c>
    </row>
    <row r="23">
      <c r="A23" s="27" t="n"/>
      <c r="B23" s="27" t="n"/>
      <c r="C23" s="28">
        <f>IF(A23="","",$B$2)</f>
        <v/>
      </c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  <c r="AI23" s="27" t="n"/>
      <c r="AJ23" s="27" t="n"/>
      <c r="AK23" s="27" t="n"/>
      <c r="AL23" s="27" t="n"/>
      <c r="AM23" s="27" t="n"/>
      <c r="AN23" s="27" t="n"/>
      <c r="AO23" s="27" t="n"/>
      <c r="AP23" s="27" t="n"/>
      <c r="AQ23" s="27" t="n"/>
      <c r="AR23" s="27" t="n"/>
      <c r="AS23" s="27" t="n"/>
      <c r="AT23" s="27" t="n"/>
      <c r="AU23" s="27" t="n"/>
      <c r="AV23" s="27" t="n"/>
      <c r="AW23" s="27" t="n"/>
      <c r="AX23" s="27" t="n"/>
      <c r="AY23" s="27" t="n"/>
      <c r="AZ23" s="27" t="n"/>
      <c r="BA23" s="27" t="n"/>
      <c r="BB23" s="27" t="n"/>
      <c r="BC23" s="27" t="n"/>
      <c r="BD23" s="27" t="n"/>
      <c r="BE23" s="27" t="n"/>
      <c r="BF23" s="27" t="n"/>
      <c r="BG23" s="27" t="n"/>
      <c r="BH23" s="27" t="n"/>
      <c r="BI23" s="29" t="n"/>
      <c r="BJ23" s="27" t="n"/>
      <c r="BK23" s="27" t="n"/>
      <c r="BL23" s="27" t="n"/>
      <c r="BM23" s="27" t="n"/>
      <c r="DM23" s="26">
        <f>IF('因子水準表'!B46="","",'因子水準表'!B46)</f>
        <v/>
      </c>
      <c r="DN23" s="26">
        <f>IF('テスト条件'!A22="","",'テスト条件'!A22)</f>
        <v/>
      </c>
    </row>
    <row r="24">
      <c r="A24" s="27" t="n"/>
      <c r="B24" s="27" t="n"/>
      <c r="C24" s="28">
        <f>IF(A24="","",$B$2)</f>
        <v/>
      </c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7" t="n"/>
      <c r="AB24" s="27" t="n"/>
      <c r="AC24" s="27" t="n"/>
      <c r="AD24" s="27" t="n"/>
      <c r="AE24" s="27" t="n"/>
      <c r="AF24" s="27" t="n"/>
      <c r="AG24" s="27" t="n"/>
      <c r="AH24" s="27" t="n"/>
      <c r="AI24" s="27" t="n"/>
      <c r="AJ24" s="27" t="n"/>
      <c r="AK24" s="27" t="n"/>
      <c r="AL24" s="27" t="n"/>
      <c r="AM24" s="27" t="n"/>
      <c r="AN24" s="27" t="n"/>
      <c r="AO24" s="27" t="n"/>
      <c r="AP24" s="27" t="n"/>
      <c r="AQ24" s="27" t="n"/>
      <c r="AR24" s="27" t="n"/>
      <c r="AS24" s="27" t="n"/>
      <c r="AT24" s="27" t="n"/>
      <c r="AU24" s="27" t="n"/>
      <c r="AV24" s="27" t="n"/>
      <c r="AW24" s="27" t="n"/>
      <c r="AX24" s="27" t="n"/>
      <c r="AY24" s="27" t="n"/>
      <c r="AZ24" s="27" t="n"/>
      <c r="BA24" s="27" t="n"/>
      <c r="BB24" s="27" t="n"/>
      <c r="BC24" s="27" t="n"/>
      <c r="BD24" s="27" t="n"/>
      <c r="BE24" s="27" t="n"/>
      <c r="BF24" s="27" t="n"/>
      <c r="BG24" s="27" t="n"/>
      <c r="BH24" s="27" t="n"/>
      <c r="BI24" s="29" t="n"/>
      <c r="BJ24" s="27" t="n"/>
      <c r="BK24" s="27" t="n"/>
      <c r="BL24" s="27" t="n"/>
      <c r="BM24" s="27" t="n"/>
      <c r="DM24" s="26">
        <f>IF('因子水準表'!B47="","",'因子水準表'!B47)</f>
        <v/>
      </c>
      <c r="DN24" s="26">
        <f>IF('テスト条件'!A23="","",'テスト条件'!A23)</f>
        <v/>
      </c>
    </row>
    <row r="25">
      <c r="A25" s="27" t="n"/>
      <c r="B25" s="27" t="n"/>
      <c r="C25" s="28">
        <f>IF(A25="","",$B$2)</f>
        <v/>
      </c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  <c r="AI25" s="27" t="n"/>
      <c r="AJ25" s="27" t="n"/>
      <c r="AK25" s="27" t="n"/>
      <c r="AL25" s="27" t="n"/>
      <c r="AM25" s="27" t="n"/>
      <c r="AN25" s="27" t="n"/>
      <c r="AO25" s="27" t="n"/>
      <c r="AP25" s="27" t="n"/>
      <c r="AQ25" s="27" t="n"/>
      <c r="AR25" s="27" t="n"/>
      <c r="AS25" s="27" t="n"/>
      <c r="AT25" s="27" t="n"/>
      <c r="AU25" s="27" t="n"/>
      <c r="AV25" s="27" t="n"/>
      <c r="AW25" s="27" t="n"/>
      <c r="AX25" s="27" t="n"/>
      <c r="AY25" s="27" t="n"/>
      <c r="AZ25" s="27" t="n"/>
      <c r="BA25" s="27" t="n"/>
      <c r="BB25" s="27" t="n"/>
      <c r="BC25" s="27" t="n"/>
      <c r="BD25" s="27" t="n"/>
      <c r="BE25" s="27" t="n"/>
      <c r="BF25" s="27" t="n"/>
      <c r="BG25" s="27" t="n"/>
      <c r="BH25" s="27" t="n"/>
      <c r="BI25" s="29" t="n"/>
      <c r="BJ25" s="27" t="n"/>
      <c r="BK25" s="27" t="n"/>
      <c r="BL25" s="27" t="n"/>
      <c r="BM25" s="27" t="n"/>
      <c r="DM25" s="26">
        <f>IF('因子水準表'!B48="","",'因子水準表'!B48)</f>
        <v/>
      </c>
      <c r="DN25" s="26">
        <f>IF('テスト条件'!A24="","",'テスト条件'!A24)</f>
        <v/>
      </c>
    </row>
    <row r="26">
      <c r="A26" s="27" t="n"/>
      <c r="B26" s="27" t="n"/>
      <c r="C26" s="28">
        <f>IF(A26="","",$B$2)</f>
        <v/>
      </c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  <c r="AA26" s="27" t="n"/>
      <c r="AB26" s="27" t="n"/>
      <c r="AC26" s="27" t="n"/>
      <c r="AD26" s="27" t="n"/>
      <c r="AE26" s="27" t="n"/>
      <c r="AF26" s="27" t="n"/>
      <c r="AG26" s="27" t="n"/>
      <c r="AH26" s="27" t="n"/>
      <c r="AI26" s="27" t="n"/>
      <c r="AJ26" s="27" t="n"/>
      <c r="AK26" s="27" t="n"/>
      <c r="AL26" s="27" t="n"/>
      <c r="AM26" s="27" t="n"/>
      <c r="AN26" s="27" t="n"/>
      <c r="AO26" s="27" t="n"/>
      <c r="AP26" s="27" t="n"/>
      <c r="AQ26" s="27" t="n"/>
      <c r="AR26" s="27" t="n"/>
      <c r="AS26" s="27" t="n"/>
      <c r="AT26" s="27" t="n"/>
      <c r="AU26" s="27" t="n"/>
      <c r="AV26" s="27" t="n"/>
      <c r="AW26" s="27" t="n"/>
      <c r="AX26" s="27" t="n"/>
      <c r="AY26" s="27" t="n"/>
      <c r="AZ26" s="27" t="n"/>
      <c r="BA26" s="27" t="n"/>
      <c r="BB26" s="27" t="n"/>
      <c r="BC26" s="27" t="n"/>
      <c r="BD26" s="27" t="n"/>
      <c r="BE26" s="27" t="n"/>
      <c r="BF26" s="27" t="n"/>
      <c r="BG26" s="27" t="n"/>
      <c r="BH26" s="27" t="n"/>
      <c r="BI26" s="29" t="n"/>
      <c r="BJ26" s="27" t="n"/>
      <c r="BK26" s="27" t="n"/>
      <c r="BL26" s="27" t="n"/>
      <c r="BM26" s="27" t="n"/>
      <c r="DM26" s="26">
        <f>IF('因子水準表'!B49="","",'因子水準表'!B49)</f>
        <v/>
      </c>
      <c r="DN26" s="26">
        <f>IF('テスト条件'!A25="","",'テスト条件'!A25)</f>
        <v/>
      </c>
    </row>
    <row r="27">
      <c r="A27" s="27" t="n"/>
      <c r="B27" s="27" t="n"/>
      <c r="C27" s="28">
        <f>IF(A27="","",$B$2)</f>
        <v/>
      </c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  <c r="AI27" s="27" t="n"/>
      <c r="AJ27" s="27" t="n"/>
      <c r="AK27" s="27" t="n"/>
      <c r="AL27" s="27" t="n"/>
      <c r="AM27" s="27" t="n"/>
      <c r="AN27" s="27" t="n"/>
      <c r="AO27" s="27" t="n"/>
      <c r="AP27" s="27" t="n"/>
      <c r="AQ27" s="27" t="n"/>
      <c r="AR27" s="27" t="n"/>
      <c r="AS27" s="27" t="n"/>
      <c r="AT27" s="27" t="n"/>
      <c r="AU27" s="27" t="n"/>
      <c r="AV27" s="27" t="n"/>
      <c r="AW27" s="27" t="n"/>
      <c r="AX27" s="27" t="n"/>
      <c r="AY27" s="27" t="n"/>
      <c r="AZ27" s="27" t="n"/>
      <c r="BA27" s="27" t="n"/>
      <c r="BB27" s="27" t="n"/>
      <c r="BC27" s="27" t="n"/>
      <c r="BD27" s="27" t="n"/>
      <c r="BE27" s="27" t="n"/>
      <c r="BF27" s="27" t="n"/>
      <c r="BG27" s="27" t="n"/>
      <c r="BH27" s="27" t="n"/>
      <c r="BI27" s="29" t="n"/>
      <c r="BJ27" s="27" t="n"/>
      <c r="BK27" s="27" t="n"/>
      <c r="BL27" s="27" t="n"/>
      <c r="BM27" s="27" t="n"/>
      <c r="DM27" s="26">
        <f>IF('因子水準表'!B50="","",'因子水準表'!B50)</f>
        <v/>
      </c>
      <c r="DN27" s="26">
        <f>IF('テスト条件'!A26="","",'テスト条件'!A26)</f>
        <v/>
      </c>
    </row>
    <row r="28">
      <c r="A28" s="27" t="n"/>
      <c r="B28" s="27" t="n"/>
      <c r="C28" s="28">
        <f>IF(A28="","",$B$2)</f>
        <v/>
      </c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  <c r="AA28" s="27" t="n"/>
      <c r="AB28" s="27" t="n"/>
      <c r="AC28" s="27" t="n"/>
      <c r="AD28" s="27" t="n"/>
      <c r="AE28" s="27" t="n"/>
      <c r="AF28" s="27" t="n"/>
      <c r="AG28" s="27" t="n"/>
      <c r="AH28" s="27" t="n"/>
      <c r="AI28" s="27" t="n"/>
      <c r="AJ28" s="27" t="n"/>
      <c r="AK28" s="27" t="n"/>
      <c r="AL28" s="27" t="n"/>
      <c r="AM28" s="27" t="n"/>
      <c r="AN28" s="27" t="n"/>
      <c r="AO28" s="27" t="n"/>
      <c r="AP28" s="27" t="n"/>
      <c r="AQ28" s="27" t="n"/>
      <c r="AR28" s="27" t="n"/>
      <c r="AS28" s="27" t="n"/>
      <c r="AT28" s="27" t="n"/>
      <c r="AU28" s="27" t="n"/>
      <c r="AV28" s="27" t="n"/>
      <c r="AW28" s="27" t="n"/>
      <c r="AX28" s="27" t="n"/>
      <c r="AY28" s="27" t="n"/>
      <c r="AZ28" s="27" t="n"/>
      <c r="BA28" s="27" t="n"/>
      <c r="BB28" s="27" t="n"/>
      <c r="BC28" s="27" t="n"/>
      <c r="BD28" s="27" t="n"/>
      <c r="BE28" s="27" t="n"/>
      <c r="BF28" s="27" t="n"/>
      <c r="BG28" s="27" t="n"/>
      <c r="BH28" s="27" t="n"/>
      <c r="BI28" s="29" t="n"/>
      <c r="BJ28" s="27" t="n"/>
      <c r="BK28" s="27" t="n"/>
      <c r="BL28" s="27" t="n"/>
      <c r="BM28" s="27" t="n"/>
      <c r="DM28" s="26">
        <f>IF('因子水準表'!B51="","",'因子水準表'!B51)</f>
        <v/>
      </c>
      <c r="DN28" s="26">
        <f>IF('テスト条件'!A27="","",'テスト条件'!A27)</f>
        <v/>
      </c>
    </row>
    <row r="29">
      <c r="A29" s="27" t="n"/>
      <c r="B29" s="27" t="n"/>
      <c r="C29" s="28">
        <f>IF(A29="","",$B$2)</f>
        <v/>
      </c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  <c r="AI29" s="27" t="n"/>
      <c r="AJ29" s="27" t="n"/>
      <c r="AK29" s="27" t="n"/>
      <c r="AL29" s="27" t="n"/>
      <c r="AM29" s="27" t="n"/>
      <c r="AN29" s="27" t="n"/>
      <c r="AO29" s="27" t="n"/>
      <c r="AP29" s="27" t="n"/>
      <c r="AQ29" s="27" t="n"/>
      <c r="AR29" s="27" t="n"/>
      <c r="AS29" s="27" t="n"/>
      <c r="AT29" s="27" t="n"/>
      <c r="AU29" s="27" t="n"/>
      <c r="AV29" s="27" t="n"/>
      <c r="AW29" s="27" t="n"/>
      <c r="AX29" s="27" t="n"/>
      <c r="AY29" s="27" t="n"/>
      <c r="AZ29" s="27" t="n"/>
      <c r="BA29" s="27" t="n"/>
      <c r="BB29" s="27" t="n"/>
      <c r="BC29" s="27" t="n"/>
      <c r="BD29" s="27" t="n"/>
      <c r="BE29" s="27" t="n"/>
      <c r="BF29" s="27" t="n"/>
      <c r="BG29" s="27" t="n"/>
      <c r="BH29" s="27" t="n"/>
      <c r="BI29" s="29" t="n"/>
      <c r="BJ29" s="27" t="n"/>
      <c r="BK29" s="27" t="n"/>
      <c r="BL29" s="27" t="n"/>
      <c r="BM29" s="27" t="n"/>
      <c r="DM29" s="26">
        <f>IF('因子水準表'!B52="","",'因子水準表'!B52)</f>
        <v/>
      </c>
      <c r="DN29" s="26">
        <f>IF('テスト条件'!A28="","",'テスト条件'!A28)</f>
        <v/>
      </c>
    </row>
    <row r="30">
      <c r="A30" s="27" t="n"/>
      <c r="B30" s="27" t="n"/>
      <c r="C30" s="28">
        <f>IF(A30="","",$B$2)</f>
        <v/>
      </c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7" t="n"/>
      <c r="AF30" s="27" t="n"/>
      <c r="AG30" s="27" t="n"/>
      <c r="AH30" s="27" t="n"/>
      <c r="AI30" s="27" t="n"/>
      <c r="AJ30" s="27" t="n"/>
      <c r="AK30" s="27" t="n"/>
      <c r="AL30" s="27" t="n"/>
      <c r="AM30" s="27" t="n"/>
      <c r="AN30" s="27" t="n"/>
      <c r="AO30" s="27" t="n"/>
      <c r="AP30" s="27" t="n"/>
      <c r="AQ30" s="27" t="n"/>
      <c r="AR30" s="27" t="n"/>
      <c r="AS30" s="27" t="n"/>
      <c r="AT30" s="27" t="n"/>
      <c r="AU30" s="27" t="n"/>
      <c r="AV30" s="27" t="n"/>
      <c r="AW30" s="27" t="n"/>
      <c r="AX30" s="27" t="n"/>
      <c r="AY30" s="27" t="n"/>
      <c r="AZ30" s="27" t="n"/>
      <c r="BA30" s="27" t="n"/>
      <c r="BB30" s="27" t="n"/>
      <c r="BC30" s="27" t="n"/>
      <c r="BD30" s="27" t="n"/>
      <c r="BE30" s="27" t="n"/>
      <c r="BF30" s="27" t="n"/>
      <c r="BG30" s="27" t="n"/>
      <c r="BH30" s="27" t="n"/>
      <c r="BI30" s="29" t="n"/>
      <c r="BJ30" s="27" t="n"/>
      <c r="BK30" s="27" t="n"/>
      <c r="BL30" s="27" t="n"/>
      <c r="BM30" s="27" t="n"/>
      <c r="DM30" s="26">
        <f>IF('因子水準表'!B53="","",'因子水準表'!B53)</f>
        <v/>
      </c>
      <c r="DN30" s="26">
        <f>IF('テスト条件'!A29="","",'テスト条件'!A29)</f>
        <v/>
      </c>
    </row>
    <row r="31">
      <c r="A31" s="27" t="n"/>
      <c r="B31" s="27" t="n"/>
      <c r="C31" s="28">
        <f>IF(A31="","",$B$2)</f>
        <v/>
      </c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27" t="n"/>
      <c r="AJ31" s="27" t="n"/>
      <c r="AK31" s="27" t="n"/>
      <c r="AL31" s="27" t="n"/>
      <c r="AM31" s="27" t="n"/>
      <c r="AN31" s="27" t="n"/>
      <c r="AO31" s="27" t="n"/>
      <c r="AP31" s="27" t="n"/>
      <c r="AQ31" s="27" t="n"/>
      <c r="AR31" s="27" t="n"/>
      <c r="AS31" s="27" t="n"/>
      <c r="AT31" s="27" t="n"/>
      <c r="AU31" s="27" t="n"/>
      <c r="AV31" s="27" t="n"/>
      <c r="AW31" s="27" t="n"/>
      <c r="AX31" s="27" t="n"/>
      <c r="AY31" s="27" t="n"/>
      <c r="AZ31" s="27" t="n"/>
      <c r="BA31" s="27" t="n"/>
      <c r="BB31" s="27" t="n"/>
      <c r="BC31" s="27" t="n"/>
      <c r="BD31" s="27" t="n"/>
      <c r="BE31" s="27" t="n"/>
      <c r="BF31" s="27" t="n"/>
      <c r="BG31" s="27" t="n"/>
      <c r="BH31" s="27" t="n"/>
      <c r="BI31" s="29" t="n"/>
      <c r="BJ31" s="27" t="n"/>
      <c r="BK31" s="27" t="n"/>
      <c r="BL31" s="27" t="n"/>
      <c r="BM31" s="27" t="n"/>
      <c r="DM31" s="26">
        <f>IF('因子水準表'!B54="","",'因子水準表'!B54)</f>
        <v/>
      </c>
      <c r="DN31" s="26">
        <f>IF('テスト条件'!A30="","",'テスト条件'!A30)</f>
        <v/>
      </c>
    </row>
    <row r="32">
      <c r="A32" s="27" t="n"/>
      <c r="B32" s="27" t="n"/>
      <c r="C32" s="28">
        <f>IF(A32="","",$B$2)</f>
        <v/>
      </c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27" t="n"/>
      <c r="AJ32" s="27" t="n"/>
      <c r="AK32" s="27" t="n"/>
      <c r="AL32" s="27" t="n"/>
      <c r="AM32" s="27" t="n"/>
      <c r="AN32" s="27" t="n"/>
      <c r="AO32" s="27" t="n"/>
      <c r="AP32" s="27" t="n"/>
      <c r="AQ32" s="27" t="n"/>
      <c r="AR32" s="27" t="n"/>
      <c r="AS32" s="27" t="n"/>
      <c r="AT32" s="27" t="n"/>
      <c r="AU32" s="27" t="n"/>
      <c r="AV32" s="27" t="n"/>
      <c r="AW32" s="27" t="n"/>
      <c r="AX32" s="27" t="n"/>
      <c r="AY32" s="27" t="n"/>
      <c r="AZ32" s="27" t="n"/>
      <c r="BA32" s="27" t="n"/>
      <c r="BB32" s="27" t="n"/>
      <c r="BC32" s="27" t="n"/>
      <c r="BD32" s="27" t="n"/>
      <c r="BE32" s="27" t="n"/>
      <c r="BF32" s="27" t="n"/>
      <c r="BG32" s="27" t="n"/>
      <c r="BH32" s="27" t="n"/>
      <c r="BI32" s="29" t="n"/>
      <c r="BJ32" s="27" t="n"/>
      <c r="BK32" s="27" t="n"/>
      <c r="BL32" s="27" t="n"/>
      <c r="BM32" s="27" t="n"/>
      <c r="DM32" s="26">
        <f>IF('因子水準表'!B55="","",'因子水準表'!B55)</f>
        <v/>
      </c>
      <c r="DN32" s="26">
        <f>IF('テスト条件'!A31="","",'テスト条件'!A31)</f>
        <v/>
      </c>
    </row>
    <row r="33">
      <c r="A33" s="27" t="n"/>
      <c r="B33" s="27" t="n"/>
      <c r="C33" s="28">
        <f>IF(A33="","",$B$2)</f>
        <v/>
      </c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  <c r="AJ33" s="27" t="n"/>
      <c r="AK33" s="27" t="n"/>
      <c r="AL33" s="27" t="n"/>
      <c r="AM33" s="27" t="n"/>
      <c r="AN33" s="27" t="n"/>
      <c r="AO33" s="27" t="n"/>
      <c r="AP33" s="27" t="n"/>
      <c r="AQ33" s="27" t="n"/>
      <c r="AR33" s="27" t="n"/>
      <c r="AS33" s="27" t="n"/>
      <c r="AT33" s="27" t="n"/>
      <c r="AU33" s="27" t="n"/>
      <c r="AV33" s="27" t="n"/>
      <c r="AW33" s="27" t="n"/>
      <c r="AX33" s="27" t="n"/>
      <c r="AY33" s="27" t="n"/>
      <c r="AZ33" s="27" t="n"/>
      <c r="BA33" s="27" t="n"/>
      <c r="BB33" s="27" t="n"/>
      <c r="BC33" s="27" t="n"/>
      <c r="BD33" s="27" t="n"/>
      <c r="BE33" s="27" t="n"/>
      <c r="BF33" s="27" t="n"/>
      <c r="BG33" s="27" t="n"/>
      <c r="BH33" s="27" t="n"/>
      <c r="BI33" s="29" t="n"/>
      <c r="BJ33" s="27" t="n"/>
      <c r="BK33" s="27" t="n"/>
      <c r="BL33" s="27" t="n"/>
      <c r="BM33" s="27" t="n"/>
      <c r="DM33" s="26">
        <f>IF('因子水準表'!B56="","",'因子水準表'!B56)</f>
        <v/>
      </c>
      <c r="DN33" s="26">
        <f>IF('テスト条件'!A32="","",'テスト条件'!A32)</f>
        <v/>
      </c>
    </row>
    <row r="34">
      <c r="A34" s="27" t="n"/>
      <c r="B34" s="27" t="n"/>
      <c r="C34" s="28">
        <f>IF(A34="","",$B$2)</f>
        <v/>
      </c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  <c r="AJ34" s="27" t="n"/>
      <c r="AK34" s="27" t="n"/>
      <c r="AL34" s="27" t="n"/>
      <c r="AM34" s="27" t="n"/>
      <c r="AN34" s="27" t="n"/>
      <c r="AO34" s="27" t="n"/>
      <c r="AP34" s="27" t="n"/>
      <c r="AQ34" s="27" t="n"/>
      <c r="AR34" s="27" t="n"/>
      <c r="AS34" s="27" t="n"/>
      <c r="AT34" s="27" t="n"/>
      <c r="AU34" s="27" t="n"/>
      <c r="AV34" s="27" t="n"/>
      <c r="AW34" s="27" t="n"/>
      <c r="AX34" s="27" t="n"/>
      <c r="AY34" s="27" t="n"/>
      <c r="AZ34" s="27" t="n"/>
      <c r="BA34" s="27" t="n"/>
      <c r="BB34" s="27" t="n"/>
      <c r="BC34" s="27" t="n"/>
      <c r="BD34" s="27" t="n"/>
      <c r="BE34" s="27" t="n"/>
      <c r="BF34" s="27" t="n"/>
      <c r="BG34" s="27" t="n"/>
      <c r="BH34" s="27" t="n"/>
      <c r="BI34" s="29" t="n"/>
      <c r="BJ34" s="27" t="n"/>
      <c r="BK34" s="27" t="n"/>
      <c r="BL34" s="27" t="n"/>
      <c r="BM34" s="27" t="n"/>
      <c r="DM34" s="26">
        <f>IF('因子水準表'!B57="","",'因子水準表'!B57)</f>
        <v/>
      </c>
      <c r="DN34" s="26">
        <f>IF('テスト条件'!A33="","",'テスト条件'!A33)</f>
        <v/>
      </c>
    </row>
    <row r="35">
      <c r="A35" s="27" t="n"/>
      <c r="B35" s="27" t="n"/>
      <c r="C35" s="28">
        <f>IF(A35="","",$B$2)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27" t="n"/>
      <c r="AJ35" s="27" t="n"/>
      <c r="AK35" s="27" t="n"/>
      <c r="AL35" s="27" t="n"/>
      <c r="AM35" s="27" t="n"/>
      <c r="AN35" s="27" t="n"/>
      <c r="AO35" s="27" t="n"/>
      <c r="AP35" s="27" t="n"/>
      <c r="AQ35" s="27" t="n"/>
      <c r="AR35" s="27" t="n"/>
      <c r="AS35" s="27" t="n"/>
      <c r="AT35" s="27" t="n"/>
      <c r="AU35" s="27" t="n"/>
      <c r="AV35" s="27" t="n"/>
      <c r="AW35" s="27" t="n"/>
      <c r="AX35" s="27" t="n"/>
      <c r="AY35" s="27" t="n"/>
      <c r="AZ35" s="27" t="n"/>
      <c r="BA35" s="27" t="n"/>
      <c r="BB35" s="27" t="n"/>
      <c r="BC35" s="27" t="n"/>
      <c r="BD35" s="27" t="n"/>
      <c r="BE35" s="27" t="n"/>
      <c r="BF35" s="27" t="n"/>
      <c r="BG35" s="27" t="n"/>
      <c r="BH35" s="27" t="n"/>
      <c r="BI35" s="29" t="n"/>
      <c r="BJ35" s="27" t="n"/>
      <c r="BK35" s="27" t="n"/>
      <c r="BL35" s="27" t="n"/>
      <c r="BM35" s="27" t="n"/>
      <c r="DM35" s="26">
        <f>IF('因子水準表'!B58="","",'因子水準表'!B58)</f>
        <v/>
      </c>
      <c r="DN35" s="26">
        <f>IF('テスト条件'!A34="","",'テスト条件'!A34)</f>
        <v/>
      </c>
    </row>
    <row r="36">
      <c r="A36" s="27" t="n"/>
      <c r="B36" s="27" t="n"/>
      <c r="C36" s="28">
        <f>IF(A36="","",$B$2)</f>
        <v/>
      </c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27" t="n"/>
      <c r="AJ36" s="27" t="n"/>
      <c r="AK36" s="27" t="n"/>
      <c r="AL36" s="27" t="n"/>
      <c r="AM36" s="27" t="n"/>
      <c r="AN36" s="27" t="n"/>
      <c r="AO36" s="27" t="n"/>
      <c r="AP36" s="27" t="n"/>
      <c r="AQ36" s="27" t="n"/>
      <c r="AR36" s="27" t="n"/>
      <c r="AS36" s="27" t="n"/>
      <c r="AT36" s="27" t="n"/>
      <c r="AU36" s="27" t="n"/>
      <c r="AV36" s="27" t="n"/>
      <c r="AW36" s="27" t="n"/>
      <c r="AX36" s="27" t="n"/>
      <c r="AY36" s="27" t="n"/>
      <c r="AZ36" s="27" t="n"/>
      <c r="BA36" s="27" t="n"/>
      <c r="BB36" s="27" t="n"/>
      <c r="BC36" s="27" t="n"/>
      <c r="BD36" s="27" t="n"/>
      <c r="BE36" s="27" t="n"/>
      <c r="BF36" s="27" t="n"/>
      <c r="BG36" s="27" t="n"/>
      <c r="BH36" s="27" t="n"/>
      <c r="BI36" s="29" t="n"/>
      <c r="BJ36" s="27" t="n"/>
      <c r="BK36" s="27" t="n"/>
      <c r="BL36" s="27" t="n"/>
      <c r="BM36" s="27" t="n"/>
      <c r="DN36" s="26">
        <f>IF('テスト条件'!A35="","",'テスト条件'!A35)</f>
        <v/>
      </c>
    </row>
    <row r="37">
      <c r="A37" s="27" t="n"/>
      <c r="B37" s="27" t="n"/>
      <c r="C37" s="28">
        <f>IF(A37="","",$B$2)</f>
        <v/>
      </c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27" t="n"/>
      <c r="AJ37" s="27" t="n"/>
      <c r="AK37" s="27" t="n"/>
      <c r="AL37" s="27" t="n"/>
      <c r="AM37" s="27" t="n"/>
      <c r="AN37" s="27" t="n"/>
      <c r="AO37" s="27" t="n"/>
      <c r="AP37" s="27" t="n"/>
      <c r="AQ37" s="27" t="n"/>
      <c r="AR37" s="27" t="n"/>
      <c r="AS37" s="27" t="n"/>
      <c r="AT37" s="27" t="n"/>
      <c r="AU37" s="27" t="n"/>
      <c r="AV37" s="27" t="n"/>
      <c r="AW37" s="27" t="n"/>
      <c r="AX37" s="27" t="n"/>
      <c r="AY37" s="27" t="n"/>
      <c r="AZ37" s="27" t="n"/>
      <c r="BA37" s="27" t="n"/>
      <c r="BB37" s="27" t="n"/>
      <c r="BC37" s="27" t="n"/>
      <c r="BD37" s="27" t="n"/>
      <c r="BE37" s="27" t="n"/>
      <c r="BF37" s="27" t="n"/>
      <c r="BG37" s="27" t="n"/>
      <c r="BH37" s="27" t="n"/>
      <c r="BI37" s="29" t="n"/>
      <c r="BJ37" s="27" t="n"/>
      <c r="BK37" s="27" t="n"/>
      <c r="BL37" s="27" t="n"/>
      <c r="BM37" s="27" t="n"/>
      <c r="DN37" s="26">
        <f>IF('テスト条件'!A36="","",'テスト条件'!A36)</f>
        <v/>
      </c>
    </row>
    <row r="38">
      <c r="A38" s="27" t="n"/>
      <c r="B38" s="27" t="n"/>
      <c r="C38" s="28">
        <f>IF(A38="","",$B$2)</f>
        <v/>
      </c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27" t="n"/>
      <c r="AJ38" s="27" t="n"/>
      <c r="AK38" s="27" t="n"/>
      <c r="AL38" s="27" t="n"/>
      <c r="AM38" s="27" t="n"/>
      <c r="AN38" s="27" t="n"/>
      <c r="AO38" s="27" t="n"/>
      <c r="AP38" s="27" t="n"/>
      <c r="AQ38" s="27" t="n"/>
      <c r="AR38" s="27" t="n"/>
      <c r="AS38" s="27" t="n"/>
      <c r="AT38" s="27" t="n"/>
      <c r="AU38" s="27" t="n"/>
      <c r="AV38" s="27" t="n"/>
      <c r="AW38" s="27" t="n"/>
      <c r="AX38" s="27" t="n"/>
      <c r="AY38" s="27" t="n"/>
      <c r="AZ38" s="27" t="n"/>
      <c r="BA38" s="27" t="n"/>
      <c r="BB38" s="27" t="n"/>
      <c r="BC38" s="27" t="n"/>
      <c r="BD38" s="27" t="n"/>
      <c r="BE38" s="27" t="n"/>
      <c r="BF38" s="27" t="n"/>
      <c r="BG38" s="27" t="n"/>
      <c r="BH38" s="27" t="n"/>
      <c r="BI38" s="29" t="n"/>
      <c r="BJ38" s="27" t="n"/>
      <c r="BK38" s="27" t="n"/>
      <c r="BL38" s="27" t="n"/>
      <c r="BM38" s="27" t="n"/>
      <c r="DN38" s="26">
        <f>IF('テスト条件'!A37="","",'テスト条件'!A37)</f>
        <v/>
      </c>
    </row>
    <row r="39">
      <c r="A39" s="27" t="n"/>
      <c r="B39" s="27" t="n"/>
      <c r="C39" s="28">
        <f>IF(A39="","",$B$2)</f>
        <v/>
      </c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27" t="n"/>
      <c r="AJ39" s="27" t="n"/>
      <c r="AK39" s="27" t="n"/>
      <c r="AL39" s="27" t="n"/>
      <c r="AM39" s="27" t="n"/>
      <c r="AN39" s="27" t="n"/>
      <c r="AO39" s="27" t="n"/>
      <c r="AP39" s="27" t="n"/>
      <c r="AQ39" s="27" t="n"/>
      <c r="AR39" s="27" t="n"/>
      <c r="AS39" s="27" t="n"/>
      <c r="AT39" s="27" t="n"/>
      <c r="AU39" s="27" t="n"/>
      <c r="AV39" s="27" t="n"/>
      <c r="AW39" s="27" t="n"/>
      <c r="AX39" s="27" t="n"/>
      <c r="AY39" s="27" t="n"/>
      <c r="AZ39" s="27" t="n"/>
      <c r="BA39" s="27" t="n"/>
      <c r="BB39" s="27" t="n"/>
      <c r="BC39" s="27" t="n"/>
      <c r="BD39" s="27" t="n"/>
      <c r="BE39" s="27" t="n"/>
      <c r="BF39" s="27" t="n"/>
      <c r="BG39" s="27" t="n"/>
      <c r="BH39" s="27" t="n"/>
      <c r="BI39" s="29" t="n"/>
      <c r="BJ39" s="27" t="n"/>
      <c r="BK39" s="27" t="n"/>
      <c r="BL39" s="27" t="n"/>
      <c r="BM39" s="27" t="n"/>
      <c r="DN39" s="26">
        <f>IF('テスト条件'!A38="","",'テスト条件'!A38)</f>
        <v/>
      </c>
    </row>
    <row r="40">
      <c r="A40" s="27" t="n"/>
      <c r="B40" s="27" t="n"/>
      <c r="C40" s="28">
        <f>IF(A40="","",$B$2)</f>
        <v/>
      </c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7" t="n"/>
      <c r="AJ40" s="27" t="n"/>
      <c r="AK40" s="27" t="n"/>
      <c r="AL40" s="27" t="n"/>
      <c r="AM40" s="27" t="n"/>
      <c r="AN40" s="27" t="n"/>
      <c r="AO40" s="27" t="n"/>
      <c r="AP40" s="27" t="n"/>
      <c r="AQ40" s="27" t="n"/>
      <c r="AR40" s="27" t="n"/>
      <c r="AS40" s="27" t="n"/>
      <c r="AT40" s="27" t="n"/>
      <c r="AU40" s="27" t="n"/>
      <c r="AV40" s="27" t="n"/>
      <c r="AW40" s="27" t="n"/>
      <c r="AX40" s="27" t="n"/>
      <c r="AY40" s="27" t="n"/>
      <c r="AZ40" s="27" t="n"/>
      <c r="BA40" s="27" t="n"/>
      <c r="BB40" s="27" t="n"/>
      <c r="BC40" s="27" t="n"/>
      <c r="BD40" s="27" t="n"/>
      <c r="BE40" s="27" t="n"/>
      <c r="BF40" s="27" t="n"/>
      <c r="BG40" s="27" t="n"/>
      <c r="BH40" s="27" t="n"/>
      <c r="BI40" s="29" t="n"/>
      <c r="BJ40" s="27" t="n"/>
      <c r="BK40" s="27" t="n"/>
      <c r="BL40" s="27" t="n"/>
      <c r="BM40" s="27" t="n"/>
      <c r="DN40" s="26">
        <f>IF('テスト条件'!A39="","",'テスト条件'!A39)</f>
        <v/>
      </c>
    </row>
    <row r="41">
      <c r="A41" s="27" t="n"/>
      <c r="B41" s="27" t="n"/>
      <c r="C41" s="28">
        <f>IF(A41="","",$B$2)</f>
        <v/>
      </c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27" t="n"/>
      <c r="AJ41" s="27" t="n"/>
      <c r="AK41" s="27" t="n"/>
      <c r="AL41" s="27" t="n"/>
      <c r="AM41" s="27" t="n"/>
      <c r="AN41" s="27" t="n"/>
      <c r="AO41" s="27" t="n"/>
      <c r="AP41" s="27" t="n"/>
      <c r="AQ41" s="27" t="n"/>
      <c r="AR41" s="27" t="n"/>
      <c r="AS41" s="27" t="n"/>
      <c r="AT41" s="27" t="n"/>
      <c r="AU41" s="27" t="n"/>
      <c r="AV41" s="27" t="n"/>
      <c r="AW41" s="27" t="n"/>
      <c r="AX41" s="27" t="n"/>
      <c r="AY41" s="27" t="n"/>
      <c r="AZ41" s="27" t="n"/>
      <c r="BA41" s="27" t="n"/>
      <c r="BB41" s="27" t="n"/>
      <c r="BC41" s="27" t="n"/>
      <c r="BD41" s="27" t="n"/>
      <c r="BE41" s="27" t="n"/>
      <c r="BF41" s="27" t="n"/>
      <c r="BG41" s="27" t="n"/>
      <c r="BH41" s="27" t="n"/>
      <c r="BI41" s="29" t="n"/>
      <c r="BJ41" s="27" t="n"/>
      <c r="BK41" s="27" t="n"/>
      <c r="BL41" s="27" t="n"/>
      <c r="BM41" s="27" t="n"/>
      <c r="DN41" s="26">
        <f>IF('テスト条件'!A40="","",'テスト条件'!A40)</f>
        <v/>
      </c>
    </row>
    <row r="42">
      <c r="A42" s="27" t="n"/>
      <c r="B42" s="27" t="n"/>
      <c r="C42" s="28">
        <f>IF(A42="","",$B$2)</f>
        <v/>
      </c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27" t="n"/>
      <c r="AJ42" s="27" t="n"/>
      <c r="AK42" s="27" t="n"/>
      <c r="AL42" s="27" t="n"/>
      <c r="AM42" s="27" t="n"/>
      <c r="AN42" s="27" t="n"/>
      <c r="AO42" s="27" t="n"/>
      <c r="AP42" s="27" t="n"/>
      <c r="AQ42" s="27" t="n"/>
      <c r="AR42" s="27" t="n"/>
      <c r="AS42" s="27" t="n"/>
      <c r="AT42" s="27" t="n"/>
      <c r="AU42" s="27" t="n"/>
      <c r="AV42" s="27" t="n"/>
      <c r="AW42" s="27" t="n"/>
      <c r="AX42" s="27" t="n"/>
      <c r="AY42" s="27" t="n"/>
      <c r="AZ42" s="27" t="n"/>
      <c r="BA42" s="27" t="n"/>
      <c r="BB42" s="27" t="n"/>
      <c r="BC42" s="27" t="n"/>
      <c r="BD42" s="27" t="n"/>
      <c r="BE42" s="27" t="n"/>
      <c r="BF42" s="27" t="n"/>
      <c r="BG42" s="27" t="n"/>
      <c r="BH42" s="27" t="n"/>
      <c r="BI42" s="29" t="n"/>
      <c r="BJ42" s="27" t="n"/>
      <c r="BK42" s="27" t="n"/>
      <c r="BL42" s="27" t="n"/>
      <c r="BM42" s="27" t="n"/>
      <c r="DN42" s="26">
        <f>IF('テスト条件'!A41="","",'テスト条件'!A41)</f>
        <v/>
      </c>
    </row>
    <row r="43">
      <c r="A43" s="27" t="n"/>
      <c r="B43" s="27" t="n"/>
      <c r="C43" s="28">
        <f>IF(A43="","",$B$2)</f>
        <v/>
      </c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27" t="n"/>
      <c r="AJ43" s="27" t="n"/>
      <c r="AK43" s="27" t="n"/>
      <c r="AL43" s="27" t="n"/>
      <c r="AM43" s="27" t="n"/>
      <c r="AN43" s="27" t="n"/>
      <c r="AO43" s="27" t="n"/>
      <c r="AP43" s="27" t="n"/>
      <c r="AQ43" s="27" t="n"/>
      <c r="AR43" s="27" t="n"/>
      <c r="AS43" s="27" t="n"/>
      <c r="AT43" s="27" t="n"/>
      <c r="AU43" s="27" t="n"/>
      <c r="AV43" s="27" t="n"/>
      <c r="AW43" s="27" t="n"/>
      <c r="AX43" s="27" t="n"/>
      <c r="AY43" s="27" t="n"/>
      <c r="AZ43" s="27" t="n"/>
      <c r="BA43" s="27" t="n"/>
      <c r="BB43" s="27" t="n"/>
      <c r="BC43" s="27" t="n"/>
      <c r="BD43" s="27" t="n"/>
      <c r="BE43" s="27" t="n"/>
      <c r="BF43" s="27" t="n"/>
      <c r="BG43" s="27" t="n"/>
      <c r="BH43" s="27" t="n"/>
      <c r="BI43" s="29" t="n"/>
      <c r="BJ43" s="27" t="n"/>
      <c r="BK43" s="27" t="n"/>
      <c r="BL43" s="27" t="n"/>
      <c r="BM43" s="27" t="n"/>
      <c r="DN43" s="26">
        <f>IF('テスト条件'!A42="","",'テスト条件'!A42)</f>
        <v/>
      </c>
    </row>
    <row r="44">
      <c r="A44" s="27" t="n"/>
      <c r="B44" s="27" t="n"/>
      <c r="C44" s="28">
        <f>IF(A44="","",$B$2)</f>
        <v/>
      </c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  <c r="AJ44" s="27" t="n"/>
      <c r="AK44" s="27" t="n"/>
      <c r="AL44" s="27" t="n"/>
      <c r="AM44" s="27" t="n"/>
      <c r="AN44" s="27" t="n"/>
      <c r="AO44" s="27" t="n"/>
      <c r="AP44" s="27" t="n"/>
      <c r="AQ44" s="27" t="n"/>
      <c r="AR44" s="27" t="n"/>
      <c r="AS44" s="27" t="n"/>
      <c r="AT44" s="27" t="n"/>
      <c r="AU44" s="27" t="n"/>
      <c r="AV44" s="27" t="n"/>
      <c r="AW44" s="27" t="n"/>
      <c r="AX44" s="27" t="n"/>
      <c r="AY44" s="27" t="n"/>
      <c r="AZ44" s="27" t="n"/>
      <c r="BA44" s="27" t="n"/>
      <c r="BB44" s="27" t="n"/>
      <c r="BC44" s="27" t="n"/>
      <c r="BD44" s="27" t="n"/>
      <c r="BE44" s="27" t="n"/>
      <c r="BF44" s="27" t="n"/>
      <c r="BG44" s="27" t="n"/>
      <c r="BH44" s="27" t="n"/>
      <c r="BI44" s="29" t="n"/>
      <c r="BJ44" s="27" t="n"/>
      <c r="BK44" s="27" t="n"/>
      <c r="BL44" s="27" t="n"/>
      <c r="BM44" s="27" t="n"/>
      <c r="DN44" s="26">
        <f>IF('テスト条件'!A43="","",'テスト条件'!A43)</f>
        <v/>
      </c>
    </row>
    <row r="45">
      <c r="A45" s="27" t="n"/>
      <c r="B45" s="27" t="n"/>
      <c r="C45" s="28">
        <f>IF(A45="","",$B$2)</f>
        <v/>
      </c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27" t="n"/>
      <c r="AJ45" s="27" t="n"/>
      <c r="AK45" s="27" t="n"/>
      <c r="AL45" s="27" t="n"/>
      <c r="AM45" s="27" t="n"/>
      <c r="AN45" s="27" t="n"/>
      <c r="AO45" s="27" t="n"/>
      <c r="AP45" s="27" t="n"/>
      <c r="AQ45" s="27" t="n"/>
      <c r="AR45" s="27" t="n"/>
      <c r="AS45" s="27" t="n"/>
      <c r="AT45" s="27" t="n"/>
      <c r="AU45" s="27" t="n"/>
      <c r="AV45" s="27" t="n"/>
      <c r="AW45" s="27" t="n"/>
      <c r="AX45" s="27" t="n"/>
      <c r="AY45" s="27" t="n"/>
      <c r="AZ45" s="27" t="n"/>
      <c r="BA45" s="27" t="n"/>
      <c r="BB45" s="27" t="n"/>
      <c r="BC45" s="27" t="n"/>
      <c r="BD45" s="27" t="n"/>
      <c r="BE45" s="27" t="n"/>
      <c r="BF45" s="27" t="n"/>
      <c r="BG45" s="27" t="n"/>
      <c r="BH45" s="27" t="n"/>
      <c r="BI45" s="29" t="n"/>
      <c r="BJ45" s="27" t="n"/>
      <c r="BK45" s="27" t="n"/>
      <c r="BL45" s="27" t="n"/>
      <c r="BM45" s="27" t="n"/>
      <c r="DN45" s="26">
        <f>IF('テスト条件'!A44="","",'テスト条件'!A44)</f>
        <v/>
      </c>
    </row>
    <row r="46">
      <c r="A46" s="27" t="n"/>
      <c r="B46" s="27" t="n"/>
      <c r="C46" s="28">
        <f>IF(A46="","",$B$2)</f>
        <v/>
      </c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  <c r="AJ46" s="27" t="n"/>
      <c r="AK46" s="27" t="n"/>
      <c r="AL46" s="27" t="n"/>
      <c r="AM46" s="27" t="n"/>
      <c r="AN46" s="27" t="n"/>
      <c r="AO46" s="27" t="n"/>
      <c r="AP46" s="27" t="n"/>
      <c r="AQ46" s="27" t="n"/>
      <c r="AR46" s="27" t="n"/>
      <c r="AS46" s="27" t="n"/>
      <c r="AT46" s="27" t="n"/>
      <c r="AU46" s="27" t="n"/>
      <c r="AV46" s="27" t="n"/>
      <c r="AW46" s="27" t="n"/>
      <c r="AX46" s="27" t="n"/>
      <c r="AY46" s="27" t="n"/>
      <c r="AZ46" s="27" t="n"/>
      <c r="BA46" s="27" t="n"/>
      <c r="BB46" s="27" t="n"/>
      <c r="BC46" s="27" t="n"/>
      <c r="BD46" s="27" t="n"/>
      <c r="BE46" s="27" t="n"/>
      <c r="BF46" s="27" t="n"/>
      <c r="BG46" s="27" t="n"/>
      <c r="BH46" s="27" t="n"/>
      <c r="BI46" s="29" t="n"/>
      <c r="BJ46" s="27" t="n"/>
      <c r="BK46" s="27" t="n"/>
      <c r="BL46" s="27" t="n"/>
      <c r="BM46" s="27" t="n"/>
      <c r="DN46" s="26">
        <f>IF('テスト条件'!A45="","",'テスト条件'!A45)</f>
        <v/>
      </c>
    </row>
    <row r="47">
      <c r="A47" s="27" t="n"/>
      <c r="B47" s="27" t="n"/>
      <c r="C47" s="28">
        <f>IF(A47="","",$B$2)</f>
        <v/>
      </c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  <c r="AJ47" s="27" t="n"/>
      <c r="AK47" s="27" t="n"/>
      <c r="AL47" s="27" t="n"/>
      <c r="AM47" s="27" t="n"/>
      <c r="AN47" s="27" t="n"/>
      <c r="AO47" s="27" t="n"/>
      <c r="AP47" s="27" t="n"/>
      <c r="AQ47" s="27" t="n"/>
      <c r="AR47" s="27" t="n"/>
      <c r="AS47" s="27" t="n"/>
      <c r="AT47" s="27" t="n"/>
      <c r="AU47" s="27" t="n"/>
      <c r="AV47" s="27" t="n"/>
      <c r="AW47" s="27" t="n"/>
      <c r="AX47" s="27" t="n"/>
      <c r="AY47" s="27" t="n"/>
      <c r="AZ47" s="27" t="n"/>
      <c r="BA47" s="27" t="n"/>
      <c r="BB47" s="27" t="n"/>
      <c r="BC47" s="27" t="n"/>
      <c r="BD47" s="27" t="n"/>
      <c r="BE47" s="27" t="n"/>
      <c r="BF47" s="27" t="n"/>
      <c r="BG47" s="27" t="n"/>
      <c r="BH47" s="27" t="n"/>
      <c r="BI47" s="29" t="n"/>
      <c r="BJ47" s="27" t="n"/>
      <c r="BK47" s="27" t="n"/>
      <c r="BL47" s="27" t="n"/>
      <c r="BM47" s="27" t="n"/>
      <c r="DN47" s="26">
        <f>IF('テスト条件'!A46="","",'テスト条件'!A46)</f>
        <v/>
      </c>
    </row>
    <row r="48">
      <c r="A48" s="27" t="n"/>
      <c r="B48" s="27" t="n"/>
      <c r="C48" s="28">
        <f>IF(A48="","",$B$2)</f>
        <v/>
      </c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27" t="n"/>
      <c r="AJ48" s="27" t="n"/>
      <c r="AK48" s="27" t="n"/>
      <c r="AL48" s="27" t="n"/>
      <c r="AM48" s="27" t="n"/>
      <c r="AN48" s="27" t="n"/>
      <c r="AO48" s="27" t="n"/>
      <c r="AP48" s="27" t="n"/>
      <c r="AQ48" s="27" t="n"/>
      <c r="AR48" s="27" t="n"/>
      <c r="AS48" s="27" t="n"/>
      <c r="AT48" s="27" t="n"/>
      <c r="AU48" s="27" t="n"/>
      <c r="AV48" s="27" t="n"/>
      <c r="AW48" s="27" t="n"/>
      <c r="AX48" s="27" t="n"/>
      <c r="AY48" s="27" t="n"/>
      <c r="AZ48" s="27" t="n"/>
      <c r="BA48" s="27" t="n"/>
      <c r="BB48" s="27" t="n"/>
      <c r="BC48" s="27" t="n"/>
      <c r="BD48" s="27" t="n"/>
      <c r="BE48" s="27" t="n"/>
      <c r="BF48" s="27" t="n"/>
      <c r="BG48" s="27" t="n"/>
      <c r="BH48" s="27" t="n"/>
      <c r="BI48" s="29" t="n"/>
      <c r="BJ48" s="27" t="n"/>
      <c r="BK48" s="27" t="n"/>
      <c r="BL48" s="27" t="n"/>
      <c r="BM48" s="27" t="n"/>
      <c r="DN48" s="26">
        <f>IF('テスト条件'!A47="","",'テスト条件'!A47)</f>
        <v/>
      </c>
    </row>
    <row r="49">
      <c r="A49" s="27" t="n"/>
      <c r="B49" s="27" t="n"/>
      <c r="C49" s="28">
        <f>IF(A49="","",$B$2)</f>
        <v/>
      </c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27" t="n"/>
      <c r="AJ49" s="27" t="n"/>
      <c r="AK49" s="27" t="n"/>
      <c r="AL49" s="27" t="n"/>
      <c r="AM49" s="27" t="n"/>
      <c r="AN49" s="27" t="n"/>
      <c r="AO49" s="27" t="n"/>
      <c r="AP49" s="27" t="n"/>
      <c r="AQ49" s="27" t="n"/>
      <c r="AR49" s="27" t="n"/>
      <c r="AS49" s="27" t="n"/>
      <c r="AT49" s="27" t="n"/>
      <c r="AU49" s="27" t="n"/>
      <c r="AV49" s="27" t="n"/>
      <c r="AW49" s="27" t="n"/>
      <c r="AX49" s="27" t="n"/>
      <c r="AY49" s="27" t="n"/>
      <c r="AZ49" s="27" t="n"/>
      <c r="BA49" s="27" t="n"/>
      <c r="BB49" s="27" t="n"/>
      <c r="BC49" s="27" t="n"/>
      <c r="BD49" s="27" t="n"/>
      <c r="BE49" s="27" t="n"/>
      <c r="BF49" s="27" t="n"/>
      <c r="BG49" s="27" t="n"/>
      <c r="BH49" s="27" t="n"/>
      <c r="BI49" s="29" t="n"/>
      <c r="BJ49" s="27" t="n"/>
      <c r="BK49" s="27" t="n"/>
      <c r="BL49" s="27" t="n"/>
      <c r="BM49" s="27" t="n"/>
      <c r="DN49" s="26">
        <f>IF('テスト条件'!A48="","",'テスト条件'!A48)</f>
        <v/>
      </c>
    </row>
    <row r="50">
      <c r="A50" s="27" t="n"/>
      <c r="B50" s="27" t="n"/>
      <c r="C50" s="28">
        <f>IF(A50="","",$B$2)</f>
        <v/>
      </c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27" t="n"/>
      <c r="AJ50" s="27" t="n"/>
      <c r="AK50" s="27" t="n"/>
      <c r="AL50" s="27" t="n"/>
      <c r="AM50" s="27" t="n"/>
      <c r="AN50" s="27" t="n"/>
      <c r="AO50" s="27" t="n"/>
      <c r="AP50" s="27" t="n"/>
      <c r="AQ50" s="27" t="n"/>
      <c r="AR50" s="27" t="n"/>
      <c r="AS50" s="27" t="n"/>
      <c r="AT50" s="27" t="n"/>
      <c r="AU50" s="27" t="n"/>
      <c r="AV50" s="27" t="n"/>
      <c r="AW50" s="27" t="n"/>
      <c r="AX50" s="27" t="n"/>
      <c r="AY50" s="27" t="n"/>
      <c r="AZ50" s="27" t="n"/>
      <c r="BA50" s="27" t="n"/>
      <c r="BB50" s="27" t="n"/>
      <c r="BC50" s="27" t="n"/>
      <c r="BD50" s="27" t="n"/>
      <c r="BE50" s="27" t="n"/>
      <c r="BF50" s="27" t="n"/>
      <c r="BG50" s="27" t="n"/>
      <c r="BH50" s="27" t="n"/>
      <c r="BI50" s="29" t="n"/>
      <c r="BJ50" s="27" t="n"/>
      <c r="BK50" s="27" t="n"/>
      <c r="BL50" s="27" t="n"/>
      <c r="BM50" s="27" t="n"/>
      <c r="DN50" s="26">
        <f>IF('テスト条件'!A49="","",'テスト条件'!A49)</f>
        <v/>
      </c>
    </row>
    <row r="51">
      <c r="A51" s="27" t="n"/>
      <c r="B51" s="27" t="n"/>
      <c r="C51" s="28">
        <f>IF(A51="","",$B$2)</f>
        <v/>
      </c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27" t="n"/>
      <c r="AJ51" s="27" t="n"/>
      <c r="AK51" s="27" t="n"/>
      <c r="AL51" s="27" t="n"/>
      <c r="AM51" s="27" t="n"/>
      <c r="AN51" s="27" t="n"/>
      <c r="AO51" s="27" t="n"/>
      <c r="AP51" s="27" t="n"/>
      <c r="AQ51" s="27" t="n"/>
      <c r="AR51" s="27" t="n"/>
      <c r="AS51" s="27" t="n"/>
      <c r="AT51" s="27" t="n"/>
      <c r="AU51" s="27" t="n"/>
      <c r="AV51" s="27" t="n"/>
      <c r="AW51" s="27" t="n"/>
      <c r="AX51" s="27" t="n"/>
      <c r="AY51" s="27" t="n"/>
      <c r="AZ51" s="27" t="n"/>
      <c r="BA51" s="27" t="n"/>
      <c r="BB51" s="27" t="n"/>
      <c r="BC51" s="27" t="n"/>
      <c r="BD51" s="27" t="n"/>
      <c r="BE51" s="27" t="n"/>
      <c r="BF51" s="27" t="n"/>
      <c r="BG51" s="27" t="n"/>
      <c r="BH51" s="27" t="n"/>
      <c r="BI51" s="29" t="n"/>
      <c r="BJ51" s="27" t="n"/>
      <c r="BK51" s="27" t="n"/>
      <c r="BL51" s="27" t="n"/>
      <c r="BM51" s="27" t="n"/>
      <c r="DN51" s="26">
        <f>IF('テスト条件'!A50="","",'テスト条件'!A50)</f>
        <v/>
      </c>
    </row>
    <row r="52">
      <c r="A52" s="27" t="n"/>
      <c r="B52" s="27" t="n"/>
      <c r="C52" s="28">
        <f>IF(A52="","",$B$2)</f>
        <v/>
      </c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27" t="n"/>
      <c r="AJ52" s="27" t="n"/>
      <c r="AK52" s="27" t="n"/>
      <c r="AL52" s="27" t="n"/>
      <c r="AM52" s="27" t="n"/>
      <c r="AN52" s="27" t="n"/>
      <c r="AO52" s="27" t="n"/>
      <c r="AP52" s="27" t="n"/>
      <c r="AQ52" s="27" t="n"/>
      <c r="AR52" s="27" t="n"/>
      <c r="AS52" s="27" t="n"/>
      <c r="AT52" s="27" t="n"/>
      <c r="AU52" s="27" t="n"/>
      <c r="AV52" s="27" t="n"/>
      <c r="AW52" s="27" t="n"/>
      <c r="AX52" s="27" t="n"/>
      <c r="AY52" s="27" t="n"/>
      <c r="AZ52" s="27" t="n"/>
      <c r="BA52" s="27" t="n"/>
      <c r="BB52" s="27" t="n"/>
      <c r="BC52" s="27" t="n"/>
      <c r="BD52" s="27" t="n"/>
      <c r="BE52" s="27" t="n"/>
      <c r="BF52" s="27" t="n"/>
      <c r="BG52" s="27" t="n"/>
      <c r="BH52" s="27" t="n"/>
      <c r="BI52" s="29" t="n"/>
      <c r="BJ52" s="27" t="n"/>
      <c r="BK52" s="27" t="n"/>
      <c r="BL52" s="27" t="n"/>
      <c r="BM52" s="27" t="n"/>
      <c r="DN52" s="26">
        <f>IF('テスト条件'!A51="","",'テスト条件'!A51)</f>
        <v/>
      </c>
    </row>
    <row r="53">
      <c r="A53" s="27" t="n"/>
      <c r="B53" s="27" t="n"/>
      <c r="C53" s="28">
        <f>IF(A53="","",$B$2)</f>
        <v/>
      </c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27" t="n"/>
      <c r="AJ53" s="27" t="n"/>
      <c r="AK53" s="27" t="n"/>
      <c r="AL53" s="27" t="n"/>
      <c r="AM53" s="27" t="n"/>
      <c r="AN53" s="27" t="n"/>
      <c r="AO53" s="27" t="n"/>
      <c r="AP53" s="27" t="n"/>
      <c r="AQ53" s="27" t="n"/>
      <c r="AR53" s="27" t="n"/>
      <c r="AS53" s="27" t="n"/>
      <c r="AT53" s="27" t="n"/>
      <c r="AU53" s="27" t="n"/>
      <c r="AV53" s="27" t="n"/>
      <c r="AW53" s="27" t="n"/>
      <c r="AX53" s="27" t="n"/>
      <c r="AY53" s="27" t="n"/>
      <c r="AZ53" s="27" t="n"/>
      <c r="BA53" s="27" t="n"/>
      <c r="BB53" s="27" t="n"/>
      <c r="BC53" s="27" t="n"/>
      <c r="BD53" s="27" t="n"/>
      <c r="BE53" s="27" t="n"/>
      <c r="BF53" s="27" t="n"/>
      <c r="BG53" s="27" t="n"/>
      <c r="BH53" s="27" t="n"/>
      <c r="BI53" s="29" t="n"/>
      <c r="BJ53" s="27" t="n"/>
      <c r="BK53" s="27" t="n"/>
      <c r="BL53" s="27" t="n"/>
      <c r="BM53" s="27" t="n"/>
      <c r="DN53" s="26">
        <f>IF('テスト条件'!A52="","",'テスト条件'!A52)</f>
        <v/>
      </c>
    </row>
    <row r="54">
      <c r="A54" s="27" t="n"/>
      <c r="B54" s="27" t="n"/>
      <c r="C54" s="28">
        <f>IF(A54="","",$B$2)</f>
        <v/>
      </c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27" t="n"/>
      <c r="AJ54" s="27" t="n"/>
      <c r="AK54" s="27" t="n"/>
      <c r="AL54" s="27" t="n"/>
      <c r="AM54" s="27" t="n"/>
      <c r="AN54" s="27" t="n"/>
      <c r="AO54" s="27" t="n"/>
      <c r="AP54" s="27" t="n"/>
      <c r="AQ54" s="27" t="n"/>
      <c r="AR54" s="27" t="n"/>
      <c r="AS54" s="27" t="n"/>
      <c r="AT54" s="27" t="n"/>
      <c r="AU54" s="27" t="n"/>
      <c r="AV54" s="27" t="n"/>
      <c r="AW54" s="27" t="n"/>
      <c r="AX54" s="27" t="n"/>
      <c r="AY54" s="27" t="n"/>
      <c r="AZ54" s="27" t="n"/>
      <c r="BA54" s="27" t="n"/>
      <c r="BB54" s="27" t="n"/>
      <c r="BC54" s="27" t="n"/>
      <c r="BD54" s="27" t="n"/>
      <c r="BE54" s="27" t="n"/>
      <c r="BF54" s="27" t="n"/>
      <c r="BG54" s="27" t="n"/>
      <c r="BH54" s="27" t="n"/>
      <c r="BI54" s="29" t="n"/>
      <c r="BJ54" s="27" t="n"/>
      <c r="BK54" s="27" t="n"/>
      <c r="BL54" s="27" t="n"/>
      <c r="BM54" s="27" t="n"/>
      <c r="DN54" s="26">
        <f>IF('テスト条件'!A53="","",'テスト条件'!A53)</f>
        <v/>
      </c>
    </row>
    <row r="55">
      <c r="A55" s="27" t="n"/>
      <c r="B55" s="27" t="n"/>
      <c r="C55" s="28">
        <f>IF(A55="","",$B$2)</f>
        <v/>
      </c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27" t="n"/>
      <c r="AJ55" s="27" t="n"/>
      <c r="AK55" s="27" t="n"/>
      <c r="AL55" s="27" t="n"/>
      <c r="AM55" s="27" t="n"/>
      <c r="AN55" s="27" t="n"/>
      <c r="AO55" s="27" t="n"/>
      <c r="AP55" s="27" t="n"/>
      <c r="AQ55" s="27" t="n"/>
      <c r="AR55" s="27" t="n"/>
      <c r="AS55" s="27" t="n"/>
      <c r="AT55" s="27" t="n"/>
      <c r="AU55" s="27" t="n"/>
      <c r="AV55" s="27" t="n"/>
      <c r="AW55" s="27" t="n"/>
      <c r="AX55" s="27" t="n"/>
      <c r="AY55" s="27" t="n"/>
      <c r="AZ55" s="27" t="n"/>
      <c r="BA55" s="27" t="n"/>
      <c r="BB55" s="27" t="n"/>
      <c r="BC55" s="27" t="n"/>
      <c r="BD55" s="27" t="n"/>
      <c r="BE55" s="27" t="n"/>
      <c r="BF55" s="27" t="n"/>
      <c r="BG55" s="27" t="n"/>
      <c r="BH55" s="27" t="n"/>
      <c r="BI55" s="29" t="n"/>
      <c r="BJ55" s="27" t="n"/>
      <c r="BK55" s="27" t="n"/>
      <c r="BL55" s="27" t="n"/>
      <c r="BM55" s="27" t="n"/>
      <c r="DN55" s="26">
        <f>IF('テスト条件'!A54="","",'テスト条件'!A54)</f>
        <v/>
      </c>
    </row>
    <row r="56">
      <c r="A56" s="27" t="n"/>
      <c r="B56" s="27" t="n"/>
      <c r="C56" s="28">
        <f>IF(A56="","",$B$2)</f>
        <v/>
      </c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  <c r="AJ56" s="27" t="n"/>
      <c r="AK56" s="27" t="n"/>
      <c r="AL56" s="27" t="n"/>
      <c r="AM56" s="27" t="n"/>
      <c r="AN56" s="27" t="n"/>
      <c r="AO56" s="27" t="n"/>
      <c r="AP56" s="27" t="n"/>
      <c r="AQ56" s="27" t="n"/>
      <c r="AR56" s="27" t="n"/>
      <c r="AS56" s="27" t="n"/>
      <c r="AT56" s="27" t="n"/>
      <c r="AU56" s="27" t="n"/>
      <c r="AV56" s="27" t="n"/>
      <c r="AW56" s="27" t="n"/>
      <c r="AX56" s="27" t="n"/>
      <c r="AY56" s="27" t="n"/>
      <c r="AZ56" s="27" t="n"/>
      <c r="BA56" s="27" t="n"/>
      <c r="BB56" s="27" t="n"/>
      <c r="BC56" s="27" t="n"/>
      <c r="BD56" s="27" t="n"/>
      <c r="BE56" s="27" t="n"/>
      <c r="BF56" s="27" t="n"/>
      <c r="BG56" s="27" t="n"/>
      <c r="BH56" s="27" t="n"/>
      <c r="BI56" s="29" t="n"/>
      <c r="BJ56" s="27" t="n"/>
      <c r="BK56" s="27" t="n"/>
      <c r="BL56" s="27" t="n"/>
      <c r="BM56" s="27" t="n"/>
      <c r="DN56" s="26">
        <f>IF('テスト条件'!A55="","",'テスト条件'!A55)</f>
        <v/>
      </c>
    </row>
    <row r="57">
      <c r="A57" s="27" t="n"/>
      <c r="B57" s="27" t="n"/>
      <c r="C57" s="28">
        <f>IF(A57="","",$B$2)</f>
        <v/>
      </c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  <c r="AA57" s="27" t="n"/>
      <c r="AB57" s="27" t="n"/>
      <c r="AC57" s="27" t="n"/>
      <c r="AD57" s="27" t="n"/>
      <c r="AE57" s="27" t="n"/>
      <c r="AF57" s="27" t="n"/>
      <c r="AG57" s="27" t="n"/>
      <c r="AH57" s="27" t="n"/>
      <c r="AI57" s="27" t="n"/>
      <c r="AJ57" s="27" t="n"/>
      <c r="AK57" s="27" t="n"/>
      <c r="AL57" s="27" t="n"/>
      <c r="AM57" s="27" t="n"/>
      <c r="AN57" s="27" t="n"/>
      <c r="AO57" s="27" t="n"/>
      <c r="AP57" s="27" t="n"/>
      <c r="AQ57" s="27" t="n"/>
      <c r="AR57" s="27" t="n"/>
      <c r="AS57" s="27" t="n"/>
      <c r="AT57" s="27" t="n"/>
      <c r="AU57" s="27" t="n"/>
      <c r="AV57" s="27" t="n"/>
      <c r="AW57" s="27" t="n"/>
      <c r="AX57" s="27" t="n"/>
      <c r="AY57" s="27" t="n"/>
      <c r="AZ57" s="27" t="n"/>
      <c r="BA57" s="27" t="n"/>
      <c r="BB57" s="27" t="n"/>
      <c r="BC57" s="27" t="n"/>
      <c r="BD57" s="27" t="n"/>
      <c r="BE57" s="27" t="n"/>
      <c r="BF57" s="27" t="n"/>
      <c r="BG57" s="27" t="n"/>
      <c r="BH57" s="27" t="n"/>
      <c r="BI57" s="29" t="n"/>
      <c r="BJ57" s="27" t="n"/>
      <c r="BK57" s="27" t="n"/>
      <c r="BL57" s="27" t="n"/>
      <c r="BM57" s="27" t="n"/>
      <c r="DN57" s="26">
        <f>IF('テスト条件'!A56="","",'テスト条件'!A56)</f>
        <v/>
      </c>
    </row>
    <row r="58">
      <c r="A58" s="27" t="n"/>
      <c r="B58" s="27" t="n"/>
      <c r="C58" s="28">
        <f>IF(A58="","",$B$2)</f>
        <v/>
      </c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27" t="n"/>
      <c r="AJ58" s="27" t="n"/>
      <c r="AK58" s="27" t="n"/>
      <c r="AL58" s="27" t="n"/>
      <c r="AM58" s="27" t="n"/>
      <c r="AN58" s="27" t="n"/>
      <c r="AO58" s="27" t="n"/>
      <c r="AP58" s="27" t="n"/>
      <c r="AQ58" s="27" t="n"/>
      <c r="AR58" s="27" t="n"/>
      <c r="AS58" s="27" t="n"/>
      <c r="AT58" s="27" t="n"/>
      <c r="AU58" s="27" t="n"/>
      <c r="AV58" s="27" t="n"/>
      <c r="AW58" s="27" t="n"/>
      <c r="AX58" s="27" t="n"/>
      <c r="AY58" s="27" t="n"/>
      <c r="AZ58" s="27" t="n"/>
      <c r="BA58" s="27" t="n"/>
      <c r="BB58" s="27" t="n"/>
      <c r="BC58" s="27" t="n"/>
      <c r="BD58" s="27" t="n"/>
      <c r="BE58" s="27" t="n"/>
      <c r="BF58" s="27" t="n"/>
      <c r="BG58" s="27" t="n"/>
      <c r="BH58" s="27" t="n"/>
      <c r="BI58" s="29" t="n"/>
      <c r="BJ58" s="27" t="n"/>
      <c r="BK58" s="27" t="n"/>
      <c r="BL58" s="27" t="n"/>
      <c r="BM58" s="27" t="n"/>
      <c r="DN58" s="26">
        <f>IF('テスト条件'!A57="","",'テスト条件'!A57)</f>
        <v/>
      </c>
    </row>
    <row r="59">
      <c r="A59" s="27" t="n"/>
      <c r="B59" s="27" t="n"/>
      <c r="C59" s="28">
        <f>IF(A59="","",$B$2)</f>
        <v/>
      </c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27" t="n"/>
      <c r="AJ59" s="27" t="n"/>
      <c r="AK59" s="27" t="n"/>
      <c r="AL59" s="27" t="n"/>
      <c r="AM59" s="27" t="n"/>
      <c r="AN59" s="27" t="n"/>
      <c r="AO59" s="27" t="n"/>
      <c r="AP59" s="27" t="n"/>
      <c r="AQ59" s="27" t="n"/>
      <c r="AR59" s="27" t="n"/>
      <c r="AS59" s="27" t="n"/>
      <c r="AT59" s="27" t="n"/>
      <c r="AU59" s="27" t="n"/>
      <c r="AV59" s="27" t="n"/>
      <c r="AW59" s="27" t="n"/>
      <c r="AX59" s="27" t="n"/>
      <c r="AY59" s="27" t="n"/>
      <c r="AZ59" s="27" t="n"/>
      <c r="BA59" s="27" t="n"/>
      <c r="BB59" s="27" t="n"/>
      <c r="BC59" s="27" t="n"/>
      <c r="BD59" s="27" t="n"/>
      <c r="BE59" s="27" t="n"/>
      <c r="BF59" s="27" t="n"/>
      <c r="BG59" s="27" t="n"/>
      <c r="BH59" s="27" t="n"/>
      <c r="BI59" s="29" t="n"/>
      <c r="BJ59" s="27" t="n"/>
      <c r="BK59" s="27" t="n"/>
      <c r="BL59" s="27" t="n"/>
      <c r="BM59" s="27" t="n"/>
      <c r="DN59" s="26">
        <f>IF('テスト条件'!A58="","",'テスト条件'!A58)</f>
        <v/>
      </c>
    </row>
    <row r="60">
      <c r="A60" s="27" t="n"/>
      <c r="B60" s="27" t="n"/>
      <c r="C60" s="28">
        <f>IF(A60="","",$B$2)</f>
        <v/>
      </c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27" t="n"/>
      <c r="AJ60" s="27" t="n"/>
      <c r="AK60" s="27" t="n"/>
      <c r="AL60" s="27" t="n"/>
      <c r="AM60" s="27" t="n"/>
      <c r="AN60" s="27" t="n"/>
      <c r="AO60" s="27" t="n"/>
      <c r="AP60" s="27" t="n"/>
      <c r="AQ60" s="27" t="n"/>
      <c r="AR60" s="27" t="n"/>
      <c r="AS60" s="27" t="n"/>
      <c r="AT60" s="27" t="n"/>
      <c r="AU60" s="27" t="n"/>
      <c r="AV60" s="27" t="n"/>
      <c r="AW60" s="27" t="n"/>
      <c r="AX60" s="27" t="n"/>
      <c r="AY60" s="27" t="n"/>
      <c r="AZ60" s="27" t="n"/>
      <c r="BA60" s="27" t="n"/>
      <c r="BB60" s="27" t="n"/>
      <c r="BC60" s="27" t="n"/>
      <c r="BD60" s="27" t="n"/>
      <c r="BE60" s="27" t="n"/>
      <c r="BF60" s="27" t="n"/>
      <c r="BG60" s="27" t="n"/>
      <c r="BH60" s="27" t="n"/>
      <c r="BI60" s="29" t="n"/>
      <c r="BJ60" s="27" t="n"/>
      <c r="BK60" s="27" t="n"/>
      <c r="BL60" s="27" t="n"/>
      <c r="BM60" s="27" t="n"/>
      <c r="DN60" s="26">
        <f>IF('テスト条件'!A59="","",'テスト条件'!A59)</f>
        <v/>
      </c>
    </row>
    <row r="61">
      <c r="A61" s="27" t="n"/>
      <c r="B61" s="27" t="n"/>
      <c r="C61" s="28">
        <f>IF(A61="","",$B$2)</f>
        <v/>
      </c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27" t="n"/>
      <c r="AJ61" s="27" t="n"/>
      <c r="AK61" s="27" t="n"/>
      <c r="AL61" s="27" t="n"/>
      <c r="AM61" s="27" t="n"/>
      <c r="AN61" s="27" t="n"/>
      <c r="AO61" s="27" t="n"/>
      <c r="AP61" s="27" t="n"/>
      <c r="AQ61" s="27" t="n"/>
      <c r="AR61" s="27" t="n"/>
      <c r="AS61" s="27" t="n"/>
      <c r="AT61" s="27" t="n"/>
      <c r="AU61" s="27" t="n"/>
      <c r="AV61" s="27" t="n"/>
      <c r="AW61" s="27" t="n"/>
      <c r="AX61" s="27" t="n"/>
      <c r="AY61" s="27" t="n"/>
      <c r="AZ61" s="27" t="n"/>
      <c r="BA61" s="27" t="n"/>
      <c r="BB61" s="27" t="n"/>
      <c r="BC61" s="27" t="n"/>
      <c r="BD61" s="27" t="n"/>
      <c r="BE61" s="27" t="n"/>
      <c r="BF61" s="27" t="n"/>
      <c r="BG61" s="27" t="n"/>
      <c r="BH61" s="27" t="n"/>
      <c r="BI61" s="29" t="n"/>
      <c r="BJ61" s="27" t="n"/>
      <c r="BK61" s="27" t="n"/>
      <c r="BL61" s="27" t="n"/>
      <c r="BM61" s="27" t="n"/>
      <c r="DN61" s="26">
        <f>IF('テスト条件'!A60="","",'テスト条件'!A60)</f>
        <v/>
      </c>
    </row>
    <row r="62">
      <c r="A62" s="27" t="n"/>
      <c r="B62" s="27" t="n"/>
      <c r="C62" s="28">
        <f>IF(A62="","",$B$2)</f>
        <v/>
      </c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27" t="n"/>
      <c r="AJ62" s="27" t="n"/>
      <c r="AK62" s="27" t="n"/>
      <c r="AL62" s="27" t="n"/>
      <c r="AM62" s="27" t="n"/>
      <c r="AN62" s="27" t="n"/>
      <c r="AO62" s="27" t="n"/>
      <c r="AP62" s="27" t="n"/>
      <c r="AQ62" s="27" t="n"/>
      <c r="AR62" s="27" t="n"/>
      <c r="AS62" s="27" t="n"/>
      <c r="AT62" s="27" t="n"/>
      <c r="AU62" s="27" t="n"/>
      <c r="AV62" s="27" t="n"/>
      <c r="AW62" s="27" t="n"/>
      <c r="AX62" s="27" t="n"/>
      <c r="AY62" s="27" t="n"/>
      <c r="AZ62" s="27" t="n"/>
      <c r="BA62" s="27" t="n"/>
      <c r="BB62" s="27" t="n"/>
      <c r="BC62" s="27" t="n"/>
      <c r="BD62" s="27" t="n"/>
      <c r="BE62" s="27" t="n"/>
      <c r="BF62" s="27" t="n"/>
      <c r="BG62" s="27" t="n"/>
      <c r="BH62" s="27" t="n"/>
      <c r="BI62" s="29" t="n"/>
      <c r="BJ62" s="27" t="n"/>
      <c r="BK62" s="27" t="n"/>
      <c r="BL62" s="27" t="n"/>
      <c r="BM62" s="27" t="n"/>
      <c r="DN62" s="26">
        <f>IF('テスト条件'!A61="","",'テスト条件'!A61)</f>
        <v/>
      </c>
    </row>
    <row r="63">
      <c r="A63" s="27" t="n"/>
      <c r="B63" s="27" t="n"/>
      <c r="C63" s="28">
        <f>IF(A63="","",$B$2)</f>
        <v/>
      </c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  <c r="AA63" s="27" t="n"/>
      <c r="AB63" s="27" t="n"/>
      <c r="AC63" s="27" t="n"/>
      <c r="AD63" s="27" t="n"/>
      <c r="AE63" s="27" t="n"/>
      <c r="AF63" s="27" t="n"/>
      <c r="AG63" s="27" t="n"/>
      <c r="AH63" s="27" t="n"/>
      <c r="AI63" s="27" t="n"/>
      <c r="AJ63" s="27" t="n"/>
      <c r="AK63" s="27" t="n"/>
      <c r="AL63" s="27" t="n"/>
      <c r="AM63" s="27" t="n"/>
      <c r="AN63" s="27" t="n"/>
      <c r="AO63" s="27" t="n"/>
      <c r="AP63" s="27" t="n"/>
      <c r="AQ63" s="27" t="n"/>
      <c r="AR63" s="27" t="n"/>
      <c r="AS63" s="27" t="n"/>
      <c r="AT63" s="27" t="n"/>
      <c r="AU63" s="27" t="n"/>
      <c r="AV63" s="27" t="n"/>
      <c r="AW63" s="27" t="n"/>
      <c r="AX63" s="27" t="n"/>
      <c r="AY63" s="27" t="n"/>
      <c r="AZ63" s="27" t="n"/>
      <c r="BA63" s="27" t="n"/>
      <c r="BB63" s="27" t="n"/>
      <c r="BC63" s="27" t="n"/>
      <c r="BD63" s="27" t="n"/>
      <c r="BE63" s="27" t="n"/>
      <c r="BF63" s="27" t="n"/>
      <c r="BG63" s="27" t="n"/>
      <c r="BH63" s="27" t="n"/>
      <c r="BI63" s="29" t="n"/>
      <c r="BJ63" s="27" t="n"/>
      <c r="BK63" s="27" t="n"/>
      <c r="BL63" s="27" t="n"/>
      <c r="BM63" s="27" t="n"/>
      <c r="DN63" s="26">
        <f>IF('テスト条件'!A62="","",'テスト条件'!A62)</f>
        <v/>
      </c>
    </row>
    <row r="64">
      <c r="A64" s="27" t="n"/>
      <c r="B64" s="27" t="n"/>
      <c r="C64" s="28">
        <f>IF(A64="","",$B$2)</f>
        <v/>
      </c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27" t="n"/>
      <c r="AJ64" s="27" t="n"/>
      <c r="AK64" s="27" t="n"/>
      <c r="AL64" s="27" t="n"/>
      <c r="AM64" s="27" t="n"/>
      <c r="AN64" s="27" t="n"/>
      <c r="AO64" s="27" t="n"/>
      <c r="AP64" s="27" t="n"/>
      <c r="AQ64" s="27" t="n"/>
      <c r="AR64" s="27" t="n"/>
      <c r="AS64" s="27" t="n"/>
      <c r="AT64" s="27" t="n"/>
      <c r="AU64" s="27" t="n"/>
      <c r="AV64" s="27" t="n"/>
      <c r="AW64" s="27" t="n"/>
      <c r="AX64" s="27" t="n"/>
      <c r="AY64" s="27" t="n"/>
      <c r="AZ64" s="27" t="n"/>
      <c r="BA64" s="27" t="n"/>
      <c r="BB64" s="27" t="n"/>
      <c r="BC64" s="27" t="n"/>
      <c r="BD64" s="27" t="n"/>
      <c r="BE64" s="27" t="n"/>
      <c r="BF64" s="27" t="n"/>
      <c r="BG64" s="27" t="n"/>
      <c r="BH64" s="27" t="n"/>
      <c r="BI64" s="29" t="n"/>
      <c r="BJ64" s="27" t="n"/>
      <c r="BK64" s="27" t="n"/>
      <c r="BL64" s="27" t="n"/>
      <c r="BM64" s="27" t="n"/>
      <c r="DN64" s="26">
        <f>IF('テスト条件'!A63="","",'テスト条件'!A63)</f>
        <v/>
      </c>
    </row>
    <row r="65">
      <c r="A65" s="27" t="n"/>
      <c r="B65" s="27" t="n"/>
      <c r="C65" s="28">
        <f>IF(A65="","",$B$2)</f>
        <v/>
      </c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27" t="n"/>
      <c r="AJ65" s="27" t="n"/>
      <c r="AK65" s="27" t="n"/>
      <c r="AL65" s="27" t="n"/>
      <c r="AM65" s="27" t="n"/>
      <c r="AN65" s="27" t="n"/>
      <c r="AO65" s="27" t="n"/>
      <c r="AP65" s="27" t="n"/>
      <c r="AQ65" s="27" t="n"/>
      <c r="AR65" s="27" t="n"/>
      <c r="AS65" s="27" t="n"/>
      <c r="AT65" s="27" t="n"/>
      <c r="AU65" s="27" t="n"/>
      <c r="AV65" s="27" t="n"/>
      <c r="AW65" s="27" t="n"/>
      <c r="AX65" s="27" t="n"/>
      <c r="AY65" s="27" t="n"/>
      <c r="AZ65" s="27" t="n"/>
      <c r="BA65" s="27" t="n"/>
      <c r="BB65" s="27" t="n"/>
      <c r="BC65" s="27" t="n"/>
      <c r="BD65" s="27" t="n"/>
      <c r="BE65" s="27" t="n"/>
      <c r="BF65" s="27" t="n"/>
      <c r="BG65" s="27" t="n"/>
      <c r="BH65" s="27" t="n"/>
      <c r="BI65" s="29" t="n"/>
      <c r="BJ65" s="27" t="n"/>
      <c r="BK65" s="27" t="n"/>
      <c r="BL65" s="27" t="n"/>
      <c r="BM65" s="27" t="n"/>
      <c r="DN65" s="26">
        <f>IF('テスト条件'!A64="","",'テスト条件'!A64)</f>
        <v/>
      </c>
    </row>
    <row r="66">
      <c r="A66" s="27" t="n"/>
      <c r="B66" s="27" t="n"/>
      <c r="C66" s="28">
        <f>IF(A66="","",$B$2)</f>
        <v/>
      </c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27" t="n"/>
      <c r="AJ66" s="27" t="n"/>
      <c r="AK66" s="27" t="n"/>
      <c r="AL66" s="27" t="n"/>
      <c r="AM66" s="27" t="n"/>
      <c r="AN66" s="27" t="n"/>
      <c r="AO66" s="27" t="n"/>
      <c r="AP66" s="27" t="n"/>
      <c r="AQ66" s="27" t="n"/>
      <c r="AR66" s="27" t="n"/>
      <c r="AS66" s="27" t="n"/>
      <c r="AT66" s="27" t="n"/>
      <c r="AU66" s="27" t="n"/>
      <c r="AV66" s="27" t="n"/>
      <c r="AW66" s="27" t="n"/>
      <c r="AX66" s="27" t="n"/>
      <c r="AY66" s="27" t="n"/>
      <c r="AZ66" s="27" t="n"/>
      <c r="BA66" s="27" t="n"/>
      <c r="BB66" s="27" t="n"/>
      <c r="BC66" s="27" t="n"/>
      <c r="BD66" s="27" t="n"/>
      <c r="BE66" s="27" t="n"/>
      <c r="BF66" s="27" t="n"/>
      <c r="BG66" s="27" t="n"/>
      <c r="BH66" s="27" t="n"/>
      <c r="BI66" s="29" t="n"/>
      <c r="BJ66" s="27" t="n"/>
      <c r="BK66" s="27" t="n"/>
      <c r="BL66" s="27" t="n"/>
      <c r="BM66" s="27" t="n"/>
      <c r="DN66" s="26">
        <f>IF('テスト条件'!A65="","",'テスト条件'!A65)</f>
        <v/>
      </c>
    </row>
    <row r="67">
      <c r="A67" s="27" t="n"/>
      <c r="B67" s="27" t="n"/>
      <c r="C67" s="28">
        <f>IF(A67="","",$B$2)</f>
        <v/>
      </c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  <c r="AA67" s="27" t="n"/>
      <c r="AB67" s="27" t="n"/>
      <c r="AC67" s="27" t="n"/>
      <c r="AD67" s="27" t="n"/>
      <c r="AE67" s="27" t="n"/>
      <c r="AF67" s="27" t="n"/>
      <c r="AG67" s="27" t="n"/>
      <c r="AH67" s="27" t="n"/>
      <c r="AI67" s="27" t="n"/>
      <c r="AJ67" s="27" t="n"/>
      <c r="AK67" s="27" t="n"/>
      <c r="AL67" s="27" t="n"/>
      <c r="AM67" s="27" t="n"/>
      <c r="AN67" s="27" t="n"/>
      <c r="AO67" s="27" t="n"/>
      <c r="AP67" s="27" t="n"/>
      <c r="AQ67" s="27" t="n"/>
      <c r="AR67" s="27" t="n"/>
      <c r="AS67" s="27" t="n"/>
      <c r="AT67" s="27" t="n"/>
      <c r="AU67" s="27" t="n"/>
      <c r="AV67" s="27" t="n"/>
      <c r="AW67" s="27" t="n"/>
      <c r="AX67" s="27" t="n"/>
      <c r="AY67" s="27" t="n"/>
      <c r="AZ67" s="27" t="n"/>
      <c r="BA67" s="27" t="n"/>
      <c r="BB67" s="27" t="n"/>
      <c r="BC67" s="27" t="n"/>
      <c r="BD67" s="27" t="n"/>
      <c r="BE67" s="27" t="n"/>
      <c r="BF67" s="27" t="n"/>
      <c r="BG67" s="27" t="n"/>
      <c r="BH67" s="27" t="n"/>
      <c r="BI67" s="29" t="n"/>
      <c r="BJ67" s="27" t="n"/>
      <c r="BK67" s="27" t="n"/>
      <c r="BL67" s="27" t="n"/>
      <c r="BM67" s="27" t="n"/>
      <c r="DN67" s="26">
        <f>IF('テスト条件'!A66="","",'テスト条件'!A66)</f>
        <v/>
      </c>
    </row>
    <row r="68">
      <c r="A68" s="27" t="n"/>
      <c r="B68" s="27" t="n"/>
      <c r="C68" s="28">
        <f>IF(A68="","",$B$2)</f>
        <v/>
      </c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  <c r="AA68" s="27" t="n"/>
      <c r="AB68" s="27" t="n"/>
      <c r="AC68" s="27" t="n"/>
      <c r="AD68" s="27" t="n"/>
      <c r="AE68" s="27" t="n"/>
      <c r="AF68" s="27" t="n"/>
      <c r="AG68" s="27" t="n"/>
      <c r="AH68" s="27" t="n"/>
      <c r="AI68" s="27" t="n"/>
      <c r="AJ68" s="27" t="n"/>
      <c r="AK68" s="27" t="n"/>
      <c r="AL68" s="27" t="n"/>
      <c r="AM68" s="27" t="n"/>
      <c r="AN68" s="27" t="n"/>
      <c r="AO68" s="27" t="n"/>
      <c r="AP68" s="27" t="n"/>
      <c r="AQ68" s="27" t="n"/>
      <c r="AR68" s="27" t="n"/>
      <c r="AS68" s="27" t="n"/>
      <c r="AT68" s="27" t="n"/>
      <c r="AU68" s="27" t="n"/>
      <c r="AV68" s="27" t="n"/>
      <c r="AW68" s="27" t="n"/>
      <c r="AX68" s="27" t="n"/>
      <c r="AY68" s="27" t="n"/>
      <c r="AZ68" s="27" t="n"/>
      <c r="BA68" s="27" t="n"/>
      <c r="BB68" s="27" t="n"/>
      <c r="BC68" s="27" t="n"/>
      <c r="BD68" s="27" t="n"/>
      <c r="BE68" s="27" t="n"/>
      <c r="BF68" s="27" t="n"/>
      <c r="BG68" s="27" t="n"/>
      <c r="BH68" s="27" t="n"/>
      <c r="BI68" s="29" t="n"/>
      <c r="BJ68" s="27" t="n"/>
      <c r="BK68" s="27" t="n"/>
      <c r="BL68" s="27" t="n"/>
      <c r="BM68" s="27" t="n"/>
      <c r="DN68" s="26">
        <f>IF('テスト条件'!A67="","",'テスト条件'!A67)</f>
        <v/>
      </c>
    </row>
    <row r="69">
      <c r="A69" s="27" t="n"/>
      <c r="B69" s="27" t="n"/>
      <c r="C69" s="28">
        <f>IF(A69="","",$B$2)</f>
        <v/>
      </c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  <c r="AA69" s="27" t="n"/>
      <c r="AB69" s="27" t="n"/>
      <c r="AC69" s="27" t="n"/>
      <c r="AD69" s="27" t="n"/>
      <c r="AE69" s="27" t="n"/>
      <c r="AF69" s="27" t="n"/>
      <c r="AG69" s="27" t="n"/>
      <c r="AH69" s="27" t="n"/>
      <c r="AI69" s="27" t="n"/>
      <c r="AJ69" s="27" t="n"/>
      <c r="AK69" s="27" t="n"/>
      <c r="AL69" s="27" t="n"/>
      <c r="AM69" s="27" t="n"/>
      <c r="AN69" s="27" t="n"/>
      <c r="AO69" s="27" t="n"/>
      <c r="AP69" s="27" t="n"/>
      <c r="AQ69" s="27" t="n"/>
      <c r="AR69" s="27" t="n"/>
      <c r="AS69" s="27" t="n"/>
      <c r="AT69" s="27" t="n"/>
      <c r="AU69" s="27" t="n"/>
      <c r="AV69" s="27" t="n"/>
      <c r="AW69" s="27" t="n"/>
      <c r="AX69" s="27" t="n"/>
      <c r="AY69" s="27" t="n"/>
      <c r="AZ69" s="27" t="n"/>
      <c r="BA69" s="27" t="n"/>
      <c r="BB69" s="27" t="n"/>
      <c r="BC69" s="27" t="n"/>
      <c r="BD69" s="27" t="n"/>
      <c r="BE69" s="27" t="n"/>
      <c r="BF69" s="27" t="n"/>
      <c r="BG69" s="27" t="n"/>
      <c r="BH69" s="27" t="n"/>
      <c r="BI69" s="29" t="n"/>
      <c r="BJ69" s="27" t="n"/>
      <c r="BK69" s="27" t="n"/>
      <c r="BL69" s="27" t="n"/>
      <c r="BM69" s="27" t="n"/>
      <c r="DN69" s="26">
        <f>IF('テスト条件'!A68="","",'テスト条件'!A68)</f>
        <v/>
      </c>
    </row>
    <row r="70">
      <c r="A70" s="27" t="n"/>
      <c r="B70" s="27" t="n"/>
      <c r="C70" s="28">
        <f>IF(A70="","",$B$2)</f>
        <v/>
      </c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  <c r="AA70" s="27" t="n"/>
      <c r="AB70" s="27" t="n"/>
      <c r="AC70" s="27" t="n"/>
      <c r="AD70" s="27" t="n"/>
      <c r="AE70" s="27" t="n"/>
      <c r="AF70" s="27" t="n"/>
      <c r="AG70" s="27" t="n"/>
      <c r="AH70" s="27" t="n"/>
      <c r="AI70" s="27" t="n"/>
      <c r="AJ70" s="27" t="n"/>
      <c r="AK70" s="27" t="n"/>
      <c r="AL70" s="27" t="n"/>
      <c r="AM70" s="27" t="n"/>
      <c r="AN70" s="27" t="n"/>
      <c r="AO70" s="27" t="n"/>
      <c r="AP70" s="27" t="n"/>
      <c r="AQ70" s="27" t="n"/>
      <c r="AR70" s="27" t="n"/>
      <c r="AS70" s="27" t="n"/>
      <c r="AT70" s="27" t="n"/>
      <c r="AU70" s="27" t="n"/>
      <c r="AV70" s="27" t="n"/>
      <c r="AW70" s="27" t="n"/>
      <c r="AX70" s="27" t="n"/>
      <c r="AY70" s="27" t="n"/>
      <c r="AZ70" s="27" t="n"/>
      <c r="BA70" s="27" t="n"/>
      <c r="BB70" s="27" t="n"/>
      <c r="BC70" s="27" t="n"/>
      <c r="BD70" s="27" t="n"/>
      <c r="BE70" s="27" t="n"/>
      <c r="BF70" s="27" t="n"/>
      <c r="BG70" s="27" t="n"/>
      <c r="BH70" s="27" t="n"/>
      <c r="BI70" s="29" t="n"/>
      <c r="BJ70" s="27" t="n"/>
      <c r="BK70" s="27" t="n"/>
      <c r="BL70" s="27" t="n"/>
      <c r="BM70" s="27" t="n"/>
      <c r="DN70" s="26">
        <f>IF('テスト条件'!A69="","",'テスト条件'!A69)</f>
        <v/>
      </c>
    </row>
    <row r="71">
      <c r="A71" s="27" t="n"/>
      <c r="B71" s="27" t="n"/>
      <c r="C71" s="28">
        <f>IF(A71="","",$B$2)</f>
        <v/>
      </c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  <c r="AA71" s="27" t="n"/>
      <c r="AB71" s="27" t="n"/>
      <c r="AC71" s="27" t="n"/>
      <c r="AD71" s="27" t="n"/>
      <c r="AE71" s="27" t="n"/>
      <c r="AF71" s="27" t="n"/>
      <c r="AG71" s="27" t="n"/>
      <c r="AH71" s="27" t="n"/>
      <c r="AI71" s="27" t="n"/>
      <c r="AJ71" s="27" t="n"/>
      <c r="AK71" s="27" t="n"/>
      <c r="AL71" s="27" t="n"/>
      <c r="AM71" s="27" t="n"/>
      <c r="AN71" s="27" t="n"/>
      <c r="AO71" s="27" t="n"/>
      <c r="AP71" s="27" t="n"/>
      <c r="AQ71" s="27" t="n"/>
      <c r="AR71" s="27" t="n"/>
      <c r="AS71" s="27" t="n"/>
      <c r="AT71" s="27" t="n"/>
      <c r="AU71" s="27" t="n"/>
      <c r="AV71" s="27" t="n"/>
      <c r="AW71" s="27" t="n"/>
      <c r="AX71" s="27" t="n"/>
      <c r="AY71" s="27" t="n"/>
      <c r="AZ71" s="27" t="n"/>
      <c r="BA71" s="27" t="n"/>
      <c r="BB71" s="27" t="n"/>
      <c r="BC71" s="27" t="n"/>
      <c r="BD71" s="27" t="n"/>
      <c r="BE71" s="27" t="n"/>
      <c r="BF71" s="27" t="n"/>
      <c r="BG71" s="27" t="n"/>
      <c r="BH71" s="27" t="n"/>
      <c r="BI71" s="29" t="n"/>
      <c r="BJ71" s="27" t="n"/>
      <c r="BK71" s="27" t="n"/>
      <c r="BL71" s="27" t="n"/>
      <c r="BM71" s="27" t="n"/>
      <c r="DN71" s="26">
        <f>IF('テスト条件'!A70="","",'テスト条件'!A70)</f>
        <v/>
      </c>
    </row>
    <row r="72">
      <c r="A72" s="27" t="n"/>
      <c r="B72" s="27" t="n"/>
      <c r="C72" s="28">
        <f>IF(A72="","",$B$2)</f>
        <v/>
      </c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  <c r="AA72" s="27" t="n"/>
      <c r="AB72" s="27" t="n"/>
      <c r="AC72" s="27" t="n"/>
      <c r="AD72" s="27" t="n"/>
      <c r="AE72" s="27" t="n"/>
      <c r="AF72" s="27" t="n"/>
      <c r="AG72" s="27" t="n"/>
      <c r="AH72" s="27" t="n"/>
      <c r="AI72" s="27" t="n"/>
      <c r="AJ72" s="27" t="n"/>
      <c r="AK72" s="27" t="n"/>
      <c r="AL72" s="27" t="n"/>
      <c r="AM72" s="27" t="n"/>
      <c r="AN72" s="27" t="n"/>
      <c r="AO72" s="27" t="n"/>
      <c r="AP72" s="27" t="n"/>
      <c r="AQ72" s="27" t="n"/>
      <c r="AR72" s="27" t="n"/>
      <c r="AS72" s="27" t="n"/>
      <c r="AT72" s="27" t="n"/>
      <c r="AU72" s="27" t="n"/>
      <c r="AV72" s="27" t="n"/>
      <c r="AW72" s="27" t="n"/>
      <c r="AX72" s="27" t="n"/>
      <c r="AY72" s="27" t="n"/>
      <c r="AZ72" s="27" t="n"/>
      <c r="BA72" s="27" t="n"/>
      <c r="BB72" s="27" t="n"/>
      <c r="BC72" s="27" t="n"/>
      <c r="BD72" s="27" t="n"/>
      <c r="BE72" s="27" t="n"/>
      <c r="BF72" s="27" t="n"/>
      <c r="BG72" s="27" t="n"/>
      <c r="BH72" s="27" t="n"/>
      <c r="BI72" s="29" t="n"/>
      <c r="BJ72" s="27" t="n"/>
      <c r="BK72" s="27" t="n"/>
      <c r="BL72" s="27" t="n"/>
      <c r="BM72" s="27" t="n"/>
      <c r="DN72" s="26">
        <f>IF('テスト条件'!A71="","",'テスト条件'!A71)</f>
        <v/>
      </c>
    </row>
    <row r="73">
      <c r="A73" s="27" t="n"/>
      <c r="B73" s="27" t="n"/>
      <c r="C73" s="28">
        <f>IF(A73="","",$B$2)</f>
        <v/>
      </c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  <c r="AA73" s="27" t="n"/>
      <c r="AB73" s="27" t="n"/>
      <c r="AC73" s="27" t="n"/>
      <c r="AD73" s="27" t="n"/>
      <c r="AE73" s="27" t="n"/>
      <c r="AF73" s="27" t="n"/>
      <c r="AG73" s="27" t="n"/>
      <c r="AH73" s="27" t="n"/>
      <c r="AI73" s="27" t="n"/>
      <c r="AJ73" s="27" t="n"/>
      <c r="AK73" s="27" t="n"/>
      <c r="AL73" s="27" t="n"/>
      <c r="AM73" s="27" t="n"/>
      <c r="AN73" s="27" t="n"/>
      <c r="AO73" s="27" t="n"/>
      <c r="AP73" s="27" t="n"/>
      <c r="AQ73" s="27" t="n"/>
      <c r="AR73" s="27" t="n"/>
      <c r="AS73" s="27" t="n"/>
      <c r="AT73" s="27" t="n"/>
      <c r="AU73" s="27" t="n"/>
      <c r="AV73" s="27" t="n"/>
      <c r="AW73" s="27" t="n"/>
      <c r="AX73" s="27" t="n"/>
      <c r="AY73" s="27" t="n"/>
      <c r="AZ73" s="27" t="n"/>
      <c r="BA73" s="27" t="n"/>
      <c r="BB73" s="27" t="n"/>
      <c r="BC73" s="27" t="n"/>
      <c r="BD73" s="27" t="n"/>
      <c r="BE73" s="27" t="n"/>
      <c r="BF73" s="27" t="n"/>
      <c r="BG73" s="27" t="n"/>
      <c r="BH73" s="27" t="n"/>
      <c r="BI73" s="29" t="n"/>
      <c r="BJ73" s="27" t="n"/>
      <c r="BK73" s="27" t="n"/>
      <c r="BL73" s="27" t="n"/>
      <c r="BM73" s="27" t="n"/>
      <c r="DN73" s="26">
        <f>IF('テスト条件'!A72="","",'テスト条件'!A72)</f>
        <v/>
      </c>
    </row>
    <row r="74">
      <c r="A74" s="27" t="n"/>
      <c r="B74" s="27" t="n"/>
      <c r="C74" s="28">
        <f>IF(A74="","",$B$2)</f>
        <v/>
      </c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  <c r="AA74" s="27" t="n"/>
      <c r="AB74" s="27" t="n"/>
      <c r="AC74" s="27" t="n"/>
      <c r="AD74" s="27" t="n"/>
      <c r="AE74" s="27" t="n"/>
      <c r="AF74" s="27" t="n"/>
      <c r="AG74" s="27" t="n"/>
      <c r="AH74" s="27" t="n"/>
      <c r="AI74" s="27" t="n"/>
      <c r="AJ74" s="27" t="n"/>
      <c r="AK74" s="27" t="n"/>
      <c r="AL74" s="27" t="n"/>
      <c r="AM74" s="27" t="n"/>
      <c r="AN74" s="27" t="n"/>
      <c r="AO74" s="27" t="n"/>
      <c r="AP74" s="27" t="n"/>
      <c r="AQ74" s="27" t="n"/>
      <c r="AR74" s="27" t="n"/>
      <c r="AS74" s="27" t="n"/>
      <c r="AT74" s="27" t="n"/>
      <c r="AU74" s="27" t="n"/>
      <c r="AV74" s="27" t="n"/>
      <c r="AW74" s="27" t="n"/>
      <c r="AX74" s="27" t="n"/>
      <c r="AY74" s="27" t="n"/>
      <c r="AZ74" s="27" t="n"/>
      <c r="BA74" s="27" t="n"/>
      <c r="BB74" s="27" t="n"/>
      <c r="BC74" s="27" t="n"/>
      <c r="BD74" s="27" t="n"/>
      <c r="BE74" s="27" t="n"/>
      <c r="BF74" s="27" t="n"/>
      <c r="BG74" s="27" t="n"/>
      <c r="BH74" s="27" t="n"/>
      <c r="BI74" s="29" t="n"/>
      <c r="BJ74" s="27" t="n"/>
      <c r="BK74" s="27" t="n"/>
      <c r="BL74" s="27" t="n"/>
      <c r="BM74" s="27" t="n"/>
      <c r="DN74" s="26">
        <f>IF('テスト条件'!A73="","",'テスト条件'!A73)</f>
        <v/>
      </c>
    </row>
    <row r="75">
      <c r="A75" s="27" t="n"/>
      <c r="B75" s="27" t="n"/>
      <c r="C75" s="28">
        <f>IF(A75="","",$B$2)</f>
        <v/>
      </c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  <c r="AA75" s="27" t="n"/>
      <c r="AB75" s="27" t="n"/>
      <c r="AC75" s="27" t="n"/>
      <c r="AD75" s="27" t="n"/>
      <c r="AE75" s="27" t="n"/>
      <c r="AF75" s="27" t="n"/>
      <c r="AG75" s="27" t="n"/>
      <c r="AH75" s="27" t="n"/>
      <c r="AI75" s="27" t="n"/>
      <c r="AJ75" s="27" t="n"/>
      <c r="AK75" s="27" t="n"/>
      <c r="AL75" s="27" t="n"/>
      <c r="AM75" s="27" t="n"/>
      <c r="AN75" s="27" t="n"/>
      <c r="AO75" s="27" t="n"/>
      <c r="AP75" s="27" t="n"/>
      <c r="AQ75" s="27" t="n"/>
      <c r="AR75" s="27" t="n"/>
      <c r="AS75" s="27" t="n"/>
      <c r="AT75" s="27" t="n"/>
      <c r="AU75" s="27" t="n"/>
      <c r="AV75" s="27" t="n"/>
      <c r="AW75" s="27" t="n"/>
      <c r="AX75" s="27" t="n"/>
      <c r="AY75" s="27" t="n"/>
      <c r="AZ75" s="27" t="n"/>
      <c r="BA75" s="27" t="n"/>
      <c r="BB75" s="27" t="n"/>
      <c r="BC75" s="27" t="n"/>
      <c r="BD75" s="27" t="n"/>
      <c r="BE75" s="27" t="n"/>
      <c r="BF75" s="27" t="n"/>
      <c r="BG75" s="27" t="n"/>
      <c r="BH75" s="27" t="n"/>
      <c r="BI75" s="29" t="n"/>
      <c r="BJ75" s="27" t="n"/>
      <c r="BK75" s="27" t="n"/>
      <c r="BL75" s="27" t="n"/>
      <c r="BM75" s="27" t="n"/>
      <c r="DN75" s="26">
        <f>IF('テスト条件'!A74="","",'テスト条件'!A74)</f>
        <v/>
      </c>
    </row>
    <row r="76">
      <c r="A76" s="27" t="n"/>
      <c r="B76" s="27" t="n"/>
      <c r="C76" s="28">
        <f>IF(A76="","",$B$2)</f>
        <v/>
      </c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  <c r="AA76" s="27" t="n"/>
      <c r="AB76" s="27" t="n"/>
      <c r="AC76" s="27" t="n"/>
      <c r="AD76" s="27" t="n"/>
      <c r="AE76" s="27" t="n"/>
      <c r="AF76" s="27" t="n"/>
      <c r="AG76" s="27" t="n"/>
      <c r="AH76" s="27" t="n"/>
      <c r="AI76" s="27" t="n"/>
      <c r="AJ76" s="27" t="n"/>
      <c r="AK76" s="27" t="n"/>
      <c r="AL76" s="27" t="n"/>
      <c r="AM76" s="27" t="n"/>
      <c r="AN76" s="27" t="n"/>
      <c r="AO76" s="27" t="n"/>
      <c r="AP76" s="27" t="n"/>
      <c r="AQ76" s="27" t="n"/>
      <c r="AR76" s="27" t="n"/>
      <c r="AS76" s="27" t="n"/>
      <c r="AT76" s="27" t="n"/>
      <c r="AU76" s="27" t="n"/>
      <c r="AV76" s="27" t="n"/>
      <c r="AW76" s="27" t="n"/>
      <c r="AX76" s="27" t="n"/>
      <c r="AY76" s="27" t="n"/>
      <c r="AZ76" s="27" t="n"/>
      <c r="BA76" s="27" t="n"/>
      <c r="BB76" s="27" t="n"/>
      <c r="BC76" s="27" t="n"/>
      <c r="BD76" s="27" t="n"/>
      <c r="BE76" s="27" t="n"/>
      <c r="BF76" s="27" t="n"/>
      <c r="BG76" s="27" t="n"/>
      <c r="BH76" s="27" t="n"/>
      <c r="BI76" s="29" t="n"/>
      <c r="BJ76" s="27" t="n"/>
      <c r="BK76" s="27" t="n"/>
      <c r="BL76" s="27" t="n"/>
      <c r="BM76" s="27" t="n"/>
      <c r="DN76" s="26">
        <f>IF('テスト条件'!A75="","",'テスト条件'!A75)</f>
        <v/>
      </c>
    </row>
    <row r="77">
      <c r="A77" s="27" t="n"/>
      <c r="B77" s="27" t="n"/>
      <c r="C77" s="28">
        <f>IF(A77="","",$B$2)</f>
        <v/>
      </c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  <c r="AA77" s="27" t="n"/>
      <c r="AB77" s="27" t="n"/>
      <c r="AC77" s="27" t="n"/>
      <c r="AD77" s="27" t="n"/>
      <c r="AE77" s="27" t="n"/>
      <c r="AF77" s="27" t="n"/>
      <c r="AG77" s="27" t="n"/>
      <c r="AH77" s="27" t="n"/>
      <c r="AI77" s="27" t="n"/>
      <c r="AJ77" s="27" t="n"/>
      <c r="AK77" s="27" t="n"/>
      <c r="AL77" s="27" t="n"/>
      <c r="AM77" s="27" t="n"/>
      <c r="AN77" s="27" t="n"/>
      <c r="AO77" s="27" t="n"/>
      <c r="AP77" s="27" t="n"/>
      <c r="AQ77" s="27" t="n"/>
      <c r="AR77" s="27" t="n"/>
      <c r="AS77" s="27" t="n"/>
      <c r="AT77" s="27" t="n"/>
      <c r="AU77" s="27" t="n"/>
      <c r="AV77" s="27" t="n"/>
      <c r="AW77" s="27" t="n"/>
      <c r="AX77" s="27" t="n"/>
      <c r="AY77" s="27" t="n"/>
      <c r="AZ77" s="27" t="n"/>
      <c r="BA77" s="27" t="n"/>
      <c r="BB77" s="27" t="n"/>
      <c r="BC77" s="27" t="n"/>
      <c r="BD77" s="27" t="n"/>
      <c r="BE77" s="27" t="n"/>
      <c r="BF77" s="27" t="n"/>
      <c r="BG77" s="27" t="n"/>
      <c r="BH77" s="27" t="n"/>
      <c r="BI77" s="29" t="n"/>
      <c r="BJ77" s="27" t="n"/>
      <c r="BK77" s="27" t="n"/>
      <c r="BL77" s="27" t="n"/>
      <c r="BM77" s="27" t="n"/>
      <c r="DN77" s="26">
        <f>IF('テスト条件'!A76="","",'テスト条件'!A76)</f>
        <v/>
      </c>
    </row>
    <row r="78">
      <c r="A78" s="27" t="n"/>
      <c r="B78" s="27" t="n"/>
      <c r="C78" s="28">
        <f>IF(A78="","",$B$2)</f>
        <v/>
      </c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  <c r="AA78" s="27" t="n"/>
      <c r="AB78" s="27" t="n"/>
      <c r="AC78" s="27" t="n"/>
      <c r="AD78" s="27" t="n"/>
      <c r="AE78" s="27" t="n"/>
      <c r="AF78" s="27" t="n"/>
      <c r="AG78" s="27" t="n"/>
      <c r="AH78" s="27" t="n"/>
      <c r="AI78" s="27" t="n"/>
      <c r="AJ78" s="27" t="n"/>
      <c r="AK78" s="27" t="n"/>
      <c r="AL78" s="27" t="n"/>
      <c r="AM78" s="27" t="n"/>
      <c r="AN78" s="27" t="n"/>
      <c r="AO78" s="27" t="n"/>
      <c r="AP78" s="27" t="n"/>
      <c r="AQ78" s="27" t="n"/>
      <c r="AR78" s="27" t="n"/>
      <c r="AS78" s="27" t="n"/>
      <c r="AT78" s="27" t="n"/>
      <c r="AU78" s="27" t="n"/>
      <c r="AV78" s="27" t="n"/>
      <c r="AW78" s="27" t="n"/>
      <c r="AX78" s="27" t="n"/>
      <c r="AY78" s="27" t="n"/>
      <c r="AZ78" s="27" t="n"/>
      <c r="BA78" s="27" t="n"/>
      <c r="BB78" s="27" t="n"/>
      <c r="BC78" s="27" t="n"/>
      <c r="BD78" s="27" t="n"/>
      <c r="BE78" s="27" t="n"/>
      <c r="BF78" s="27" t="n"/>
      <c r="BG78" s="27" t="n"/>
      <c r="BH78" s="27" t="n"/>
      <c r="BI78" s="29" t="n"/>
      <c r="BJ78" s="27" t="n"/>
      <c r="BK78" s="27" t="n"/>
      <c r="BL78" s="27" t="n"/>
      <c r="BM78" s="27" t="n"/>
      <c r="DN78" s="26">
        <f>IF('テスト条件'!A77="","",'テスト条件'!A77)</f>
        <v/>
      </c>
    </row>
    <row r="79">
      <c r="A79" s="27" t="n"/>
      <c r="B79" s="27" t="n"/>
      <c r="C79" s="28">
        <f>IF(A79="","",$B$2)</f>
        <v/>
      </c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  <c r="AA79" s="27" t="n"/>
      <c r="AB79" s="27" t="n"/>
      <c r="AC79" s="27" t="n"/>
      <c r="AD79" s="27" t="n"/>
      <c r="AE79" s="27" t="n"/>
      <c r="AF79" s="27" t="n"/>
      <c r="AG79" s="27" t="n"/>
      <c r="AH79" s="27" t="n"/>
      <c r="AI79" s="27" t="n"/>
      <c r="AJ79" s="27" t="n"/>
      <c r="AK79" s="27" t="n"/>
      <c r="AL79" s="27" t="n"/>
      <c r="AM79" s="27" t="n"/>
      <c r="AN79" s="27" t="n"/>
      <c r="AO79" s="27" t="n"/>
      <c r="AP79" s="27" t="n"/>
      <c r="AQ79" s="27" t="n"/>
      <c r="AR79" s="27" t="n"/>
      <c r="AS79" s="27" t="n"/>
      <c r="AT79" s="27" t="n"/>
      <c r="AU79" s="27" t="n"/>
      <c r="AV79" s="27" t="n"/>
      <c r="AW79" s="27" t="n"/>
      <c r="AX79" s="27" t="n"/>
      <c r="AY79" s="27" t="n"/>
      <c r="AZ79" s="27" t="n"/>
      <c r="BA79" s="27" t="n"/>
      <c r="BB79" s="27" t="n"/>
      <c r="BC79" s="27" t="n"/>
      <c r="BD79" s="27" t="n"/>
      <c r="BE79" s="27" t="n"/>
      <c r="BF79" s="27" t="n"/>
      <c r="BG79" s="27" t="n"/>
      <c r="BH79" s="27" t="n"/>
      <c r="BI79" s="29" t="n"/>
      <c r="BJ79" s="27" t="n"/>
      <c r="BK79" s="27" t="n"/>
      <c r="BL79" s="27" t="n"/>
      <c r="BM79" s="27" t="n"/>
      <c r="DN79" s="26">
        <f>IF('テスト条件'!A78="","",'テスト条件'!A78)</f>
        <v/>
      </c>
    </row>
    <row r="80">
      <c r="A80" s="27" t="n"/>
      <c r="B80" s="27" t="n"/>
      <c r="C80" s="28">
        <f>IF(A80="","",$B$2)</f>
        <v/>
      </c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27" t="n"/>
      <c r="AJ80" s="27" t="n"/>
      <c r="AK80" s="27" t="n"/>
      <c r="AL80" s="27" t="n"/>
      <c r="AM80" s="27" t="n"/>
      <c r="AN80" s="27" t="n"/>
      <c r="AO80" s="27" t="n"/>
      <c r="AP80" s="27" t="n"/>
      <c r="AQ80" s="27" t="n"/>
      <c r="AR80" s="27" t="n"/>
      <c r="AS80" s="27" t="n"/>
      <c r="AT80" s="27" t="n"/>
      <c r="AU80" s="27" t="n"/>
      <c r="AV80" s="27" t="n"/>
      <c r="AW80" s="27" t="n"/>
      <c r="AX80" s="27" t="n"/>
      <c r="AY80" s="27" t="n"/>
      <c r="AZ80" s="27" t="n"/>
      <c r="BA80" s="27" t="n"/>
      <c r="BB80" s="27" t="n"/>
      <c r="BC80" s="27" t="n"/>
      <c r="BD80" s="27" t="n"/>
      <c r="BE80" s="27" t="n"/>
      <c r="BF80" s="27" t="n"/>
      <c r="BG80" s="27" t="n"/>
      <c r="BH80" s="27" t="n"/>
      <c r="BI80" s="29" t="n"/>
      <c r="BJ80" s="27" t="n"/>
      <c r="BK80" s="27" t="n"/>
      <c r="BL80" s="27" t="n"/>
      <c r="BM80" s="27" t="n"/>
      <c r="DN80" s="26">
        <f>IF('テスト条件'!A79="","",'テスト条件'!A79)</f>
        <v/>
      </c>
    </row>
    <row r="81">
      <c r="A81" s="27" t="n"/>
      <c r="B81" s="27" t="n"/>
      <c r="C81" s="28">
        <f>IF(A81="","",$B$2)</f>
        <v/>
      </c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  <c r="AA81" s="27" t="n"/>
      <c r="AB81" s="27" t="n"/>
      <c r="AC81" s="27" t="n"/>
      <c r="AD81" s="27" t="n"/>
      <c r="AE81" s="27" t="n"/>
      <c r="AF81" s="27" t="n"/>
      <c r="AG81" s="27" t="n"/>
      <c r="AH81" s="27" t="n"/>
      <c r="AI81" s="27" t="n"/>
      <c r="AJ81" s="27" t="n"/>
      <c r="AK81" s="27" t="n"/>
      <c r="AL81" s="27" t="n"/>
      <c r="AM81" s="27" t="n"/>
      <c r="AN81" s="27" t="n"/>
      <c r="AO81" s="27" t="n"/>
      <c r="AP81" s="27" t="n"/>
      <c r="AQ81" s="27" t="n"/>
      <c r="AR81" s="27" t="n"/>
      <c r="AS81" s="27" t="n"/>
      <c r="AT81" s="27" t="n"/>
      <c r="AU81" s="27" t="n"/>
      <c r="AV81" s="27" t="n"/>
      <c r="AW81" s="27" t="n"/>
      <c r="AX81" s="27" t="n"/>
      <c r="AY81" s="27" t="n"/>
      <c r="AZ81" s="27" t="n"/>
      <c r="BA81" s="27" t="n"/>
      <c r="BB81" s="27" t="n"/>
      <c r="BC81" s="27" t="n"/>
      <c r="BD81" s="27" t="n"/>
      <c r="BE81" s="27" t="n"/>
      <c r="BF81" s="27" t="n"/>
      <c r="BG81" s="27" t="n"/>
      <c r="BH81" s="27" t="n"/>
      <c r="BI81" s="29" t="n"/>
      <c r="BJ81" s="27" t="n"/>
      <c r="BK81" s="27" t="n"/>
      <c r="BL81" s="27" t="n"/>
      <c r="BM81" s="27" t="n"/>
      <c r="DN81" s="26">
        <f>IF('テスト条件'!A80="","",'テスト条件'!A80)</f>
        <v/>
      </c>
    </row>
    <row r="82">
      <c r="A82" s="27" t="n"/>
      <c r="B82" s="27" t="n"/>
      <c r="C82" s="28">
        <f>IF(A82="","",$B$2)</f>
        <v/>
      </c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  <c r="AA82" s="27" t="n"/>
      <c r="AB82" s="27" t="n"/>
      <c r="AC82" s="27" t="n"/>
      <c r="AD82" s="27" t="n"/>
      <c r="AE82" s="27" t="n"/>
      <c r="AF82" s="27" t="n"/>
      <c r="AG82" s="27" t="n"/>
      <c r="AH82" s="27" t="n"/>
      <c r="AI82" s="27" t="n"/>
      <c r="AJ82" s="27" t="n"/>
      <c r="AK82" s="27" t="n"/>
      <c r="AL82" s="27" t="n"/>
      <c r="AM82" s="27" t="n"/>
      <c r="AN82" s="27" t="n"/>
      <c r="AO82" s="27" t="n"/>
      <c r="AP82" s="27" t="n"/>
      <c r="AQ82" s="27" t="n"/>
      <c r="AR82" s="27" t="n"/>
      <c r="AS82" s="27" t="n"/>
      <c r="AT82" s="27" t="n"/>
      <c r="AU82" s="27" t="n"/>
      <c r="AV82" s="27" t="n"/>
      <c r="AW82" s="27" t="n"/>
      <c r="AX82" s="27" t="n"/>
      <c r="AY82" s="27" t="n"/>
      <c r="AZ82" s="27" t="n"/>
      <c r="BA82" s="27" t="n"/>
      <c r="BB82" s="27" t="n"/>
      <c r="BC82" s="27" t="n"/>
      <c r="BD82" s="27" t="n"/>
      <c r="BE82" s="27" t="n"/>
      <c r="BF82" s="27" t="n"/>
      <c r="BG82" s="27" t="n"/>
      <c r="BH82" s="27" t="n"/>
      <c r="BI82" s="29" t="n"/>
      <c r="BJ82" s="27" t="n"/>
      <c r="BK82" s="27" t="n"/>
      <c r="BL82" s="27" t="n"/>
      <c r="BM82" s="27" t="n"/>
      <c r="DN82" s="26">
        <f>IF('テスト条件'!A81="","",'テスト条件'!A81)</f>
        <v/>
      </c>
    </row>
    <row r="83">
      <c r="A83" s="27" t="n"/>
      <c r="B83" s="27" t="n"/>
      <c r="C83" s="28">
        <f>IF(A83="","",$B$2)</f>
        <v/>
      </c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  <c r="AA83" s="27" t="n"/>
      <c r="AB83" s="27" t="n"/>
      <c r="AC83" s="27" t="n"/>
      <c r="AD83" s="27" t="n"/>
      <c r="AE83" s="27" t="n"/>
      <c r="AF83" s="27" t="n"/>
      <c r="AG83" s="27" t="n"/>
      <c r="AH83" s="27" t="n"/>
      <c r="AI83" s="27" t="n"/>
      <c r="AJ83" s="27" t="n"/>
      <c r="AK83" s="27" t="n"/>
      <c r="AL83" s="27" t="n"/>
      <c r="AM83" s="27" t="n"/>
      <c r="AN83" s="27" t="n"/>
      <c r="AO83" s="27" t="n"/>
      <c r="AP83" s="27" t="n"/>
      <c r="AQ83" s="27" t="n"/>
      <c r="AR83" s="27" t="n"/>
      <c r="AS83" s="27" t="n"/>
      <c r="AT83" s="27" t="n"/>
      <c r="AU83" s="27" t="n"/>
      <c r="AV83" s="27" t="n"/>
      <c r="AW83" s="27" t="n"/>
      <c r="AX83" s="27" t="n"/>
      <c r="AY83" s="27" t="n"/>
      <c r="AZ83" s="27" t="n"/>
      <c r="BA83" s="27" t="n"/>
      <c r="BB83" s="27" t="n"/>
      <c r="BC83" s="27" t="n"/>
      <c r="BD83" s="27" t="n"/>
      <c r="BE83" s="27" t="n"/>
      <c r="BF83" s="27" t="n"/>
      <c r="BG83" s="27" t="n"/>
      <c r="BH83" s="27" t="n"/>
      <c r="BI83" s="29" t="n"/>
      <c r="BJ83" s="27" t="n"/>
      <c r="BK83" s="27" t="n"/>
      <c r="BL83" s="27" t="n"/>
      <c r="BM83" s="27" t="n"/>
      <c r="DN83" s="26">
        <f>IF('テスト条件'!A82="","",'テスト条件'!A82)</f>
        <v/>
      </c>
    </row>
    <row r="84">
      <c r="A84" s="27" t="n"/>
      <c r="B84" s="27" t="n"/>
      <c r="C84" s="28">
        <f>IF(A84="","",$B$2)</f>
        <v/>
      </c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  <c r="AA84" s="27" t="n"/>
      <c r="AB84" s="27" t="n"/>
      <c r="AC84" s="27" t="n"/>
      <c r="AD84" s="27" t="n"/>
      <c r="AE84" s="27" t="n"/>
      <c r="AF84" s="27" t="n"/>
      <c r="AG84" s="27" t="n"/>
      <c r="AH84" s="27" t="n"/>
      <c r="AI84" s="27" t="n"/>
      <c r="AJ84" s="27" t="n"/>
      <c r="AK84" s="27" t="n"/>
      <c r="AL84" s="27" t="n"/>
      <c r="AM84" s="27" t="n"/>
      <c r="AN84" s="27" t="n"/>
      <c r="AO84" s="27" t="n"/>
      <c r="AP84" s="27" t="n"/>
      <c r="AQ84" s="27" t="n"/>
      <c r="AR84" s="27" t="n"/>
      <c r="AS84" s="27" t="n"/>
      <c r="AT84" s="27" t="n"/>
      <c r="AU84" s="27" t="n"/>
      <c r="AV84" s="27" t="n"/>
      <c r="AW84" s="27" t="n"/>
      <c r="AX84" s="27" t="n"/>
      <c r="AY84" s="27" t="n"/>
      <c r="AZ84" s="27" t="n"/>
      <c r="BA84" s="27" t="n"/>
      <c r="BB84" s="27" t="n"/>
      <c r="BC84" s="27" t="n"/>
      <c r="BD84" s="27" t="n"/>
      <c r="BE84" s="27" t="n"/>
      <c r="BF84" s="27" t="n"/>
      <c r="BG84" s="27" t="n"/>
      <c r="BH84" s="27" t="n"/>
      <c r="BI84" s="29" t="n"/>
      <c r="BJ84" s="27" t="n"/>
      <c r="BK84" s="27" t="n"/>
      <c r="BL84" s="27" t="n"/>
      <c r="BM84" s="27" t="n"/>
      <c r="DN84" s="26">
        <f>IF('テスト条件'!A83="","",'テスト条件'!A83)</f>
        <v/>
      </c>
    </row>
    <row r="85">
      <c r="A85" s="27" t="n"/>
      <c r="B85" s="27" t="n"/>
      <c r="C85" s="28">
        <f>IF(A85="","",$B$2)</f>
        <v/>
      </c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  <c r="AA85" s="27" t="n"/>
      <c r="AB85" s="27" t="n"/>
      <c r="AC85" s="27" t="n"/>
      <c r="AD85" s="27" t="n"/>
      <c r="AE85" s="27" t="n"/>
      <c r="AF85" s="27" t="n"/>
      <c r="AG85" s="27" t="n"/>
      <c r="AH85" s="27" t="n"/>
      <c r="AI85" s="27" t="n"/>
      <c r="AJ85" s="27" t="n"/>
      <c r="AK85" s="27" t="n"/>
      <c r="AL85" s="27" t="n"/>
      <c r="AM85" s="27" t="n"/>
      <c r="AN85" s="27" t="n"/>
      <c r="AO85" s="27" t="n"/>
      <c r="AP85" s="27" t="n"/>
      <c r="AQ85" s="27" t="n"/>
      <c r="AR85" s="27" t="n"/>
      <c r="AS85" s="27" t="n"/>
      <c r="AT85" s="27" t="n"/>
      <c r="AU85" s="27" t="n"/>
      <c r="AV85" s="27" t="n"/>
      <c r="AW85" s="27" t="n"/>
      <c r="AX85" s="27" t="n"/>
      <c r="AY85" s="27" t="n"/>
      <c r="AZ85" s="27" t="n"/>
      <c r="BA85" s="27" t="n"/>
      <c r="BB85" s="27" t="n"/>
      <c r="BC85" s="27" t="n"/>
      <c r="BD85" s="27" t="n"/>
      <c r="BE85" s="27" t="n"/>
      <c r="BF85" s="27" t="n"/>
      <c r="BG85" s="27" t="n"/>
      <c r="BH85" s="27" t="n"/>
      <c r="BI85" s="29" t="n"/>
      <c r="BJ85" s="27" t="n"/>
      <c r="BK85" s="27" t="n"/>
      <c r="BL85" s="27" t="n"/>
      <c r="BM85" s="27" t="n"/>
      <c r="DN85" s="26">
        <f>IF('テスト条件'!A84="","",'テスト条件'!A84)</f>
        <v/>
      </c>
    </row>
    <row r="86">
      <c r="A86" s="27" t="n"/>
      <c r="B86" s="27" t="n"/>
      <c r="C86" s="28">
        <f>IF(A86="","",$B$2)</f>
        <v/>
      </c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27" t="n"/>
      <c r="AJ86" s="27" t="n"/>
      <c r="AK86" s="27" t="n"/>
      <c r="AL86" s="27" t="n"/>
      <c r="AM86" s="27" t="n"/>
      <c r="AN86" s="27" t="n"/>
      <c r="AO86" s="27" t="n"/>
      <c r="AP86" s="27" t="n"/>
      <c r="AQ86" s="27" t="n"/>
      <c r="AR86" s="27" t="n"/>
      <c r="AS86" s="27" t="n"/>
      <c r="AT86" s="27" t="n"/>
      <c r="AU86" s="27" t="n"/>
      <c r="AV86" s="27" t="n"/>
      <c r="AW86" s="27" t="n"/>
      <c r="AX86" s="27" t="n"/>
      <c r="AY86" s="27" t="n"/>
      <c r="AZ86" s="27" t="n"/>
      <c r="BA86" s="27" t="n"/>
      <c r="BB86" s="27" t="n"/>
      <c r="BC86" s="27" t="n"/>
      <c r="BD86" s="27" t="n"/>
      <c r="BE86" s="27" t="n"/>
      <c r="BF86" s="27" t="n"/>
      <c r="BG86" s="27" t="n"/>
      <c r="BH86" s="27" t="n"/>
      <c r="BI86" s="29" t="n"/>
      <c r="BJ86" s="27" t="n"/>
      <c r="BK86" s="27" t="n"/>
      <c r="BL86" s="27" t="n"/>
      <c r="BM86" s="27" t="n"/>
      <c r="DN86" s="26">
        <f>IF('テスト条件'!A85="","",'テスト条件'!A85)</f>
        <v/>
      </c>
    </row>
    <row r="87">
      <c r="A87" s="27" t="n"/>
      <c r="B87" s="27" t="n"/>
      <c r="C87" s="28">
        <f>IF(A87="","",$B$2)</f>
        <v/>
      </c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  <c r="AA87" s="27" t="n"/>
      <c r="AB87" s="27" t="n"/>
      <c r="AC87" s="27" t="n"/>
      <c r="AD87" s="27" t="n"/>
      <c r="AE87" s="27" t="n"/>
      <c r="AF87" s="27" t="n"/>
      <c r="AG87" s="27" t="n"/>
      <c r="AH87" s="27" t="n"/>
      <c r="AI87" s="27" t="n"/>
      <c r="AJ87" s="27" t="n"/>
      <c r="AK87" s="27" t="n"/>
      <c r="AL87" s="27" t="n"/>
      <c r="AM87" s="27" t="n"/>
      <c r="AN87" s="27" t="n"/>
      <c r="AO87" s="27" t="n"/>
      <c r="AP87" s="27" t="n"/>
      <c r="AQ87" s="27" t="n"/>
      <c r="AR87" s="27" t="n"/>
      <c r="AS87" s="27" t="n"/>
      <c r="AT87" s="27" t="n"/>
      <c r="AU87" s="27" t="n"/>
      <c r="AV87" s="27" t="n"/>
      <c r="AW87" s="27" t="n"/>
      <c r="AX87" s="27" t="n"/>
      <c r="AY87" s="27" t="n"/>
      <c r="AZ87" s="27" t="n"/>
      <c r="BA87" s="27" t="n"/>
      <c r="BB87" s="27" t="n"/>
      <c r="BC87" s="27" t="n"/>
      <c r="BD87" s="27" t="n"/>
      <c r="BE87" s="27" t="n"/>
      <c r="BF87" s="27" t="n"/>
      <c r="BG87" s="27" t="n"/>
      <c r="BH87" s="27" t="n"/>
      <c r="BI87" s="29" t="n"/>
      <c r="BJ87" s="27" t="n"/>
      <c r="BK87" s="27" t="n"/>
      <c r="BL87" s="27" t="n"/>
      <c r="BM87" s="27" t="n"/>
      <c r="DN87" s="26">
        <f>IF('テスト条件'!A86="","",'テスト条件'!A86)</f>
        <v/>
      </c>
    </row>
    <row r="88">
      <c r="A88" s="27" t="n"/>
      <c r="B88" s="27" t="n"/>
      <c r="C88" s="28">
        <f>IF(A88="","",$B$2)</f>
        <v/>
      </c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  <c r="AA88" s="27" t="n"/>
      <c r="AB88" s="27" t="n"/>
      <c r="AC88" s="27" t="n"/>
      <c r="AD88" s="27" t="n"/>
      <c r="AE88" s="27" t="n"/>
      <c r="AF88" s="27" t="n"/>
      <c r="AG88" s="27" t="n"/>
      <c r="AH88" s="27" t="n"/>
      <c r="AI88" s="27" t="n"/>
      <c r="AJ88" s="27" t="n"/>
      <c r="AK88" s="27" t="n"/>
      <c r="AL88" s="27" t="n"/>
      <c r="AM88" s="27" t="n"/>
      <c r="AN88" s="27" t="n"/>
      <c r="AO88" s="27" t="n"/>
      <c r="AP88" s="27" t="n"/>
      <c r="AQ88" s="27" t="n"/>
      <c r="AR88" s="27" t="n"/>
      <c r="AS88" s="27" t="n"/>
      <c r="AT88" s="27" t="n"/>
      <c r="AU88" s="27" t="n"/>
      <c r="AV88" s="27" t="n"/>
      <c r="AW88" s="27" t="n"/>
      <c r="AX88" s="27" t="n"/>
      <c r="AY88" s="27" t="n"/>
      <c r="AZ88" s="27" t="n"/>
      <c r="BA88" s="27" t="n"/>
      <c r="BB88" s="27" t="n"/>
      <c r="BC88" s="27" t="n"/>
      <c r="BD88" s="27" t="n"/>
      <c r="BE88" s="27" t="n"/>
      <c r="BF88" s="27" t="n"/>
      <c r="BG88" s="27" t="n"/>
      <c r="BH88" s="27" t="n"/>
      <c r="BI88" s="29" t="n"/>
      <c r="BJ88" s="27" t="n"/>
      <c r="BK88" s="27" t="n"/>
      <c r="BL88" s="27" t="n"/>
      <c r="BM88" s="27" t="n"/>
      <c r="DN88" s="26">
        <f>IF('テスト条件'!A87="","",'テスト条件'!A87)</f>
        <v/>
      </c>
    </row>
    <row r="89">
      <c r="A89" s="27" t="n"/>
      <c r="B89" s="27" t="n"/>
      <c r="C89" s="28">
        <f>IF(A89="","",$B$2)</f>
        <v/>
      </c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27" t="n"/>
      <c r="AJ89" s="27" t="n"/>
      <c r="AK89" s="27" t="n"/>
      <c r="AL89" s="27" t="n"/>
      <c r="AM89" s="27" t="n"/>
      <c r="AN89" s="27" t="n"/>
      <c r="AO89" s="27" t="n"/>
      <c r="AP89" s="27" t="n"/>
      <c r="AQ89" s="27" t="n"/>
      <c r="AR89" s="27" t="n"/>
      <c r="AS89" s="27" t="n"/>
      <c r="AT89" s="27" t="n"/>
      <c r="AU89" s="27" t="n"/>
      <c r="AV89" s="27" t="n"/>
      <c r="AW89" s="27" t="n"/>
      <c r="AX89" s="27" t="n"/>
      <c r="AY89" s="27" t="n"/>
      <c r="AZ89" s="27" t="n"/>
      <c r="BA89" s="27" t="n"/>
      <c r="BB89" s="27" t="n"/>
      <c r="BC89" s="27" t="n"/>
      <c r="BD89" s="27" t="n"/>
      <c r="BE89" s="27" t="n"/>
      <c r="BF89" s="27" t="n"/>
      <c r="BG89" s="27" t="n"/>
      <c r="BH89" s="27" t="n"/>
      <c r="BI89" s="29" t="n"/>
      <c r="BJ89" s="27" t="n"/>
      <c r="BK89" s="27" t="n"/>
      <c r="BL89" s="27" t="n"/>
      <c r="BM89" s="27" t="n"/>
      <c r="DN89" s="26">
        <f>IF('テスト条件'!A88="","",'テスト条件'!A88)</f>
        <v/>
      </c>
    </row>
    <row r="90">
      <c r="A90" s="27" t="n"/>
      <c r="B90" s="27" t="n"/>
      <c r="C90" s="28">
        <f>IF(A90="","",$B$2)</f>
        <v/>
      </c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  <c r="AA90" s="27" t="n"/>
      <c r="AB90" s="27" t="n"/>
      <c r="AC90" s="27" t="n"/>
      <c r="AD90" s="27" t="n"/>
      <c r="AE90" s="27" t="n"/>
      <c r="AF90" s="27" t="n"/>
      <c r="AG90" s="27" t="n"/>
      <c r="AH90" s="27" t="n"/>
      <c r="AI90" s="27" t="n"/>
      <c r="AJ90" s="27" t="n"/>
      <c r="AK90" s="27" t="n"/>
      <c r="AL90" s="27" t="n"/>
      <c r="AM90" s="27" t="n"/>
      <c r="AN90" s="27" t="n"/>
      <c r="AO90" s="27" t="n"/>
      <c r="AP90" s="27" t="n"/>
      <c r="AQ90" s="27" t="n"/>
      <c r="AR90" s="27" t="n"/>
      <c r="AS90" s="27" t="n"/>
      <c r="AT90" s="27" t="n"/>
      <c r="AU90" s="27" t="n"/>
      <c r="AV90" s="27" t="n"/>
      <c r="AW90" s="27" t="n"/>
      <c r="AX90" s="27" t="n"/>
      <c r="AY90" s="27" t="n"/>
      <c r="AZ90" s="27" t="n"/>
      <c r="BA90" s="27" t="n"/>
      <c r="BB90" s="27" t="n"/>
      <c r="BC90" s="27" t="n"/>
      <c r="BD90" s="27" t="n"/>
      <c r="BE90" s="27" t="n"/>
      <c r="BF90" s="27" t="n"/>
      <c r="BG90" s="27" t="n"/>
      <c r="BH90" s="27" t="n"/>
      <c r="BI90" s="29" t="n"/>
      <c r="BJ90" s="27" t="n"/>
      <c r="BK90" s="27" t="n"/>
      <c r="BL90" s="27" t="n"/>
      <c r="BM90" s="27" t="n"/>
      <c r="DN90" s="26">
        <f>IF('テスト条件'!A89="","",'テスト条件'!A89)</f>
        <v/>
      </c>
    </row>
    <row r="91">
      <c r="A91" s="27" t="n"/>
      <c r="B91" s="27" t="n"/>
      <c r="C91" s="28">
        <f>IF(A91="","",$B$2)</f>
        <v/>
      </c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  <c r="AA91" s="27" t="n"/>
      <c r="AB91" s="27" t="n"/>
      <c r="AC91" s="27" t="n"/>
      <c r="AD91" s="27" t="n"/>
      <c r="AE91" s="27" t="n"/>
      <c r="AF91" s="27" t="n"/>
      <c r="AG91" s="27" t="n"/>
      <c r="AH91" s="27" t="n"/>
      <c r="AI91" s="27" t="n"/>
      <c r="AJ91" s="27" t="n"/>
      <c r="AK91" s="27" t="n"/>
      <c r="AL91" s="27" t="n"/>
      <c r="AM91" s="27" t="n"/>
      <c r="AN91" s="27" t="n"/>
      <c r="AO91" s="27" t="n"/>
      <c r="AP91" s="27" t="n"/>
      <c r="AQ91" s="27" t="n"/>
      <c r="AR91" s="27" t="n"/>
      <c r="AS91" s="27" t="n"/>
      <c r="AT91" s="27" t="n"/>
      <c r="AU91" s="27" t="n"/>
      <c r="AV91" s="27" t="n"/>
      <c r="AW91" s="27" t="n"/>
      <c r="AX91" s="27" t="n"/>
      <c r="AY91" s="27" t="n"/>
      <c r="AZ91" s="27" t="n"/>
      <c r="BA91" s="27" t="n"/>
      <c r="BB91" s="27" t="n"/>
      <c r="BC91" s="27" t="n"/>
      <c r="BD91" s="27" t="n"/>
      <c r="BE91" s="27" t="n"/>
      <c r="BF91" s="27" t="n"/>
      <c r="BG91" s="27" t="n"/>
      <c r="BH91" s="27" t="n"/>
      <c r="BI91" s="29" t="n"/>
      <c r="BJ91" s="27" t="n"/>
      <c r="BK91" s="27" t="n"/>
      <c r="BL91" s="27" t="n"/>
      <c r="BM91" s="27" t="n"/>
      <c r="DN91" s="26">
        <f>IF('テスト条件'!A90="","",'テスト条件'!A90)</f>
        <v/>
      </c>
    </row>
    <row r="92">
      <c r="A92" s="27" t="n"/>
      <c r="B92" s="27" t="n"/>
      <c r="C92" s="28">
        <f>IF(A92="","",$B$2)</f>
        <v/>
      </c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  <c r="AA92" s="27" t="n"/>
      <c r="AB92" s="27" t="n"/>
      <c r="AC92" s="27" t="n"/>
      <c r="AD92" s="27" t="n"/>
      <c r="AE92" s="27" t="n"/>
      <c r="AF92" s="27" t="n"/>
      <c r="AG92" s="27" t="n"/>
      <c r="AH92" s="27" t="n"/>
      <c r="AI92" s="27" t="n"/>
      <c r="AJ92" s="27" t="n"/>
      <c r="AK92" s="27" t="n"/>
      <c r="AL92" s="27" t="n"/>
      <c r="AM92" s="27" t="n"/>
      <c r="AN92" s="27" t="n"/>
      <c r="AO92" s="27" t="n"/>
      <c r="AP92" s="27" t="n"/>
      <c r="AQ92" s="27" t="n"/>
      <c r="AR92" s="27" t="n"/>
      <c r="AS92" s="27" t="n"/>
      <c r="AT92" s="27" t="n"/>
      <c r="AU92" s="27" t="n"/>
      <c r="AV92" s="27" t="n"/>
      <c r="AW92" s="27" t="n"/>
      <c r="AX92" s="27" t="n"/>
      <c r="AY92" s="27" t="n"/>
      <c r="AZ92" s="27" t="n"/>
      <c r="BA92" s="27" t="n"/>
      <c r="BB92" s="27" t="n"/>
      <c r="BC92" s="27" t="n"/>
      <c r="BD92" s="27" t="n"/>
      <c r="BE92" s="27" t="n"/>
      <c r="BF92" s="27" t="n"/>
      <c r="BG92" s="27" t="n"/>
      <c r="BH92" s="27" t="n"/>
      <c r="BI92" s="29" t="n"/>
      <c r="BJ92" s="27" t="n"/>
      <c r="BK92" s="27" t="n"/>
      <c r="BL92" s="27" t="n"/>
      <c r="BM92" s="27" t="n"/>
      <c r="DN92" s="26">
        <f>IF('テスト条件'!A91="","",'テスト条件'!A91)</f>
        <v/>
      </c>
    </row>
    <row r="93">
      <c r="A93" s="27" t="n"/>
      <c r="B93" s="27" t="n"/>
      <c r="C93" s="28">
        <f>IF(A93="","",$B$2)</f>
        <v/>
      </c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7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9" t="n"/>
      <c r="BJ93" s="27" t="n"/>
      <c r="BK93" s="27" t="n"/>
      <c r="BL93" s="27" t="n"/>
      <c r="BM93" s="27" t="n"/>
      <c r="DN93" s="26">
        <f>IF('テスト条件'!A92="","",'テスト条件'!A92)</f>
        <v/>
      </c>
    </row>
    <row r="94">
      <c r="A94" s="27" t="n"/>
      <c r="B94" s="27" t="n"/>
      <c r="C94" s="28">
        <f>IF(A94="","",$B$2)</f>
        <v/>
      </c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7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9" t="n"/>
      <c r="BJ94" s="27" t="n"/>
      <c r="BK94" s="27" t="n"/>
      <c r="BL94" s="27" t="n"/>
      <c r="BM94" s="27" t="n"/>
      <c r="DN94" s="26">
        <f>IF('テスト条件'!A93="","",'テスト条件'!A93)</f>
        <v/>
      </c>
    </row>
    <row r="95">
      <c r="A95" s="27" t="n"/>
      <c r="B95" s="27" t="n"/>
      <c r="C95" s="28">
        <f>IF(A95="","",$B$2)</f>
        <v/>
      </c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7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9" t="n"/>
      <c r="BJ95" s="27" t="n"/>
      <c r="BK95" s="27" t="n"/>
      <c r="BL95" s="27" t="n"/>
      <c r="BM95" s="27" t="n"/>
      <c r="DN95" s="26">
        <f>IF('テスト条件'!A94="","",'テスト条件'!A94)</f>
        <v/>
      </c>
    </row>
    <row r="96">
      <c r="A96" s="27" t="n"/>
      <c r="B96" s="27" t="n"/>
      <c r="C96" s="28">
        <f>IF(A96="","",$B$2)</f>
        <v/>
      </c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7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9" t="n"/>
      <c r="BJ96" s="27" t="n"/>
      <c r="BK96" s="27" t="n"/>
      <c r="BL96" s="27" t="n"/>
      <c r="BM96" s="27" t="n"/>
      <c r="DN96" s="26">
        <f>IF('テスト条件'!A95="","",'テスト条件'!A95)</f>
        <v/>
      </c>
    </row>
    <row r="97">
      <c r="A97" s="27" t="n"/>
      <c r="B97" s="27" t="n"/>
      <c r="C97" s="28">
        <f>IF(A97="","",$B$2)</f>
        <v/>
      </c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7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9" t="n"/>
      <c r="BJ97" s="27" t="n"/>
      <c r="BK97" s="27" t="n"/>
      <c r="BL97" s="27" t="n"/>
      <c r="BM97" s="27" t="n"/>
      <c r="DN97" s="26">
        <f>IF('テスト条件'!A96="","",'テスト条件'!A96)</f>
        <v/>
      </c>
    </row>
    <row r="98">
      <c r="A98" s="27" t="n"/>
      <c r="B98" s="27" t="n"/>
      <c r="C98" s="28">
        <f>IF(A98="","",$B$2)</f>
        <v/>
      </c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  <c r="AA98" s="27" t="n"/>
      <c r="AB98" s="27" t="n"/>
      <c r="AC98" s="27" t="n"/>
      <c r="AD98" s="27" t="n"/>
      <c r="AE98" s="27" t="n"/>
      <c r="AF98" s="27" t="n"/>
      <c r="AG98" s="27" t="n"/>
      <c r="AH98" s="27" t="n"/>
      <c r="AI98" s="27" t="n"/>
      <c r="AJ98" s="27" t="n"/>
      <c r="AK98" s="27" t="n"/>
      <c r="AL98" s="27" t="n"/>
      <c r="AM98" s="27" t="n"/>
      <c r="AN98" s="27" t="n"/>
      <c r="AO98" s="27" t="n"/>
      <c r="AP98" s="27" t="n"/>
      <c r="AQ98" s="27" t="n"/>
      <c r="AR98" s="27" t="n"/>
      <c r="AS98" s="27" t="n"/>
      <c r="AT98" s="27" t="n"/>
      <c r="AU98" s="27" t="n"/>
      <c r="AV98" s="27" t="n"/>
      <c r="AW98" s="27" t="n"/>
      <c r="AX98" s="27" t="n"/>
      <c r="AY98" s="27" t="n"/>
      <c r="AZ98" s="27" t="n"/>
      <c r="BA98" s="27" t="n"/>
      <c r="BB98" s="27" t="n"/>
      <c r="BC98" s="27" t="n"/>
      <c r="BD98" s="27" t="n"/>
      <c r="BE98" s="27" t="n"/>
      <c r="BF98" s="27" t="n"/>
      <c r="BG98" s="27" t="n"/>
      <c r="BH98" s="27" t="n"/>
      <c r="BI98" s="29" t="n"/>
      <c r="BJ98" s="27" t="n"/>
      <c r="BK98" s="27" t="n"/>
      <c r="BL98" s="27" t="n"/>
      <c r="BM98" s="27" t="n"/>
      <c r="DN98" s="26">
        <f>IF('テスト条件'!A97="","",'テスト条件'!A97)</f>
        <v/>
      </c>
    </row>
    <row r="99">
      <c r="A99" s="27" t="n"/>
      <c r="B99" s="27" t="n"/>
      <c r="C99" s="28">
        <f>IF(A99="","",$B$2)</f>
        <v/>
      </c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  <c r="AA99" s="27" t="n"/>
      <c r="AB99" s="27" t="n"/>
      <c r="AC99" s="27" t="n"/>
      <c r="AD99" s="27" t="n"/>
      <c r="AE99" s="27" t="n"/>
      <c r="AF99" s="27" t="n"/>
      <c r="AG99" s="27" t="n"/>
      <c r="AH99" s="27" t="n"/>
      <c r="AI99" s="27" t="n"/>
      <c r="AJ99" s="27" t="n"/>
      <c r="AK99" s="27" t="n"/>
      <c r="AL99" s="27" t="n"/>
      <c r="AM99" s="27" t="n"/>
      <c r="AN99" s="27" t="n"/>
      <c r="AO99" s="27" t="n"/>
      <c r="AP99" s="27" t="n"/>
      <c r="AQ99" s="27" t="n"/>
      <c r="AR99" s="27" t="n"/>
      <c r="AS99" s="27" t="n"/>
      <c r="AT99" s="27" t="n"/>
      <c r="AU99" s="27" t="n"/>
      <c r="AV99" s="27" t="n"/>
      <c r="AW99" s="27" t="n"/>
      <c r="AX99" s="27" t="n"/>
      <c r="AY99" s="27" t="n"/>
      <c r="AZ99" s="27" t="n"/>
      <c r="BA99" s="27" t="n"/>
      <c r="BB99" s="27" t="n"/>
      <c r="BC99" s="27" t="n"/>
      <c r="BD99" s="27" t="n"/>
      <c r="BE99" s="27" t="n"/>
      <c r="BF99" s="27" t="n"/>
      <c r="BG99" s="27" t="n"/>
      <c r="BH99" s="27" t="n"/>
      <c r="BI99" s="29" t="n"/>
      <c r="BJ99" s="27" t="n"/>
      <c r="BK99" s="27" t="n"/>
      <c r="BL99" s="27" t="n"/>
      <c r="BM99" s="27" t="n"/>
      <c r="DN99" s="26">
        <f>IF('テスト条件'!A98="","",'テスト条件'!A98)</f>
        <v/>
      </c>
    </row>
    <row r="100">
      <c r="A100" s="27" t="n"/>
      <c r="B100" s="27" t="n"/>
      <c r="C100" s="28">
        <f>IF(A100="","",$B$2)</f>
        <v/>
      </c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  <c r="AA100" s="27" t="n"/>
      <c r="AB100" s="27" t="n"/>
      <c r="AC100" s="27" t="n"/>
      <c r="AD100" s="27" t="n"/>
      <c r="AE100" s="27" t="n"/>
      <c r="AF100" s="27" t="n"/>
      <c r="AG100" s="27" t="n"/>
      <c r="AH100" s="27" t="n"/>
      <c r="AI100" s="27" t="n"/>
      <c r="AJ100" s="27" t="n"/>
      <c r="AK100" s="27" t="n"/>
      <c r="AL100" s="27" t="n"/>
      <c r="AM100" s="27" t="n"/>
      <c r="AN100" s="27" t="n"/>
      <c r="AO100" s="27" t="n"/>
      <c r="AP100" s="27" t="n"/>
      <c r="AQ100" s="27" t="n"/>
      <c r="AR100" s="27" t="n"/>
      <c r="AS100" s="27" t="n"/>
      <c r="AT100" s="27" t="n"/>
      <c r="AU100" s="27" t="n"/>
      <c r="AV100" s="27" t="n"/>
      <c r="AW100" s="27" t="n"/>
      <c r="AX100" s="27" t="n"/>
      <c r="AY100" s="27" t="n"/>
      <c r="AZ100" s="27" t="n"/>
      <c r="BA100" s="27" t="n"/>
      <c r="BB100" s="27" t="n"/>
      <c r="BC100" s="27" t="n"/>
      <c r="BD100" s="27" t="n"/>
      <c r="BE100" s="27" t="n"/>
      <c r="BF100" s="27" t="n"/>
      <c r="BG100" s="27" t="n"/>
      <c r="BH100" s="27" t="n"/>
      <c r="BI100" s="29" t="n"/>
      <c r="BJ100" s="27" t="n"/>
      <c r="BK100" s="27" t="n"/>
      <c r="BL100" s="27" t="n"/>
      <c r="BM100" s="27" t="n"/>
      <c r="DN100" s="26">
        <f>IF('テスト条件'!A99="","",'テスト条件'!A99)</f>
        <v/>
      </c>
    </row>
    <row r="101">
      <c r="A101" s="27" t="n"/>
      <c r="B101" s="27" t="n"/>
      <c r="C101" s="28">
        <f>IF(A101="","",$B$2)</f>
        <v/>
      </c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  <c r="AA101" s="27" t="n"/>
      <c r="AB101" s="27" t="n"/>
      <c r="AC101" s="27" t="n"/>
      <c r="AD101" s="27" t="n"/>
      <c r="AE101" s="27" t="n"/>
      <c r="AF101" s="27" t="n"/>
      <c r="AG101" s="27" t="n"/>
      <c r="AH101" s="27" t="n"/>
      <c r="AI101" s="27" t="n"/>
      <c r="AJ101" s="27" t="n"/>
      <c r="AK101" s="27" t="n"/>
      <c r="AL101" s="27" t="n"/>
      <c r="AM101" s="27" t="n"/>
      <c r="AN101" s="27" t="n"/>
      <c r="AO101" s="27" t="n"/>
      <c r="AP101" s="27" t="n"/>
      <c r="AQ101" s="27" t="n"/>
      <c r="AR101" s="27" t="n"/>
      <c r="AS101" s="27" t="n"/>
      <c r="AT101" s="27" t="n"/>
      <c r="AU101" s="27" t="n"/>
      <c r="AV101" s="27" t="n"/>
      <c r="AW101" s="27" t="n"/>
      <c r="AX101" s="27" t="n"/>
      <c r="AY101" s="27" t="n"/>
      <c r="AZ101" s="27" t="n"/>
      <c r="BA101" s="27" t="n"/>
      <c r="BB101" s="27" t="n"/>
      <c r="BC101" s="27" t="n"/>
      <c r="BD101" s="27" t="n"/>
      <c r="BE101" s="27" t="n"/>
      <c r="BF101" s="27" t="n"/>
      <c r="BG101" s="27" t="n"/>
      <c r="BH101" s="27" t="n"/>
      <c r="BI101" s="29" t="n"/>
      <c r="BJ101" s="27" t="n"/>
      <c r="BK101" s="27" t="n"/>
      <c r="BL101" s="27" t="n"/>
      <c r="BM101" s="27" t="n"/>
      <c r="DN101" s="26">
        <f>IF('テスト条件'!A100="","",'テスト条件'!A100)</f>
        <v/>
      </c>
    </row>
    <row r="102">
      <c r="A102" s="27" t="n"/>
      <c r="B102" s="27" t="n"/>
      <c r="C102" s="28">
        <f>IF(A102="","",$B$2)</f>
        <v/>
      </c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  <c r="AA102" s="27" t="n"/>
      <c r="AB102" s="27" t="n"/>
      <c r="AC102" s="27" t="n"/>
      <c r="AD102" s="27" t="n"/>
      <c r="AE102" s="27" t="n"/>
      <c r="AF102" s="27" t="n"/>
      <c r="AG102" s="27" t="n"/>
      <c r="AH102" s="27" t="n"/>
      <c r="AI102" s="27" t="n"/>
      <c r="AJ102" s="27" t="n"/>
      <c r="AK102" s="27" t="n"/>
      <c r="AL102" s="27" t="n"/>
      <c r="AM102" s="27" t="n"/>
      <c r="AN102" s="27" t="n"/>
      <c r="AO102" s="27" t="n"/>
      <c r="AP102" s="27" t="n"/>
      <c r="AQ102" s="27" t="n"/>
      <c r="AR102" s="27" t="n"/>
      <c r="AS102" s="27" t="n"/>
      <c r="AT102" s="27" t="n"/>
      <c r="AU102" s="27" t="n"/>
      <c r="AV102" s="27" t="n"/>
      <c r="AW102" s="27" t="n"/>
      <c r="AX102" s="27" t="n"/>
      <c r="AY102" s="27" t="n"/>
      <c r="AZ102" s="27" t="n"/>
      <c r="BA102" s="27" t="n"/>
      <c r="BB102" s="27" t="n"/>
      <c r="BC102" s="27" t="n"/>
      <c r="BD102" s="27" t="n"/>
      <c r="BE102" s="27" t="n"/>
      <c r="BF102" s="27" t="n"/>
      <c r="BG102" s="27" t="n"/>
      <c r="BH102" s="27" t="n"/>
      <c r="BI102" s="29" t="n"/>
      <c r="BJ102" s="27" t="n"/>
      <c r="BK102" s="27" t="n"/>
      <c r="BL102" s="27" t="n"/>
      <c r="BM102" s="27" t="n"/>
      <c r="DN102" s="26">
        <f>IF('テスト条件'!A101="","",'テスト条件'!A101)</f>
        <v/>
      </c>
    </row>
    <row r="103">
      <c r="A103" s="27" t="n"/>
      <c r="B103" s="27" t="n"/>
      <c r="C103" s="28">
        <f>IF(A103="","",$B$2)</f>
        <v/>
      </c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  <c r="AA103" s="27" t="n"/>
      <c r="AB103" s="27" t="n"/>
      <c r="AC103" s="27" t="n"/>
      <c r="AD103" s="27" t="n"/>
      <c r="AE103" s="27" t="n"/>
      <c r="AF103" s="27" t="n"/>
      <c r="AG103" s="27" t="n"/>
      <c r="AH103" s="27" t="n"/>
      <c r="AI103" s="27" t="n"/>
      <c r="AJ103" s="27" t="n"/>
      <c r="AK103" s="27" t="n"/>
      <c r="AL103" s="27" t="n"/>
      <c r="AM103" s="27" t="n"/>
      <c r="AN103" s="27" t="n"/>
      <c r="AO103" s="27" t="n"/>
      <c r="AP103" s="27" t="n"/>
      <c r="AQ103" s="27" t="n"/>
      <c r="AR103" s="27" t="n"/>
      <c r="AS103" s="27" t="n"/>
      <c r="AT103" s="27" t="n"/>
      <c r="AU103" s="27" t="n"/>
      <c r="AV103" s="27" t="n"/>
      <c r="AW103" s="27" t="n"/>
      <c r="AX103" s="27" t="n"/>
      <c r="AY103" s="27" t="n"/>
      <c r="AZ103" s="27" t="n"/>
      <c r="BA103" s="27" t="n"/>
      <c r="BB103" s="27" t="n"/>
      <c r="BC103" s="27" t="n"/>
      <c r="BD103" s="27" t="n"/>
      <c r="BE103" s="27" t="n"/>
      <c r="BF103" s="27" t="n"/>
      <c r="BG103" s="27" t="n"/>
      <c r="BH103" s="27" t="n"/>
      <c r="BI103" s="29" t="n"/>
      <c r="BJ103" s="27" t="n"/>
      <c r="BK103" s="27" t="n"/>
      <c r="BL103" s="27" t="n"/>
      <c r="BM103" s="27" t="n"/>
      <c r="DN103" s="26">
        <f>IF('テスト条件'!A102="","",'テスト条件'!A102)</f>
        <v/>
      </c>
    </row>
    <row r="104">
      <c r="A104" s="27" t="n"/>
      <c r="B104" s="27" t="n"/>
      <c r="C104" s="28">
        <f>IF(A104="","",$B$2)</f>
        <v/>
      </c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  <c r="AA104" s="27" t="n"/>
      <c r="AB104" s="27" t="n"/>
      <c r="AC104" s="27" t="n"/>
      <c r="AD104" s="27" t="n"/>
      <c r="AE104" s="27" t="n"/>
      <c r="AF104" s="27" t="n"/>
      <c r="AG104" s="27" t="n"/>
      <c r="AH104" s="27" t="n"/>
      <c r="AI104" s="27" t="n"/>
      <c r="AJ104" s="27" t="n"/>
      <c r="AK104" s="27" t="n"/>
      <c r="AL104" s="27" t="n"/>
      <c r="AM104" s="27" t="n"/>
      <c r="AN104" s="27" t="n"/>
      <c r="AO104" s="27" t="n"/>
      <c r="AP104" s="27" t="n"/>
      <c r="AQ104" s="27" t="n"/>
      <c r="AR104" s="27" t="n"/>
      <c r="AS104" s="27" t="n"/>
      <c r="AT104" s="27" t="n"/>
      <c r="AU104" s="27" t="n"/>
      <c r="AV104" s="27" t="n"/>
      <c r="AW104" s="27" t="n"/>
      <c r="AX104" s="27" t="n"/>
      <c r="AY104" s="27" t="n"/>
      <c r="AZ104" s="27" t="n"/>
      <c r="BA104" s="27" t="n"/>
      <c r="BB104" s="27" t="n"/>
      <c r="BC104" s="27" t="n"/>
      <c r="BD104" s="27" t="n"/>
      <c r="BE104" s="27" t="n"/>
      <c r="BF104" s="27" t="n"/>
      <c r="BG104" s="27" t="n"/>
      <c r="BH104" s="27" t="n"/>
      <c r="BI104" s="29" t="n"/>
      <c r="BJ104" s="27" t="n"/>
      <c r="BK104" s="27" t="n"/>
      <c r="BL104" s="27" t="n"/>
      <c r="BM104" s="27" t="n"/>
      <c r="DN104" s="26">
        <f>IF('テスト条件'!A103="","",'テスト条件'!A103)</f>
        <v/>
      </c>
    </row>
    <row r="105">
      <c r="A105" s="27" t="n"/>
      <c r="B105" s="27" t="n"/>
      <c r="C105" s="28">
        <f>IF(A105="","",$B$2)</f>
        <v/>
      </c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  <c r="AA105" s="27" t="n"/>
      <c r="AB105" s="27" t="n"/>
      <c r="AC105" s="27" t="n"/>
      <c r="AD105" s="27" t="n"/>
      <c r="AE105" s="27" t="n"/>
      <c r="AF105" s="27" t="n"/>
      <c r="AG105" s="27" t="n"/>
      <c r="AH105" s="27" t="n"/>
      <c r="AI105" s="27" t="n"/>
      <c r="AJ105" s="27" t="n"/>
      <c r="AK105" s="27" t="n"/>
      <c r="AL105" s="27" t="n"/>
      <c r="AM105" s="27" t="n"/>
      <c r="AN105" s="27" t="n"/>
      <c r="AO105" s="27" t="n"/>
      <c r="AP105" s="27" t="n"/>
      <c r="AQ105" s="27" t="n"/>
      <c r="AR105" s="27" t="n"/>
      <c r="AS105" s="27" t="n"/>
      <c r="AT105" s="27" t="n"/>
      <c r="AU105" s="27" t="n"/>
      <c r="AV105" s="27" t="n"/>
      <c r="AW105" s="27" t="n"/>
      <c r="AX105" s="27" t="n"/>
      <c r="AY105" s="27" t="n"/>
      <c r="AZ105" s="27" t="n"/>
      <c r="BA105" s="27" t="n"/>
      <c r="BB105" s="27" t="n"/>
      <c r="BC105" s="27" t="n"/>
      <c r="BD105" s="27" t="n"/>
      <c r="BE105" s="27" t="n"/>
      <c r="BF105" s="27" t="n"/>
      <c r="BG105" s="27" t="n"/>
      <c r="BH105" s="27" t="n"/>
      <c r="BI105" s="29" t="n"/>
      <c r="BJ105" s="27" t="n"/>
      <c r="BK105" s="27" t="n"/>
      <c r="BL105" s="27" t="n"/>
      <c r="BM105" s="27" t="n"/>
      <c r="DN105" s="26">
        <f>IF('テスト条件'!A104="","",'テスト条件'!A104)</f>
        <v/>
      </c>
    </row>
    <row r="106">
      <c r="A106" s="27" t="n"/>
      <c r="B106" s="27" t="n"/>
      <c r="C106" s="28">
        <f>IF(A106="","",$B$2)</f>
        <v/>
      </c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  <c r="AA106" s="27" t="n"/>
      <c r="AB106" s="27" t="n"/>
      <c r="AC106" s="27" t="n"/>
      <c r="AD106" s="27" t="n"/>
      <c r="AE106" s="27" t="n"/>
      <c r="AF106" s="27" t="n"/>
      <c r="AG106" s="27" t="n"/>
      <c r="AH106" s="27" t="n"/>
      <c r="AI106" s="27" t="n"/>
      <c r="AJ106" s="27" t="n"/>
      <c r="AK106" s="27" t="n"/>
      <c r="AL106" s="27" t="n"/>
      <c r="AM106" s="27" t="n"/>
      <c r="AN106" s="27" t="n"/>
      <c r="AO106" s="27" t="n"/>
      <c r="AP106" s="27" t="n"/>
      <c r="AQ106" s="27" t="n"/>
      <c r="AR106" s="27" t="n"/>
      <c r="AS106" s="27" t="n"/>
      <c r="AT106" s="27" t="n"/>
      <c r="AU106" s="27" t="n"/>
      <c r="AV106" s="27" t="n"/>
      <c r="AW106" s="27" t="n"/>
      <c r="AX106" s="27" t="n"/>
      <c r="AY106" s="27" t="n"/>
      <c r="AZ106" s="27" t="n"/>
      <c r="BA106" s="27" t="n"/>
      <c r="BB106" s="27" t="n"/>
      <c r="BC106" s="27" t="n"/>
      <c r="BD106" s="27" t="n"/>
      <c r="BE106" s="27" t="n"/>
      <c r="BF106" s="27" t="n"/>
      <c r="BG106" s="27" t="n"/>
      <c r="BH106" s="27" t="n"/>
      <c r="BI106" s="29" t="n"/>
      <c r="BJ106" s="27" t="n"/>
      <c r="BK106" s="27" t="n"/>
      <c r="BL106" s="27" t="n"/>
      <c r="BM106" s="27" t="n"/>
    </row>
    <row r="107">
      <c r="A107" s="27" t="n"/>
      <c r="B107" s="27" t="n"/>
      <c r="C107" s="28">
        <f>IF(A107="","",$B$2)</f>
        <v/>
      </c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  <c r="AA107" s="27" t="n"/>
      <c r="AB107" s="27" t="n"/>
      <c r="AC107" s="27" t="n"/>
      <c r="AD107" s="27" t="n"/>
      <c r="AE107" s="27" t="n"/>
      <c r="AF107" s="27" t="n"/>
      <c r="AG107" s="27" t="n"/>
      <c r="AH107" s="27" t="n"/>
      <c r="AI107" s="27" t="n"/>
      <c r="AJ107" s="27" t="n"/>
      <c r="AK107" s="27" t="n"/>
      <c r="AL107" s="27" t="n"/>
      <c r="AM107" s="27" t="n"/>
      <c r="AN107" s="27" t="n"/>
      <c r="AO107" s="27" t="n"/>
      <c r="AP107" s="27" t="n"/>
      <c r="AQ107" s="27" t="n"/>
      <c r="AR107" s="27" t="n"/>
      <c r="AS107" s="27" t="n"/>
      <c r="AT107" s="27" t="n"/>
      <c r="AU107" s="27" t="n"/>
      <c r="AV107" s="27" t="n"/>
      <c r="AW107" s="27" t="n"/>
      <c r="AX107" s="27" t="n"/>
      <c r="AY107" s="27" t="n"/>
      <c r="AZ107" s="27" t="n"/>
      <c r="BA107" s="27" t="n"/>
      <c r="BB107" s="27" t="n"/>
      <c r="BC107" s="27" t="n"/>
      <c r="BD107" s="27" t="n"/>
      <c r="BE107" s="27" t="n"/>
      <c r="BF107" s="27" t="n"/>
      <c r="BG107" s="27" t="n"/>
      <c r="BH107" s="27" t="n"/>
      <c r="BI107" s="29" t="n"/>
      <c r="BJ107" s="27" t="n"/>
      <c r="BK107" s="27" t="n"/>
      <c r="BL107" s="27" t="n"/>
      <c r="BM107" s="27" t="n"/>
    </row>
    <row r="108">
      <c r="A108" s="27" t="n"/>
      <c r="B108" s="27" t="n"/>
      <c r="C108" s="28">
        <f>IF(A108="","",$B$2)</f>
        <v/>
      </c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  <c r="AA108" s="27" t="n"/>
      <c r="AB108" s="27" t="n"/>
      <c r="AC108" s="27" t="n"/>
      <c r="AD108" s="27" t="n"/>
      <c r="AE108" s="27" t="n"/>
      <c r="AF108" s="27" t="n"/>
      <c r="AG108" s="27" t="n"/>
      <c r="AH108" s="27" t="n"/>
      <c r="AI108" s="27" t="n"/>
      <c r="AJ108" s="27" t="n"/>
      <c r="AK108" s="27" t="n"/>
      <c r="AL108" s="27" t="n"/>
      <c r="AM108" s="27" t="n"/>
      <c r="AN108" s="27" t="n"/>
      <c r="AO108" s="27" t="n"/>
      <c r="AP108" s="27" t="n"/>
      <c r="AQ108" s="27" t="n"/>
      <c r="AR108" s="27" t="n"/>
      <c r="AS108" s="27" t="n"/>
      <c r="AT108" s="27" t="n"/>
      <c r="AU108" s="27" t="n"/>
      <c r="AV108" s="27" t="n"/>
      <c r="AW108" s="27" t="n"/>
      <c r="AX108" s="27" t="n"/>
      <c r="AY108" s="27" t="n"/>
      <c r="AZ108" s="27" t="n"/>
      <c r="BA108" s="27" t="n"/>
      <c r="BB108" s="27" t="n"/>
      <c r="BC108" s="27" t="n"/>
      <c r="BD108" s="27" t="n"/>
      <c r="BE108" s="27" t="n"/>
      <c r="BF108" s="27" t="n"/>
      <c r="BG108" s="27" t="n"/>
      <c r="BH108" s="27" t="n"/>
      <c r="BI108" s="29" t="n"/>
      <c r="BJ108" s="27" t="n"/>
      <c r="BK108" s="27" t="n"/>
      <c r="BL108" s="27" t="n"/>
      <c r="BM108" s="27" t="n"/>
    </row>
    <row r="109">
      <c r="A109" s="27" t="n"/>
      <c r="B109" s="27" t="n"/>
      <c r="C109" s="28">
        <f>IF(A109="","",$B$2)</f>
        <v/>
      </c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  <c r="AA109" s="27" t="n"/>
      <c r="AB109" s="27" t="n"/>
      <c r="AC109" s="27" t="n"/>
      <c r="AD109" s="27" t="n"/>
      <c r="AE109" s="27" t="n"/>
      <c r="AF109" s="27" t="n"/>
      <c r="AG109" s="27" t="n"/>
      <c r="AH109" s="27" t="n"/>
      <c r="AI109" s="27" t="n"/>
      <c r="AJ109" s="27" t="n"/>
      <c r="AK109" s="27" t="n"/>
      <c r="AL109" s="27" t="n"/>
      <c r="AM109" s="27" t="n"/>
      <c r="AN109" s="27" t="n"/>
      <c r="AO109" s="27" t="n"/>
      <c r="AP109" s="27" t="n"/>
      <c r="AQ109" s="27" t="n"/>
      <c r="AR109" s="27" t="n"/>
      <c r="AS109" s="27" t="n"/>
      <c r="AT109" s="27" t="n"/>
      <c r="AU109" s="27" t="n"/>
      <c r="AV109" s="27" t="n"/>
      <c r="AW109" s="27" t="n"/>
      <c r="AX109" s="27" t="n"/>
      <c r="AY109" s="27" t="n"/>
      <c r="AZ109" s="27" t="n"/>
      <c r="BA109" s="27" t="n"/>
      <c r="BB109" s="27" t="n"/>
      <c r="BC109" s="27" t="n"/>
      <c r="BD109" s="27" t="n"/>
      <c r="BE109" s="27" t="n"/>
      <c r="BF109" s="27" t="n"/>
      <c r="BG109" s="27" t="n"/>
      <c r="BH109" s="27" t="n"/>
      <c r="BI109" s="29" t="n"/>
      <c r="BJ109" s="27" t="n"/>
      <c r="BK109" s="27" t="n"/>
      <c r="BL109" s="27" t="n"/>
      <c r="BM109" s="27" t="n"/>
    </row>
    <row r="110">
      <c r="A110" s="27" t="n"/>
      <c r="B110" s="27" t="n"/>
      <c r="C110" s="28">
        <f>IF(A110="","",$B$2)</f>
        <v/>
      </c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  <c r="AA110" s="27" t="n"/>
      <c r="AB110" s="27" t="n"/>
      <c r="AC110" s="27" t="n"/>
      <c r="AD110" s="27" t="n"/>
      <c r="AE110" s="27" t="n"/>
      <c r="AF110" s="27" t="n"/>
      <c r="AG110" s="27" t="n"/>
      <c r="AH110" s="27" t="n"/>
      <c r="AI110" s="27" t="n"/>
      <c r="AJ110" s="27" t="n"/>
      <c r="AK110" s="27" t="n"/>
      <c r="AL110" s="27" t="n"/>
      <c r="AM110" s="27" t="n"/>
      <c r="AN110" s="27" t="n"/>
      <c r="AO110" s="27" t="n"/>
      <c r="AP110" s="27" t="n"/>
      <c r="AQ110" s="27" t="n"/>
      <c r="AR110" s="27" t="n"/>
      <c r="AS110" s="27" t="n"/>
      <c r="AT110" s="27" t="n"/>
      <c r="AU110" s="27" t="n"/>
      <c r="AV110" s="27" t="n"/>
      <c r="AW110" s="27" t="n"/>
      <c r="AX110" s="27" t="n"/>
      <c r="AY110" s="27" t="n"/>
      <c r="AZ110" s="27" t="n"/>
      <c r="BA110" s="27" t="n"/>
      <c r="BB110" s="27" t="n"/>
      <c r="BC110" s="27" t="n"/>
      <c r="BD110" s="27" t="n"/>
      <c r="BE110" s="27" t="n"/>
      <c r="BF110" s="27" t="n"/>
      <c r="BG110" s="27" t="n"/>
      <c r="BH110" s="27" t="n"/>
      <c r="BI110" s="29" t="n"/>
      <c r="BJ110" s="27" t="n"/>
      <c r="BK110" s="27" t="n"/>
      <c r="BL110" s="27" t="n"/>
      <c r="BM110" s="27" t="n"/>
    </row>
    <row r="111">
      <c r="A111" s="27" t="n"/>
      <c r="B111" s="27" t="n"/>
      <c r="C111" s="28">
        <f>IF(A111="","",$B$2)</f>
        <v/>
      </c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  <c r="AA111" s="27" t="n"/>
      <c r="AB111" s="27" t="n"/>
      <c r="AC111" s="27" t="n"/>
      <c r="AD111" s="27" t="n"/>
      <c r="AE111" s="27" t="n"/>
      <c r="AF111" s="27" t="n"/>
      <c r="AG111" s="27" t="n"/>
      <c r="AH111" s="27" t="n"/>
      <c r="AI111" s="27" t="n"/>
      <c r="AJ111" s="27" t="n"/>
      <c r="AK111" s="27" t="n"/>
      <c r="AL111" s="27" t="n"/>
      <c r="AM111" s="27" t="n"/>
      <c r="AN111" s="27" t="n"/>
      <c r="AO111" s="27" t="n"/>
      <c r="AP111" s="27" t="n"/>
      <c r="AQ111" s="27" t="n"/>
      <c r="AR111" s="27" t="n"/>
      <c r="AS111" s="27" t="n"/>
      <c r="AT111" s="27" t="n"/>
      <c r="AU111" s="27" t="n"/>
      <c r="AV111" s="27" t="n"/>
      <c r="AW111" s="27" t="n"/>
      <c r="AX111" s="27" t="n"/>
      <c r="AY111" s="27" t="n"/>
      <c r="AZ111" s="27" t="n"/>
      <c r="BA111" s="27" t="n"/>
      <c r="BB111" s="27" t="n"/>
      <c r="BC111" s="27" t="n"/>
      <c r="BD111" s="27" t="n"/>
      <c r="BE111" s="27" t="n"/>
      <c r="BF111" s="27" t="n"/>
      <c r="BG111" s="27" t="n"/>
      <c r="BH111" s="27" t="n"/>
      <c r="BI111" s="29" t="n"/>
      <c r="BJ111" s="27" t="n"/>
      <c r="BK111" s="27" t="n"/>
      <c r="BL111" s="27" t="n"/>
      <c r="BM111" s="27" t="n"/>
    </row>
    <row r="112">
      <c r="A112" s="27" t="n"/>
      <c r="B112" s="27" t="n"/>
      <c r="C112" s="28">
        <f>IF(A112="","",$B$2)</f>
        <v/>
      </c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  <c r="AA112" s="27" t="n"/>
      <c r="AB112" s="27" t="n"/>
      <c r="AC112" s="27" t="n"/>
      <c r="AD112" s="27" t="n"/>
      <c r="AE112" s="27" t="n"/>
      <c r="AF112" s="27" t="n"/>
      <c r="AG112" s="27" t="n"/>
      <c r="AH112" s="27" t="n"/>
      <c r="AI112" s="27" t="n"/>
      <c r="AJ112" s="27" t="n"/>
      <c r="AK112" s="27" t="n"/>
      <c r="AL112" s="27" t="n"/>
      <c r="AM112" s="27" t="n"/>
      <c r="AN112" s="27" t="n"/>
      <c r="AO112" s="27" t="n"/>
      <c r="AP112" s="27" t="n"/>
      <c r="AQ112" s="27" t="n"/>
      <c r="AR112" s="27" t="n"/>
      <c r="AS112" s="27" t="n"/>
      <c r="AT112" s="27" t="n"/>
      <c r="AU112" s="27" t="n"/>
      <c r="AV112" s="27" t="n"/>
      <c r="AW112" s="27" t="n"/>
      <c r="AX112" s="27" t="n"/>
      <c r="AY112" s="27" t="n"/>
      <c r="AZ112" s="27" t="n"/>
      <c r="BA112" s="27" t="n"/>
      <c r="BB112" s="27" t="n"/>
      <c r="BC112" s="27" t="n"/>
      <c r="BD112" s="27" t="n"/>
      <c r="BE112" s="27" t="n"/>
      <c r="BF112" s="27" t="n"/>
      <c r="BG112" s="27" t="n"/>
      <c r="BH112" s="27" t="n"/>
      <c r="BI112" s="29" t="n"/>
      <c r="BJ112" s="27" t="n"/>
      <c r="BK112" s="27" t="n"/>
      <c r="BL112" s="27" t="n"/>
      <c r="BM112" s="27" t="n"/>
    </row>
    <row r="113">
      <c r="A113" s="27" t="n"/>
      <c r="B113" s="27" t="n"/>
      <c r="C113" s="28">
        <f>IF(A113="","",$B$2)</f>
        <v/>
      </c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  <c r="AA113" s="27" t="n"/>
      <c r="AB113" s="27" t="n"/>
      <c r="AC113" s="27" t="n"/>
      <c r="AD113" s="27" t="n"/>
      <c r="AE113" s="27" t="n"/>
      <c r="AF113" s="27" t="n"/>
      <c r="AG113" s="27" t="n"/>
      <c r="AH113" s="27" t="n"/>
      <c r="AI113" s="27" t="n"/>
      <c r="AJ113" s="27" t="n"/>
      <c r="AK113" s="27" t="n"/>
      <c r="AL113" s="27" t="n"/>
      <c r="AM113" s="27" t="n"/>
      <c r="AN113" s="27" t="n"/>
      <c r="AO113" s="27" t="n"/>
      <c r="AP113" s="27" t="n"/>
      <c r="AQ113" s="27" t="n"/>
      <c r="AR113" s="27" t="n"/>
      <c r="AS113" s="27" t="n"/>
      <c r="AT113" s="27" t="n"/>
      <c r="AU113" s="27" t="n"/>
      <c r="AV113" s="27" t="n"/>
      <c r="AW113" s="27" t="n"/>
      <c r="AX113" s="27" t="n"/>
      <c r="AY113" s="27" t="n"/>
      <c r="AZ113" s="27" t="n"/>
      <c r="BA113" s="27" t="n"/>
      <c r="BB113" s="27" t="n"/>
      <c r="BC113" s="27" t="n"/>
      <c r="BD113" s="27" t="n"/>
      <c r="BE113" s="27" t="n"/>
      <c r="BF113" s="27" t="n"/>
      <c r="BG113" s="27" t="n"/>
      <c r="BH113" s="27" t="n"/>
      <c r="BI113" s="29" t="n"/>
      <c r="BJ113" s="27" t="n"/>
      <c r="BK113" s="27" t="n"/>
      <c r="BL113" s="27" t="n"/>
      <c r="BM113" s="27" t="n"/>
    </row>
    <row r="114">
      <c r="A114" s="27" t="n"/>
      <c r="B114" s="27" t="n"/>
      <c r="C114" s="28">
        <f>IF(A114="","",$B$2)</f>
        <v/>
      </c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  <c r="AA114" s="27" t="n"/>
      <c r="AB114" s="27" t="n"/>
      <c r="AC114" s="27" t="n"/>
      <c r="AD114" s="27" t="n"/>
      <c r="AE114" s="27" t="n"/>
      <c r="AF114" s="27" t="n"/>
      <c r="AG114" s="27" t="n"/>
      <c r="AH114" s="27" t="n"/>
      <c r="AI114" s="27" t="n"/>
      <c r="AJ114" s="27" t="n"/>
      <c r="AK114" s="27" t="n"/>
      <c r="AL114" s="27" t="n"/>
      <c r="AM114" s="27" t="n"/>
      <c r="AN114" s="27" t="n"/>
      <c r="AO114" s="27" t="n"/>
      <c r="AP114" s="27" t="n"/>
      <c r="AQ114" s="27" t="n"/>
      <c r="AR114" s="27" t="n"/>
      <c r="AS114" s="27" t="n"/>
      <c r="AT114" s="27" t="n"/>
      <c r="AU114" s="27" t="n"/>
      <c r="AV114" s="27" t="n"/>
      <c r="AW114" s="27" t="n"/>
      <c r="AX114" s="27" t="n"/>
      <c r="AY114" s="27" t="n"/>
      <c r="AZ114" s="27" t="n"/>
      <c r="BA114" s="27" t="n"/>
      <c r="BB114" s="27" t="n"/>
      <c r="BC114" s="27" t="n"/>
      <c r="BD114" s="27" t="n"/>
      <c r="BE114" s="27" t="n"/>
      <c r="BF114" s="27" t="n"/>
      <c r="BG114" s="27" t="n"/>
      <c r="BH114" s="27" t="n"/>
      <c r="BI114" s="29" t="n"/>
      <c r="BJ114" s="27" t="n"/>
      <c r="BK114" s="27" t="n"/>
      <c r="BL114" s="27" t="n"/>
      <c r="BM114" s="27" t="n"/>
    </row>
    <row r="115">
      <c r="A115" s="27" t="n"/>
      <c r="B115" s="27" t="n"/>
      <c r="C115" s="28">
        <f>IF(A115="","",$B$2)</f>
        <v/>
      </c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  <c r="AA115" s="27" t="n"/>
      <c r="AB115" s="27" t="n"/>
      <c r="AC115" s="27" t="n"/>
      <c r="AD115" s="27" t="n"/>
      <c r="AE115" s="27" t="n"/>
      <c r="AF115" s="27" t="n"/>
      <c r="AG115" s="27" t="n"/>
      <c r="AH115" s="27" t="n"/>
      <c r="AI115" s="27" t="n"/>
      <c r="AJ115" s="27" t="n"/>
      <c r="AK115" s="27" t="n"/>
      <c r="AL115" s="27" t="n"/>
      <c r="AM115" s="27" t="n"/>
      <c r="AN115" s="27" t="n"/>
      <c r="AO115" s="27" t="n"/>
      <c r="AP115" s="27" t="n"/>
      <c r="AQ115" s="27" t="n"/>
      <c r="AR115" s="27" t="n"/>
      <c r="AS115" s="27" t="n"/>
      <c r="AT115" s="27" t="n"/>
      <c r="AU115" s="27" t="n"/>
      <c r="AV115" s="27" t="n"/>
      <c r="AW115" s="27" t="n"/>
      <c r="AX115" s="27" t="n"/>
      <c r="AY115" s="27" t="n"/>
      <c r="AZ115" s="27" t="n"/>
      <c r="BA115" s="27" t="n"/>
      <c r="BB115" s="27" t="n"/>
      <c r="BC115" s="27" t="n"/>
      <c r="BD115" s="27" t="n"/>
      <c r="BE115" s="27" t="n"/>
      <c r="BF115" s="27" t="n"/>
      <c r="BG115" s="27" t="n"/>
      <c r="BH115" s="27" t="n"/>
      <c r="BI115" s="29" t="n"/>
      <c r="BJ115" s="27" t="n"/>
      <c r="BK115" s="27" t="n"/>
      <c r="BL115" s="27" t="n"/>
      <c r="BM115" s="27" t="n"/>
    </row>
    <row r="116">
      <c r="A116" s="27" t="n"/>
      <c r="B116" s="27" t="n"/>
      <c r="C116" s="28">
        <f>IF(A116="","",$B$2)</f>
        <v/>
      </c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  <c r="AA116" s="27" t="n"/>
      <c r="AB116" s="27" t="n"/>
      <c r="AC116" s="27" t="n"/>
      <c r="AD116" s="27" t="n"/>
      <c r="AE116" s="27" t="n"/>
      <c r="AF116" s="27" t="n"/>
      <c r="AG116" s="27" t="n"/>
      <c r="AH116" s="27" t="n"/>
      <c r="AI116" s="27" t="n"/>
      <c r="AJ116" s="27" t="n"/>
      <c r="AK116" s="27" t="n"/>
      <c r="AL116" s="27" t="n"/>
      <c r="AM116" s="27" t="n"/>
      <c r="AN116" s="27" t="n"/>
      <c r="AO116" s="27" t="n"/>
      <c r="AP116" s="27" t="n"/>
      <c r="AQ116" s="27" t="n"/>
      <c r="AR116" s="27" t="n"/>
      <c r="AS116" s="27" t="n"/>
      <c r="AT116" s="27" t="n"/>
      <c r="AU116" s="27" t="n"/>
      <c r="AV116" s="27" t="n"/>
      <c r="AW116" s="27" t="n"/>
      <c r="AX116" s="27" t="n"/>
      <c r="AY116" s="27" t="n"/>
      <c r="AZ116" s="27" t="n"/>
      <c r="BA116" s="27" t="n"/>
      <c r="BB116" s="27" t="n"/>
      <c r="BC116" s="27" t="n"/>
      <c r="BD116" s="27" t="n"/>
      <c r="BE116" s="27" t="n"/>
      <c r="BF116" s="27" t="n"/>
      <c r="BG116" s="27" t="n"/>
      <c r="BH116" s="27" t="n"/>
      <c r="BI116" s="29" t="n"/>
      <c r="BJ116" s="27" t="n"/>
      <c r="BK116" s="27" t="n"/>
      <c r="BL116" s="27" t="n"/>
      <c r="BM116" s="27" t="n"/>
    </row>
    <row r="117">
      <c r="A117" s="27" t="n"/>
      <c r="B117" s="27" t="n"/>
      <c r="C117" s="28">
        <f>IF(A117="","",$B$2)</f>
        <v/>
      </c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  <c r="AA117" s="27" t="n"/>
      <c r="AB117" s="27" t="n"/>
      <c r="AC117" s="27" t="n"/>
      <c r="AD117" s="27" t="n"/>
      <c r="AE117" s="27" t="n"/>
      <c r="AF117" s="27" t="n"/>
      <c r="AG117" s="27" t="n"/>
      <c r="AH117" s="27" t="n"/>
      <c r="AI117" s="27" t="n"/>
      <c r="AJ117" s="27" t="n"/>
      <c r="AK117" s="27" t="n"/>
      <c r="AL117" s="27" t="n"/>
      <c r="AM117" s="27" t="n"/>
      <c r="AN117" s="27" t="n"/>
      <c r="AO117" s="27" t="n"/>
      <c r="AP117" s="27" t="n"/>
      <c r="AQ117" s="27" t="n"/>
      <c r="AR117" s="27" t="n"/>
      <c r="AS117" s="27" t="n"/>
      <c r="AT117" s="27" t="n"/>
      <c r="AU117" s="27" t="n"/>
      <c r="AV117" s="27" t="n"/>
      <c r="AW117" s="27" t="n"/>
      <c r="AX117" s="27" t="n"/>
      <c r="AY117" s="27" t="n"/>
      <c r="AZ117" s="27" t="n"/>
      <c r="BA117" s="27" t="n"/>
      <c r="BB117" s="27" t="n"/>
      <c r="BC117" s="27" t="n"/>
      <c r="BD117" s="27" t="n"/>
      <c r="BE117" s="27" t="n"/>
      <c r="BF117" s="27" t="n"/>
      <c r="BG117" s="27" t="n"/>
      <c r="BH117" s="27" t="n"/>
      <c r="BI117" s="29" t="n"/>
      <c r="BJ117" s="27" t="n"/>
      <c r="BK117" s="27" t="n"/>
      <c r="BL117" s="27" t="n"/>
      <c r="BM117" s="27" t="n"/>
    </row>
    <row r="118">
      <c r="A118" s="27" t="n"/>
      <c r="B118" s="27" t="n"/>
      <c r="C118" s="28">
        <f>IF(A118="","",$B$2)</f>
        <v/>
      </c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  <c r="AA118" s="27" t="n"/>
      <c r="AB118" s="27" t="n"/>
      <c r="AC118" s="27" t="n"/>
      <c r="AD118" s="27" t="n"/>
      <c r="AE118" s="27" t="n"/>
      <c r="AF118" s="27" t="n"/>
      <c r="AG118" s="27" t="n"/>
      <c r="AH118" s="27" t="n"/>
      <c r="AI118" s="27" t="n"/>
      <c r="AJ118" s="27" t="n"/>
      <c r="AK118" s="27" t="n"/>
      <c r="AL118" s="27" t="n"/>
      <c r="AM118" s="27" t="n"/>
      <c r="AN118" s="27" t="n"/>
      <c r="AO118" s="27" t="n"/>
      <c r="AP118" s="27" t="n"/>
      <c r="AQ118" s="27" t="n"/>
      <c r="AR118" s="27" t="n"/>
      <c r="AS118" s="27" t="n"/>
      <c r="AT118" s="27" t="n"/>
      <c r="AU118" s="27" t="n"/>
      <c r="AV118" s="27" t="n"/>
      <c r="AW118" s="27" t="n"/>
      <c r="AX118" s="27" t="n"/>
      <c r="AY118" s="27" t="n"/>
      <c r="AZ118" s="27" t="n"/>
      <c r="BA118" s="27" t="n"/>
      <c r="BB118" s="27" t="n"/>
      <c r="BC118" s="27" t="n"/>
      <c r="BD118" s="27" t="n"/>
      <c r="BE118" s="27" t="n"/>
      <c r="BF118" s="27" t="n"/>
      <c r="BG118" s="27" t="n"/>
      <c r="BH118" s="27" t="n"/>
      <c r="BI118" s="29" t="n"/>
      <c r="BJ118" s="27" t="n"/>
      <c r="BK118" s="27" t="n"/>
      <c r="BL118" s="27" t="n"/>
      <c r="BM118" s="27" t="n"/>
    </row>
    <row r="119">
      <c r="A119" s="27" t="n"/>
      <c r="B119" s="27" t="n"/>
      <c r="C119" s="28">
        <f>IF(A119="","",$B$2)</f>
        <v/>
      </c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  <c r="AA119" s="27" t="n"/>
      <c r="AB119" s="27" t="n"/>
      <c r="AC119" s="27" t="n"/>
      <c r="AD119" s="27" t="n"/>
      <c r="AE119" s="27" t="n"/>
      <c r="AF119" s="27" t="n"/>
      <c r="AG119" s="27" t="n"/>
      <c r="AH119" s="27" t="n"/>
      <c r="AI119" s="27" t="n"/>
      <c r="AJ119" s="27" t="n"/>
      <c r="AK119" s="27" t="n"/>
      <c r="AL119" s="27" t="n"/>
      <c r="AM119" s="27" t="n"/>
      <c r="AN119" s="27" t="n"/>
      <c r="AO119" s="27" t="n"/>
      <c r="AP119" s="27" t="n"/>
      <c r="AQ119" s="27" t="n"/>
      <c r="AR119" s="27" t="n"/>
      <c r="AS119" s="27" t="n"/>
      <c r="AT119" s="27" t="n"/>
      <c r="AU119" s="27" t="n"/>
      <c r="AV119" s="27" t="n"/>
      <c r="AW119" s="27" t="n"/>
      <c r="AX119" s="27" t="n"/>
      <c r="AY119" s="27" t="n"/>
      <c r="AZ119" s="27" t="n"/>
      <c r="BA119" s="27" t="n"/>
      <c r="BB119" s="27" t="n"/>
      <c r="BC119" s="27" t="n"/>
      <c r="BD119" s="27" t="n"/>
      <c r="BE119" s="27" t="n"/>
      <c r="BF119" s="27" t="n"/>
      <c r="BG119" s="27" t="n"/>
      <c r="BH119" s="27" t="n"/>
      <c r="BI119" s="29" t="n"/>
      <c r="BJ119" s="27" t="n"/>
      <c r="BK119" s="27" t="n"/>
      <c r="BL119" s="27" t="n"/>
      <c r="BM119" s="27" t="n"/>
    </row>
    <row r="120">
      <c r="A120" s="27" t="n"/>
      <c r="B120" s="27" t="n"/>
      <c r="C120" s="28">
        <f>IF(A120="","",$B$2)</f>
        <v/>
      </c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  <c r="AA120" s="27" t="n"/>
      <c r="AB120" s="27" t="n"/>
      <c r="AC120" s="27" t="n"/>
      <c r="AD120" s="27" t="n"/>
      <c r="AE120" s="27" t="n"/>
      <c r="AF120" s="27" t="n"/>
      <c r="AG120" s="27" t="n"/>
      <c r="AH120" s="27" t="n"/>
      <c r="AI120" s="27" t="n"/>
      <c r="AJ120" s="27" t="n"/>
      <c r="AK120" s="27" t="n"/>
      <c r="AL120" s="27" t="n"/>
      <c r="AM120" s="27" t="n"/>
      <c r="AN120" s="27" t="n"/>
      <c r="AO120" s="27" t="n"/>
      <c r="AP120" s="27" t="n"/>
      <c r="AQ120" s="27" t="n"/>
      <c r="AR120" s="27" t="n"/>
      <c r="AS120" s="27" t="n"/>
      <c r="AT120" s="27" t="n"/>
      <c r="AU120" s="27" t="n"/>
      <c r="AV120" s="27" t="n"/>
      <c r="AW120" s="27" t="n"/>
      <c r="AX120" s="27" t="n"/>
      <c r="AY120" s="27" t="n"/>
      <c r="AZ120" s="27" t="n"/>
      <c r="BA120" s="27" t="n"/>
      <c r="BB120" s="27" t="n"/>
      <c r="BC120" s="27" t="n"/>
      <c r="BD120" s="27" t="n"/>
      <c r="BE120" s="27" t="n"/>
      <c r="BF120" s="27" t="n"/>
      <c r="BG120" s="27" t="n"/>
      <c r="BH120" s="27" t="n"/>
      <c r="BI120" s="29" t="n"/>
      <c r="BJ120" s="27" t="n"/>
      <c r="BK120" s="27" t="n"/>
      <c r="BL120" s="27" t="n"/>
      <c r="BM120" s="27" t="n"/>
    </row>
    <row r="121">
      <c r="A121" s="27" t="n"/>
      <c r="B121" s="27" t="n"/>
      <c r="C121" s="28">
        <f>IF(A121="","",$B$2)</f>
        <v/>
      </c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  <c r="AA121" s="27" t="n"/>
      <c r="AB121" s="27" t="n"/>
      <c r="AC121" s="27" t="n"/>
      <c r="AD121" s="27" t="n"/>
      <c r="AE121" s="27" t="n"/>
      <c r="AF121" s="27" t="n"/>
      <c r="AG121" s="27" t="n"/>
      <c r="AH121" s="27" t="n"/>
      <c r="AI121" s="27" t="n"/>
      <c r="AJ121" s="27" t="n"/>
      <c r="AK121" s="27" t="n"/>
      <c r="AL121" s="27" t="n"/>
      <c r="AM121" s="27" t="n"/>
      <c r="AN121" s="27" t="n"/>
      <c r="AO121" s="27" t="n"/>
      <c r="AP121" s="27" t="n"/>
      <c r="AQ121" s="27" t="n"/>
      <c r="AR121" s="27" t="n"/>
      <c r="AS121" s="27" t="n"/>
      <c r="AT121" s="27" t="n"/>
      <c r="AU121" s="27" t="n"/>
      <c r="AV121" s="27" t="n"/>
      <c r="AW121" s="27" t="n"/>
      <c r="AX121" s="27" t="n"/>
      <c r="AY121" s="27" t="n"/>
      <c r="AZ121" s="27" t="n"/>
      <c r="BA121" s="27" t="n"/>
      <c r="BB121" s="27" t="n"/>
      <c r="BC121" s="27" t="n"/>
      <c r="BD121" s="27" t="n"/>
      <c r="BE121" s="27" t="n"/>
      <c r="BF121" s="27" t="n"/>
      <c r="BG121" s="27" t="n"/>
      <c r="BH121" s="27" t="n"/>
      <c r="BI121" s="29" t="n"/>
      <c r="BJ121" s="27" t="n"/>
      <c r="BK121" s="27" t="n"/>
      <c r="BL121" s="27" t="n"/>
      <c r="BM121" s="27" t="n"/>
    </row>
    <row r="122">
      <c r="A122" s="27" t="n"/>
      <c r="B122" s="27" t="n"/>
      <c r="C122" s="28">
        <f>IF(A122="","",$B$2)</f>
        <v/>
      </c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  <c r="AA122" s="27" t="n"/>
      <c r="AB122" s="27" t="n"/>
      <c r="AC122" s="27" t="n"/>
      <c r="AD122" s="27" t="n"/>
      <c r="AE122" s="27" t="n"/>
      <c r="AF122" s="27" t="n"/>
      <c r="AG122" s="27" t="n"/>
      <c r="AH122" s="27" t="n"/>
      <c r="AI122" s="27" t="n"/>
      <c r="AJ122" s="27" t="n"/>
      <c r="AK122" s="27" t="n"/>
      <c r="AL122" s="27" t="n"/>
      <c r="AM122" s="27" t="n"/>
      <c r="AN122" s="27" t="n"/>
      <c r="AO122" s="27" t="n"/>
      <c r="AP122" s="27" t="n"/>
      <c r="AQ122" s="27" t="n"/>
      <c r="AR122" s="27" t="n"/>
      <c r="AS122" s="27" t="n"/>
      <c r="AT122" s="27" t="n"/>
      <c r="AU122" s="27" t="n"/>
      <c r="AV122" s="27" t="n"/>
      <c r="AW122" s="27" t="n"/>
      <c r="AX122" s="27" t="n"/>
      <c r="AY122" s="27" t="n"/>
      <c r="AZ122" s="27" t="n"/>
      <c r="BA122" s="27" t="n"/>
      <c r="BB122" s="27" t="n"/>
      <c r="BC122" s="27" t="n"/>
      <c r="BD122" s="27" t="n"/>
      <c r="BE122" s="27" t="n"/>
      <c r="BF122" s="27" t="n"/>
      <c r="BG122" s="27" t="n"/>
      <c r="BH122" s="27" t="n"/>
      <c r="BI122" s="29" t="n"/>
      <c r="BJ122" s="27" t="n"/>
      <c r="BK122" s="27" t="n"/>
      <c r="BL122" s="27" t="n"/>
      <c r="BM122" s="27" t="n"/>
    </row>
    <row r="123">
      <c r="A123" s="27" t="n"/>
      <c r="B123" s="27" t="n"/>
      <c r="C123" s="28">
        <f>IF(A123="","",$B$2)</f>
        <v/>
      </c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  <c r="AA123" s="27" t="n"/>
      <c r="AB123" s="27" t="n"/>
      <c r="AC123" s="27" t="n"/>
      <c r="AD123" s="27" t="n"/>
      <c r="AE123" s="27" t="n"/>
      <c r="AF123" s="27" t="n"/>
      <c r="AG123" s="27" t="n"/>
      <c r="AH123" s="27" t="n"/>
      <c r="AI123" s="27" t="n"/>
      <c r="AJ123" s="27" t="n"/>
      <c r="AK123" s="27" t="n"/>
      <c r="AL123" s="27" t="n"/>
      <c r="AM123" s="27" t="n"/>
      <c r="AN123" s="27" t="n"/>
      <c r="AO123" s="27" t="n"/>
      <c r="AP123" s="27" t="n"/>
      <c r="AQ123" s="27" t="n"/>
      <c r="AR123" s="27" t="n"/>
      <c r="AS123" s="27" t="n"/>
      <c r="AT123" s="27" t="n"/>
      <c r="AU123" s="27" t="n"/>
      <c r="AV123" s="27" t="n"/>
      <c r="AW123" s="27" t="n"/>
      <c r="AX123" s="27" t="n"/>
      <c r="AY123" s="27" t="n"/>
      <c r="AZ123" s="27" t="n"/>
      <c r="BA123" s="27" t="n"/>
      <c r="BB123" s="27" t="n"/>
      <c r="BC123" s="27" t="n"/>
      <c r="BD123" s="27" t="n"/>
      <c r="BE123" s="27" t="n"/>
      <c r="BF123" s="27" t="n"/>
      <c r="BG123" s="27" t="n"/>
      <c r="BH123" s="27" t="n"/>
      <c r="BI123" s="29" t="n"/>
      <c r="BJ123" s="27" t="n"/>
      <c r="BK123" s="27" t="n"/>
      <c r="BL123" s="27" t="n"/>
      <c r="BM123" s="27" t="n"/>
    </row>
    <row r="124">
      <c r="A124" s="27" t="n"/>
      <c r="B124" s="27" t="n"/>
      <c r="C124" s="28">
        <f>IF(A124="","",$B$2)</f>
        <v/>
      </c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  <c r="AA124" s="27" t="n"/>
      <c r="AB124" s="27" t="n"/>
      <c r="AC124" s="27" t="n"/>
      <c r="AD124" s="27" t="n"/>
      <c r="AE124" s="27" t="n"/>
      <c r="AF124" s="27" t="n"/>
      <c r="AG124" s="27" t="n"/>
      <c r="AH124" s="27" t="n"/>
      <c r="AI124" s="27" t="n"/>
      <c r="AJ124" s="27" t="n"/>
      <c r="AK124" s="27" t="n"/>
      <c r="AL124" s="27" t="n"/>
      <c r="AM124" s="27" t="n"/>
      <c r="AN124" s="27" t="n"/>
      <c r="AO124" s="27" t="n"/>
      <c r="AP124" s="27" t="n"/>
      <c r="AQ124" s="27" t="n"/>
      <c r="AR124" s="27" t="n"/>
      <c r="AS124" s="27" t="n"/>
      <c r="AT124" s="27" t="n"/>
      <c r="AU124" s="27" t="n"/>
      <c r="AV124" s="27" t="n"/>
      <c r="AW124" s="27" t="n"/>
      <c r="AX124" s="27" t="n"/>
      <c r="AY124" s="27" t="n"/>
      <c r="AZ124" s="27" t="n"/>
      <c r="BA124" s="27" t="n"/>
      <c r="BB124" s="27" t="n"/>
      <c r="BC124" s="27" t="n"/>
      <c r="BD124" s="27" t="n"/>
      <c r="BE124" s="27" t="n"/>
      <c r="BF124" s="27" t="n"/>
      <c r="BG124" s="27" t="n"/>
      <c r="BH124" s="27" t="n"/>
      <c r="BI124" s="29" t="n"/>
      <c r="BJ124" s="27" t="n"/>
      <c r="BK124" s="27" t="n"/>
      <c r="BL124" s="27" t="n"/>
      <c r="BM124" s="27" t="n"/>
    </row>
    <row r="125">
      <c r="A125" s="27" t="n"/>
      <c r="B125" s="27" t="n"/>
      <c r="C125" s="28">
        <f>IF(A125="","",$B$2)</f>
        <v/>
      </c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  <c r="AA125" s="27" t="n"/>
      <c r="AB125" s="27" t="n"/>
      <c r="AC125" s="27" t="n"/>
      <c r="AD125" s="27" t="n"/>
      <c r="AE125" s="27" t="n"/>
      <c r="AF125" s="27" t="n"/>
      <c r="AG125" s="27" t="n"/>
      <c r="AH125" s="27" t="n"/>
      <c r="AI125" s="27" t="n"/>
      <c r="AJ125" s="27" t="n"/>
      <c r="AK125" s="27" t="n"/>
      <c r="AL125" s="27" t="n"/>
      <c r="AM125" s="27" t="n"/>
      <c r="AN125" s="27" t="n"/>
      <c r="AO125" s="27" t="n"/>
      <c r="AP125" s="27" t="n"/>
      <c r="AQ125" s="27" t="n"/>
      <c r="AR125" s="27" t="n"/>
      <c r="AS125" s="27" t="n"/>
      <c r="AT125" s="27" t="n"/>
      <c r="AU125" s="27" t="n"/>
      <c r="AV125" s="27" t="n"/>
      <c r="AW125" s="27" t="n"/>
      <c r="AX125" s="27" t="n"/>
      <c r="AY125" s="27" t="n"/>
      <c r="AZ125" s="27" t="n"/>
      <c r="BA125" s="27" t="n"/>
      <c r="BB125" s="27" t="n"/>
      <c r="BC125" s="27" t="n"/>
      <c r="BD125" s="27" t="n"/>
      <c r="BE125" s="27" t="n"/>
      <c r="BF125" s="27" t="n"/>
      <c r="BG125" s="27" t="n"/>
      <c r="BH125" s="27" t="n"/>
      <c r="BI125" s="29" t="n"/>
      <c r="BJ125" s="27" t="n"/>
      <c r="BK125" s="27" t="n"/>
      <c r="BL125" s="27" t="n"/>
      <c r="BM125" s="27" t="n"/>
    </row>
    <row r="126">
      <c r="A126" s="27" t="n"/>
      <c r="B126" s="27" t="n"/>
      <c r="C126" s="28">
        <f>IF(A126="","",$B$2)</f>
        <v/>
      </c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  <c r="AA126" s="27" t="n"/>
      <c r="AB126" s="27" t="n"/>
      <c r="AC126" s="27" t="n"/>
      <c r="AD126" s="27" t="n"/>
      <c r="AE126" s="27" t="n"/>
      <c r="AF126" s="27" t="n"/>
      <c r="AG126" s="27" t="n"/>
      <c r="AH126" s="27" t="n"/>
      <c r="AI126" s="27" t="n"/>
      <c r="AJ126" s="27" t="n"/>
      <c r="AK126" s="27" t="n"/>
      <c r="AL126" s="27" t="n"/>
      <c r="AM126" s="27" t="n"/>
      <c r="AN126" s="27" t="n"/>
      <c r="AO126" s="27" t="n"/>
      <c r="AP126" s="27" t="n"/>
      <c r="AQ126" s="27" t="n"/>
      <c r="AR126" s="27" t="n"/>
      <c r="AS126" s="27" t="n"/>
      <c r="AT126" s="27" t="n"/>
      <c r="AU126" s="27" t="n"/>
      <c r="AV126" s="27" t="n"/>
      <c r="AW126" s="27" t="n"/>
      <c r="AX126" s="27" t="n"/>
      <c r="AY126" s="27" t="n"/>
      <c r="AZ126" s="27" t="n"/>
      <c r="BA126" s="27" t="n"/>
      <c r="BB126" s="27" t="n"/>
      <c r="BC126" s="27" t="n"/>
      <c r="BD126" s="27" t="n"/>
      <c r="BE126" s="27" t="n"/>
      <c r="BF126" s="27" t="n"/>
      <c r="BG126" s="27" t="n"/>
      <c r="BH126" s="27" t="n"/>
      <c r="BI126" s="29" t="n"/>
      <c r="BJ126" s="27" t="n"/>
      <c r="BK126" s="27" t="n"/>
      <c r="BL126" s="27" t="n"/>
      <c r="BM126" s="27" t="n"/>
    </row>
    <row r="127">
      <c r="A127" s="27" t="n"/>
      <c r="B127" s="27" t="n"/>
      <c r="C127" s="28">
        <f>IF(A127="","",$B$2)</f>
        <v/>
      </c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  <c r="AA127" s="27" t="n"/>
      <c r="AB127" s="27" t="n"/>
      <c r="AC127" s="27" t="n"/>
      <c r="AD127" s="27" t="n"/>
      <c r="AE127" s="27" t="n"/>
      <c r="AF127" s="27" t="n"/>
      <c r="AG127" s="27" t="n"/>
      <c r="AH127" s="27" t="n"/>
      <c r="AI127" s="27" t="n"/>
      <c r="AJ127" s="27" t="n"/>
      <c r="AK127" s="27" t="n"/>
      <c r="AL127" s="27" t="n"/>
      <c r="AM127" s="27" t="n"/>
      <c r="AN127" s="27" t="n"/>
      <c r="AO127" s="27" t="n"/>
      <c r="AP127" s="27" t="n"/>
      <c r="AQ127" s="27" t="n"/>
      <c r="AR127" s="27" t="n"/>
      <c r="AS127" s="27" t="n"/>
      <c r="AT127" s="27" t="n"/>
      <c r="AU127" s="27" t="n"/>
      <c r="AV127" s="27" t="n"/>
      <c r="AW127" s="27" t="n"/>
      <c r="AX127" s="27" t="n"/>
      <c r="AY127" s="27" t="n"/>
      <c r="AZ127" s="27" t="n"/>
      <c r="BA127" s="27" t="n"/>
      <c r="BB127" s="27" t="n"/>
      <c r="BC127" s="27" t="n"/>
      <c r="BD127" s="27" t="n"/>
      <c r="BE127" s="27" t="n"/>
      <c r="BF127" s="27" t="n"/>
      <c r="BG127" s="27" t="n"/>
      <c r="BH127" s="27" t="n"/>
      <c r="BI127" s="29" t="n"/>
      <c r="BJ127" s="27" t="n"/>
      <c r="BK127" s="27" t="n"/>
      <c r="BL127" s="27" t="n"/>
      <c r="BM127" s="27" t="n"/>
    </row>
    <row r="128">
      <c r="A128" s="27" t="n"/>
      <c r="B128" s="27" t="n"/>
      <c r="C128" s="28">
        <f>IF(A128="","",$B$2)</f>
        <v/>
      </c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  <c r="AA128" s="27" t="n"/>
      <c r="AB128" s="27" t="n"/>
      <c r="AC128" s="27" t="n"/>
      <c r="AD128" s="27" t="n"/>
      <c r="AE128" s="27" t="n"/>
      <c r="AF128" s="27" t="n"/>
      <c r="AG128" s="27" t="n"/>
      <c r="AH128" s="27" t="n"/>
      <c r="AI128" s="27" t="n"/>
      <c r="AJ128" s="27" t="n"/>
      <c r="AK128" s="27" t="n"/>
      <c r="AL128" s="27" t="n"/>
      <c r="AM128" s="27" t="n"/>
      <c r="AN128" s="27" t="n"/>
      <c r="AO128" s="27" t="n"/>
      <c r="AP128" s="27" t="n"/>
      <c r="AQ128" s="27" t="n"/>
      <c r="AR128" s="27" t="n"/>
      <c r="AS128" s="27" t="n"/>
      <c r="AT128" s="27" t="n"/>
      <c r="AU128" s="27" t="n"/>
      <c r="AV128" s="27" t="n"/>
      <c r="AW128" s="27" t="n"/>
      <c r="AX128" s="27" t="n"/>
      <c r="AY128" s="27" t="n"/>
      <c r="AZ128" s="27" t="n"/>
      <c r="BA128" s="27" t="n"/>
      <c r="BB128" s="27" t="n"/>
      <c r="BC128" s="27" t="n"/>
      <c r="BD128" s="27" t="n"/>
      <c r="BE128" s="27" t="n"/>
      <c r="BF128" s="27" t="n"/>
      <c r="BG128" s="27" t="n"/>
      <c r="BH128" s="27" t="n"/>
      <c r="BI128" s="29" t="n"/>
      <c r="BJ128" s="27" t="n"/>
      <c r="BK128" s="27" t="n"/>
      <c r="BL128" s="27" t="n"/>
      <c r="BM128" s="27" t="n"/>
    </row>
    <row r="129">
      <c r="A129" s="27" t="n"/>
      <c r="B129" s="27" t="n"/>
      <c r="C129" s="28">
        <f>IF(A129="","",$B$2)</f>
        <v/>
      </c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  <c r="AA129" s="27" t="n"/>
      <c r="AB129" s="27" t="n"/>
      <c r="AC129" s="27" t="n"/>
      <c r="AD129" s="27" t="n"/>
      <c r="AE129" s="27" t="n"/>
      <c r="AF129" s="27" t="n"/>
      <c r="AG129" s="27" t="n"/>
      <c r="AH129" s="27" t="n"/>
      <c r="AI129" s="27" t="n"/>
      <c r="AJ129" s="27" t="n"/>
      <c r="AK129" s="27" t="n"/>
      <c r="AL129" s="27" t="n"/>
      <c r="AM129" s="27" t="n"/>
      <c r="AN129" s="27" t="n"/>
      <c r="AO129" s="27" t="n"/>
      <c r="AP129" s="27" t="n"/>
      <c r="AQ129" s="27" t="n"/>
      <c r="AR129" s="27" t="n"/>
      <c r="AS129" s="27" t="n"/>
      <c r="AT129" s="27" t="n"/>
      <c r="AU129" s="27" t="n"/>
      <c r="AV129" s="27" t="n"/>
      <c r="AW129" s="27" t="n"/>
      <c r="AX129" s="27" t="n"/>
      <c r="AY129" s="27" t="n"/>
      <c r="AZ129" s="27" t="n"/>
      <c r="BA129" s="27" t="n"/>
      <c r="BB129" s="27" t="n"/>
      <c r="BC129" s="27" t="n"/>
      <c r="BD129" s="27" t="n"/>
      <c r="BE129" s="27" t="n"/>
      <c r="BF129" s="27" t="n"/>
      <c r="BG129" s="27" t="n"/>
      <c r="BH129" s="27" t="n"/>
      <c r="BI129" s="29" t="n"/>
      <c r="BJ129" s="27" t="n"/>
      <c r="BK129" s="27" t="n"/>
      <c r="BL129" s="27" t="n"/>
      <c r="BM129" s="27" t="n"/>
    </row>
    <row r="130">
      <c r="A130" s="27" t="n"/>
      <c r="B130" s="27" t="n"/>
      <c r="C130" s="28">
        <f>IF(A130="","",$B$2)</f>
        <v/>
      </c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  <c r="AA130" s="27" t="n"/>
      <c r="AB130" s="27" t="n"/>
      <c r="AC130" s="27" t="n"/>
      <c r="AD130" s="27" t="n"/>
      <c r="AE130" s="27" t="n"/>
      <c r="AF130" s="27" t="n"/>
      <c r="AG130" s="27" t="n"/>
      <c r="AH130" s="27" t="n"/>
      <c r="AI130" s="27" t="n"/>
      <c r="AJ130" s="27" t="n"/>
      <c r="AK130" s="27" t="n"/>
      <c r="AL130" s="27" t="n"/>
      <c r="AM130" s="27" t="n"/>
      <c r="AN130" s="27" t="n"/>
      <c r="AO130" s="27" t="n"/>
      <c r="AP130" s="27" t="n"/>
      <c r="AQ130" s="27" t="n"/>
      <c r="AR130" s="27" t="n"/>
      <c r="AS130" s="27" t="n"/>
      <c r="AT130" s="27" t="n"/>
      <c r="AU130" s="27" t="n"/>
      <c r="AV130" s="27" t="n"/>
      <c r="AW130" s="27" t="n"/>
      <c r="AX130" s="27" t="n"/>
      <c r="AY130" s="27" t="n"/>
      <c r="AZ130" s="27" t="n"/>
      <c r="BA130" s="27" t="n"/>
      <c r="BB130" s="27" t="n"/>
      <c r="BC130" s="27" t="n"/>
      <c r="BD130" s="27" t="n"/>
      <c r="BE130" s="27" t="n"/>
      <c r="BF130" s="27" t="n"/>
      <c r="BG130" s="27" t="n"/>
      <c r="BH130" s="27" t="n"/>
      <c r="BI130" s="29" t="n"/>
      <c r="BJ130" s="27" t="n"/>
      <c r="BK130" s="27" t="n"/>
      <c r="BL130" s="27" t="n"/>
      <c r="BM130" s="27" t="n"/>
    </row>
    <row r="131">
      <c r="A131" s="27" t="n"/>
      <c r="B131" s="27" t="n"/>
      <c r="C131" s="28">
        <f>IF(A131="","",$B$2)</f>
        <v/>
      </c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  <c r="AA131" s="27" t="n"/>
      <c r="AB131" s="27" t="n"/>
      <c r="AC131" s="27" t="n"/>
      <c r="AD131" s="27" t="n"/>
      <c r="AE131" s="27" t="n"/>
      <c r="AF131" s="27" t="n"/>
      <c r="AG131" s="27" t="n"/>
      <c r="AH131" s="27" t="n"/>
      <c r="AI131" s="27" t="n"/>
      <c r="AJ131" s="27" t="n"/>
      <c r="AK131" s="27" t="n"/>
      <c r="AL131" s="27" t="n"/>
      <c r="AM131" s="27" t="n"/>
      <c r="AN131" s="27" t="n"/>
      <c r="AO131" s="27" t="n"/>
      <c r="AP131" s="27" t="n"/>
      <c r="AQ131" s="27" t="n"/>
      <c r="AR131" s="27" t="n"/>
      <c r="AS131" s="27" t="n"/>
      <c r="AT131" s="27" t="n"/>
      <c r="AU131" s="27" t="n"/>
      <c r="AV131" s="27" t="n"/>
      <c r="AW131" s="27" t="n"/>
      <c r="AX131" s="27" t="n"/>
      <c r="AY131" s="27" t="n"/>
      <c r="AZ131" s="27" t="n"/>
      <c r="BA131" s="27" t="n"/>
      <c r="BB131" s="27" t="n"/>
      <c r="BC131" s="27" t="n"/>
      <c r="BD131" s="27" t="n"/>
      <c r="BE131" s="27" t="n"/>
      <c r="BF131" s="27" t="n"/>
      <c r="BG131" s="27" t="n"/>
      <c r="BH131" s="27" t="n"/>
      <c r="BI131" s="29" t="n"/>
      <c r="BJ131" s="27" t="n"/>
      <c r="BK131" s="27" t="n"/>
      <c r="BL131" s="27" t="n"/>
      <c r="BM131" s="27" t="n"/>
    </row>
    <row r="132">
      <c r="A132" s="27" t="n"/>
      <c r="B132" s="27" t="n"/>
      <c r="C132" s="28">
        <f>IF(A132="","",$B$2)</f>
        <v/>
      </c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  <c r="AA132" s="27" t="n"/>
      <c r="AB132" s="27" t="n"/>
      <c r="AC132" s="27" t="n"/>
      <c r="AD132" s="27" t="n"/>
      <c r="AE132" s="27" t="n"/>
      <c r="AF132" s="27" t="n"/>
      <c r="AG132" s="27" t="n"/>
      <c r="AH132" s="27" t="n"/>
      <c r="AI132" s="27" t="n"/>
      <c r="AJ132" s="27" t="n"/>
      <c r="AK132" s="27" t="n"/>
      <c r="AL132" s="27" t="n"/>
      <c r="AM132" s="27" t="n"/>
      <c r="AN132" s="27" t="n"/>
      <c r="AO132" s="27" t="n"/>
      <c r="AP132" s="27" t="n"/>
      <c r="AQ132" s="27" t="n"/>
      <c r="AR132" s="27" t="n"/>
      <c r="AS132" s="27" t="n"/>
      <c r="AT132" s="27" t="n"/>
      <c r="AU132" s="27" t="n"/>
      <c r="AV132" s="27" t="n"/>
      <c r="AW132" s="27" t="n"/>
      <c r="AX132" s="27" t="n"/>
      <c r="AY132" s="27" t="n"/>
      <c r="AZ132" s="27" t="n"/>
      <c r="BA132" s="27" t="n"/>
      <c r="BB132" s="27" t="n"/>
      <c r="BC132" s="27" t="n"/>
      <c r="BD132" s="27" t="n"/>
      <c r="BE132" s="27" t="n"/>
      <c r="BF132" s="27" t="n"/>
      <c r="BG132" s="27" t="n"/>
      <c r="BH132" s="27" t="n"/>
      <c r="BI132" s="29" t="n"/>
      <c r="BJ132" s="27" t="n"/>
      <c r="BK132" s="27" t="n"/>
      <c r="BL132" s="27" t="n"/>
      <c r="BM132" s="27" t="n"/>
    </row>
    <row r="133">
      <c r="A133" s="27" t="n"/>
      <c r="B133" s="27" t="n"/>
      <c r="C133" s="28">
        <f>IF(A133="","",$B$2)</f>
        <v/>
      </c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  <c r="AA133" s="27" t="n"/>
      <c r="AB133" s="27" t="n"/>
      <c r="AC133" s="27" t="n"/>
      <c r="AD133" s="27" t="n"/>
      <c r="AE133" s="27" t="n"/>
      <c r="AF133" s="27" t="n"/>
      <c r="AG133" s="27" t="n"/>
      <c r="AH133" s="27" t="n"/>
      <c r="AI133" s="27" t="n"/>
      <c r="AJ133" s="27" t="n"/>
      <c r="AK133" s="27" t="n"/>
      <c r="AL133" s="27" t="n"/>
      <c r="AM133" s="27" t="n"/>
      <c r="AN133" s="27" t="n"/>
      <c r="AO133" s="27" t="n"/>
      <c r="AP133" s="27" t="n"/>
      <c r="AQ133" s="27" t="n"/>
      <c r="AR133" s="27" t="n"/>
      <c r="AS133" s="27" t="n"/>
      <c r="AT133" s="27" t="n"/>
      <c r="AU133" s="27" t="n"/>
      <c r="AV133" s="27" t="n"/>
      <c r="AW133" s="27" t="n"/>
      <c r="AX133" s="27" t="n"/>
      <c r="AY133" s="27" t="n"/>
      <c r="AZ133" s="27" t="n"/>
      <c r="BA133" s="27" t="n"/>
      <c r="BB133" s="27" t="n"/>
      <c r="BC133" s="27" t="n"/>
      <c r="BD133" s="27" t="n"/>
      <c r="BE133" s="27" t="n"/>
      <c r="BF133" s="27" t="n"/>
      <c r="BG133" s="27" t="n"/>
      <c r="BH133" s="27" t="n"/>
      <c r="BI133" s="29" t="n"/>
      <c r="BJ133" s="27" t="n"/>
      <c r="BK133" s="27" t="n"/>
      <c r="BL133" s="27" t="n"/>
      <c r="BM133" s="27" t="n"/>
    </row>
    <row r="134">
      <c r="A134" s="27" t="n"/>
      <c r="B134" s="27" t="n"/>
      <c r="C134" s="28">
        <f>IF(A134="","",$B$2)</f>
        <v/>
      </c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  <c r="AA134" s="27" t="n"/>
      <c r="AB134" s="27" t="n"/>
      <c r="AC134" s="27" t="n"/>
      <c r="AD134" s="27" t="n"/>
      <c r="AE134" s="27" t="n"/>
      <c r="AF134" s="27" t="n"/>
      <c r="AG134" s="27" t="n"/>
      <c r="AH134" s="27" t="n"/>
      <c r="AI134" s="27" t="n"/>
      <c r="AJ134" s="27" t="n"/>
      <c r="AK134" s="27" t="n"/>
      <c r="AL134" s="27" t="n"/>
      <c r="AM134" s="27" t="n"/>
      <c r="AN134" s="27" t="n"/>
      <c r="AO134" s="27" t="n"/>
      <c r="AP134" s="27" t="n"/>
      <c r="AQ134" s="27" t="n"/>
      <c r="AR134" s="27" t="n"/>
      <c r="AS134" s="27" t="n"/>
      <c r="AT134" s="27" t="n"/>
      <c r="AU134" s="27" t="n"/>
      <c r="AV134" s="27" t="n"/>
      <c r="AW134" s="27" t="n"/>
      <c r="AX134" s="27" t="n"/>
      <c r="AY134" s="27" t="n"/>
      <c r="AZ134" s="27" t="n"/>
      <c r="BA134" s="27" t="n"/>
      <c r="BB134" s="27" t="n"/>
      <c r="BC134" s="27" t="n"/>
      <c r="BD134" s="27" t="n"/>
      <c r="BE134" s="27" t="n"/>
      <c r="BF134" s="27" t="n"/>
      <c r="BG134" s="27" t="n"/>
      <c r="BH134" s="27" t="n"/>
      <c r="BI134" s="29" t="n"/>
      <c r="BJ134" s="27" t="n"/>
      <c r="BK134" s="27" t="n"/>
      <c r="BL134" s="27" t="n"/>
      <c r="BM134" s="27" t="n"/>
    </row>
    <row r="135">
      <c r="A135" s="27" t="n"/>
      <c r="B135" s="27" t="n"/>
      <c r="C135" s="28">
        <f>IF(A135="","",$B$2)</f>
        <v/>
      </c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  <c r="AA135" s="27" t="n"/>
      <c r="AB135" s="27" t="n"/>
      <c r="AC135" s="27" t="n"/>
      <c r="AD135" s="27" t="n"/>
      <c r="AE135" s="27" t="n"/>
      <c r="AF135" s="27" t="n"/>
      <c r="AG135" s="27" t="n"/>
      <c r="AH135" s="27" t="n"/>
      <c r="AI135" s="27" t="n"/>
      <c r="AJ135" s="27" t="n"/>
      <c r="AK135" s="27" t="n"/>
      <c r="AL135" s="27" t="n"/>
      <c r="AM135" s="27" t="n"/>
      <c r="AN135" s="27" t="n"/>
      <c r="AO135" s="27" t="n"/>
      <c r="AP135" s="27" t="n"/>
      <c r="AQ135" s="27" t="n"/>
      <c r="AR135" s="27" t="n"/>
      <c r="AS135" s="27" t="n"/>
      <c r="AT135" s="27" t="n"/>
      <c r="AU135" s="27" t="n"/>
      <c r="AV135" s="27" t="n"/>
      <c r="AW135" s="27" t="n"/>
      <c r="AX135" s="27" t="n"/>
      <c r="AY135" s="27" t="n"/>
      <c r="AZ135" s="27" t="n"/>
      <c r="BA135" s="27" t="n"/>
      <c r="BB135" s="27" t="n"/>
      <c r="BC135" s="27" t="n"/>
      <c r="BD135" s="27" t="n"/>
      <c r="BE135" s="27" t="n"/>
      <c r="BF135" s="27" t="n"/>
      <c r="BG135" s="27" t="n"/>
      <c r="BH135" s="27" t="n"/>
      <c r="BI135" s="29" t="n"/>
      <c r="BJ135" s="27" t="n"/>
      <c r="BK135" s="27" t="n"/>
      <c r="BL135" s="27" t="n"/>
      <c r="BM135" s="27" t="n"/>
    </row>
    <row r="136">
      <c r="A136" s="27" t="n"/>
      <c r="B136" s="27" t="n"/>
      <c r="C136" s="28">
        <f>IF(A136="","",$B$2)</f>
        <v/>
      </c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  <c r="AA136" s="27" t="n"/>
      <c r="AB136" s="27" t="n"/>
      <c r="AC136" s="27" t="n"/>
      <c r="AD136" s="27" t="n"/>
      <c r="AE136" s="27" t="n"/>
      <c r="AF136" s="27" t="n"/>
      <c r="AG136" s="27" t="n"/>
      <c r="AH136" s="27" t="n"/>
      <c r="AI136" s="27" t="n"/>
      <c r="AJ136" s="27" t="n"/>
      <c r="AK136" s="27" t="n"/>
      <c r="AL136" s="27" t="n"/>
      <c r="AM136" s="27" t="n"/>
      <c r="AN136" s="27" t="n"/>
      <c r="AO136" s="27" t="n"/>
      <c r="AP136" s="27" t="n"/>
      <c r="AQ136" s="27" t="n"/>
      <c r="AR136" s="27" t="n"/>
      <c r="AS136" s="27" t="n"/>
      <c r="AT136" s="27" t="n"/>
      <c r="AU136" s="27" t="n"/>
      <c r="AV136" s="27" t="n"/>
      <c r="AW136" s="27" t="n"/>
      <c r="AX136" s="27" t="n"/>
      <c r="AY136" s="27" t="n"/>
      <c r="AZ136" s="27" t="n"/>
      <c r="BA136" s="27" t="n"/>
      <c r="BB136" s="27" t="n"/>
      <c r="BC136" s="27" t="n"/>
      <c r="BD136" s="27" t="n"/>
      <c r="BE136" s="27" t="n"/>
      <c r="BF136" s="27" t="n"/>
      <c r="BG136" s="27" t="n"/>
      <c r="BH136" s="27" t="n"/>
      <c r="BI136" s="29" t="n"/>
      <c r="BJ136" s="27" t="n"/>
      <c r="BK136" s="27" t="n"/>
      <c r="BL136" s="27" t="n"/>
      <c r="BM136" s="27" t="n"/>
    </row>
    <row r="137">
      <c r="A137" s="27" t="n"/>
      <c r="B137" s="27" t="n"/>
      <c r="C137" s="28">
        <f>IF(A137="","",$B$2)</f>
        <v/>
      </c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  <c r="AA137" s="27" t="n"/>
      <c r="AB137" s="27" t="n"/>
      <c r="AC137" s="27" t="n"/>
      <c r="AD137" s="27" t="n"/>
      <c r="AE137" s="27" t="n"/>
      <c r="AF137" s="27" t="n"/>
      <c r="AG137" s="27" t="n"/>
      <c r="AH137" s="27" t="n"/>
      <c r="AI137" s="27" t="n"/>
      <c r="AJ137" s="27" t="n"/>
      <c r="AK137" s="27" t="n"/>
      <c r="AL137" s="27" t="n"/>
      <c r="AM137" s="27" t="n"/>
      <c r="AN137" s="27" t="n"/>
      <c r="AO137" s="27" t="n"/>
      <c r="AP137" s="27" t="n"/>
      <c r="AQ137" s="27" t="n"/>
      <c r="AR137" s="27" t="n"/>
      <c r="AS137" s="27" t="n"/>
      <c r="AT137" s="27" t="n"/>
      <c r="AU137" s="27" t="n"/>
      <c r="AV137" s="27" t="n"/>
      <c r="AW137" s="27" t="n"/>
      <c r="AX137" s="27" t="n"/>
      <c r="AY137" s="27" t="n"/>
      <c r="AZ137" s="27" t="n"/>
      <c r="BA137" s="27" t="n"/>
      <c r="BB137" s="27" t="n"/>
      <c r="BC137" s="27" t="n"/>
      <c r="BD137" s="27" t="n"/>
      <c r="BE137" s="27" t="n"/>
      <c r="BF137" s="27" t="n"/>
      <c r="BG137" s="27" t="n"/>
      <c r="BH137" s="27" t="n"/>
      <c r="BI137" s="29" t="n"/>
      <c r="BJ137" s="27" t="n"/>
      <c r="BK137" s="27" t="n"/>
      <c r="BL137" s="27" t="n"/>
      <c r="BM137" s="27" t="n"/>
    </row>
    <row r="138">
      <c r="A138" s="27" t="n"/>
      <c r="B138" s="27" t="n"/>
      <c r="C138" s="28">
        <f>IF(A138="","",$B$2)</f>
        <v/>
      </c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  <c r="AA138" s="27" t="n"/>
      <c r="AB138" s="27" t="n"/>
      <c r="AC138" s="27" t="n"/>
      <c r="AD138" s="27" t="n"/>
      <c r="AE138" s="27" t="n"/>
      <c r="AF138" s="27" t="n"/>
      <c r="AG138" s="27" t="n"/>
      <c r="AH138" s="27" t="n"/>
      <c r="AI138" s="27" t="n"/>
      <c r="AJ138" s="27" t="n"/>
      <c r="AK138" s="27" t="n"/>
      <c r="AL138" s="27" t="n"/>
      <c r="AM138" s="27" t="n"/>
      <c r="AN138" s="27" t="n"/>
      <c r="AO138" s="27" t="n"/>
      <c r="AP138" s="27" t="n"/>
      <c r="AQ138" s="27" t="n"/>
      <c r="AR138" s="27" t="n"/>
      <c r="AS138" s="27" t="n"/>
      <c r="AT138" s="27" t="n"/>
      <c r="AU138" s="27" t="n"/>
      <c r="AV138" s="27" t="n"/>
      <c r="AW138" s="27" t="n"/>
      <c r="AX138" s="27" t="n"/>
      <c r="AY138" s="27" t="n"/>
      <c r="AZ138" s="27" t="n"/>
      <c r="BA138" s="27" t="n"/>
      <c r="BB138" s="27" t="n"/>
      <c r="BC138" s="27" t="n"/>
      <c r="BD138" s="27" t="n"/>
      <c r="BE138" s="27" t="n"/>
      <c r="BF138" s="27" t="n"/>
      <c r="BG138" s="27" t="n"/>
      <c r="BH138" s="27" t="n"/>
      <c r="BI138" s="29" t="n"/>
      <c r="BJ138" s="27" t="n"/>
      <c r="BK138" s="27" t="n"/>
      <c r="BL138" s="27" t="n"/>
      <c r="BM138" s="27" t="n"/>
    </row>
    <row r="139">
      <c r="A139" s="27" t="n"/>
      <c r="B139" s="27" t="n"/>
      <c r="C139" s="28">
        <f>IF(A139="","",$B$2)</f>
        <v/>
      </c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  <c r="AA139" s="27" t="n"/>
      <c r="AB139" s="27" t="n"/>
      <c r="AC139" s="27" t="n"/>
      <c r="AD139" s="27" t="n"/>
      <c r="AE139" s="27" t="n"/>
      <c r="AF139" s="27" t="n"/>
      <c r="AG139" s="27" t="n"/>
      <c r="AH139" s="27" t="n"/>
      <c r="AI139" s="27" t="n"/>
      <c r="AJ139" s="27" t="n"/>
      <c r="AK139" s="27" t="n"/>
      <c r="AL139" s="27" t="n"/>
      <c r="AM139" s="27" t="n"/>
      <c r="AN139" s="27" t="n"/>
      <c r="AO139" s="27" t="n"/>
      <c r="AP139" s="27" t="n"/>
      <c r="AQ139" s="27" t="n"/>
      <c r="AR139" s="27" t="n"/>
      <c r="AS139" s="27" t="n"/>
      <c r="AT139" s="27" t="n"/>
      <c r="AU139" s="27" t="n"/>
      <c r="AV139" s="27" t="n"/>
      <c r="AW139" s="27" t="n"/>
      <c r="AX139" s="27" t="n"/>
      <c r="AY139" s="27" t="n"/>
      <c r="AZ139" s="27" t="n"/>
      <c r="BA139" s="27" t="n"/>
      <c r="BB139" s="27" t="n"/>
      <c r="BC139" s="27" t="n"/>
      <c r="BD139" s="27" t="n"/>
      <c r="BE139" s="27" t="n"/>
      <c r="BF139" s="27" t="n"/>
      <c r="BG139" s="27" t="n"/>
      <c r="BH139" s="27" t="n"/>
      <c r="BI139" s="29" t="n"/>
      <c r="BJ139" s="27" t="n"/>
      <c r="BK139" s="27" t="n"/>
      <c r="BL139" s="27" t="n"/>
      <c r="BM139" s="27" t="n"/>
    </row>
    <row r="140">
      <c r="A140" s="27" t="n"/>
      <c r="B140" s="27" t="n"/>
      <c r="C140" s="28">
        <f>IF(A140="","",$B$2)</f>
        <v/>
      </c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  <c r="AA140" s="27" t="n"/>
      <c r="AB140" s="27" t="n"/>
      <c r="AC140" s="27" t="n"/>
      <c r="AD140" s="27" t="n"/>
      <c r="AE140" s="27" t="n"/>
      <c r="AF140" s="27" t="n"/>
      <c r="AG140" s="27" t="n"/>
      <c r="AH140" s="27" t="n"/>
      <c r="AI140" s="27" t="n"/>
      <c r="AJ140" s="27" t="n"/>
      <c r="AK140" s="27" t="n"/>
      <c r="AL140" s="27" t="n"/>
      <c r="AM140" s="27" t="n"/>
      <c r="AN140" s="27" t="n"/>
      <c r="AO140" s="27" t="n"/>
      <c r="AP140" s="27" t="n"/>
      <c r="AQ140" s="27" t="n"/>
      <c r="AR140" s="27" t="n"/>
      <c r="AS140" s="27" t="n"/>
      <c r="AT140" s="27" t="n"/>
      <c r="AU140" s="27" t="n"/>
      <c r="AV140" s="27" t="n"/>
      <c r="AW140" s="27" t="n"/>
      <c r="AX140" s="27" t="n"/>
      <c r="AY140" s="27" t="n"/>
      <c r="AZ140" s="27" t="n"/>
      <c r="BA140" s="27" t="n"/>
      <c r="BB140" s="27" t="n"/>
      <c r="BC140" s="27" t="n"/>
      <c r="BD140" s="27" t="n"/>
      <c r="BE140" s="27" t="n"/>
      <c r="BF140" s="27" t="n"/>
      <c r="BG140" s="27" t="n"/>
      <c r="BH140" s="27" t="n"/>
      <c r="BI140" s="29" t="n"/>
      <c r="BJ140" s="27" t="n"/>
      <c r="BK140" s="27" t="n"/>
      <c r="BL140" s="27" t="n"/>
      <c r="BM140" s="27" t="n"/>
    </row>
    <row r="141">
      <c r="A141" s="27" t="n"/>
      <c r="B141" s="27" t="n"/>
      <c r="C141" s="28">
        <f>IF(A141="","",$B$2)</f>
        <v/>
      </c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  <c r="AA141" s="27" t="n"/>
      <c r="AB141" s="27" t="n"/>
      <c r="AC141" s="27" t="n"/>
      <c r="AD141" s="27" t="n"/>
      <c r="AE141" s="27" t="n"/>
      <c r="AF141" s="27" t="n"/>
      <c r="AG141" s="27" t="n"/>
      <c r="AH141" s="27" t="n"/>
      <c r="AI141" s="27" t="n"/>
      <c r="AJ141" s="27" t="n"/>
      <c r="AK141" s="27" t="n"/>
      <c r="AL141" s="27" t="n"/>
      <c r="AM141" s="27" t="n"/>
      <c r="AN141" s="27" t="n"/>
      <c r="AO141" s="27" t="n"/>
      <c r="AP141" s="27" t="n"/>
      <c r="AQ141" s="27" t="n"/>
      <c r="AR141" s="27" t="n"/>
      <c r="AS141" s="27" t="n"/>
      <c r="AT141" s="27" t="n"/>
      <c r="AU141" s="27" t="n"/>
      <c r="AV141" s="27" t="n"/>
      <c r="AW141" s="27" t="n"/>
      <c r="AX141" s="27" t="n"/>
      <c r="AY141" s="27" t="n"/>
      <c r="AZ141" s="27" t="n"/>
      <c r="BA141" s="27" t="n"/>
      <c r="BB141" s="27" t="n"/>
      <c r="BC141" s="27" t="n"/>
      <c r="BD141" s="27" t="n"/>
      <c r="BE141" s="27" t="n"/>
      <c r="BF141" s="27" t="n"/>
      <c r="BG141" s="27" t="n"/>
      <c r="BH141" s="27" t="n"/>
      <c r="BI141" s="29" t="n"/>
      <c r="BJ141" s="27" t="n"/>
      <c r="BK141" s="27" t="n"/>
      <c r="BL141" s="27" t="n"/>
      <c r="BM141" s="27" t="n"/>
    </row>
    <row r="142">
      <c r="A142" s="27" t="n"/>
      <c r="B142" s="27" t="n"/>
      <c r="C142" s="28">
        <f>IF(A142="","",$B$2)</f>
        <v/>
      </c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  <c r="AA142" s="27" t="n"/>
      <c r="AB142" s="27" t="n"/>
      <c r="AC142" s="27" t="n"/>
      <c r="AD142" s="27" t="n"/>
      <c r="AE142" s="27" t="n"/>
      <c r="AF142" s="27" t="n"/>
      <c r="AG142" s="27" t="n"/>
      <c r="AH142" s="27" t="n"/>
      <c r="AI142" s="27" t="n"/>
      <c r="AJ142" s="27" t="n"/>
      <c r="AK142" s="27" t="n"/>
      <c r="AL142" s="27" t="n"/>
      <c r="AM142" s="27" t="n"/>
      <c r="AN142" s="27" t="n"/>
      <c r="AO142" s="27" t="n"/>
      <c r="AP142" s="27" t="n"/>
      <c r="AQ142" s="27" t="n"/>
      <c r="AR142" s="27" t="n"/>
      <c r="AS142" s="27" t="n"/>
      <c r="AT142" s="27" t="n"/>
      <c r="AU142" s="27" t="n"/>
      <c r="AV142" s="27" t="n"/>
      <c r="AW142" s="27" t="n"/>
      <c r="AX142" s="27" t="n"/>
      <c r="AY142" s="27" t="n"/>
      <c r="AZ142" s="27" t="n"/>
      <c r="BA142" s="27" t="n"/>
      <c r="BB142" s="27" t="n"/>
      <c r="BC142" s="27" t="n"/>
      <c r="BD142" s="27" t="n"/>
      <c r="BE142" s="27" t="n"/>
      <c r="BF142" s="27" t="n"/>
      <c r="BG142" s="27" t="n"/>
      <c r="BH142" s="27" t="n"/>
      <c r="BI142" s="29" t="n"/>
      <c r="BJ142" s="27" t="n"/>
      <c r="BK142" s="27" t="n"/>
      <c r="BL142" s="27" t="n"/>
      <c r="BM142" s="27" t="n"/>
    </row>
    <row r="143">
      <c r="A143" s="27" t="n"/>
      <c r="B143" s="27" t="n"/>
      <c r="C143" s="28">
        <f>IF(A143="","",$B$2)</f>
        <v/>
      </c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  <c r="AA143" s="27" t="n"/>
      <c r="AB143" s="27" t="n"/>
      <c r="AC143" s="27" t="n"/>
      <c r="AD143" s="27" t="n"/>
      <c r="AE143" s="27" t="n"/>
      <c r="AF143" s="27" t="n"/>
      <c r="AG143" s="27" t="n"/>
      <c r="AH143" s="27" t="n"/>
      <c r="AI143" s="27" t="n"/>
      <c r="AJ143" s="27" t="n"/>
      <c r="AK143" s="27" t="n"/>
      <c r="AL143" s="27" t="n"/>
      <c r="AM143" s="27" t="n"/>
      <c r="AN143" s="27" t="n"/>
      <c r="AO143" s="27" t="n"/>
      <c r="AP143" s="27" t="n"/>
      <c r="AQ143" s="27" t="n"/>
      <c r="AR143" s="27" t="n"/>
      <c r="AS143" s="27" t="n"/>
      <c r="AT143" s="27" t="n"/>
      <c r="AU143" s="27" t="n"/>
      <c r="AV143" s="27" t="n"/>
      <c r="AW143" s="27" t="n"/>
      <c r="AX143" s="27" t="n"/>
      <c r="AY143" s="27" t="n"/>
      <c r="AZ143" s="27" t="n"/>
      <c r="BA143" s="27" t="n"/>
      <c r="BB143" s="27" t="n"/>
      <c r="BC143" s="27" t="n"/>
      <c r="BD143" s="27" t="n"/>
      <c r="BE143" s="27" t="n"/>
      <c r="BF143" s="27" t="n"/>
      <c r="BG143" s="27" t="n"/>
      <c r="BH143" s="27" t="n"/>
      <c r="BI143" s="29" t="n"/>
      <c r="BJ143" s="27" t="n"/>
      <c r="BK143" s="27" t="n"/>
      <c r="BL143" s="27" t="n"/>
      <c r="BM143" s="27" t="n"/>
    </row>
    <row r="144">
      <c r="A144" s="27" t="n"/>
      <c r="B144" s="27" t="n"/>
      <c r="C144" s="28">
        <f>IF(A144="","",$B$2)</f>
        <v/>
      </c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  <c r="AA144" s="27" t="n"/>
      <c r="AB144" s="27" t="n"/>
      <c r="AC144" s="27" t="n"/>
      <c r="AD144" s="27" t="n"/>
      <c r="AE144" s="27" t="n"/>
      <c r="AF144" s="27" t="n"/>
      <c r="AG144" s="27" t="n"/>
      <c r="AH144" s="27" t="n"/>
      <c r="AI144" s="27" t="n"/>
      <c r="AJ144" s="27" t="n"/>
      <c r="AK144" s="27" t="n"/>
      <c r="AL144" s="27" t="n"/>
      <c r="AM144" s="27" t="n"/>
      <c r="AN144" s="27" t="n"/>
      <c r="AO144" s="27" t="n"/>
      <c r="AP144" s="27" t="n"/>
      <c r="AQ144" s="27" t="n"/>
      <c r="AR144" s="27" t="n"/>
      <c r="AS144" s="27" t="n"/>
      <c r="AT144" s="27" t="n"/>
      <c r="AU144" s="27" t="n"/>
      <c r="AV144" s="27" t="n"/>
      <c r="AW144" s="27" t="n"/>
      <c r="AX144" s="27" t="n"/>
      <c r="AY144" s="27" t="n"/>
      <c r="AZ144" s="27" t="n"/>
      <c r="BA144" s="27" t="n"/>
      <c r="BB144" s="27" t="n"/>
      <c r="BC144" s="27" t="n"/>
      <c r="BD144" s="27" t="n"/>
      <c r="BE144" s="27" t="n"/>
      <c r="BF144" s="27" t="n"/>
      <c r="BG144" s="27" t="n"/>
      <c r="BH144" s="27" t="n"/>
      <c r="BI144" s="29" t="n"/>
      <c r="BJ144" s="27" t="n"/>
      <c r="BK144" s="27" t="n"/>
      <c r="BL144" s="27" t="n"/>
      <c r="BM144" s="27" t="n"/>
    </row>
    <row r="145">
      <c r="A145" s="27" t="n"/>
      <c r="B145" s="27" t="n"/>
      <c r="C145" s="28">
        <f>IF(A145="","",$B$2)</f>
        <v/>
      </c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  <c r="AA145" s="27" t="n"/>
      <c r="AB145" s="27" t="n"/>
      <c r="AC145" s="27" t="n"/>
      <c r="AD145" s="27" t="n"/>
      <c r="AE145" s="27" t="n"/>
      <c r="AF145" s="27" t="n"/>
      <c r="AG145" s="27" t="n"/>
      <c r="AH145" s="27" t="n"/>
      <c r="AI145" s="27" t="n"/>
      <c r="AJ145" s="27" t="n"/>
      <c r="AK145" s="27" t="n"/>
      <c r="AL145" s="27" t="n"/>
      <c r="AM145" s="27" t="n"/>
      <c r="AN145" s="27" t="n"/>
      <c r="AO145" s="27" t="n"/>
      <c r="AP145" s="27" t="n"/>
      <c r="AQ145" s="27" t="n"/>
      <c r="AR145" s="27" t="n"/>
      <c r="AS145" s="27" t="n"/>
      <c r="AT145" s="27" t="n"/>
      <c r="AU145" s="27" t="n"/>
      <c r="AV145" s="27" t="n"/>
      <c r="AW145" s="27" t="n"/>
      <c r="AX145" s="27" t="n"/>
      <c r="AY145" s="27" t="n"/>
      <c r="AZ145" s="27" t="n"/>
      <c r="BA145" s="27" t="n"/>
      <c r="BB145" s="27" t="n"/>
      <c r="BC145" s="27" t="n"/>
      <c r="BD145" s="27" t="n"/>
      <c r="BE145" s="27" t="n"/>
      <c r="BF145" s="27" t="n"/>
      <c r="BG145" s="27" t="n"/>
      <c r="BH145" s="27" t="n"/>
      <c r="BI145" s="29" t="n"/>
      <c r="BJ145" s="27" t="n"/>
      <c r="BK145" s="27" t="n"/>
      <c r="BL145" s="27" t="n"/>
      <c r="BM145" s="27" t="n"/>
    </row>
    <row r="146">
      <c r="A146" s="27" t="n"/>
      <c r="B146" s="27" t="n"/>
      <c r="C146" s="28">
        <f>IF(A146="","",$B$2)</f>
        <v/>
      </c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  <c r="AA146" s="27" t="n"/>
      <c r="AB146" s="27" t="n"/>
      <c r="AC146" s="27" t="n"/>
      <c r="AD146" s="27" t="n"/>
      <c r="AE146" s="27" t="n"/>
      <c r="AF146" s="27" t="n"/>
      <c r="AG146" s="27" t="n"/>
      <c r="AH146" s="27" t="n"/>
      <c r="AI146" s="27" t="n"/>
      <c r="AJ146" s="27" t="n"/>
      <c r="AK146" s="27" t="n"/>
      <c r="AL146" s="27" t="n"/>
      <c r="AM146" s="27" t="n"/>
      <c r="AN146" s="27" t="n"/>
      <c r="AO146" s="27" t="n"/>
      <c r="AP146" s="27" t="n"/>
      <c r="AQ146" s="27" t="n"/>
      <c r="AR146" s="27" t="n"/>
      <c r="AS146" s="27" t="n"/>
      <c r="AT146" s="27" t="n"/>
      <c r="AU146" s="27" t="n"/>
      <c r="AV146" s="27" t="n"/>
      <c r="AW146" s="27" t="n"/>
      <c r="AX146" s="27" t="n"/>
      <c r="AY146" s="27" t="n"/>
      <c r="AZ146" s="27" t="n"/>
      <c r="BA146" s="27" t="n"/>
      <c r="BB146" s="27" t="n"/>
      <c r="BC146" s="27" t="n"/>
      <c r="BD146" s="27" t="n"/>
      <c r="BE146" s="27" t="n"/>
      <c r="BF146" s="27" t="n"/>
      <c r="BG146" s="27" t="n"/>
      <c r="BH146" s="27" t="n"/>
      <c r="BI146" s="29" t="n"/>
      <c r="BJ146" s="27" t="n"/>
      <c r="BK146" s="27" t="n"/>
      <c r="BL146" s="27" t="n"/>
      <c r="BM146" s="27" t="n"/>
    </row>
    <row r="147">
      <c r="A147" s="27" t="n"/>
      <c r="B147" s="27" t="n"/>
      <c r="C147" s="28">
        <f>IF(A147="","",$B$2)</f>
        <v/>
      </c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  <c r="AA147" s="27" t="n"/>
      <c r="AB147" s="27" t="n"/>
      <c r="AC147" s="27" t="n"/>
      <c r="AD147" s="27" t="n"/>
      <c r="AE147" s="27" t="n"/>
      <c r="AF147" s="27" t="n"/>
      <c r="AG147" s="27" t="n"/>
      <c r="AH147" s="27" t="n"/>
      <c r="AI147" s="27" t="n"/>
      <c r="AJ147" s="27" t="n"/>
      <c r="AK147" s="27" t="n"/>
      <c r="AL147" s="27" t="n"/>
      <c r="AM147" s="27" t="n"/>
      <c r="AN147" s="27" t="n"/>
      <c r="AO147" s="27" t="n"/>
      <c r="AP147" s="27" t="n"/>
      <c r="AQ147" s="27" t="n"/>
      <c r="AR147" s="27" t="n"/>
      <c r="AS147" s="27" t="n"/>
      <c r="AT147" s="27" t="n"/>
      <c r="AU147" s="27" t="n"/>
      <c r="AV147" s="27" t="n"/>
      <c r="AW147" s="27" t="n"/>
      <c r="AX147" s="27" t="n"/>
      <c r="AY147" s="27" t="n"/>
      <c r="AZ147" s="27" t="n"/>
      <c r="BA147" s="27" t="n"/>
      <c r="BB147" s="27" t="n"/>
      <c r="BC147" s="27" t="n"/>
      <c r="BD147" s="27" t="n"/>
      <c r="BE147" s="27" t="n"/>
      <c r="BF147" s="27" t="n"/>
      <c r="BG147" s="27" t="n"/>
      <c r="BH147" s="27" t="n"/>
      <c r="BI147" s="29" t="n"/>
      <c r="BJ147" s="27" t="n"/>
      <c r="BK147" s="27" t="n"/>
      <c r="BL147" s="27" t="n"/>
      <c r="BM147" s="27" t="n"/>
    </row>
    <row r="148">
      <c r="A148" s="27" t="n"/>
      <c r="B148" s="27" t="n"/>
      <c r="C148" s="28">
        <f>IF(A148="","",$B$2)</f>
        <v/>
      </c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  <c r="AA148" s="27" t="n"/>
      <c r="AB148" s="27" t="n"/>
      <c r="AC148" s="27" t="n"/>
      <c r="AD148" s="27" t="n"/>
      <c r="AE148" s="27" t="n"/>
      <c r="AF148" s="27" t="n"/>
      <c r="AG148" s="27" t="n"/>
      <c r="AH148" s="27" t="n"/>
      <c r="AI148" s="27" t="n"/>
      <c r="AJ148" s="27" t="n"/>
      <c r="AK148" s="27" t="n"/>
      <c r="AL148" s="27" t="n"/>
      <c r="AM148" s="27" t="n"/>
      <c r="AN148" s="27" t="n"/>
      <c r="AO148" s="27" t="n"/>
      <c r="AP148" s="27" t="n"/>
      <c r="AQ148" s="27" t="n"/>
      <c r="AR148" s="27" t="n"/>
      <c r="AS148" s="27" t="n"/>
      <c r="AT148" s="27" t="n"/>
      <c r="AU148" s="27" t="n"/>
      <c r="AV148" s="27" t="n"/>
      <c r="AW148" s="27" t="n"/>
      <c r="AX148" s="27" t="n"/>
      <c r="AY148" s="27" t="n"/>
      <c r="AZ148" s="27" t="n"/>
      <c r="BA148" s="27" t="n"/>
      <c r="BB148" s="27" t="n"/>
      <c r="BC148" s="27" t="n"/>
      <c r="BD148" s="27" t="n"/>
      <c r="BE148" s="27" t="n"/>
      <c r="BF148" s="27" t="n"/>
      <c r="BG148" s="27" t="n"/>
      <c r="BH148" s="27" t="n"/>
      <c r="BI148" s="29" t="n"/>
      <c r="BJ148" s="27" t="n"/>
      <c r="BK148" s="27" t="n"/>
      <c r="BL148" s="27" t="n"/>
      <c r="BM148" s="27" t="n"/>
    </row>
    <row r="149">
      <c r="A149" s="27" t="n"/>
      <c r="B149" s="27" t="n"/>
      <c r="C149" s="28">
        <f>IF(A149="","",$B$2)</f>
        <v/>
      </c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  <c r="AA149" s="27" t="n"/>
      <c r="AB149" s="27" t="n"/>
      <c r="AC149" s="27" t="n"/>
      <c r="AD149" s="27" t="n"/>
      <c r="AE149" s="27" t="n"/>
      <c r="AF149" s="27" t="n"/>
      <c r="AG149" s="27" t="n"/>
      <c r="AH149" s="27" t="n"/>
      <c r="AI149" s="27" t="n"/>
      <c r="AJ149" s="27" t="n"/>
      <c r="AK149" s="27" t="n"/>
      <c r="AL149" s="27" t="n"/>
      <c r="AM149" s="27" t="n"/>
      <c r="AN149" s="27" t="n"/>
      <c r="AO149" s="27" t="n"/>
      <c r="AP149" s="27" t="n"/>
      <c r="AQ149" s="27" t="n"/>
      <c r="AR149" s="27" t="n"/>
      <c r="AS149" s="27" t="n"/>
      <c r="AT149" s="27" t="n"/>
      <c r="AU149" s="27" t="n"/>
      <c r="AV149" s="27" t="n"/>
      <c r="AW149" s="27" t="n"/>
      <c r="AX149" s="27" t="n"/>
      <c r="AY149" s="27" t="n"/>
      <c r="AZ149" s="27" t="n"/>
      <c r="BA149" s="27" t="n"/>
      <c r="BB149" s="27" t="n"/>
      <c r="BC149" s="27" t="n"/>
      <c r="BD149" s="27" t="n"/>
      <c r="BE149" s="27" t="n"/>
      <c r="BF149" s="27" t="n"/>
      <c r="BG149" s="27" t="n"/>
      <c r="BH149" s="27" t="n"/>
      <c r="BI149" s="29" t="n"/>
      <c r="BJ149" s="27" t="n"/>
      <c r="BK149" s="27" t="n"/>
      <c r="BL149" s="27" t="n"/>
      <c r="BM149" s="27" t="n"/>
    </row>
    <row r="150">
      <c r="A150" s="27" t="n"/>
      <c r="B150" s="27" t="n"/>
      <c r="C150" s="28">
        <f>IF(A150="","",$B$2)</f>
        <v/>
      </c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  <c r="AA150" s="27" t="n"/>
      <c r="AB150" s="27" t="n"/>
      <c r="AC150" s="27" t="n"/>
      <c r="AD150" s="27" t="n"/>
      <c r="AE150" s="27" t="n"/>
      <c r="AF150" s="27" t="n"/>
      <c r="AG150" s="27" t="n"/>
      <c r="AH150" s="27" t="n"/>
      <c r="AI150" s="27" t="n"/>
      <c r="AJ150" s="27" t="n"/>
      <c r="AK150" s="27" t="n"/>
      <c r="AL150" s="27" t="n"/>
      <c r="AM150" s="27" t="n"/>
      <c r="AN150" s="27" t="n"/>
      <c r="AO150" s="27" t="n"/>
      <c r="AP150" s="27" t="n"/>
      <c r="AQ150" s="27" t="n"/>
      <c r="AR150" s="27" t="n"/>
      <c r="AS150" s="27" t="n"/>
      <c r="AT150" s="27" t="n"/>
      <c r="AU150" s="27" t="n"/>
      <c r="AV150" s="27" t="n"/>
      <c r="AW150" s="27" t="n"/>
      <c r="AX150" s="27" t="n"/>
      <c r="AY150" s="27" t="n"/>
      <c r="AZ150" s="27" t="n"/>
      <c r="BA150" s="27" t="n"/>
      <c r="BB150" s="27" t="n"/>
      <c r="BC150" s="27" t="n"/>
      <c r="BD150" s="27" t="n"/>
      <c r="BE150" s="27" t="n"/>
      <c r="BF150" s="27" t="n"/>
      <c r="BG150" s="27" t="n"/>
      <c r="BH150" s="27" t="n"/>
      <c r="BI150" s="29" t="n"/>
      <c r="BJ150" s="27" t="n"/>
      <c r="BK150" s="27" t="n"/>
      <c r="BL150" s="27" t="n"/>
      <c r="BM150" s="27" t="n"/>
    </row>
    <row r="151">
      <c r="A151" s="27" t="n"/>
      <c r="B151" s="27" t="n"/>
      <c r="C151" s="28">
        <f>IF(A151="","",$B$2)</f>
        <v/>
      </c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  <c r="AA151" s="27" t="n"/>
      <c r="AB151" s="27" t="n"/>
      <c r="AC151" s="27" t="n"/>
      <c r="AD151" s="27" t="n"/>
      <c r="AE151" s="27" t="n"/>
      <c r="AF151" s="27" t="n"/>
      <c r="AG151" s="27" t="n"/>
      <c r="AH151" s="27" t="n"/>
      <c r="AI151" s="27" t="n"/>
      <c r="AJ151" s="27" t="n"/>
      <c r="AK151" s="27" t="n"/>
      <c r="AL151" s="27" t="n"/>
      <c r="AM151" s="27" t="n"/>
      <c r="AN151" s="27" t="n"/>
      <c r="AO151" s="27" t="n"/>
      <c r="AP151" s="27" t="n"/>
      <c r="AQ151" s="27" t="n"/>
      <c r="AR151" s="27" t="n"/>
      <c r="AS151" s="27" t="n"/>
      <c r="AT151" s="27" t="n"/>
      <c r="AU151" s="27" t="n"/>
      <c r="AV151" s="27" t="n"/>
      <c r="AW151" s="27" t="n"/>
      <c r="AX151" s="27" t="n"/>
      <c r="AY151" s="27" t="n"/>
      <c r="AZ151" s="27" t="n"/>
      <c r="BA151" s="27" t="n"/>
      <c r="BB151" s="27" t="n"/>
      <c r="BC151" s="27" t="n"/>
      <c r="BD151" s="27" t="n"/>
      <c r="BE151" s="27" t="n"/>
      <c r="BF151" s="27" t="n"/>
      <c r="BG151" s="27" t="n"/>
      <c r="BH151" s="27" t="n"/>
      <c r="BI151" s="29" t="n"/>
      <c r="BJ151" s="27" t="n"/>
      <c r="BK151" s="27" t="n"/>
      <c r="BL151" s="27" t="n"/>
      <c r="BM151" s="27" t="n"/>
    </row>
    <row r="152">
      <c r="A152" s="27" t="n"/>
      <c r="B152" s="27" t="n"/>
      <c r="C152" s="28">
        <f>IF(A152="","",$B$2)</f>
        <v/>
      </c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  <c r="AA152" s="27" t="n"/>
      <c r="AB152" s="27" t="n"/>
      <c r="AC152" s="27" t="n"/>
      <c r="AD152" s="27" t="n"/>
      <c r="AE152" s="27" t="n"/>
      <c r="AF152" s="27" t="n"/>
      <c r="AG152" s="27" t="n"/>
      <c r="AH152" s="27" t="n"/>
      <c r="AI152" s="27" t="n"/>
      <c r="AJ152" s="27" t="n"/>
      <c r="AK152" s="27" t="n"/>
      <c r="AL152" s="27" t="n"/>
      <c r="AM152" s="27" t="n"/>
      <c r="AN152" s="27" t="n"/>
      <c r="AO152" s="27" t="n"/>
      <c r="AP152" s="27" t="n"/>
      <c r="AQ152" s="27" t="n"/>
      <c r="AR152" s="27" t="n"/>
      <c r="AS152" s="27" t="n"/>
      <c r="AT152" s="27" t="n"/>
      <c r="AU152" s="27" t="n"/>
      <c r="AV152" s="27" t="n"/>
      <c r="AW152" s="27" t="n"/>
      <c r="AX152" s="27" t="n"/>
      <c r="AY152" s="27" t="n"/>
      <c r="AZ152" s="27" t="n"/>
      <c r="BA152" s="27" t="n"/>
      <c r="BB152" s="27" t="n"/>
      <c r="BC152" s="27" t="n"/>
      <c r="BD152" s="27" t="n"/>
      <c r="BE152" s="27" t="n"/>
      <c r="BF152" s="27" t="n"/>
      <c r="BG152" s="27" t="n"/>
      <c r="BH152" s="27" t="n"/>
      <c r="BI152" s="29" t="n"/>
      <c r="BJ152" s="27" t="n"/>
      <c r="BK152" s="27" t="n"/>
      <c r="BL152" s="27" t="n"/>
      <c r="BM152" s="27" t="n"/>
    </row>
    <row r="153">
      <c r="A153" s="27" t="n"/>
      <c r="B153" s="27" t="n"/>
      <c r="C153" s="28">
        <f>IF(A153="","",$B$2)</f>
        <v/>
      </c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  <c r="AA153" s="27" t="n"/>
      <c r="AB153" s="27" t="n"/>
      <c r="AC153" s="27" t="n"/>
      <c r="AD153" s="27" t="n"/>
      <c r="AE153" s="27" t="n"/>
      <c r="AF153" s="27" t="n"/>
      <c r="AG153" s="27" t="n"/>
      <c r="AH153" s="27" t="n"/>
      <c r="AI153" s="27" t="n"/>
      <c r="AJ153" s="27" t="n"/>
      <c r="AK153" s="27" t="n"/>
      <c r="AL153" s="27" t="n"/>
      <c r="AM153" s="27" t="n"/>
      <c r="AN153" s="27" t="n"/>
      <c r="AO153" s="27" t="n"/>
      <c r="AP153" s="27" t="n"/>
      <c r="AQ153" s="27" t="n"/>
      <c r="AR153" s="27" t="n"/>
      <c r="AS153" s="27" t="n"/>
      <c r="AT153" s="27" t="n"/>
      <c r="AU153" s="27" t="n"/>
      <c r="AV153" s="27" t="n"/>
      <c r="AW153" s="27" t="n"/>
      <c r="AX153" s="27" t="n"/>
      <c r="AY153" s="27" t="n"/>
      <c r="AZ153" s="27" t="n"/>
      <c r="BA153" s="27" t="n"/>
      <c r="BB153" s="27" t="n"/>
      <c r="BC153" s="27" t="n"/>
      <c r="BD153" s="27" t="n"/>
      <c r="BE153" s="27" t="n"/>
      <c r="BF153" s="27" t="n"/>
      <c r="BG153" s="27" t="n"/>
      <c r="BH153" s="27" t="n"/>
      <c r="BI153" s="29" t="n"/>
      <c r="BJ153" s="27" t="n"/>
      <c r="BK153" s="27" t="n"/>
      <c r="BL153" s="27" t="n"/>
      <c r="BM153" s="27" t="n"/>
    </row>
    <row r="154">
      <c r="A154" s="27" t="n"/>
      <c r="B154" s="27" t="n"/>
      <c r="C154" s="28">
        <f>IF(A154="","",$B$2)</f>
        <v/>
      </c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  <c r="AA154" s="27" t="n"/>
      <c r="AB154" s="27" t="n"/>
      <c r="AC154" s="27" t="n"/>
      <c r="AD154" s="27" t="n"/>
      <c r="AE154" s="27" t="n"/>
      <c r="AF154" s="27" t="n"/>
      <c r="AG154" s="27" t="n"/>
      <c r="AH154" s="27" t="n"/>
      <c r="AI154" s="27" t="n"/>
      <c r="AJ154" s="27" t="n"/>
      <c r="AK154" s="27" t="n"/>
      <c r="AL154" s="27" t="n"/>
      <c r="AM154" s="27" t="n"/>
      <c r="AN154" s="27" t="n"/>
      <c r="AO154" s="27" t="n"/>
      <c r="AP154" s="27" t="n"/>
      <c r="AQ154" s="27" t="n"/>
      <c r="AR154" s="27" t="n"/>
      <c r="AS154" s="27" t="n"/>
      <c r="AT154" s="27" t="n"/>
      <c r="AU154" s="27" t="n"/>
      <c r="AV154" s="27" t="n"/>
      <c r="AW154" s="27" t="n"/>
      <c r="AX154" s="27" t="n"/>
      <c r="AY154" s="27" t="n"/>
      <c r="AZ154" s="27" t="n"/>
      <c r="BA154" s="27" t="n"/>
      <c r="BB154" s="27" t="n"/>
      <c r="BC154" s="27" t="n"/>
      <c r="BD154" s="27" t="n"/>
      <c r="BE154" s="27" t="n"/>
      <c r="BF154" s="27" t="n"/>
      <c r="BG154" s="27" t="n"/>
      <c r="BH154" s="27" t="n"/>
      <c r="BI154" s="29" t="n"/>
      <c r="BJ154" s="27" t="n"/>
      <c r="BK154" s="27" t="n"/>
      <c r="BL154" s="27" t="n"/>
      <c r="BM154" s="27" t="n"/>
    </row>
    <row r="155">
      <c r="A155" s="27" t="n"/>
      <c r="B155" s="27" t="n"/>
      <c r="C155" s="28">
        <f>IF(A155="","",$B$2)</f>
        <v/>
      </c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  <c r="AA155" s="27" t="n"/>
      <c r="AB155" s="27" t="n"/>
      <c r="AC155" s="27" t="n"/>
      <c r="AD155" s="27" t="n"/>
      <c r="AE155" s="27" t="n"/>
      <c r="AF155" s="27" t="n"/>
      <c r="AG155" s="27" t="n"/>
      <c r="AH155" s="27" t="n"/>
      <c r="AI155" s="27" t="n"/>
      <c r="AJ155" s="27" t="n"/>
      <c r="AK155" s="27" t="n"/>
      <c r="AL155" s="27" t="n"/>
      <c r="AM155" s="27" t="n"/>
      <c r="AN155" s="27" t="n"/>
      <c r="AO155" s="27" t="n"/>
      <c r="AP155" s="27" t="n"/>
      <c r="AQ155" s="27" t="n"/>
      <c r="AR155" s="27" t="n"/>
      <c r="AS155" s="27" t="n"/>
      <c r="AT155" s="27" t="n"/>
      <c r="AU155" s="27" t="n"/>
      <c r="AV155" s="27" t="n"/>
      <c r="AW155" s="27" t="n"/>
      <c r="AX155" s="27" t="n"/>
      <c r="AY155" s="27" t="n"/>
      <c r="AZ155" s="27" t="n"/>
      <c r="BA155" s="27" t="n"/>
      <c r="BB155" s="27" t="n"/>
      <c r="BC155" s="27" t="n"/>
      <c r="BD155" s="27" t="n"/>
      <c r="BE155" s="27" t="n"/>
      <c r="BF155" s="27" t="n"/>
      <c r="BG155" s="27" t="n"/>
      <c r="BH155" s="27" t="n"/>
      <c r="BI155" s="29" t="n"/>
      <c r="BJ155" s="27" t="n"/>
      <c r="BK155" s="27" t="n"/>
      <c r="BL155" s="27" t="n"/>
      <c r="BM155" s="27" t="n"/>
    </row>
    <row r="156">
      <c r="A156" s="27" t="n"/>
      <c r="B156" s="27" t="n"/>
      <c r="C156" s="28">
        <f>IF(A156="","",$B$2)</f>
        <v/>
      </c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  <c r="AA156" s="27" t="n"/>
      <c r="AB156" s="27" t="n"/>
      <c r="AC156" s="27" t="n"/>
      <c r="AD156" s="27" t="n"/>
      <c r="AE156" s="27" t="n"/>
      <c r="AF156" s="27" t="n"/>
      <c r="AG156" s="27" t="n"/>
      <c r="AH156" s="27" t="n"/>
      <c r="AI156" s="27" t="n"/>
      <c r="AJ156" s="27" t="n"/>
      <c r="AK156" s="27" t="n"/>
      <c r="AL156" s="27" t="n"/>
      <c r="AM156" s="27" t="n"/>
      <c r="AN156" s="27" t="n"/>
      <c r="AO156" s="27" t="n"/>
      <c r="AP156" s="27" t="n"/>
      <c r="AQ156" s="27" t="n"/>
      <c r="AR156" s="27" t="n"/>
      <c r="AS156" s="27" t="n"/>
      <c r="AT156" s="27" t="n"/>
      <c r="AU156" s="27" t="n"/>
      <c r="AV156" s="27" t="n"/>
      <c r="AW156" s="27" t="n"/>
      <c r="AX156" s="27" t="n"/>
      <c r="AY156" s="27" t="n"/>
      <c r="AZ156" s="27" t="n"/>
      <c r="BA156" s="27" t="n"/>
      <c r="BB156" s="27" t="n"/>
      <c r="BC156" s="27" t="n"/>
      <c r="BD156" s="27" t="n"/>
      <c r="BE156" s="27" t="n"/>
      <c r="BF156" s="27" t="n"/>
      <c r="BG156" s="27" t="n"/>
      <c r="BH156" s="27" t="n"/>
      <c r="BI156" s="29" t="n"/>
      <c r="BJ156" s="27" t="n"/>
      <c r="BK156" s="27" t="n"/>
      <c r="BL156" s="27" t="n"/>
      <c r="BM156" s="27" t="n"/>
    </row>
    <row r="157">
      <c r="A157" s="27" t="n"/>
      <c r="B157" s="27" t="n"/>
      <c r="C157" s="28">
        <f>IF(A157="","",$B$2)</f>
        <v/>
      </c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  <c r="AA157" s="27" t="n"/>
      <c r="AB157" s="27" t="n"/>
      <c r="AC157" s="27" t="n"/>
      <c r="AD157" s="27" t="n"/>
      <c r="AE157" s="27" t="n"/>
      <c r="AF157" s="27" t="n"/>
      <c r="AG157" s="27" t="n"/>
      <c r="AH157" s="27" t="n"/>
      <c r="AI157" s="27" t="n"/>
      <c r="AJ157" s="27" t="n"/>
      <c r="AK157" s="27" t="n"/>
      <c r="AL157" s="27" t="n"/>
      <c r="AM157" s="27" t="n"/>
      <c r="AN157" s="27" t="n"/>
      <c r="AO157" s="27" t="n"/>
      <c r="AP157" s="27" t="n"/>
      <c r="AQ157" s="27" t="n"/>
      <c r="AR157" s="27" t="n"/>
      <c r="AS157" s="27" t="n"/>
      <c r="AT157" s="27" t="n"/>
      <c r="AU157" s="27" t="n"/>
      <c r="AV157" s="27" t="n"/>
      <c r="AW157" s="27" t="n"/>
      <c r="AX157" s="27" t="n"/>
      <c r="AY157" s="27" t="n"/>
      <c r="AZ157" s="27" t="n"/>
      <c r="BA157" s="27" t="n"/>
      <c r="BB157" s="27" t="n"/>
      <c r="BC157" s="27" t="n"/>
      <c r="BD157" s="27" t="n"/>
      <c r="BE157" s="27" t="n"/>
      <c r="BF157" s="27" t="n"/>
      <c r="BG157" s="27" t="n"/>
      <c r="BH157" s="27" t="n"/>
      <c r="BI157" s="29" t="n"/>
      <c r="BJ157" s="27" t="n"/>
      <c r="BK157" s="27" t="n"/>
      <c r="BL157" s="27" t="n"/>
      <c r="BM157" s="27" t="n"/>
    </row>
    <row r="158">
      <c r="A158" s="27" t="n"/>
      <c r="B158" s="27" t="n"/>
      <c r="C158" s="28">
        <f>IF(A158="","",$B$2)</f>
        <v/>
      </c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  <c r="AA158" s="27" t="n"/>
      <c r="AB158" s="27" t="n"/>
      <c r="AC158" s="27" t="n"/>
      <c r="AD158" s="27" t="n"/>
      <c r="AE158" s="27" t="n"/>
      <c r="AF158" s="27" t="n"/>
      <c r="AG158" s="27" t="n"/>
      <c r="AH158" s="27" t="n"/>
      <c r="AI158" s="27" t="n"/>
      <c r="AJ158" s="27" t="n"/>
      <c r="AK158" s="27" t="n"/>
      <c r="AL158" s="27" t="n"/>
      <c r="AM158" s="27" t="n"/>
      <c r="AN158" s="27" t="n"/>
      <c r="AO158" s="27" t="n"/>
      <c r="AP158" s="27" t="n"/>
      <c r="AQ158" s="27" t="n"/>
      <c r="AR158" s="27" t="n"/>
      <c r="AS158" s="27" t="n"/>
      <c r="AT158" s="27" t="n"/>
      <c r="AU158" s="27" t="n"/>
      <c r="AV158" s="27" t="n"/>
      <c r="AW158" s="27" t="n"/>
      <c r="AX158" s="27" t="n"/>
      <c r="AY158" s="27" t="n"/>
      <c r="AZ158" s="27" t="n"/>
      <c r="BA158" s="27" t="n"/>
      <c r="BB158" s="27" t="n"/>
      <c r="BC158" s="27" t="n"/>
      <c r="BD158" s="27" t="n"/>
      <c r="BE158" s="27" t="n"/>
      <c r="BF158" s="27" t="n"/>
      <c r="BG158" s="27" t="n"/>
      <c r="BH158" s="27" t="n"/>
      <c r="BI158" s="29" t="n"/>
      <c r="BJ158" s="27" t="n"/>
      <c r="BK158" s="27" t="n"/>
      <c r="BL158" s="27" t="n"/>
      <c r="BM158" s="27" t="n"/>
    </row>
    <row r="159">
      <c r="A159" s="27" t="n"/>
      <c r="B159" s="27" t="n"/>
      <c r="C159" s="28">
        <f>IF(A159="","",$B$2)</f>
        <v/>
      </c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  <c r="AA159" s="27" t="n"/>
      <c r="AB159" s="27" t="n"/>
      <c r="AC159" s="27" t="n"/>
      <c r="AD159" s="27" t="n"/>
      <c r="AE159" s="27" t="n"/>
      <c r="AF159" s="27" t="n"/>
      <c r="AG159" s="27" t="n"/>
      <c r="AH159" s="27" t="n"/>
      <c r="AI159" s="27" t="n"/>
      <c r="AJ159" s="27" t="n"/>
      <c r="AK159" s="27" t="n"/>
      <c r="AL159" s="27" t="n"/>
      <c r="AM159" s="27" t="n"/>
      <c r="AN159" s="27" t="n"/>
      <c r="AO159" s="27" t="n"/>
      <c r="AP159" s="27" t="n"/>
      <c r="AQ159" s="27" t="n"/>
      <c r="AR159" s="27" t="n"/>
      <c r="AS159" s="27" t="n"/>
      <c r="AT159" s="27" t="n"/>
      <c r="AU159" s="27" t="n"/>
      <c r="AV159" s="27" t="n"/>
      <c r="AW159" s="27" t="n"/>
      <c r="AX159" s="27" t="n"/>
      <c r="AY159" s="27" t="n"/>
      <c r="AZ159" s="27" t="n"/>
      <c r="BA159" s="27" t="n"/>
      <c r="BB159" s="27" t="n"/>
      <c r="BC159" s="27" t="n"/>
      <c r="BD159" s="27" t="n"/>
      <c r="BE159" s="27" t="n"/>
      <c r="BF159" s="27" t="n"/>
      <c r="BG159" s="27" t="n"/>
      <c r="BH159" s="27" t="n"/>
      <c r="BI159" s="29" t="n"/>
      <c r="BJ159" s="27" t="n"/>
      <c r="BK159" s="27" t="n"/>
      <c r="BL159" s="27" t="n"/>
      <c r="BM159" s="27" t="n"/>
    </row>
    <row r="160">
      <c r="A160" s="27" t="n"/>
      <c r="B160" s="27" t="n"/>
      <c r="C160" s="28">
        <f>IF(A160="","",$B$2)</f>
        <v/>
      </c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  <c r="AA160" s="27" t="n"/>
      <c r="AB160" s="27" t="n"/>
      <c r="AC160" s="27" t="n"/>
      <c r="AD160" s="27" t="n"/>
      <c r="AE160" s="27" t="n"/>
      <c r="AF160" s="27" t="n"/>
      <c r="AG160" s="27" t="n"/>
      <c r="AH160" s="27" t="n"/>
      <c r="AI160" s="27" t="n"/>
      <c r="AJ160" s="27" t="n"/>
      <c r="AK160" s="27" t="n"/>
      <c r="AL160" s="27" t="n"/>
      <c r="AM160" s="27" t="n"/>
      <c r="AN160" s="27" t="n"/>
      <c r="AO160" s="27" t="n"/>
      <c r="AP160" s="27" t="n"/>
      <c r="AQ160" s="27" t="n"/>
      <c r="AR160" s="27" t="n"/>
      <c r="AS160" s="27" t="n"/>
      <c r="AT160" s="27" t="n"/>
      <c r="AU160" s="27" t="n"/>
      <c r="AV160" s="27" t="n"/>
      <c r="AW160" s="27" t="n"/>
      <c r="AX160" s="27" t="n"/>
      <c r="AY160" s="27" t="n"/>
      <c r="AZ160" s="27" t="n"/>
      <c r="BA160" s="27" t="n"/>
      <c r="BB160" s="27" t="n"/>
      <c r="BC160" s="27" t="n"/>
      <c r="BD160" s="27" t="n"/>
      <c r="BE160" s="27" t="n"/>
      <c r="BF160" s="27" t="n"/>
      <c r="BG160" s="27" t="n"/>
      <c r="BH160" s="27" t="n"/>
      <c r="BI160" s="29" t="n"/>
      <c r="BJ160" s="27" t="n"/>
      <c r="BK160" s="27" t="n"/>
      <c r="BL160" s="27" t="n"/>
      <c r="BM160" s="27" t="n"/>
    </row>
    <row r="161">
      <c r="A161" s="27" t="n"/>
      <c r="B161" s="27" t="n"/>
      <c r="C161" s="28">
        <f>IF(A161="","",$B$2)</f>
        <v/>
      </c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  <c r="AA161" s="27" t="n"/>
      <c r="AB161" s="27" t="n"/>
      <c r="AC161" s="27" t="n"/>
      <c r="AD161" s="27" t="n"/>
      <c r="AE161" s="27" t="n"/>
      <c r="AF161" s="27" t="n"/>
      <c r="AG161" s="27" t="n"/>
      <c r="AH161" s="27" t="n"/>
      <c r="AI161" s="27" t="n"/>
      <c r="AJ161" s="27" t="n"/>
      <c r="AK161" s="27" t="n"/>
      <c r="AL161" s="27" t="n"/>
      <c r="AM161" s="27" t="n"/>
      <c r="AN161" s="27" t="n"/>
      <c r="AO161" s="27" t="n"/>
      <c r="AP161" s="27" t="n"/>
      <c r="AQ161" s="27" t="n"/>
      <c r="AR161" s="27" t="n"/>
      <c r="AS161" s="27" t="n"/>
      <c r="AT161" s="27" t="n"/>
      <c r="AU161" s="27" t="n"/>
      <c r="AV161" s="27" t="n"/>
      <c r="AW161" s="27" t="n"/>
      <c r="AX161" s="27" t="n"/>
      <c r="AY161" s="27" t="n"/>
      <c r="AZ161" s="27" t="n"/>
      <c r="BA161" s="27" t="n"/>
      <c r="BB161" s="27" t="n"/>
      <c r="BC161" s="27" t="n"/>
      <c r="BD161" s="27" t="n"/>
      <c r="BE161" s="27" t="n"/>
      <c r="BF161" s="27" t="n"/>
      <c r="BG161" s="27" t="n"/>
      <c r="BH161" s="27" t="n"/>
      <c r="BI161" s="29" t="n"/>
      <c r="BJ161" s="27" t="n"/>
      <c r="BK161" s="27" t="n"/>
      <c r="BL161" s="27" t="n"/>
      <c r="BM161" s="27" t="n"/>
    </row>
    <row r="162">
      <c r="A162" s="27" t="n"/>
      <c r="B162" s="27" t="n"/>
      <c r="C162" s="28">
        <f>IF(A162="","",$B$2)</f>
        <v/>
      </c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  <c r="AA162" s="27" t="n"/>
      <c r="AB162" s="27" t="n"/>
      <c r="AC162" s="27" t="n"/>
      <c r="AD162" s="27" t="n"/>
      <c r="AE162" s="27" t="n"/>
      <c r="AF162" s="27" t="n"/>
      <c r="AG162" s="27" t="n"/>
      <c r="AH162" s="27" t="n"/>
      <c r="AI162" s="27" t="n"/>
      <c r="AJ162" s="27" t="n"/>
      <c r="AK162" s="27" t="n"/>
      <c r="AL162" s="27" t="n"/>
      <c r="AM162" s="27" t="n"/>
      <c r="AN162" s="27" t="n"/>
      <c r="AO162" s="27" t="n"/>
      <c r="AP162" s="27" t="n"/>
      <c r="AQ162" s="27" t="n"/>
      <c r="AR162" s="27" t="n"/>
      <c r="AS162" s="27" t="n"/>
      <c r="AT162" s="27" t="n"/>
      <c r="AU162" s="27" t="n"/>
      <c r="AV162" s="27" t="n"/>
      <c r="AW162" s="27" t="n"/>
      <c r="AX162" s="27" t="n"/>
      <c r="AY162" s="27" t="n"/>
      <c r="AZ162" s="27" t="n"/>
      <c r="BA162" s="27" t="n"/>
      <c r="BB162" s="27" t="n"/>
      <c r="BC162" s="27" t="n"/>
      <c r="BD162" s="27" t="n"/>
      <c r="BE162" s="27" t="n"/>
      <c r="BF162" s="27" t="n"/>
      <c r="BG162" s="27" t="n"/>
      <c r="BH162" s="27" t="n"/>
      <c r="BI162" s="29" t="n"/>
      <c r="BJ162" s="27" t="n"/>
      <c r="BK162" s="27" t="n"/>
      <c r="BL162" s="27" t="n"/>
      <c r="BM162" s="27" t="n"/>
    </row>
    <row r="163">
      <c r="A163" s="27" t="n"/>
      <c r="B163" s="27" t="n"/>
      <c r="C163" s="28">
        <f>IF(A163="","",$B$2)</f>
        <v/>
      </c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  <c r="AA163" s="27" t="n"/>
      <c r="AB163" s="27" t="n"/>
      <c r="AC163" s="27" t="n"/>
      <c r="AD163" s="27" t="n"/>
      <c r="AE163" s="27" t="n"/>
      <c r="AF163" s="27" t="n"/>
      <c r="AG163" s="27" t="n"/>
      <c r="AH163" s="27" t="n"/>
      <c r="AI163" s="27" t="n"/>
      <c r="AJ163" s="27" t="n"/>
      <c r="AK163" s="27" t="n"/>
      <c r="AL163" s="27" t="n"/>
      <c r="AM163" s="27" t="n"/>
      <c r="AN163" s="27" t="n"/>
      <c r="AO163" s="27" t="n"/>
      <c r="AP163" s="27" t="n"/>
      <c r="AQ163" s="27" t="n"/>
      <c r="AR163" s="27" t="n"/>
      <c r="AS163" s="27" t="n"/>
      <c r="AT163" s="27" t="n"/>
      <c r="AU163" s="27" t="n"/>
      <c r="AV163" s="27" t="n"/>
      <c r="AW163" s="27" t="n"/>
      <c r="AX163" s="27" t="n"/>
      <c r="AY163" s="27" t="n"/>
      <c r="AZ163" s="27" t="n"/>
      <c r="BA163" s="27" t="n"/>
      <c r="BB163" s="27" t="n"/>
      <c r="BC163" s="27" t="n"/>
      <c r="BD163" s="27" t="n"/>
      <c r="BE163" s="27" t="n"/>
      <c r="BF163" s="27" t="n"/>
      <c r="BG163" s="27" t="n"/>
      <c r="BH163" s="27" t="n"/>
      <c r="BI163" s="29" t="n"/>
      <c r="BJ163" s="27" t="n"/>
      <c r="BK163" s="27" t="n"/>
      <c r="BL163" s="27" t="n"/>
      <c r="BM163" s="27" t="n"/>
    </row>
    <row r="164">
      <c r="A164" s="27" t="n"/>
      <c r="B164" s="27" t="n"/>
      <c r="C164" s="28">
        <f>IF(A164="","",$B$2)</f>
        <v/>
      </c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  <c r="AA164" s="27" t="n"/>
      <c r="AB164" s="27" t="n"/>
      <c r="AC164" s="27" t="n"/>
      <c r="AD164" s="27" t="n"/>
      <c r="AE164" s="27" t="n"/>
      <c r="AF164" s="27" t="n"/>
      <c r="AG164" s="27" t="n"/>
      <c r="AH164" s="27" t="n"/>
      <c r="AI164" s="27" t="n"/>
      <c r="AJ164" s="27" t="n"/>
      <c r="AK164" s="27" t="n"/>
      <c r="AL164" s="27" t="n"/>
      <c r="AM164" s="27" t="n"/>
      <c r="AN164" s="27" t="n"/>
      <c r="AO164" s="27" t="n"/>
      <c r="AP164" s="27" t="n"/>
      <c r="AQ164" s="27" t="n"/>
      <c r="AR164" s="27" t="n"/>
      <c r="AS164" s="27" t="n"/>
      <c r="AT164" s="27" t="n"/>
      <c r="AU164" s="27" t="n"/>
      <c r="AV164" s="27" t="n"/>
      <c r="AW164" s="27" t="n"/>
      <c r="AX164" s="27" t="n"/>
      <c r="AY164" s="27" t="n"/>
      <c r="AZ164" s="27" t="n"/>
      <c r="BA164" s="27" t="n"/>
      <c r="BB164" s="27" t="n"/>
      <c r="BC164" s="27" t="n"/>
      <c r="BD164" s="27" t="n"/>
      <c r="BE164" s="27" t="n"/>
      <c r="BF164" s="27" t="n"/>
      <c r="BG164" s="27" t="n"/>
      <c r="BH164" s="27" t="n"/>
      <c r="BI164" s="29" t="n"/>
      <c r="BJ164" s="27" t="n"/>
      <c r="BK164" s="27" t="n"/>
      <c r="BL164" s="27" t="n"/>
      <c r="BM164" s="27" t="n"/>
    </row>
    <row r="165">
      <c r="A165" s="27" t="n"/>
      <c r="B165" s="27" t="n"/>
      <c r="C165" s="28">
        <f>IF(A165="","",$B$2)</f>
        <v/>
      </c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  <c r="AA165" s="27" t="n"/>
      <c r="AB165" s="27" t="n"/>
      <c r="AC165" s="27" t="n"/>
      <c r="AD165" s="27" t="n"/>
      <c r="AE165" s="27" t="n"/>
      <c r="AF165" s="27" t="n"/>
      <c r="AG165" s="27" t="n"/>
      <c r="AH165" s="27" t="n"/>
      <c r="AI165" s="27" t="n"/>
      <c r="AJ165" s="27" t="n"/>
      <c r="AK165" s="27" t="n"/>
      <c r="AL165" s="27" t="n"/>
      <c r="AM165" s="27" t="n"/>
      <c r="AN165" s="27" t="n"/>
      <c r="AO165" s="27" t="n"/>
      <c r="AP165" s="27" t="n"/>
      <c r="AQ165" s="27" t="n"/>
      <c r="AR165" s="27" t="n"/>
      <c r="AS165" s="27" t="n"/>
      <c r="AT165" s="27" t="n"/>
      <c r="AU165" s="27" t="n"/>
      <c r="AV165" s="27" t="n"/>
      <c r="AW165" s="27" t="n"/>
      <c r="AX165" s="27" t="n"/>
      <c r="AY165" s="27" t="n"/>
      <c r="AZ165" s="27" t="n"/>
      <c r="BA165" s="27" t="n"/>
      <c r="BB165" s="27" t="n"/>
      <c r="BC165" s="27" t="n"/>
      <c r="BD165" s="27" t="n"/>
      <c r="BE165" s="27" t="n"/>
      <c r="BF165" s="27" t="n"/>
      <c r="BG165" s="27" t="n"/>
      <c r="BH165" s="27" t="n"/>
      <c r="BI165" s="29" t="n"/>
      <c r="BJ165" s="27" t="n"/>
      <c r="BK165" s="27" t="n"/>
      <c r="BL165" s="27" t="n"/>
      <c r="BM165" s="27" t="n"/>
    </row>
    <row r="166">
      <c r="A166" s="27" t="n"/>
      <c r="B166" s="27" t="n"/>
      <c r="C166" s="28">
        <f>IF(A166="","",$B$2)</f>
        <v/>
      </c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  <c r="AA166" s="27" t="n"/>
      <c r="AB166" s="27" t="n"/>
      <c r="AC166" s="27" t="n"/>
      <c r="AD166" s="27" t="n"/>
      <c r="AE166" s="27" t="n"/>
      <c r="AF166" s="27" t="n"/>
      <c r="AG166" s="27" t="n"/>
      <c r="AH166" s="27" t="n"/>
      <c r="AI166" s="27" t="n"/>
      <c r="AJ166" s="27" t="n"/>
      <c r="AK166" s="27" t="n"/>
      <c r="AL166" s="27" t="n"/>
      <c r="AM166" s="27" t="n"/>
      <c r="AN166" s="27" t="n"/>
      <c r="AO166" s="27" t="n"/>
      <c r="AP166" s="27" t="n"/>
      <c r="AQ166" s="27" t="n"/>
      <c r="AR166" s="27" t="n"/>
      <c r="AS166" s="27" t="n"/>
      <c r="AT166" s="27" t="n"/>
      <c r="AU166" s="27" t="n"/>
      <c r="AV166" s="27" t="n"/>
      <c r="AW166" s="27" t="n"/>
      <c r="AX166" s="27" t="n"/>
      <c r="AY166" s="27" t="n"/>
      <c r="AZ166" s="27" t="n"/>
      <c r="BA166" s="27" t="n"/>
      <c r="BB166" s="27" t="n"/>
      <c r="BC166" s="27" t="n"/>
      <c r="BD166" s="27" t="n"/>
      <c r="BE166" s="27" t="n"/>
      <c r="BF166" s="27" t="n"/>
      <c r="BG166" s="27" t="n"/>
      <c r="BH166" s="27" t="n"/>
      <c r="BI166" s="29" t="n"/>
      <c r="BJ166" s="27" t="n"/>
      <c r="BK166" s="27" t="n"/>
      <c r="BL166" s="27" t="n"/>
      <c r="BM166" s="27" t="n"/>
    </row>
    <row r="167">
      <c r="A167" s="27" t="n"/>
      <c r="B167" s="27" t="n"/>
      <c r="C167" s="28">
        <f>IF(A167="","",$B$2)</f>
        <v/>
      </c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  <c r="AA167" s="27" t="n"/>
      <c r="AB167" s="27" t="n"/>
      <c r="AC167" s="27" t="n"/>
      <c r="AD167" s="27" t="n"/>
      <c r="AE167" s="27" t="n"/>
      <c r="AF167" s="27" t="n"/>
      <c r="AG167" s="27" t="n"/>
      <c r="AH167" s="27" t="n"/>
      <c r="AI167" s="27" t="n"/>
      <c r="AJ167" s="27" t="n"/>
      <c r="AK167" s="27" t="n"/>
      <c r="AL167" s="27" t="n"/>
      <c r="AM167" s="27" t="n"/>
      <c r="AN167" s="27" t="n"/>
      <c r="AO167" s="27" t="n"/>
      <c r="AP167" s="27" t="n"/>
      <c r="AQ167" s="27" t="n"/>
      <c r="AR167" s="27" t="n"/>
      <c r="AS167" s="27" t="n"/>
      <c r="AT167" s="27" t="n"/>
      <c r="AU167" s="27" t="n"/>
      <c r="AV167" s="27" t="n"/>
      <c r="AW167" s="27" t="n"/>
      <c r="AX167" s="27" t="n"/>
      <c r="AY167" s="27" t="n"/>
      <c r="AZ167" s="27" t="n"/>
      <c r="BA167" s="27" t="n"/>
      <c r="BB167" s="27" t="n"/>
      <c r="BC167" s="27" t="n"/>
      <c r="BD167" s="27" t="n"/>
      <c r="BE167" s="27" t="n"/>
      <c r="BF167" s="27" t="n"/>
      <c r="BG167" s="27" t="n"/>
      <c r="BH167" s="27" t="n"/>
      <c r="BI167" s="29" t="n"/>
      <c r="BJ167" s="27" t="n"/>
      <c r="BK167" s="27" t="n"/>
      <c r="BL167" s="27" t="n"/>
      <c r="BM167" s="27" t="n"/>
    </row>
    <row r="168">
      <c r="A168" s="27" t="n"/>
      <c r="B168" s="27" t="n"/>
      <c r="C168" s="28">
        <f>IF(A168="","",$B$2)</f>
        <v/>
      </c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  <c r="AA168" s="27" t="n"/>
      <c r="AB168" s="27" t="n"/>
      <c r="AC168" s="27" t="n"/>
      <c r="AD168" s="27" t="n"/>
      <c r="AE168" s="27" t="n"/>
      <c r="AF168" s="27" t="n"/>
      <c r="AG168" s="27" t="n"/>
      <c r="AH168" s="27" t="n"/>
      <c r="AI168" s="27" t="n"/>
      <c r="AJ168" s="27" t="n"/>
      <c r="AK168" s="27" t="n"/>
      <c r="AL168" s="27" t="n"/>
      <c r="AM168" s="27" t="n"/>
      <c r="AN168" s="27" t="n"/>
      <c r="AO168" s="27" t="n"/>
      <c r="AP168" s="27" t="n"/>
      <c r="AQ168" s="27" t="n"/>
      <c r="AR168" s="27" t="n"/>
      <c r="AS168" s="27" t="n"/>
      <c r="AT168" s="27" t="n"/>
      <c r="AU168" s="27" t="n"/>
      <c r="AV168" s="27" t="n"/>
      <c r="AW168" s="27" t="n"/>
      <c r="AX168" s="27" t="n"/>
      <c r="AY168" s="27" t="n"/>
      <c r="AZ168" s="27" t="n"/>
      <c r="BA168" s="27" t="n"/>
      <c r="BB168" s="27" t="n"/>
      <c r="BC168" s="27" t="n"/>
      <c r="BD168" s="27" t="n"/>
      <c r="BE168" s="27" t="n"/>
      <c r="BF168" s="27" t="n"/>
      <c r="BG168" s="27" t="n"/>
      <c r="BH168" s="27" t="n"/>
      <c r="BI168" s="29" t="n"/>
      <c r="BJ168" s="27" t="n"/>
      <c r="BK168" s="27" t="n"/>
      <c r="BL168" s="27" t="n"/>
      <c r="BM168" s="27" t="n"/>
    </row>
    <row r="169">
      <c r="A169" s="27" t="n"/>
      <c r="B169" s="27" t="n"/>
      <c r="C169" s="28">
        <f>IF(A169="","",$B$2)</f>
        <v/>
      </c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  <c r="AA169" s="27" t="n"/>
      <c r="AB169" s="27" t="n"/>
      <c r="AC169" s="27" t="n"/>
      <c r="AD169" s="27" t="n"/>
      <c r="AE169" s="27" t="n"/>
      <c r="AF169" s="27" t="n"/>
      <c r="AG169" s="27" t="n"/>
      <c r="AH169" s="27" t="n"/>
      <c r="AI169" s="27" t="n"/>
      <c r="AJ169" s="27" t="n"/>
      <c r="AK169" s="27" t="n"/>
      <c r="AL169" s="27" t="n"/>
      <c r="AM169" s="27" t="n"/>
      <c r="AN169" s="27" t="n"/>
      <c r="AO169" s="27" t="n"/>
      <c r="AP169" s="27" t="n"/>
      <c r="AQ169" s="27" t="n"/>
      <c r="AR169" s="27" t="n"/>
      <c r="AS169" s="27" t="n"/>
      <c r="AT169" s="27" t="n"/>
      <c r="AU169" s="27" t="n"/>
      <c r="AV169" s="27" t="n"/>
      <c r="AW169" s="27" t="n"/>
      <c r="AX169" s="27" t="n"/>
      <c r="AY169" s="27" t="n"/>
      <c r="AZ169" s="27" t="n"/>
      <c r="BA169" s="27" t="n"/>
      <c r="BB169" s="27" t="n"/>
      <c r="BC169" s="27" t="n"/>
      <c r="BD169" s="27" t="n"/>
      <c r="BE169" s="27" t="n"/>
      <c r="BF169" s="27" t="n"/>
      <c r="BG169" s="27" t="n"/>
      <c r="BH169" s="27" t="n"/>
      <c r="BI169" s="29" t="n"/>
      <c r="BJ169" s="27" t="n"/>
      <c r="BK169" s="27" t="n"/>
      <c r="BL169" s="27" t="n"/>
      <c r="BM169" s="27" t="n"/>
    </row>
    <row r="170">
      <c r="A170" s="27" t="n"/>
      <c r="B170" s="27" t="n"/>
      <c r="C170" s="28">
        <f>IF(A170="","",$B$2)</f>
        <v/>
      </c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  <c r="AA170" s="27" t="n"/>
      <c r="AB170" s="27" t="n"/>
      <c r="AC170" s="27" t="n"/>
      <c r="AD170" s="27" t="n"/>
      <c r="AE170" s="27" t="n"/>
      <c r="AF170" s="27" t="n"/>
      <c r="AG170" s="27" t="n"/>
      <c r="AH170" s="27" t="n"/>
      <c r="AI170" s="27" t="n"/>
      <c r="AJ170" s="27" t="n"/>
      <c r="AK170" s="27" t="n"/>
      <c r="AL170" s="27" t="n"/>
      <c r="AM170" s="27" t="n"/>
      <c r="AN170" s="27" t="n"/>
      <c r="AO170" s="27" t="n"/>
      <c r="AP170" s="27" t="n"/>
      <c r="AQ170" s="27" t="n"/>
      <c r="AR170" s="27" t="n"/>
      <c r="AS170" s="27" t="n"/>
      <c r="AT170" s="27" t="n"/>
      <c r="AU170" s="27" t="n"/>
      <c r="AV170" s="27" t="n"/>
      <c r="AW170" s="27" t="n"/>
      <c r="AX170" s="27" t="n"/>
      <c r="AY170" s="27" t="n"/>
      <c r="AZ170" s="27" t="n"/>
      <c r="BA170" s="27" t="n"/>
      <c r="BB170" s="27" t="n"/>
      <c r="BC170" s="27" t="n"/>
      <c r="BD170" s="27" t="n"/>
      <c r="BE170" s="27" t="n"/>
      <c r="BF170" s="27" t="n"/>
      <c r="BG170" s="27" t="n"/>
      <c r="BH170" s="27" t="n"/>
      <c r="BI170" s="29" t="n"/>
      <c r="BJ170" s="27" t="n"/>
      <c r="BK170" s="27" t="n"/>
      <c r="BL170" s="27" t="n"/>
      <c r="BM170" s="27" t="n"/>
    </row>
    <row r="171">
      <c r="A171" s="27" t="n"/>
      <c r="B171" s="27" t="n"/>
      <c r="C171" s="28">
        <f>IF(A171="","",$B$2)</f>
        <v/>
      </c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  <c r="AA171" s="27" t="n"/>
      <c r="AB171" s="27" t="n"/>
      <c r="AC171" s="27" t="n"/>
      <c r="AD171" s="27" t="n"/>
      <c r="AE171" s="27" t="n"/>
      <c r="AF171" s="27" t="n"/>
      <c r="AG171" s="27" t="n"/>
      <c r="AH171" s="27" t="n"/>
      <c r="AI171" s="27" t="n"/>
      <c r="AJ171" s="27" t="n"/>
      <c r="AK171" s="27" t="n"/>
      <c r="AL171" s="27" t="n"/>
      <c r="AM171" s="27" t="n"/>
      <c r="AN171" s="27" t="n"/>
      <c r="AO171" s="27" t="n"/>
      <c r="AP171" s="27" t="n"/>
      <c r="AQ171" s="27" t="n"/>
      <c r="AR171" s="27" t="n"/>
      <c r="AS171" s="27" t="n"/>
      <c r="AT171" s="27" t="n"/>
      <c r="AU171" s="27" t="n"/>
      <c r="AV171" s="27" t="n"/>
      <c r="AW171" s="27" t="n"/>
      <c r="AX171" s="27" t="n"/>
      <c r="AY171" s="27" t="n"/>
      <c r="AZ171" s="27" t="n"/>
      <c r="BA171" s="27" t="n"/>
      <c r="BB171" s="27" t="n"/>
      <c r="BC171" s="27" t="n"/>
      <c r="BD171" s="27" t="n"/>
      <c r="BE171" s="27" t="n"/>
      <c r="BF171" s="27" t="n"/>
      <c r="BG171" s="27" t="n"/>
      <c r="BH171" s="27" t="n"/>
      <c r="BI171" s="29" t="n"/>
      <c r="BJ171" s="27" t="n"/>
      <c r="BK171" s="27" t="n"/>
      <c r="BL171" s="27" t="n"/>
      <c r="BM171" s="27" t="n"/>
    </row>
    <row r="172">
      <c r="A172" s="27" t="n"/>
      <c r="B172" s="27" t="n"/>
      <c r="C172" s="28">
        <f>IF(A172="","",$B$2)</f>
        <v/>
      </c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  <c r="AA172" s="27" t="n"/>
      <c r="AB172" s="27" t="n"/>
      <c r="AC172" s="27" t="n"/>
      <c r="AD172" s="27" t="n"/>
      <c r="AE172" s="27" t="n"/>
      <c r="AF172" s="27" t="n"/>
      <c r="AG172" s="27" t="n"/>
      <c r="AH172" s="27" t="n"/>
      <c r="AI172" s="27" t="n"/>
      <c r="AJ172" s="27" t="n"/>
      <c r="AK172" s="27" t="n"/>
      <c r="AL172" s="27" t="n"/>
      <c r="AM172" s="27" t="n"/>
      <c r="AN172" s="27" t="n"/>
      <c r="AO172" s="27" t="n"/>
      <c r="AP172" s="27" t="n"/>
      <c r="AQ172" s="27" t="n"/>
      <c r="AR172" s="27" t="n"/>
      <c r="AS172" s="27" t="n"/>
      <c r="AT172" s="27" t="n"/>
      <c r="AU172" s="27" t="n"/>
      <c r="AV172" s="27" t="n"/>
      <c r="AW172" s="27" t="n"/>
      <c r="AX172" s="27" t="n"/>
      <c r="AY172" s="27" t="n"/>
      <c r="AZ172" s="27" t="n"/>
      <c r="BA172" s="27" t="n"/>
      <c r="BB172" s="27" t="n"/>
      <c r="BC172" s="27" t="n"/>
      <c r="BD172" s="27" t="n"/>
      <c r="BE172" s="27" t="n"/>
      <c r="BF172" s="27" t="n"/>
      <c r="BG172" s="27" t="n"/>
      <c r="BH172" s="27" t="n"/>
      <c r="BI172" s="29" t="n"/>
      <c r="BJ172" s="27" t="n"/>
      <c r="BK172" s="27" t="n"/>
      <c r="BL172" s="27" t="n"/>
      <c r="BM172" s="27" t="n"/>
    </row>
    <row r="173">
      <c r="A173" s="27" t="n"/>
      <c r="B173" s="27" t="n"/>
      <c r="C173" s="28">
        <f>IF(A173="","",$B$2)</f>
        <v/>
      </c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  <c r="AA173" s="27" t="n"/>
      <c r="AB173" s="27" t="n"/>
      <c r="AC173" s="27" t="n"/>
      <c r="AD173" s="27" t="n"/>
      <c r="AE173" s="27" t="n"/>
      <c r="AF173" s="27" t="n"/>
      <c r="AG173" s="27" t="n"/>
      <c r="AH173" s="27" t="n"/>
      <c r="AI173" s="27" t="n"/>
      <c r="AJ173" s="27" t="n"/>
      <c r="AK173" s="27" t="n"/>
      <c r="AL173" s="27" t="n"/>
      <c r="AM173" s="27" t="n"/>
      <c r="AN173" s="27" t="n"/>
      <c r="AO173" s="27" t="n"/>
      <c r="AP173" s="27" t="n"/>
      <c r="AQ173" s="27" t="n"/>
      <c r="AR173" s="27" t="n"/>
      <c r="AS173" s="27" t="n"/>
      <c r="AT173" s="27" t="n"/>
      <c r="AU173" s="27" t="n"/>
      <c r="AV173" s="27" t="n"/>
      <c r="AW173" s="27" t="n"/>
      <c r="AX173" s="27" t="n"/>
      <c r="AY173" s="27" t="n"/>
      <c r="AZ173" s="27" t="n"/>
      <c r="BA173" s="27" t="n"/>
      <c r="BB173" s="27" t="n"/>
      <c r="BC173" s="27" t="n"/>
      <c r="BD173" s="27" t="n"/>
      <c r="BE173" s="27" t="n"/>
      <c r="BF173" s="27" t="n"/>
      <c r="BG173" s="27" t="n"/>
      <c r="BH173" s="27" t="n"/>
      <c r="BI173" s="29" t="n"/>
      <c r="BJ173" s="27" t="n"/>
      <c r="BK173" s="27" t="n"/>
      <c r="BL173" s="27" t="n"/>
      <c r="BM173" s="27" t="n"/>
    </row>
    <row r="174">
      <c r="A174" s="27" t="n"/>
      <c r="B174" s="27" t="n"/>
      <c r="C174" s="28">
        <f>IF(A174="","",$B$2)</f>
        <v/>
      </c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  <c r="AA174" s="27" t="n"/>
      <c r="AB174" s="27" t="n"/>
      <c r="AC174" s="27" t="n"/>
      <c r="AD174" s="27" t="n"/>
      <c r="AE174" s="27" t="n"/>
      <c r="AF174" s="27" t="n"/>
      <c r="AG174" s="27" t="n"/>
      <c r="AH174" s="27" t="n"/>
      <c r="AI174" s="27" t="n"/>
      <c r="AJ174" s="27" t="n"/>
      <c r="AK174" s="27" t="n"/>
      <c r="AL174" s="27" t="n"/>
      <c r="AM174" s="27" t="n"/>
      <c r="AN174" s="27" t="n"/>
      <c r="AO174" s="27" t="n"/>
      <c r="AP174" s="27" t="n"/>
      <c r="AQ174" s="27" t="n"/>
      <c r="AR174" s="27" t="n"/>
      <c r="AS174" s="27" t="n"/>
      <c r="AT174" s="27" t="n"/>
      <c r="AU174" s="27" t="n"/>
      <c r="AV174" s="27" t="n"/>
      <c r="AW174" s="27" t="n"/>
      <c r="AX174" s="27" t="n"/>
      <c r="AY174" s="27" t="n"/>
      <c r="AZ174" s="27" t="n"/>
      <c r="BA174" s="27" t="n"/>
      <c r="BB174" s="27" t="n"/>
      <c r="BC174" s="27" t="n"/>
      <c r="BD174" s="27" t="n"/>
      <c r="BE174" s="27" t="n"/>
      <c r="BF174" s="27" t="n"/>
      <c r="BG174" s="27" t="n"/>
      <c r="BH174" s="27" t="n"/>
      <c r="BI174" s="29" t="n"/>
      <c r="BJ174" s="27" t="n"/>
      <c r="BK174" s="27" t="n"/>
      <c r="BL174" s="27" t="n"/>
      <c r="BM174" s="27" t="n"/>
    </row>
    <row r="175">
      <c r="A175" s="27" t="n"/>
      <c r="B175" s="27" t="n"/>
      <c r="C175" s="28">
        <f>IF(A175="","",$B$2)</f>
        <v/>
      </c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  <c r="AA175" s="27" t="n"/>
      <c r="AB175" s="27" t="n"/>
      <c r="AC175" s="27" t="n"/>
      <c r="AD175" s="27" t="n"/>
      <c r="AE175" s="27" t="n"/>
      <c r="AF175" s="27" t="n"/>
      <c r="AG175" s="27" t="n"/>
      <c r="AH175" s="27" t="n"/>
      <c r="AI175" s="27" t="n"/>
      <c r="AJ175" s="27" t="n"/>
      <c r="AK175" s="27" t="n"/>
      <c r="AL175" s="27" t="n"/>
      <c r="AM175" s="27" t="n"/>
      <c r="AN175" s="27" t="n"/>
      <c r="AO175" s="27" t="n"/>
      <c r="AP175" s="27" t="n"/>
      <c r="AQ175" s="27" t="n"/>
      <c r="AR175" s="27" t="n"/>
      <c r="AS175" s="27" t="n"/>
      <c r="AT175" s="27" t="n"/>
      <c r="AU175" s="27" t="n"/>
      <c r="AV175" s="27" t="n"/>
      <c r="AW175" s="27" t="n"/>
      <c r="AX175" s="27" t="n"/>
      <c r="AY175" s="27" t="n"/>
      <c r="AZ175" s="27" t="n"/>
      <c r="BA175" s="27" t="n"/>
      <c r="BB175" s="27" t="n"/>
      <c r="BC175" s="27" t="n"/>
      <c r="BD175" s="27" t="n"/>
      <c r="BE175" s="27" t="n"/>
      <c r="BF175" s="27" t="n"/>
      <c r="BG175" s="27" t="n"/>
      <c r="BH175" s="27" t="n"/>
      <c r="BI175" s="29" t="n"/>
      <c r="BJ175" s="27" t="n"/>
      <c r="BK175" s="27" t="n"/>
      <c r="BL175" s="27" t="n"/>
      <c r="BM175" s="27" t="n"/>
    </row>
    <row r="176">
      <c r="A176" s="27" t="n"/>
      <c r="B176" s="27" t="n"/>
      <c r="C176" s="28">
        <f>IF(A176="","",$B$2)</f>
        <v/>
      </c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  <c r="AA176" s="27" t="n"/>
      <c r="AB176" s="27" t="n"/>
      <c r="AC176" s="27" t="n"/>
      <c r="AD176" s="27" t="n"/>
      <c r="AE176" s="27" t="n"/>
      <c r="AF176" s="27" t="n"/>
      <c r="AG176" s="27" t="n"/>
      <c r="AH176" s="27" t="n"/>
      <c r="AI176" s="27" t="n"/>
      <c r="AJ176" s="27" t="n"/>
      <c r="AK176" s="27" t="n"/>
      <c r="AL176" s="27" t="n"/>
      <c r="AM176" s="27" t="n"/>
      <c r="AN176" s="27" t="n"/>
      <c r="AO176" s="27" t="n"/>
      <c r="AP176" s="27" t="n"/>
      <c r="AQ176" s="27" t="n"/>
      <c r="AR176" s="27" t="n"/>
      <c r="AS176" s="27" t="n"/>
      <c r="AT176" s="27" t="n"/>
      <c r="AU176" s="27" t="n"/>
      <c r="AV176" s="27" t="n"/>
      <c r="AW176" s="27" t="n"/>
      <c r="AX176" s="27" t="n"/>
      <c r="AY176" s="27" t="n"/>
      <c r="AZ176" s="27" t="n"/>
      <c r="BA176" s="27" t="n"/>
      <c r="BB176" s="27" t="n"/>
      <c r="BC176" s="27" t="n"/>
      <c r="BD176" s="27" t="n"/>
      <c r="BE176" s="27" t="n"/>
      <c r="BF176" s="27" t="n"/>
      <c r="BG176" s="27" t="n"/>
      <c r="BH176" s="27" t="n"/>
      <c r="BI176" s="29" t="n"/>
      <c r="BJ176" s="27" t="n"/>
      <c r="BK176" s="27" t="n"/>
      <c r="BL176" s="27" t="n"/>
      <c r="BM176" s="27" t="n"/>
    </row>
    <row r="177">
      <c r="A177" s="27" t="n"/>
      <c r="B177" s="27" t="n"/>
      <c r="C177" s="28">
        <f>IF(A177="","",$B$2)</f>
        <v/>
      </c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  <c r="AA177" s="27" t="n"/>
      <c r="AB177" s="27" t="n"/>
      <c r="AC177" s="27" t="n"/>
      <c r="AD177" s="27" t="n"/>
      <c r="AE177" s="27" t="n"/>
      <c r="AF177" s="27" t="n"/>
      <c r="AG177" s="27" t="n"/>
      <c r="AH177" s="27" t="n"/>
      <c r="AI177" s="27" t="n"/>
      <c r="AJ177" s="27" t="n"/>
      <c r="AK177" s="27" t="n"/>
      <c r="AL177" s="27" t="n"/>
      <c r="AM177" s="27" t="n"/>
      <c r="AN177" s="27" t="n"/>
      <c r="AO177" s="27" t="n"/>
      <c r="AP177" s="27" t="n"/>
      <c r="AQ177" s="27" t="n"/>
      <c r="AR177" s="27" t="n"/>
      <c r="AS177" s="27" t="n"/>
      <c r="AT177" s="27" t="n"/>
      <c r="AU177" s="27" t="n"/>
      <c r="AV177" s="27" t="n"/>
      <c r="AW177" s="27" t="n"/>
      <c r="AX177" s="27" t="n"/>
      <c r="AY177" s="27" t="n"/>
      <c r="AZ177" s="27" t="n"/>
      <c r="BA177" s="27" t="n"/>
      <c r="BB177" s="27" t="n"/>
      <c r="BC177" s="27" t="n"/>
      <c r="BD177" s="27" t="n"/>
      <c r="BE177" s="27" t="n"/>
      <c r="BF177" s="27" t="n"/>
      <c r="BG177" s="27" t="n"/>
      <c r="BH177" s="27" t="n"/>
      <c r="BI177" s="29" t="n"/>
      <c r="BJ177" s="27" t="n"/>
      <c r="BK177" s="27" t="n"/>
      <c r="BL177" s="27" t="n"/>
      <c r="BM177" s="27" t="n"/>
    </row>
    <row r="178">
      <c r="A178" s="27" t="n"/>
      <c r="B178" s="27" t="n"/>
      <c r="C178" s="28">
        <f>IF(A178="","",$B$2)</f>
        <v/>
      </c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  <c r="AA178" s="27" t="n"/>
      <c r="AB178" s="27" t="n"/>
      <c r="AC178" s="27" t="n"/>
      <c r="AD178" s="27" t="n"/>
      <c r="AE178" s="27" t="n"/>
      <c r="AF178" s="27" t="n"/>
      <c r="AG178" s="27" t="n"/>
      <c r="AH178" s="27" t="n"/>
      <c r="AI178" s="27" t="n"/>
      <c r="AJ178" s="27" t="n"/>
      <c r="AK178" s="27" t="n"/>
      <c r="AL178" s="27" t="n"/>
      <c r="AM178" s="27" t="n"/>
      <c r="AN178" s="27" t="n"/>
      <c r="AO178" s="27" t="n"/>
      <c r="AP178" s="27" t="n"/>
      <c r="AQ178" s="27" t="n"/>
      <c r="AR178" s="27" t="n"/>
      <c r="AS178" s="27" t="n"/>
      <c r="AT178" s="27" t="n"/>
      <c r="AU178" s="27" t="n"/>
      <c r="AV178" s="27" t="n"/>
      <c r="AW178" s="27" t="n"/>
      <c r="AX178" s="27" t="n"/>
      <c r="AY178" s="27" t="n"/>
      <c r="AZ178" s="27" t="n"/>
      <c r="BA178" s="27" t="n"/>
      <c r="BB178" s="27" t="n"/>
      <c r="BC178" s="27" t="n"/>
      <c r="BD178" s="27" t="n"/>
      <c r="BE178" s="27" t="n"/>
      <c r="BF178" s="27" t="n"/>
      <c r="BG178" s="27" t="n"/>
      <c r="BH178" s="27" t="n"/>
      <c r="BI178" s="29" t="n"/>
      <c r="BJ178" s="27" t="n"/>
      <c r="BK178" s="27" t="n"/>
      <c r="BL178" s="27" t="n"/>
      <c r="BM178" s="27" t="n"/>
    </row>
    <row r="179">
      <c r="A179" s="27" t="n"/>
      <c r="B179" s="27" t="n"/>
      <c r="C179" s="28">
        <f>IF(A179="","",$B$2)</f>
        <v/>
      </c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  <c r="AA179" s="27" t="n"/>
      <c r="AB179" s="27" t="n"/>
      <c r="AC179" s="27" t="n"/>
      <c r="AD179" s="27" t="n"/>
      <c r="AE179" s="27" t="n"/>
      <c r="AF179" s="27" t="n"/>
      <c r="AG179" s="27" t="n"/>
      <c r="AH179" s="27" t="n"/>
      <c r="AI179" s="27" t="n"/>
      <c r="AJ179" s="27" t="n"/>
      <c r="AK179" s="27" t="n"/>
      <c r="AL179" s="27" t="n"/>
      <c r="AM179" s="27" t="n"/>
      <c r="AN179" s="27" t="n"/>
      <c r="AO179" s="27" t="n"/>
      <c r="AP179" s="27" t="n"/>
      <c r="AQ179" s="27" t="n"/>
      <c r="AR179" s="27" t="n"/>
      <c r="AS179" s="27" t="n"/>
      <c r="AT179" s="27" t="n"/>
      <c r="AU179" s="27" t="n"/>
      <c r="AV179" s="27" t="n"/>
      <c r="AW179" s="27" t="n"/>
      <c r="AX179" s="27" t="n"/>
      <c r="AY179" s="27" t="n"/>
      <c r="AZ179" s="27" t="n"/>
      <c r="BA179" s="27" t="n"/>
      <c r="BB179" s="27" t="n"/>
      <c r="BC179" s="27" t="n"/>
      <c r="BD179" s="27" t="n"/>
      <c r="BE179" s="27" t="n"/>
      <c r="BF179" s="27" t="n"/>
      <c r="BG179" s="27" t="n"/>
      <c r="BH179" s="27" t="n"/>
      <c r="BI179" s="29" t="n"/>
      <c r="BJ179" s="27" t="n"/>
      <c r="BK179" s="27" t="n"/>
      <c r="BL179" s="27" t="n"/>
      <c r="BM179" s="27" t="n"/>
    </row>
    <row r="180">
      <c r="A180" s="27" t="n"/>
      <c r="B180" s="27" t="n"/>
      <c r="C180" s="28">
        <f>IF(A180="","",$B$2)</f>
        <v/>
      </c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  <c r="AA180" s="27" t="n"/>
      <c r="AB180" s="27" t="n"/>
      <c r="AC180" s="27" t="n"/>
      <c r="AD180" s="27" t="n"/>
      <c r="AE180" s="27" t="n"/>
      <c r="AF180" s="27" t="n"/>
      <c r="AG180" s="27" t="n"/>
      <c r="AH180" s="27" t="n"/>
      <c r="AI180" s="27" t="n"/>
      <c r="AJ180" s="27" t="n"/>
      <c r="AK180" s="27" t="n"/>
      <c r="AL180" s="27" t="n"/>
      <c r="AM180" s="27" t="n"/>
      <c r="AN180" s="27" t="n"/>
      <c r="AO180" s="27" t="n"/>
      <c r="AP180" s="27" t="n"/>
      <c r="AQ180" s="27" t="n"/>
      <c r="AR180" s="27" t="n"/>
      <c r="AS180" s="27" t="n"/>
      <c r="AT180" s="27" t="n"/>
      <c r="AU180" s="27" t="n"/>
      <c r="AV180" s="27" t="n"/>
      <c r="AW180" s="27" t="n"/>
      <c r="AX180" s="27" t="n"/>
      <c r="AY180" s="27" t="n"/>
      <c r="AZ180" s="27" t="n"/>
      <c r="BA180" s="27" t="n"/>
      <c r="BB180" s="27" t="n"/>
      <c r="BC180" s="27" t="n"/>
      <c r="BD180" s="27" t="n"/>
      <c r="BE180" s="27" t="n"/>
      <c r="BF180" s="27" t="n"/>
      <c r="BG180" s="27" t="n"/>
      <c r="BH180" s="27" t="n"/>
      <c r="BI180" s="29" t="n"/>
      <c r="BJ180" s="27" t="n"/>
      <c r="BK180" s="27" t="n"/>
      <c r="BL180" s="27" t="n"/>
      <c r="BM180" s="27" t="n"/>
    </row>
    <row r="181">
      <c r="A181" s="27" t="n"/>
      <c r="B181" s="27" t="n"/>
      <c r="C181" s="28">
        <f>IF(A181="","",$B$2)</f>
        <v/>
      </c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  <c r="AA181" s="27" t="n"/>
      <c r="AB181" s="27" t="n"/>
      <c r="AC181" s="27" t="n"/>
      <c r="AD181" s="27" t="n"/>
      <c r="AE181" s="27" t="n"/>
      <c r="AF181" s="27" t="n"/>
      <c r="AG181" s="27" t="n"/>
      <c r="AH181" s="27" t="n"/>
      <c r="AI181" s="27" t="n"/>
      <c r="AJ181" s="27" t="n"/>
      <c r="AK181" s="27" t="n"/>
      <c r="AL181" s="27" t="n"/>
      <c r="AM181" s="27" t="n"/>
      <c r="AN181" s="27" t="n"/>
      <c r="AO181" s="27" t="n"/>
      <c r="AP181" s="27" t="n"/>
      <c r="AQ181" s="27" t="n"/>
      <c r="AR181" s="27" t="n"/>
      <c r="AS181" s="27" t="n"/>
      <c r="AT181" s="27" t="n"/>
      <c r="AU181" s="27" t="n"/>
      <c r="AV181" s="27" t="n"/>
      <c r="AW181" s="27" t="n"/>
      <c r="AX181" s="27" t="n"/>
      <c r="AY181" s="27" t="n"/>
      <c r="AZ181" s="27" t="n"/>
      <c r="BA181" s="27" t="n"/>
      <c r="BB181" s="27" t="n"/>
      <c r="BC181" s="27" t="n"/>
      <c r="BD181" s="27" t="n"/>
      <c r="BE181" s="27" t="n"/>
      <c r="BF181" s="27" t="n"/>
      <c r="BG181" s="27" t="n"/>
      <c r="BH181" s="27" t="n"/>
      <c r="BI181" s="29" t="n"/>
      <c r="BJ181" s="27" t="n"/>
      <c r="BK181" s="27" t="n"/>
      <c r="BL181" s="27" t="n"/>
      <c r="BM181" s="27" t="n"/>
    </row>
    <row r="182">
      <c r="A182" s="27" t="n"/>
      <c r="B182" s="27" t="n"/>
      <c r="C182" s="28">
        <f>IF(A182="","",$B$2)</f>
        <v/>
      </c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  <c r="AA182" s="27" t="n"/>
      <c r="AB182" s="27" t="n"/>
      <c r="AC182" s="27" t="n"/>
      <c r="AD182" s="27" t="n"/>
      <c r="AE182" s="27" t="n"/>
      <c r="AF182" s="27" t="n"/>
      <c r="AG182" s="27" t="n"/>
      <c r="AH182" s="27" t="n"/>
      <c r="AI182" s="27" t="n"/>
      <c r="AJ182" s="27" t="n"/>
      <c r="AK182" s="27" t="n"/>
      <c r="AL182" s="27" t="n"/>
      <c r="AM182" s="27" t="n"/>
      <c r="AN182" s="27" t="n"/>
      <c r="AO182" s="27" t="n"/>
      <c r="AP182" s="27" t="n"/>
      <c r="AQ182" s="27" t="n"/>
      <c r="AR182" s="27" t="n"/>
      <c r="AS182" s="27" t="n"/>
      <c r="AT182" s="27" t="n"/>
      <c r="AU182" s="27" t="n"/>
      <c r="AV182" s="27" t="n"/>
      <c r="AW182" s="27" t="n"/>
      <c r="AX182" s="27" t="n"/>
      <c r="AY182" s="27" t="n"/>
      <c r="AZ182" s="27" t="n"/>
      <c r="BA182" s="27" t="n"/>
      <c r="BB182" s="27" t="n"/>
      <c r="BC182" s="27" t="n"/>
      <c r="BD182" s="27" t="n"/>
      <c r="BE182" s="27" t="n"/>
      <c r="BF182" s="27" t="n"/>
      <c r="BG182" s="27" t="n"/>
      <c r="BH182" s="27" t="n"/>
      <c r="BI182" s="29" t="n"/>
      <c r="BJ182" s="27" t="n"/>
      <c r="BK182" s="27" t="n"/>
      <c r="BL182" s="27" t="n"/>
      <c r="BM182" s="27" t="n"/>
    </row>
    <row r="183">
      <c r="A183" s="27" t="n"/>
      <c r="B183" s="27" t="n"/>
      <c r="C183" s="28">
        <f>IF(A183="","",$B$2)</f>
        <v/>
      </c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  <c r="AA183" s="27" t="n"/>
      <c r="AB183" s="27" t="n"/>
      <c r="AC183" s="27" t="n"/>
      <c r="AD183" s="27" t="n"/>
      <c r="AE183" s="27" t="n"/>
      <c r="AF183" s="27" t="n"/>
      <c r="AG183" s="27" t="n"/>
      <c r="AH183" s="27" t="n"/>
      <c r="AI183" s="27" t="n"/>
      <c r="AJ183" s="27" t="n"/>
      <c r="AK183" s="27" t="n"/>
      <c r="AL183" s="27" t="n"/>
      <c r="AM183" s="27" t="n"/>
      <c r="AN183" s="27" t="n"/>
      <c r="AO183" s="27" t="n"/>
      <c r="AP183" s="27" t="n"/>
      <c r="AQ183" s="27" t="n"/>
      <c r="AR183" s="27" t="n"/>
      <c r="AS183" s="27" t="n"/>
      <c r="AT183" s="27" t="n"/>
      <c r="AU183" s="27" t="n"/>
      <c r="AV183" s="27" t="n"/>
      <c r="AW183" s="27" t="n"/>
      <c r="AX183" s="27" t="n"/>
      <c r="AY183" s="27" t="n"/>
      <c r="AZ183" s="27" t="n"/>
      <c r="BA183" s="27" t="n"/>
      <c r="BB183" s="27" t="n"/>
      <c r="BC183" s="27" t="n"/>
      <c r="BD183" s="27" t="n"/>
      <c r="BE183" s="27" t="n"/>
      <c r="BF183" s="27" t="n"/>
      <c r="BG183" s="27" t="n"/>
      <c r="BH183" s="27" t="n"/>
      <c r="BI183" s="29" t="n"/>
      <c r="BJ183" s="27" t="n"/>
      <c r="BK183" s="27" t="n"/>
      <c r="BL183" s="27" t="n"/>
      <c r="BM183" s="27" t="n"/>
    </row>
    <row r="184">
      <c r="A184" s="27" t="n"/>
      <c r="B184" s="27" t="n"/>
      <c r="C184" s="28">
        <f>IF(A184="","",$B$2)</f>
        <v/>
      </c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  <c r="AA184" s="27" t="n"/>
      <c r="AB184" s="27" t="n"/>
      <c r="AC184" s="27" t="n"/>
      <c r="AD184" s="27" t="n"/>
      <c r="AE184" s="27" t="n"/>
      <c r="AF184" s="27" t="n"/>
      <c r="AG184" s="27" t="n"/>
      <c r="AH184" s="27" t="n"/>
      <c r="AI184" s="27" t="n"/>
      <c r="AJ184" s="27" t="n"/>
      <c r="AK184" s="27" t="n"/>
      <c r="AL184" s="27" t="n"/>
      <c r="AM184" s="27" t="n"/>
      <c r="AN184" s="27" t="n"/>
      <c r="AO184" s="27" t="n"/>
      <c r="AP184" s="27" t="n"/>
      <c r="AQ184" s="27" t="n"/>
      <c r="AR184" s="27" t="n"/>
      <c r="AS184" s="27" t="n"/>
      <c r="AT184" s="27" t="n"/>
      <c r="AU184" s="27" t="n"/>
      <c r="AV184" s="27" t="n"/>
      <c r="AW184" s="27" t="n"/>
      <c r="AX184" s="27" t="n"/>
      <c r="AY184" s="27" t="n"/>
      <c r="AZ184" s="27" t="n"/>
      <c r="BA184" s="27" t="n"/>
      <c r="BB184" s="27" t="n"/>
      <c r="BC184" s="27" t="n"/>
      <c r="BD184" s="27" t="n"/>
      <c r="BE184" s="27" t="n"/>
      <c r="BF184" s="27" t="n"/>
      <c r="BG184" s="27" t="n"/>
      <c r="BH184" s="27" t="n"/>
      <c r="BI184" s="29" t="n"/>
      <c r="BJ184" s="27" t="n"/>
      <c r="BK184" s="27" t="n"/>
      <c r="BL184" s="27" t="n"/>
      <c r="BM184" s="27" t="n"/>
    </row>
    <row r="185">
      <c r="A185" s="27" t="n"/>
      <c r="B185" s="27" t="n"/>
      <c r="C185" s="28">
        <f>IF(A185="","",$B$2)</f>
        <v/>
      </c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  <c r="AA185" s="27" t="n"/>
      <c r="AB185" s="27" t="n"/>
      <c r="AC185" s="27" t="n"/>
      <c r="AD185" s="27" t="n"/>
      <c r="AE185" s="27" t="n"/>
      <c r="AF185" s="27" t="n"/>
      <c r="AG185" s="27" t="n"/>
      <c r="AH185" s="27" t="n"/>
      <c r="AI185" s="27" t="n"/>
      <c r="AJ185" s="27" t="n"/>
      <c r="AK185" s="27" t="n"/>
      <c r="AL185" s="27" t="n"/>
      <c r="AM185" s="27" t="n"/>
      <c r="AN185" s="27" t="n"/>
      <c r="AO185" s="27" t="n"/>
      <c r="AP185" s="27" t="n"/>
      <c r="AQ185" s="27" t="n"/>
      <c r="AR185" s="27" t="n"/>
      <c r="AS185" s="27" t="n"/>
      <c r="AT185" s="27" t="n"/>
      <c r="AU185" s="27" t="n"/>
      <c r="AV185" s="27" t="n"/>
      <c r="AW185" s="27" t="n"/>
      <c r="AX185" s="27" t="n"/>
      <c r="AY185" s="27" t="n"/>
      <c r="AZ185" s="27" t="n"/>
      <c r="BA185" s="27" t="n"/>
      <c r="BB185" s="27" t="n"/>
      <c r="BC185" s="27" t="n"/>
      <c r="BD185" s="27" t="n"/>
      <c r="BE185" s="27" t="n"/>
      <c r="BF185" s="27" t="n"/>
      <c r="BG185" s="27" t="n"/>
      <c r="BH185" s="27" t="n"/>
      <c r="BI185" s="29" t="n"/>
      <c r="BJ185" s="27" t="n"/>
      <c r="BK185" s="27" t="n"/>
      <c r="BL185" s="27" t="n"/>
      <c r="BM185" s="27" t="n"/>
    </row>
    <row r="186">
      <c r="A186" s="27" t="n"/>
      <c r="B186" s="27" t="n"/>
      <c r="C186" s="28">
        <f>IF(A186="","",$B$2)</f>
        <v/>
      </c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  <c r="AA186" s="27" t="n"/>
      <c r="AB186" s="27" t="n"/>
      <c r="AC186" s="27" t="n"/>
      <c r="AD186" s="27" t="n"/>
      <c r="AE186" s="27" t="n"/>
      <c r="AF186" s="27" t="n"/>
      <c r="AG186" s="27" t="n"/>
      <c r="AH186" s="27" t="n"/>
      <c r="AI186" s="27" t="n"/>
      <c r="AJ186" s="27" t="n"/>
      <c r="AK186" s="27" t="n"/>
      <c r="AL186" s="27" t="n"/>
      <c r="AM186" s="27" t="n"/>
      <c r="AN186" s="27" t="n"/>
      <c r="AO186" s="27" t="n"/>
      <c r="AP186" s="27" t="n"/>
      <c r="AQ186" s="27" t="n"/>
      <c r="AR186" s="27" t="n"/>
      <c r="AS186" s="27" t="n"/>
      <c r="AT186" s="27" t="n"/>
      <c r="AU186" s="27" t="n"/>
      <c r="AV186" s="27" t="n"/>
      <c r="AW186" s="27" t="n"/>
      <c r="AX186" s="27" t="n"/>
      <c r="AY186" s="27" t="n"/>
      <c r="AZ186" s="27" t="n"/>
      <c r="BA186" s="27" t="n"/>
      <c r="BB186" s="27" t="n"/>
      <c r="BC186" s="27" t="n"/>
      <c r="BD186" s="27" t="n"/>
      <c r="BE186" s="27" t="n"/>
      <c r="BF186" s="27" t="n"/>
      <c r="BG186" s="27" t="n"/>
      <c r="BH186" s="27" t="n"/>
      <c r="BI186" s="29" t="n"/>
      <c r="BJ186" s="27" t="n"/>
      <c r="BK186" s="27" t="n"/>
      <c r="BL186" s="27" t="n"/>
      <c r="BM186" s="27" t="n"/>
    </row>
    <row r="187">
      <c r="A187" s="27" t="n"/>
      <c r="B187" s="27" t="n"/>
      <c r="C187" s="28">
        <f>IF(A187="","",$B$2)</f>
        <v/>
      </c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  <c r="AA187" s="27" t="n"/>
      <c r="AB187" s="27" t="n"/>
      <c r="AC187" s="27" t="n"/>
      <c r="AD187" s="27" t="n"/>
      <c r="AE187" s="27" t="n"/>
      <c r="AF187" s="27" t="n"/>
      <c r="AG187" s="27" t="n"/>
      <c r="AH187" s="27" t="n"/>
      <c r="AI187" s="27" t="n"/>
      <c r="AJ187" s="27" t="n"/>
      <c r="AK187" s="27" t="n"/>
      <c r="AL187" s="27" t="n"/>
      <c r="AM187" s="27" t="n"/>
      <c r="AN187" s="27" t="n"/>
      <c r="AO187" s="27" t="n"/>
      <c r="AP187" s="27" t="n"/>
      <c r="AQ187" s="27" t="n"/>
      <c r="AR187" s="27" t="n"/>
      <c r="AS187" s="27" t="n"/>
      <c r="AT187" s="27" t="n"/>
      <c r="AU187" s="27" t="n"/>
      <c r="AV187" s="27" t="n"/>
      <c r="AW187" s="27" t="n"/>
      <c r="AX187" s="27" t="n"/>
      <c r="AY187" s="27" t="n"/>
      <c r="AZ187" s="27" t="n"/>
      <c r="BA187" s="27" t="n"/>
      <c r="BB187" s="27" t="n"/>
      <c r="BC187" s="27" t="n"/>
      <c r="BD187" s="27" t="n"/>
      <c r="BE187" s="27" t="n"/>
      <c r="BF187" s="27" t="n"/>
      <c r="BG187" s="27" t="n"/>
      <c r="BH187" s="27" t="n"/>
      <c r="BI187" s="29" t="n"/>
      <c r="BJ187" s="27" t="n"/>
      <c r="BK187" s="27" t="n"/>
      <c r="BL187" s="27" t="n"/>
      <c r="BM187" s="27" t="n"/>
    </row>
    <row r="188">
      <c r="A188" s="27" t="n"/>
      <c r="B188" s="27" t="n"/>
      <c r="C188" s="28">
        <f>IF(A188="","",$B$2)</f>
        <v/>
      </c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  <c r="AA188" s="27" t="n"/>
      <c r="AB188" s="27" t="n"/>
      <c r="AC188" s="27" t="n"/>
      <c r="AD188" s="27" t="n"/>
      <c r="AE188" s="27" t="n"/>
      <c r="AF188" s="27" t="n"/>
      <c r="AG188" s="27" t="n"/>
      <c r="AH188" s="27" t="n"/>
      <c r="AI188" s="27" t="n"/>
      <c r="AJ188" s="27" t="n"/>
      <c r="AK188" s="27" t="n"/>
      <c r="AL188" s="27" t="n"/>
      <c r="AM188" s="27" t="n"/>
      <c r="AN188" s="27" t="n"/>
      <c r="AO188" s="27" t="n"/>
      <c r="AP188" s="27" t="n"/>
      <c r="AQ188" s="27" t="n"/>
      <c r="AR188" s="27" t="n"/>
      <c r="AS188" s="27" t="n"/>
      <c r="AT188" s="27" t="n"/>
      <c r="AU188" s="27" t="n"/>
      <c r="AV188" s="27" t="n"/>
      <c r="AW188" s="27" t="n"/>
      <c r="AX188" s="27" t="n"/>
      <c r="AY188" s="27" t="n"/>
      <c r="AZ188" s="27" t="n"/>
      <c r="BA188" s="27" t="n"/>
      <c r="BB188" s="27" t="n"/>
      <c r="BC188" s="27" t="n"/>
      <c r="BD188" s="27" t="n"/>
      <c r="BE188" s="27" t="n"/>
      <c r="BF188" s="27" t="n"/>
      <c r="BG188" s="27" t="n"/>
      <c r="BH188" s="27" t="n"/>
      <c r="BI188" s="29" t="n"/>
      <c r="BJ188" s="27" t="n"/>
      <c r="BK188" s="27" t="n"/>
      <c r="BL188" s="27" t="n"/>
      <c r="BM188" s="27" t="n"/>
    </row>
    <row r="189">
      <c r="A189" s="27" t="n"/>
      <c r="B189" s="27" t="n"/>
      <c r="C189" s="28">
        <f>IF(A189="","",$B$2)</f>
        <v/>
      </c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  <c r="AA189" s="27" t="n"/>
      <c r="AB189" s="27" t="n"/>
      <c r="AC189" s="27" t="n"/>
      <c r="AD189" s="27" t="n"/>
      <c r="AE189" s="27" t="n"/>
      <c r="AF189" s="27" t="n"/>
      <c r="AG189" s="27" t="n"/>
      <c r="AH189" s="27" t="n"/>
      <c r="AI189" s="27" t="n"/>
      <c r="AJ189" s="27" t="n"/>
      <c r="AK189" s="27" t="n"/>
      <c r="AL189" s="27" t="n"/>
      <c r="AM189" s="27" t="n"/>
      <c r="AN189" s="27" t="n"/>
      <c r="AO189" s="27" t="n"/>
      <c r="AP189" s="27" t="n"/>
      <c r="AQ189" s="27" t="n"/>
      <c r="AR189" s="27" t="n"/>
      <c r="AS189" s="27" t="n"/>
      <c r="AT189" s="27" t="n"/>
      <c r="AU189" s="27" t="n"/>
      <c r="AV189" s="27" t="n"/>
      <c r="AW189" s="27" t="n"/>
      <c r="AX189" s="27" t="n"/>
      <c r="AY189" s="27" t="n"/>
      <c r="AZ189" s="27" t="n"/>
      <c r="BA189" s="27" t="n"/>
      <c r="BB189" s="27" t="n"/>
      <c r="BC189" s="27" t="n"/>
      <c r="BD189" s="27" t="n"/>
      <c r="BE189" s="27" t="n"/>
      <c r="BF189" s="27" t="n"/>
      <c r="BG189" s="27" t="n"/>
      <c r="BH189" s="27" t="n"/>
      <c r="BI189" s="29" t="n"/>
      <c r="BJ189" s="27" t="n"/>
      <c r="BK189" s="27" t="n"/>
      <c r="BL189" s="27" t="n"/>
      <c r="BM189" s="27" t="n"/>
    </row>
    <row r="190">
      <c r="A190" s="27" t="n"/>
      <c r="B190" s="27" t="n"/>
      <c r="C190" s="28">
        <f>IF(A190="","",$B$2)</f>
        <v/>
      </c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  <c r="AA190" s="27" t="n"/>
      <c r="AB190" s="27" t="n"/>
      <c r="AC190" s="27" t="n"/>
      <c r="AD190" s="27" t="n"/>
      <c r="AE190" s="27" t="n"/>
      <c r="AF190" s="27" t="n"/>
      <c r="AG190" s="27" t="n"/>
      <c r="AH190" s="27" t="n"/>
      <c r="AI190" s="27" t="n"/>
      <c r="AJ190" s="27" t="n"/>
      <c r="AK190" s="27" t="n"/>
      <c r="AL190" s="27" t="n"/>
      <c r="AM190" s="27" t="n"/>
      <c r="AN190" s="27" t="n"/>
      <c r="AO190" s="27" t="n"/>
      <c r="AP190" s="27" t="n"/>
      <c r="AQ190" s="27" t="n"/>
      <c r="AR190" s="27" t="n"/>
      <c r="AS190" s="27" t="n"/>
      <c r="AT190" s="27" t="n"/>
      <c r="AU190" s="27" t="n"/>
      <c r="AV190" s="27" t="n"/>
      <c r="AW190" s="27" t="n"/>
      <c r="AX190" s="27" t="n"/>
      <c r="AY190" s="27" t="n"/>
      <c r="AZ190" s="27" t="n"/>
      <c r="BA190" s="27" t="n"/>
      <c r="BB190" s="27" t="n"/>
      <c r="BC190" s="27" t="n"/>
      <c r="BD190" s="27" t="n"/>
      <c r="BE190" s="27" t="n"/>
      <c r="BF190" s="27" t="n"/>
      <c r="BG190" s="27" t="n"/>
      <c r="BH190" s="27" t="n"/>
      <c r="BI190" s="29" t="n"/>
      <c r="BJ190" s="27" t="n"/>
      <c r="BK190" s="27" t="n"/>
      <c r="BL190" s="27" t="n"/>
      <c r="BM190" s="27" t="n"/>
    </row>
    <row r="191">
      <c r="A191" s="27" t="n"/>
      <c r="B191" s="27" t="n"/>
      <c r="C191" s="28">
        <f>IF(A191="","",$B$2)</f>
        <v/>
      </c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  <c r="AA191" s="27" t="n"/>
      <c r="AB191" s="27" t="n"/>
      <c r="AC191" s="27" t="n"/>
      <c r="AD191" s="27" t="n"/>
      <c r="AE191" s="27" t="n"/>
      <c r="AF191" s="27" t="n"/>
      <c r="AG191" s="27" t="n"/>
      <c r="AH191" s="27" t="n"/>
      <c r="AI191" s="27" t="n"/>
      <c r="AJ191" s="27" t="n"/>
      <c r="AK191" s="27" t="n"/>
      <c r="AL191" s="27" t="n"/>
      <c r="AM191" s="27" t="n"/>
      <c r="AN191" s="27" t="n"/>
      <c r="AO191" s="27" t="n"/>
      <c r="AP191" s="27" t="n"/>
      <c r="AQ191" s="27" t="n"/>
      <c r="AR191" s="27" t="n"/>
      <c r="AS191" s="27" t="n"/>
      <c r="AT191" s="27" t="n"/>
      <c r="AU191" s="27" t="n"/>
      <c r="AV191" s="27" t="n"/>
      <c r="AW191" s="27" t="n"/>
      <c r="AX191" s="27" t="n"/>
      <c r="AY191" s="27" t="n"/>
      <c r="AZ191" s="27" t="n"/>
      <c r="BA191" s="27" t="n"/>
      <c r="BB191" s="27" t="n"/>
      <c r="BC191" s="27" t="n"/>
      <c r="BD191" s="27" t="n"/>
      <c r="BE191" s="27" t="n"/>
      <c r="BF191" s="27" t="n"/>
      <c r="BG191" s="27" t="n"/>
      <c r="BH191" s="27" t="n"/>
      <c r="BI191" s="29" t="n"/>
      <c r="BJ191" s="27" t="n"/>
      <c r="BK191" s="27" t="n"/>
      <c r="BL191" s="27" t="n"/>
      <c r="BM191" s="27" t="n"/>
    </row>
    <row r="192">
      <c r="A192" s="27" t="n"/>
      <c r="B192" s="27" t="n"/>
      <c r="C192" s="28">
        <f>IF(A192="","",$B$2)</f>
        <v/>
      </c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  <c r="AA192" s="27" t="n"/>
      <c r="AB192" s="27" t="n"/>
      <c r="AC192" s="27" t="n"/>
      <c r="AD192" s="27" t="n"/>
      <c r="AE192" s="27" t="n"/>
      <c r="AF192" s="27" t="n"/>
      <c r="AG192" s="27" t="n"/>
      <c r="AH192" s="27" t="n"/>
      <c r="AI192" s="27" t="n"/>
      <c r="AJ192" s="27" t="n"/>
      <c r="AK192" s="27" t="n"/>
      <c r="AL192" s="27" t="n"/>
      <c r="AM192" s="27" t="n"/>
      <c r="AN192" s="27" t="n"/>
      <c r="AO192" s="27" t="n"/>
      <c r="AP192" s="27" t="n"/>
      <c r="AQ192" s="27" t="n"/>
      <c r="AR192" s="27" t="n"/>
      <c r="AS192" s="27" t="n"/>
      <c r="AT192" s="27" t="n"/>
      <c r="AU192" s="27" t="n"/>
      <c r="AV192" s="27" t="n"/>
      <c r="AW192" s="27" t="n"/>
      <c r="AX192" s="27" t="n"/>
      <c r="AY192" s="27" t="n"/>
      <c r="AZ192" s="27" t="n"/>
      <c r="BA192" s="27" t="n"/>
      <c r="BB192" s="27" t="n"/>
      <c r="BC192" s="27" t="n"/>
      <c r="BD192" s="27" t="n"/>
      <c r="BE192" s="27" t="n"/>
      <c r="BF192" s="27" t="n"/>
      <c r="BG192" s="27" t="n"/>
      <c r="BH192" s="27" t="n"/>
      <c r="BI192" s="29" t="n"/>
      <c r="BJ192" s="27" t="n"/>
      <c r="BK192" s="27" t="n"/>
      <c r="BL192" s="27" t="n"/>
      <c r="BM192" s="27" t="n"/>
    </row>
    <row r="193">
      <c r="A193" s="27" t="n"/>
      <c r="B193" s="27" t="n"/>
      <c r="C193" s="28">
        <f>IF(A193="","",$B$2)</f>
        <v/>
      </c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  <c r="AA193" s="27" t="n"/>
      <c r="AB193" s="27" t="n"/>
      <c r="AC193" s="27" t="n"/>
      <c r="AD193" s="27" t="n"/>
      <c r="AE193" s="27" t="n"/>
      <c r="AF193" s="27" t="n"/>
      <c r="AG193" s="27" t="n"/>
      <c r="AH193" s="27" t="n"/>
      <c r="AI193" s="27" t="n"/>
      <c r="AJ193" s="27" t="n"/>
      <c r="AK193" s="27" t="n"/>
      <c r="AL193" s="27" t="n"/>
      <c r="AM193" s="27" t="n"/>
      <c r="AN193" s="27" t="n"/>
      <c r="AO193" s="27" t="n"/>
      <c r="AP193" s="27" t="n"/>
      <c r="AQ193" s="27" t="n"/>
      <c r="AR193" s="27" t="n"/>
      <c r="AS193" s="27" t="n"/>
      <c r="AT193" s="27" t="n"/>
      <c r="AU193" s="27" t="n"/>
      <c r="AV193" s="27" t="n"/>
      <c r="AW193" s="27" t="n"/>
      <c r="AX193" s="27" t="n"/>
      <c r="AY193" s="27" t="n"/>
      <c r="AZ193" s="27" t="n"/>
      <c r="BA193" s="27" t="n"/>
      <c r="BB193" s="27" t="n"/>
      <c r="BC193" s="27" t="n"/>
      <c r="BD193" s="27" t="n"/>
      <c r="BE193" s="27" t="n"/>
      <c r="BF193" s="27" t="n"/>
      <c r="BG193" s="27" t="n"/>
      <c r="BH193" s="27" t="n"/>
      <c r="BI193" s="29" t="n"/>
      <c r="BJ193" s="27" t="n"/>
      <c r="BK193" s="27" t="n"/>
      <c r="BL193" s="27" t="n"/>
      <c r="BM193" s="27" t="n"/>
    </row>
    <row r="194">
      <c r="A194" s="27" t="n"/>
      <c r="B194" s="27" t="n"/>
      <c r="C194" s="28">
        <f>IF(A194="","",$B$2)</f>
        <v/>
      </c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  <c r="AA194" s="27" t="n"/>
      <c r="AB194" s="27" t="n"/>
      <c r="AC194" s="27" t="n"/>
      <c r="AD194" s="27" t="n"/>
      <c r="AE194" s="27" t="n"/>
      <c r="AF194" s="27" t="n"/>
      <c r="AG194" s="27" t="n"/>
      <c r="AH194" s="27" t="n"/>
      <c r="AI194" s="27" t="n"/>
      <c r="AJ194" s="27" t="n"/>
      <c r="AK194" s="27" t="n"/>
      <c r="AL194" s="27" t="n"/>
      <c r="AM194" s="27" t="n"/>
      <c r="AN194" s="27" t="n"/>
      <c r="AO194" s="27" t="n"/>
      <c r="AP194" s="27" t="n"/>
      <c r="AQ194" s="27" t="n"/>
      <c r="AR194" s="27" t="n"/>
      <c r="AS194" s="27" t="n"/>
      <c r="AT194" s="27" t="n"/>
      <c r="AU194" s="27" t="n"/>
      <c r="AV194" s="27" t="n"/>
      <c r="AW194" s="27" t="n"/>
      <c r="AX194" s="27" t="n"/>
      <c r="AY194" s="27" t="n"/>
      <c r="AZ194" s="27" t="n"/>
      <c r="BA194" s="27" t="n"/>
      <c r="BB194" s="27" t="n"/>
      <c r="BC194" s="27" t="n"/>
      <c r="BD194" s="27" t="n"/>
      <c r="BE194" s="27" t="n"/>
      <c r="BF194" s="27" t="n"/>
      <c r="BG194" s="27" t="n"/>
      <c r="BH194" s="27" t="n"/>
      <c r="BI194" s="29" t="n"/>
      <c r="BJ194" s="27" t="n"/>
      <c r="BK194" s="27" t="n"/>
      <c r="BL194" s="27" t="n"/>
      <c r="BM194" s="27" t="n"/>
    </row>
    <row r="195">
      <c r="A195" s="27" t="n"/>
      <c r="B195" s="27" t="n"/>
      <c r="C195" s="28">
        <f>IF(A195="","",$B$2)</f>
        <v/>
      </c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  <c r="AA195" s="27" t="n"/>
      <c r="AB195" s="27" t="n"/>
      <c r="AC195" s="27" t="n"/>
      <c r="AD195" s="27" t="n"/>
      <c r="AE195" s="27" t="n"/>
      <c r="AF195" s="27" t="n"/>
      <c r="AG195" s="27" t="n"/>
      <c r="AH195" s="27" t="n"/>
      <c r="AI195" s="27" t="n"/>
      <c r="AJ195" s="27" t="n"/>
      <c r="AK195" s="27" t="n"/>
      <c r="AL195" s="27" t="n"/>
      <c r="AM195" s="27" t="n"/>
      <c r="AN195" s="27" t="n"/>
      <c r="AO195" s="27" t="n"/>
      <c r="AP195" s="27" t="n"/>
      <c r="AQ195" s="27" t="n"/>
      <c r="AR195" s="27" t="n"/>
      <c r="AS195" s="27" t="n"/>
      <c r="AT195" s="27" t="n"/>
      <c r="AU195" s="27" t="n"/>
      <c r="AV195" s="27" t="n"/>
      <c r="AW195" s="27" t="n"/>
      <c r="AX195" s="27" t="n"/>
      <c r="AY195" s="27" t="n"/>
      <c r="AZ195" s="27" t="n"/>
      <c r="BA195" s="27" t="n"/>
      <c r="BB195" s="27" t="n"/>
      <c r="BC195" s="27" t="n"/>
      <c r="BD195" s="27" t="n"/>
      <c r="BE195" s="27" t="n"/>
      <c r="BF195" s="27" t="n"/>
      <c r="BG195" s="27" t="n"/>
      <c r="BH195" s="27" t="n"/>
      <c r="BI195" s="29" t="n"/>
      <c r="BJ195" s="27" t="n"/>
      <c r="BK195" s="27" t="n"/>
      <c r="BL195" s="27" t="n"/>
      <c r="BM195" s="27" t="n"/>
    </row>
    <row r="196">
      <c r="A196" s="27" t="n"/>
      <c r="B196" s="27" t="n"/>
      <c r="C196" s="28">
        <f>IF(A196="","",$B$2)</f>
        <v/>
      </c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  <c r="AA196" s="27" t="n"/>
      <c r="AB196" s="27" t="n"/>
      <c r="AC196" s="27" t="n"/>
      <c r="AD196" s="27" t="n"/>
      <c r="AE196" s="27" t="n"/>
      <c r="AF196" s="27" t="n"/>
      <c r="AG196" s="27" t="n"/>
      <c r="AH196" s="27" t="n"/>
      <c r="AI196" s="27" t="n"/>
      <c r="AJ196" s="27" t="n"/>
      <c r="AK196" s="27" t="n"/>
      <c r="AL196" s="27" t="n"/>
      <c r="AM196" s="27" t="n"/>
      <c r="AN196" s="27" t="n"/>
      <c r="AO196" s="27" t="n"/>
      <c r="AP196" s="27" t="n"/>
      <c r="AQ196" s="27" t="n"/>
      <c r="AR196" s="27" t="n"/>
      <c r="AS196" s="27" t="n"/>
      <c r="AT196" s="27" t="n"/>
      <c r="AU196" s="27" t="n"/>
      <c r="AV196" s="27" t="n"/>
      <c r="AW196" s="27" t="n"/>
      <c r="AX196" s="27" t="n"/>
      <c r="AY196" s="27" t="n"/>
      <c r="AZ196" s="27" t="n"/>
      <c r="BA196" s="27" t="n"/>
      <c r="BB196" s="27" t="n"/>
      <c r="BC196" s="27" t="n"/>
      <c r="BD196" s="27" t="n"/>
      <c r="BE196" s="27" t="n"/>
      <c r="BF196" s="27" t="n"/>
      <c r="BG196" s="27" t="n"/>
      <c r="BH196" s="27" t="n"/>
      <c r="BI196" s="29" t="n"/>
      <c r="BJ196" s="27" t="n"/>
      <c r="BK196" s="27" t="n"/>
      <c r="BL196" s="27" t="n"/>
      <c r="BM196" s="27" t="n"/>
    </row>
    <row r="197">
      <c r="A197" s="27" t="n"/>
      <c r="B197" s="27" t="n"/>
      <c r="C197" s="28">
        <f>IF(A197="","",$B$2)</f>
        <v/>
      </c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  <c r="AA197" s="27" t="n"/>
      <c r="AB197" s="27" t="n"/>
      <c r="AC197" s="27" t="n"/>
      <c r="AD197" s="27" t="n"/>
      <c r="AE197" s="27" t="n"/>
      <c r="AF197" s="27" t="n"/>
      <c r="AG197" s="27" t="n"/>
      <c r="AH197" s="27" t="n"/>
      <c r="AI197" s="27" t="n"/>
      <c r="AJ197" s="27" t="n"/>
      <c r="AK197" s="27" t="n"/>
      <c r="AL197" s="27" t="n"/>
      <c r="AM197" s="27" t="n"/>
      <c r="AN197" s="27" t="n"/>
      <c r="AO197" s="27" t="n"/>
      <c r="AP197" s="27" t="n"/>
      <c r="AQ197" s="27" t="n"/>
      <c r="AR197" s="27" t="n"/>
      <c r="AS197" s="27" t="n"/>
      <c r="AT197" s="27" t="n"/>
      <c r="AU197" s="27" t="n"/>
      <c r="AV197" s="27" t="n"/>
      <c r="AW197" s="27" t="n"/>
      <c r="AX197" s="27" t="n"/>
      <c r="AY197" s="27" t="n"/>
      <c r="AZ197" s="27" t="n"/>
      <c r="BA197" s="27" t="n"/>
      <c r="BB197" s="27" t="n"/>
      <c r="BC197" s="27" t="n"/>
      <c r="BD197" s="27" t="n"/>
      <c r="BE197" s="27" t="n"/>
      <c r="BF197" s="27" t="n"/>
      <c r="BG197" s="27" t="n"/>
      <c r="BH197" s="27" t="n"/>
      <c r="BI197" s="29" t="n"/>
      <c r="BJ197" s="27" t="n"/>
      <c r="BK197" s="27" t="n"/>
      <c r="BL197" s="27" t="n"/>
      <c r="BM197" s="27" t="n"/>
    </row>
    <row r="198">
      <c r="A198" s="27" t="n"/>
      <c r="B198" s="27" t="n"/>
      <c r="C198" s="28">
        <f>IF(A198="","",$B$2)</f>
        <v/>
      </c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  <c r="AA198" s="27" t="n"/>
      <c r="AB198" s="27" t="n"/>
      <c r="AC198" s="27" t="n"/>
      <c r="AD198" s="27" t="n"/>
      <c r="AE198" s="27" t="n"/>
      <c r="AF198" s="27" t="n"/>
      <c r="AG198" s="27" t="n"/>
      <c r="AH198" s="27" t="n"/>
      <c r="AI198" s="27" t="n"/>
      <c r="AJ198" s="27" t="n"/>
      <c r="AK198" s="27" t="n"/>
      <c r="AL198" s="27" t="n"/>
      <c r="AM198" s="27" t="n"/>
      <c r="AN198" s="27" t="n"/>
      <c r="AO198" s="27" t="n"/>
      <c r="AP198" s="27" t="n"/>
      <c r="AQ198" s="27" t="n"/>
      <c r="AR198" s="27" t="n"/>
      <c r="AS198" s="27" t="n"/>
      <c r="AT198" s="27" t="n"/>
      <c r="AU198" s="27" t="n"/>
      <c r="AV198" s="27" t="n"/>
      <c r="AW198" s="27" t="n"/>
      <c r="AX198" s="27" t="n"/>
      <c r="AY198" s="27" t="n"/>
      <c r="AZ198" s="27" t="n"/>
      <c r="BA198" s="27" t="n"/>
      <c r="BB198" s="27" t="n"/>
      <c r="BC198" s="27" t="n"/>
      <c r="BD198" s="27" t="n"/>
      <c r="BE198" s="27" t="n"/>
      <c r="BF198" s="27" t="n"/>
      <c r="BG198" s="27" t="n"/>
      <c r="BH198" s="27" t="n"/>
      <c r="BI198" s="29" t="n"/>
      <c r="BJ198" s="27" t="n"/>
      <c r="BK198" s="27" t="n"/>
      <c r="BL198" s="27" t="n"/>
      <c r="BM198" s="27" t="n"/>
    </row>
    <row r="199">
      <c r="A199" s="27" t="n"/>
      <c r="B199" s="27" t="n"/>
      <c r="C199" s="28">
        <f>IF(A199="","",$B$2)</f>
        <v/>
      </c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  <c r="AA199" s="27" t="n"/>
      <c r="AB199" s="27" t="n"/>
      <c r="AC199" s="27" t="n"/>
      <c r="AD199" s="27" t="n"/>
      <c r="AE199" s="27" t="n"/>
      <c r="AF199" s="27" t="n"/>
      <c r="AG199" s="27" t="n"/>
      <c r="AH199" s="27" t="n"/>
      <c r="AI199" s="27" t="n"/>
      <c r="AJ199" s="27" t="n"/>
      <c r="AK199" s="27" t="n"/>
      <c r="AL199" s="27" t="n"/>
      <c r="AM199" s="27" t="n"/>
      <c r="AN199" s="27" t="n"/>
      <c r="AO199" s="27" t="n"/>
      <c r="AP199" s="27" t="n"/>
      <c r="AQ199" s="27" t="n"/>
      <c r="AR199" s="27" t="n"/>
      <c r="AS199" s="27" t="n"/>
      <c r="AT199" s="27" t="n"/>
      <c r="AU199" s="27" t="n"/>
      <c r="AV199" s="27" t="n"/>
      <c r="AW199" s="27" t="n"/>
      <c r="AX199" s="27" t="n"/>
      <c r="AY199" s="27" t="n"/>
      <c r="AZ199" s="27" t="n"/>
      <c r="BA199" s="27" t="n"/>
      <c r="BB199" s="27" t="n"/>
      <c r="BC199" s="27" t="n"/>
      <c r="BD199" s="27" t="n"/>
      <c r="BE199" s="27" t="n"/>
      <c r="BF199" s="27" t="n"/>
      <c r="BG199" s="27" t="n"/>
      <c r="BH199" s="27" t="n"/>
      <c r="BI199" s="29" t="n"/>
      <c r="BJ199" s="27" t="n"/>
      <c r="BK199" s="27" t="n"/>
      <c r="BL199" s="27" t="n"/>
      <c r="BM199" s="27" t="n"/>
    </row>
    <row r="200">
      <c r="A200" s="27" t="n"/>
      <c r="B200" s="27" t="n"/>
      <c r="C200" s="28">
        <f>IF(A200="","",$B$2)</f>
        <v/>
      </c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  <c r="AA200" s="27" t="n"/>
      <c r="AB200" s="27" t="n"/>
      <c r="AC200" s="27" t="n"/>
      <c r="AD200" s="27" t="n"/>
      <c r="AE200" s="27" t="n"/>
      <c r="AF200" s="27" t="n"/>
      <c r="AG200" s="27" t="n"/>
      <c r="AH200" s="27" t="n"/>
      <c r="AI200" s="27" t="n"/>
      <c r="AJ200" s="27" t="n"/>
      <c r="AK200" s="27" t="n"/>
      <c r="AL200" s="27" t="n"/>
      <c r="AM200" s="27" t="n"/>
      <c r="AN200" s="27" t="n"/>
      <c r="AO200" s="27" t="n"/>
      <c r="AP200" s="27" t="n"/>
      <c r="AQ200" s="27" t="n"/>
      <c r="AR200" s="27" t="n"/>
      <c r="AS200" s="27" t="n"/>
      <c r="AT200" s="27" t="n"/>
      <c r="AU200" s="27" t="n"/>
      <c r="AV200" s="27" t="n"/>
      <c r="AW200" s="27" t="n"/>
      <c r="AX200" s="27" t="n"/>
      <c r="AY200" s="27" t="n"/>
      <c r="AZ200" s="27" t="n"/>
      <c r="BA200" s="27" t="n"/>
      <c r="BB200" s="27" t="n"/>
      <c r="BC200" s="27" t="n"/>
      <c r="BD200" s="27" t="n"/>
      <c r="BE200" s="27" t="n"/>
      <c r="BF200" s="27" t="n"/>
      <c r="BG200" s="27" t="n"/>
      <c r="BH200" s="27" t="n"/>
      <c r="BI200" s="29" t="n"/>
      <c r="BJ200" s="27" t="n"/>
      <c r="BK200" s="27" t="n"/>
      <c r="BL200" s="27" t="n"/>
      <c r="BM200" s="27" t="n"/>
    </row>
    <row r="201">
      <c r="A201" s="27" t="n"/>
      <c r="B201" s="27" t="n"/>
      <c r="C201" s="28">
        <f>IF(A201="","",$B$2)</f>
        <v/>
      </c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  <c r="AA201" s="27" t="n"/>
      <c r="AB201" s="27" t="n"/>
      <c r="AC201" s="27" t="n"/>
      <c r="AD201" s="27" t="n"/>
      <c r="AE201" s="27" t="n"/>
      <c r="AF201" s="27" t="n"/>
      <c r="AG201" s="27" t="n"/>
      <c r="AH201" s="27" t="n"/>
      <c r="AI201" s="27" t="n"/>
      <c r="AJ201" s="27" t="n"/>
      <c r="AK201" s="27" t="n"/>
      <c r="AL201" s="27" t="n"/>
      <c r="AM201" s="27" t="n"/>
      <c r="AN201" s="27" t="n"/>
      <c r="AO201" s="27" t="n"/>
      <c r="AP201" s="27" t="n"/>
      <c r="AQ201" s="27" t="n"/>
      <c r="AR201" s="27" t="n"/>
      <c r="AS201" s="27" t="n"/>
      <c r="AT201" s="27" t="n"/>
      <c r="AU201" s="27" t="n"/>
      <c r="AV201" s="27" t="n"/>
      <c r="AW201" s="27" t="n"/>
      <c r="AX201" s="27" t="n"/>
      <c r="AY201" s="27" t="n"/>
      <c r="AZ201" s="27" t="n"/>
      <c r="BA201" s="27" t="n"/>
      <c r="BB201" s="27" t="n"/>
      <c r="BC201" s="27" t="n"/>
      <c r="BD201" s="27" t="n"/>
      <c r="BE201" s="27" t="n"/>
      <c r="BF201" s="27" t="n"/>
      <c r="BG201" s="27" t="n"/>
      <c r="BH201" s="27" t="n"/>
      <c r="BI201" s="29" t="n"/>
      <c r="BJ201" s="27" t="n"/>
      <c r="BK201" s="27" t="n"/>
      <c r="BL201" s="27" t="n"/>
      <c r="BM201" s="27" t="n"/>
    </row>
    <row r="202">
      <c r="A202" s="27" t="n"/>
      <c r="B202" s="27" t="n"/>
      <c r="C202" s="28">
        <f>IF(A202="","",$B$2)</f>
        <v/>
      </c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  <c r="AA202" s="27" t="n"/>
      <c r="AB202" s="27" t="n"/>
      <c r="AC202" s="27" t="n"/>
      <c r="AD202" s="27" t="n"/>
      <c r="AE202" s="27" t="n"/>
      <c r="AF202" s="27" t="n"/>
      <c r="AG202" s="27" t="n"/>
      <c r="AH202" s="27" t="n"/>
      <c r="AI202" s="27" t="n"/>
      <c r="AJ202" s="27" t="n"/>
      <c r="AK202" s="27" t="n"/>
      <c r="AL202" s="27" t="n"/>
      <c r="AM202" s="27" t="n"/>
      <c r="AN202" s="27" t="n"/>
      <c r="AO202" s="27" t="n"/>
      <c r="AP202" s="27" t="n"/>
      <c r="AQ202" s="27" t="n"/>
      <c r="AR202" s="27" t="n"/>
      <c r="AS202" s="27" t="n"/>
      <c r="AT202" s="27" t="n"/>
      <c r="AU202" s="27" t="n"/>
      <c r="AV202" s="27" t="n"/>
      <c r="AW202" s="27" t="n"/>
      <c r="AX202" s="27" t="n"/>
      <c r="AY202" s="27" t="n"/>
      <c r="AZ202" s="27" t="n"/>
      <c r="BA202" s="27" t="n"/>
      <c r="BB202" s="27" t="n"/>
      <c r="BC202" s="27" t="n"/>
      <c r="BD202" s="27" t="n"/>
      <c r="BE202" s="27" t="n"/>
      <c r="BF202" s="27" t="n"/>
      <c r="BG202" s="27" t="n"/>
      <c r="BH202" s="27" t="n"/>
      <c r="BI202" s="29" t="n"/>
      <c r="BJ202" s="27" t="n"/>
      <c r="BK202" s="27" t="n"/>
      <c r="BL202" s="27" t="n"/>
      <c r="BM202" s="27" t="n"/>
    </row>
    <row r="203">
      <c r="A203" s="27" t="n"/>
      <c r="B203" s="27" t="n"/>
      <c r="C203" s="28">
        <f>IF(A203="","",$B$2)</f>
        <v/>
      </c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  <c r="AA203" s="27" t="n"/>
      <c r="AB203" s="27" t="n"/>
      <c r="AC203" s="27" t="n"/>
      <c r="AD203" s="27" t="n"/>
      <c r="AE203" s="27" t="n"/>
      <c r="AF203" s="27" t="n"/>
      <c r="AG203" s="27" t="n"/>
      <c r="AH203" s="27" t="n"/>
      <c r="AI203" s="27" t="n"/>
      <c r="AJ203" s="27" t="n"/>
      <c r="AK203" s="27" t="n"/>
      <c r="AL203" s="27" t="n"/>
      <c r="AM203" s="27" t="n"/>
      <c r="AN203" s="27" t="n"/>
      <c r="AO203" s="27" t="n"/>
      <c r="AP203" s="27" t="n"/>
      <c r="AQ203" s="27" t="n"/>
      <c r="AR203" s="27" t="n"/>
      <c r="AS203" s="27" t="n"/>
      <c r="AT203" s="27" t="n"/>
      <c r="AU203" s="27" t="n"/>
      <c r="AV203" s="27" t="n"/>
      <c r="AW203" s="27" t="n"/>
      <c r="AX203" s="27" t="n"/>
      <c r="AY203" s="27" t="n"/>
      <c r="AZ203" s="27" t="n"/>
      <c r="BA203" s="27" t="n"/>
      <c r="BB203" s="27" t="n"/>
      <c r="BC203" s="27" t="n"/>
      <c r="BD203" s="27" t="n"/>
      <c r="BE203" s="27" t="n"/>
      <c r="BF203" s="27" t="n"/>
      <c r="BG203" s="27" t="n"/>
      <c r="BH203" s="27" t="n"/>
      <c r="BI203" s="29" t="n"/>
      <c r="BJ203" s="27" t="n"/>
      <c r="BK203" s="27" t="n"/>
      <c r="BL203" s="27" t="n"/>
      <c r="BM203" s="27" t="n"/>
    </row>
    <row r="204">
      <c r="A204" s="27" t="n"/>
      <c r="B204" s="27" t="n"/>
      <c r="C204" s="28">
        <f>IF(A204="","",$B$2)</f>
        <v/>
      </c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  <c r="AA204" s="27" t="n"/>
      <c r="AB204" s="27" t="n"/>
      <c r="AC204" s="27" t="n"/>
      <c r="AD204" s="27" t="n"/>
      <c r="AE204" s="27" t="n"/>
      <c r="AF204" s="27" t="n"/>
      <c r="AG204" s="27" t="n"/>
      <c r="AH204" s="27" t="n"/>
      <c r="AI204" s="27" t="n"/>
      <c r="AJ204" s="27" t="n"/>
      <c r="AK204" s="27" t="n"/>
      <c r="AL204" s="27" t="n"/>
      <c r="AM204" s="27" t="n"/>
      <c r="AN204" s="27" t="n"/>
      <c r="AO204" s="27" t="n"/>
      <c r="AP204" s="27" t="n"/>
      <c r="AQ204" s="27" t="n"/>
      <c r="AR204" s="27" t="n"/>
      <c r="AS204" s="27" t="n"/>
      <c r="AT204" s="27" t="n"/>
      <c r="AU204" s="27" t="n"/>
      <c r="AV204" s="27" t="n"/>
      <c r="AW204" s="27" t="n"/>
      <c r="AX204" s="27" t="n"/>
      <c r="AY204" s="27" t="n"/>
      <c r="AZ204" s="27" t="n"/>
      <c r="BA204" s="27" t="n"/>
      <c r="BB204" s="27" t="n"/>
      <c r="BC204" s="27" t="n"/>
      <c r="BD204" s="27" t="n"/>
      <c r="BE204" s="27" t="n"/>
      <c r="BF204" s="27" t="n"/>
      <c r="BG204" s="27" t="n"/>
      <c r="BH204" s="27" t="n"/>
      <c r="BI204" s="29" t="n"/>
      <c r="BJ204" s="27" t="n"/>
      <c r="BK204" s="27" t="n"/>
      <c r="BL204" s="27" t="n"/>
      <c r="BM204" s="27" t="n"/>
    </row>
    <row r="205">
      <c r="A205" s="27" t="n"/>
      <c r="B205" s="27" t="n"/>
      <c r="C205" s="28">
        <f>IF(A205="","",$B$2)</f>
        <v/>
      </c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  <c r="AA205" s="27" t="n"/>
      <c r="AB205" s="27" t="n"/>
      <c r="AC205" s="27" t="n"/>
      <c r="AD205" s="27" t="n"/>
      <c r="AE205" s="27" t="n"/>
      <c r="AF205" s="27" t="n"/>
      <c r="AG205" s="27" t="n"/>
      <c r="AH205" s="27" t="n"/>
      <c r="AI205" s="27" t="n"/>
      <c r="AJ205" s="27" t="n"/>
      <c r="AK205" s="27" t="n"/>
      <c r="AL205" s="27" t="n"/>
      <c r="AM205" s="27" t="n"/>
      <c r="AN205" s="27" t="n"/>
      <c r="AO205" s="27" t="n"/>
      <c r="AP205" s="27" t="n"/>
      <c r="AQ205" s="27" t="n"/>
      <c r="AR205" s="27" t="n"/>
      <c r="AS205" s="27" t="n"/>
      <c r="AT205" s="27" t="n"/>
      <c r="AU205" s="27" t="n"/>
      <c r="AV205" s="27" t="n"/>
      <c r="AW205" s="27" t="n"/>
      <c r="AX205" s="27" t="n"/>
      <c r="AY205" s="27" t="n"/>
      <c r="AZ205" s="27" t="n"/>
      <c r="BA205" s="27" t="n"/>
      <c r="BB205" s="27" t="n"/>
      <c r="BC205" s="27" t="n"/>
      <c r="BD205" s="27" t="n"/>
      <c r="BE205" s="27" t="n"/>
      <c r="BF205" s="27" t="n"/>
      <c r="BG205" s="27" t="n"/>
      <c r="BH205" s="27" t="n"/>
      <c r="BI205" s="29" t="n"/>
      <c r="BJ205" s="27" t="n"/>
      <c r="BK205" s="27" t="n"/>
      <c r="BL205" s="27" t="n"/>
      <c r="BM205" s="27" t="n"/>
    </row>
  </sheetData>
  <autoFilter ref="A5:BM205"/>
  <mergeCells count="21">
    <mergeCell ref="BH4:BH5"/>
    <mergeCell ref="C4:C5"/>
    <mergeCell ref="E4:E5"/>
    <mergeCell ref="BE4:BE5"/>
    <mergeCell ref="BG4:BG5"/>
    <mergeCell ref="BK4:BK5"/>
    <mergeCell ref="A3:F3"/>
    <mergeCell ref="D4:D5"/>
    <mergeCell ref="BE3:BH3"/>
    <mergeCell ref="BF4:BF5"/>
    <mergeCell ref="BL4:BL5"/>
    <mergeCell ref="BI3:BM3"/>
    <mergeCell ref="A4:A5"/>
    <mergeCell ref="BO4:DN4"/>
    <mergeCell ref="BI4:BI5"/>
    <mergeCell ref="BM4:BM5"/>
    <mergeCell ref="G3:BD3"/>
    <mergeCell ref="B4:B5"/>
    <mergeCell ref="F4:F5"/>
    <mergeCell ref="BJ4:BJ5"/>
    <mergeCell ref="B2:D2"/>
  </mergeCells>
  <dataValidations count="56">
    <dataValidation sqref="G6:G205" showDropDown="0" showInputMessage="0" showErrorMessage="0" allowBlank="1" type="list">
      <formula1>'テストケース7'!$BO$6:$BO$15</formula1>
    </dataValidation>
    <dataValidation sqref="H6:H205" showDropDown="0" showInputMessage="0" showErrorMessage="0" allowBlank="1" type="list">
      <formula1>'テストケース7'!$BP$6:$BP$15</formula1>
    </dataValidation>
    <dataValidation sqref="I6:I205" showDropDown="0" showInputMessage="0" showErrorMessage="0" allowBlank="1" type="list">
      <formula1>'テストケース7'!$BQ$6:$BQ$15</formula1>
    </dataValidation>
    <dataValidation sqref="J6:J205" showDropDown="0" showInputMessage="0" showErrorMessage="0" allowBlank="1" type="list">
      <formula1>'テストケース7'!$BR$6:$BR$15</formula1>
    </dataValidation>
    <dataValidation sqref="K6:K205" showDropDown="0" showInputMessage="0" showErrorMessage="0" allowBlank="1" type="list">
      <formula1>'テストケース7'!$BS$6:$BS$15</formula1>
    </dataValidation>
    <dataValidation sqref="L6:L205" showDropDown="0" showInputMessage="0" showErrorMessage="0" allowBlank="1" type="list">
      <formula1>'テストケース7'!$BT$6:$BT$15</formula1>
    </dataValidation>
    <dataValidation sqref="M6:M205" showDropDown="0" showInputMessage="0" showErrorMessage="0" allowBlank="1" type="list">
      <formula1>'テストケース7'!$BU$6:$BU$15</formula1>
    </dataValidation>
    <dataValidation sqref="N6:N205" showDropDown="0" showInputMessage="0" showErrorMessage="0" allowBlank="1" type="list">
      <formula1>'テストケース7'!$BV$6:$BV$15</formula1>
    </dataValidation>
    <dataValidation sqref="O6:O205" showDropDown="0" showInputMessage="0" showErrorMessage="0" allowBlank="1" type="list">
      <formula1>'テストケース7'!$BW$6:$BW$15</formula1>
    </dataValidation>
    <dataValidation sqref="P6:P205" showDropDown="0" showInputMessage="0" showErrorMessage="0" allowBlank="1" type="list">
      <formula1>'テストケース7'!$BX$6:$BX$15</formula1>
    </dataValidation>
    <dataValidation sqref="Q6:Q205" showDropDown="0" showInputMessage="0" showErrorMessage="0" allowBlank="1" type="list">
      <formula1>'テストケース7'!$BY$6:$BY$15</formula1>
    </dataValidation>
    <dataValidation sqref="R6:R205" showDropDown="0" showInputMessage="0" showErrorMessage="0" allowBlank="1" type="list">
      <formula1>'テストケース7'!$BZ$6:$BZ$15</formula1>
    </dataValidation>
    <dataValidation sqref="S6:S205" showDropDown="0" showInputMessage="0" showErrorMessage="0" allowBlank="1" type="list">
      <formula1>'テストケース7'!$CA$6:$CA$15</formula1>
    </dataValidation>
    <dataValidation sqref="T6:T205" showDropDown="0" showInputMessage="0" showErrorMessage="0" allowBlank="1" type="list">
      <formula1>'テストケース7'!$CB$6:$CB$15</formula1>
    </dataValidation>
    <dataValidation sqref="U6:U205" showDropDown="0" showInputMessage="0" showErrorMessage="0" allowBlank="1" type="list">
      <formula1>'テストケース7'!$CC$6:$CC$15</formula1>
    </dataValidation>
    <dataValidation sqref="V6:V205" showDropDown="0" showInputMessage="0" showErrorMessage="0" allowBlank="1" type="list">
      <formula1>'テストケース7'!$CD$6:$CD$15</formula1>
    </dataValidation>
    <dataValidation sqref="W6:W205" showDropDown="0" showInputMessage="0" showErrorMessage="0" allowBlank="1" type="list">
      <formula1>'テストケース7'!$CE$6:$CE$15</formula1>
    </dataValidation>
    <dataValidation sqref="X6:X205" showDropDown="0" showInputMessage="0" showErrorMessage="0" allowBlank="1" type="list">
      <formula1>'テストケース7'!$CF$6:$CF$15</formula1>
    </dataValidation>
    <dataValidation sqref="Y6:Y205" showDropDown="0" showInputMessage="0" showErrorMessage="0" allowBlank="1" type="list">
      <formula1>'テストケース7'!$CG$6:$CG$15</formula1>
    </dataValidation>
    <dataValidation sqref="Z6:Z205" showDropDown="0" showInputMessage="0" showErrorMessage="0" allowBlank="1" type="list">
      <formula1>'テストケース7'!$CH$6:$CH$15</formula1>
    </dataValidation>
    <dataValidation sqref="AA6:AA205" showDropDown="0" showInputMessage="0" showErrorMessage="0" allowBlank="1" type="list">
      <formula1>'テストケース7'!$CI$6:$CI$15</formula1>
    </dataValidation>
    <dataValidation sqref="AB6:AB205" showDropDown="0" showInputMessage="0" showErrorMessage="0" allowBlank="1" type="list">
      <formula1>'テストケース7'!$CJ$6:$CJ$15</formula1>
    </dataValidation>
    <dataValidation sqref="AC6:AC205" showDropDown="0" showInputMessage="0" showErrorMessage="0" allowBlank="1" type="list">
      <formula1>'テストケース7'!$CK$6:$CK$15</formula1>
    </dataValidation>
    <dataValidation sqref="AD6:AD205" showDropDown="0" showInputMessage="0" showErrorMessage="0" allowBlank="1" type="list">
      <formula1>'テストケース7'!$CL$6:$CL$15</formula1>
    </dataValidation>
    <dataValidation sqref="AE6:AE205" showDropDown="0" showInputMessage="0" showErrorMessage="0" allowBlank="1" type="list">
      <formula1>'テストケース7'!$CM$6:$CM$15</formula1>
    </dataValidation>
    <dataValidation sqref="AF6:AF205" showDropDown="0" showInputMessage="0" showErrorMessage="0" allowBlank="1" type="list">
      <formula1>'テストケース7'!$CN$6:$CN$15</formula1>
    </dataValidation>
    <dataValidation sqref="AG6:AG205" showDropDown="0" showInputMessage="0" showErrorMessage="0" allowBlank="1" type="list">
      <formula1>'テストケース7'!$CO$6:$CO$15</formula1>
    </dataValidation>
    <dataValidation sqref="AH6:AH205" showDropDown="0" showInputMessage="0" showErrorMessage="0" allowBlank="1" type="list">
      <formula1>'テストケース7'!$CP$6:$CP$15</formula1>
    </dataValidation>
    <dataValidation sqref="AI6:AI205" showDropDown="0" showInputMessage="0" showErrorMessage="0" allowBlank="1" type="list">
      <formula1>'テストケース7'!$CQ$6:$CQ$15</formula1>
    </dataValidation>
    <dataValidation sqref="AJ6:AJ205" showDropDown="0" showInputMessage="0" showErrorMessage="0" allowBlank="1" type="list">
      <formula1>'テストケース7'!$CR$6:$CR$15</formula1>
    </dataValidation>
    <dataValidation sqref="AK6:AK205" showDropDown="0" showInputMessage="0" showErrorMessage="0" allowBlank="1" type="list">
      <formula1>'テストケース7'!$CS$6:$CS$15</formula1>
    </dataValidation>
    <dataValidation sqref="AL6:AL205" showDropDown="0" showInputMessage="0" showErrorMessage="0" allowBlank="1" type="list">
      <formula1>'テストケース7'!$CT$6:$CT$15</formula1>
    </dataValidation>
    <dataValidation sqref="AM6:AM205" showDropDown="0" showInputMessage="0" showErrorMessage="0" allowBlank="1" type="list">
      <formula1>'テストケース7'!$CU$6:$CU$15</formula1>
    </dataValidation>
    <dataValidation sqref="AN6:AN205" showDropDown="0" showInputMessage="0" showErrorMessage="0" allowBlank="1" type="list">
      <formula1>'テストケース7'!$CV$6:$CV$15</formula1>
    </dataValidation>
    <dataValidation sqref="AO6:AO205" showDropDown="0" showInputMessage="0" showErrorMessage="0" allowBlank="1" type="list">
      <formula1>'テストケース7'!$CW$6:$CW$15</formula1>
    </dataValidation>
    <dataValidation sqref="AP6:AP205" showDropDown="0" showInputMessage="0" showErrorMessage="0" allowBlank="1" type="list">
      <formula1>'テストケース7'!$CX$6:$CX$15</formula1>
    </dataValidation>
    <dataValidation sqref="AQ6:AQ205" showDropDown="0" showInputMessage="0" showErrorMessage="0" allowBlank="1" type="list">
      <formula1>'テストケース7'!$CY$6:$CY$15</formula1>
    </dataValidation>
    <dataValidation sqref="AR6:AR205" showDropDown="0" showInputMessage="0" showErrorMessage="0" allowBlank="1" type="list">
      <formula1>'テストケース7'!$CZ$6:$CZ$15</formula1>
    </dataValidation>
    <dataValidation sqref="AS6:AS205" showDropDown="0" showInputMessage="0" showErrorMessage="0" allowBlank="1" type="list">
      <formula1>'テストケース7'!$DA$6:$DA$15</formula1>
    </dataValidation>
    <dataValidation sqref="AT6:AT205" showDropDown="0" showInputMessage="0" showErrorMessage="0" allowBlank="1" type="list">
      <formula1>'テストケース7'!$DB$6:$DB$15</formula1>
    </dataValidation>
    <dataValidation sqref="AU6:AU205" showDropDown="0" showInputMessage="0" showErrorMessage="0" allowBlank="1" type="list">
      <formula1>'テストケース7'!$DC$6:$DC$15</formula1>
    </dataValidation>
    <dataValidation sqref="AV6:AV205" showDropDown="0" showInputMessage="0" showErrorMessage="0" allowBlank="1" type="list">
      <formula1>'テストケース7'!$DD$6:$DD$15</formula1>
    </dataValidation>
    <dataValidation sqref="AW6:AW205" showDropDown="0" showInputMessage="0" showErrorMessage="0" allowBlank="1" type="list">
      <formula1>'テストケース7'!$DE$6:$DE$15</formula1>
    </dataValidation>
    <dataValidation sqref="AX6:AX205" showDropDown="0" showInputMessage="0" showErrorMessage="0" allowBlank="1" type="list">
      <formula1>'テストケース7'!$DF$6:$DF$15</formula1>
    </dataValidation>
    <dataValidation sqref="AY6:AY205" showDropDown="0" showInputMessage="0" showErrorMessage="0" allowBlank="1" type="list">
      <formula1>'テストケース7'!$DG$6:$DG$15</formula1>
    </dataValidation>
    <dataValidation sqref="AZ6:AZ205" showDropDown="0" showInputMessage="0" showErrorMessage="0" allowBlank="1" type="list">
      <formula1>'テストケース7'!$DH$6:$DH$15</formula1>
    </dataValidation>
    <dataValidation sqref="BA6:BA205" showDropDown="0" showInputMessage="0" showErrorMessage="0" allowBlank="1" type="list">
      <formula1>'テストケース7'!$DI$6:$DI$15</formula1>
    </dataValidation>
    <dataValidation sqref="BB6:BB205" showDropDown="0" showInputMessage="0" showErrorMessage="0" allowBlank="1" type="list">
      <formula1>'テストケース7'!$DJ$6:$DJ$15</formula1>
    </dataValidation>
    <dataValidation sqref="BC6:BC205" showDropDown="0" showInputMessage="0" showErrorMessage="0" allowBlank="1" type="list">
      <formula1>'テストケース7'!$DK$6:$DK$15</formula1>
    </dataValidation>
    <dataValidation sqref="BD6:BD205" showDropDown="0" showInputMessage="0" showErrorMessage="0" allowBlank="1" type="list">
      <formula1>'テストケース7'!$DL$6:$DL$15</formula1>
    </dataValidation>
    <dataValidation sqref="C6:C205" showDropDown="0" showInputMessage="0" showErrorMessage="0" allowBlank="1" type="list">
      <formula1>'テストケース7'!$DM$6:$DM$35</formula1>
    </dataValidation>
    <dataValidation sqref="B2" showDropDown="0" showInputMessage="0" showErrorMessage="0" allowBlank="1" type="list">
      <formula1>'テストケース7'!$DM$6:$DM$35</formula1>
    </dataValidation>
    <dataValidation sqref="B6:B205" showDropDown="0" showInputMessage="0" showErrorMessage="0" allowBlank="1" type="list">
      <formula1>'テストケース7'!$DN$6:$DN$105</formula1>
    </dataValidation>
    <dataValidation sqref="E6:E205" showDropDown="0" showInputMessage="0" showErrorMessage="0" allowBlank="1" type="list">
      <formula1>"高,中,低"</formula1>
    </dataValidation>
    <dataValidation sqref="BH6:BH205" showDropDown="0" showInputMessage="0" showErrorMessage="0" allowBlank="1" type="list">
      <formula1>"要,否,済"</formula1>
    </dataValidation>
    <dataValidation sqref="BK6:BK205" showDropDown="0" showInputMessage="0" showErrorMessage="0" allowBlank="1" type="list">
      <formula1>"OK,NG,保留,対象外"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N20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8" customWidth="1" min="4" max="4"/>
    <col width="7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30" customWidth="1" min="57" max="57"/>
    <col width="34" customWidth="1" min="58" max="58"/>
    <col width="14" customWidth="1" min="59" max="59"/>
    <col width="9" customWidth="1" min="60" max="60"/>
    <col width="11" customWidth="1" min="61" max="61"/>
    <col width="10" customWidth="1" min="62" max="62"/>
    <col width="9" customWidth="1" min="63" max="63"/>
    <col width="10" customWidth="1" min="64" max="64"/>
    <col width="24" customWidth="1" min="65" max="65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</cols>
  <sheetData>
    <row r="1">
      <c r="A1" s="1" t="inlineStr">
        <is>
          <t>テストケース</t>
        </is>
      </c>
      <c r="E1" s="2" t="inlineStr">
        <is>
          <t>2 行目でカテゴリを選ぶと、そのカテゴリの因子が左から自動で入ります。セルは水準のプルダウンから選べます。</t>
        </is>
      </c>
    </row>
    <row r="2">
      <c r="A2" s="11" t="inlineStr">
        <is>
          <t>カテゴリ</t>
        </is>
      </c>
      <c r="B2" s="8" t="n"/>
      <c r="C2" s="9" t="n"/>
      <c r="D2" s="10" t="n"/>
      <c r="E2" s="18">
        <f>IF($B$2="","",COUNTIF('因子水準表'!$B$5:$KO$5,$B$2)&amp;" 因子")</f>
        <v/>
      </c>
    </row>
    <row r="3">
      <c r="A3" s="21" t="inlineStr">
        <is>
          <t>テストケース</t>
        </is>
      </c>
      <c r="B3" s="9" t="n"/>
      <c r="C3" s="9" t="n"/>
      <c r="D3" s="9" t="n"/>
      <c r="E3" s="9" t="n"/>
      <c r="F3" s="10" t="n"/>
      <c r="G3" s="21" t="inlineStr">
        <is>
          <t>因子の水準（シートのカテゴリの因子が自動で入る）</t>
        </is>
      </c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  <c r="AQ3" s="9" t="n"/>
      <c r="AR3" s="9" t="n"/>
      <c r="AS3" s="9" t="n"/>
      <c r="AT3" s="9" t="n"/>
      <c r="AU3" s="9" t="n"/>
      <c r="AV3" s="9" t="n"/>
      <c r="AW3" s="9" t="n"/>
      <c r="AX3" s="9" t="n"/>
      <c r="AY3" s="9" t="n"/>
      <c r="AZ3" s="9" t="n"/>
      <c r="BA3" s="9" t="n"/>
      <c r="BB3" s="9" t="n"/>
      <c r="BC3" s="9" t="n"/>
      <c r="BD3" s="10" t="n"/>
      <c r="BE3" s="21" t="inlineStr">
        <is>
          <t>内容</t>
        </is>
      </c>
      <c r="BF3" s="9" t="n"/>
      <c r="BG3" s="9" t="n"/>
      <c r="BH3" s="10" t="n"/>
      <c r="BI3" s="21" t="inlineStr">
        <is>
          <t>実行結果</t>
        </is>
      </c>
      <c r="BJ3" s="9" t="n"/>
      <c r="BK3" s="9" t="n"/>
      <c r="BL3" s="9" t="n"/>
      <c r="BM3" s="10" t="n"/>
    </row>
    <row r="4">
      <c r="A4" s="12" t="inlineStr">
        <is>
          <t>ID</t>
        </is>
      </c>
      <c r="B4" s="12" t="inlineStr">
        <is>
          <t>条件ID</t>
        </is>
      </c>
      <c r="C4" s="12" t="inlineStr">
        <is>
          <t>カテゴリ</t>
        </is>
      </c>
      <c r="D4" s="12" t="inlineStr">
        <is>
          <t>テスト観点（目的）</t>
        </is>
      </c>
      <c r="E4" s="12" t="inlineStr">
        <is>
          <t>優先度</t>
        </is>
      </c>
      <c r="F4" s="12" t="inlineStr">
        <is>
          <t>事前条件</t>
        </is>
      </c>
      <c r="G4" s="22">
        <f>IF($B$2="","",IFERROR(INDEX('因子水準表'!$B$4:$KO$4,MATCH($B$2&amp;"|1",'因子水準表'!$B$20:$KO$20,0)),""))</f>
        <v/>
      </c>
      <c r="H4" s="22">
        <f>IF($B$2="","",IFERROR(INDEX('因子水準表'!$B$4:$KO$4,MATCH($B$2&amp;"|2",'因子水準表'!$B$20:$KO$20,0)),""))</f>
        <v/>
      </c>
      <c r="I4" s="22">
        <f>IF($B$2="","",IFERROR(INDEX('因子水準表'!$B$4:$KO$4,MATCH($B$2&amp;"|3",'因子水準表'!$B$20:$KO$20,0)),""))</f>
        <v/>
      </c>
      <c r="J4" s="22">
        <f>IF($B$2="","",IFERROR(INDEX('因子水準表'!$B$4:$KO$4,MATCH($B$2&amp;"|4",'因子水準表'!$B$20:$KO$20,0)),""))</f>
        <v/>
      </c>
      <c r="K4" s="22">
        <f>IF($B$2="","",IFERROR(INDEX('因子水準表'!$B$4:$KO$4,MATCH($B$2&amp;"|5",'因子水準表'!$B$20:$KO$20,0)),""))</f>
        <v/>
      </c>
      <c r="L4" s="22">
        <f>IF($B$2="","",IFERROR(INDEX('因子水準表'!$B$4:$KO$4,MATCH($B$2&amp;"|6",'因子水準表'!$B$20:$KO$20,0)),""))</f>
        <v/>
      </c>
      <c r="M4" s="22">
        <f>IF($B$2="","",IFERROR(INDEX('因子水準表'!$B$4:$KO$4,MATCH($B$2&amp;"|7",'因子水準表'!$B$20:$KO$20,0)),""))</f>
        <v/>
      </c>
      <c r="N4" s="22">
        <f>IF($B$2="","",IFERROR(INDEX('因子水準表'!$B$4:$KO$4,MATCH($B$2&amp;"|8",'因子水準表'!$B$20:$KO$20,0)),""))</f>
        <v/>
      </c>
      <c r="O4" s="22">
        <f>IF($B$2="","",IFERROR(INDEX('因子水準表'!$B$4:$KO$4,MATCH($B$2&amp;"|9",'因子水準表'!$B$20:$KO$20,0)),""))</f>
        <v/>
      </c>
      <c r="P4" s="22">
        <f>IF($B$2="","",IFERROR(INDEX('因子水準表'!$B$4:$KO$4,MATCH($B$2&amp;"|10",'因子水準表'!$B$20:$KO$20,0)),""))</f>
        <v/>
      </c>
      <c r="Q4" s="22">
        <f>IF($B$2="","",IFERROR(INDEX('因子水準表'!$B$4:$KO$4,MATCH($B$2&amp;"|11",'因子水準表'!$B$20:$KO$20,0)),""))</f>
        <v/>
      </c>
      <c r="R4" s="22">
        <f>IF($B$2="","",IFERROR(INDEX('因子水準表'!$B$4:$KO$4,MATCH($B$2&amp;"|12",'因子水準表'!$B$20:$KO$20,0)),""))</f>
        <v/>
      </c>
      <c r="S4" s="22">
        <f>IF($B$2="","",IFERROR(INDEX('因子水準表'!$B$4:$KO$4,MATCH($B$2&amp;"|13",'因子水準表'!$B$20:$KO$20,0)),""))</f>
        <v/>
      </c>
      <c r="T4" s="22">
        <f>IF($B$2="","",IFERROR(INDEX('因子水準表'!$B$4:$KO$4,MATCH($B$2&amp;"|14",'因子水準表'!$B$20:$KO$20,0)),""))</f>
        <v/>
      </c>
      <c r="U4" s="22">
        <f>IF($B$2="","",IFERROR(INDEX('因子水準表'!$B$4:$KO$4,MATCH($B$2&amp;"|15",'因子水準表'!$B$20:$KO$20,0)),""))</f>
        <v/>
      </c>
      <c r="V4" s="22">
        <f>IF($B$2="","",IFERROR(INDEX('因子水準表'!$B$4:$KO$4,MATCH($B$2&amp;"|16",'因子水準表'!$B$20:$KO$20,0)),""))</f>
        <v/>
      </c>
      <c r="W4" s="22">
        <f>IF($B$2="","",IFERROR(INDEX('因子水準表'!$B$4:$KO$4,MATCH($B$2&amp;"|17",'因子水準表'!$B$20:$KO$20,0)),""))</f>
        <v/>
      </c>
      <c r="X4" s="22">
        <f>IF($B$2="","",IFERROR(INDEX('因子水準表'!$B$4:$KO$4,MATCH($B$2&amp;"|18",'因子水準表'!$B$20:$KO$20,0)),""))</f>
        <v/>
      </c>
      <c r="Y4" s="22">
        <f>IF($B$2="","",IFERROR(INDEX('因子水準表'!$B$4:$KO$4,MATCH($B$2&amp;"|19",'因子水準表'!$B$20:$KO$20,0)),""))</f>
        <v/>
      </c>
      <c r="Z4" s="22">
        <f>IF($B$2="","",IFERROR(INDEX('因子水準表'!$B$4:$KO$4,MATCH($B$2&amp;"|20",'因子水準表'!$B$20:$KO$20,0)),""))</f>
        <v/>
      </c>
      <c r="AA4" s="22">
        <f>IF($B$2="","",IFERROR(INDEX('因子水準表'!$B$4:$KO$4,MATCH($B$2&amp;"|21",'因子水準表'!$B$20:$KO$20,0)),""))</f>
        <v/>
      </c>
      <c r="AB4" s="22">
        <f>IF($B$2="","",IFERROR(INDEX('因子水準表'!$B$4:$KO$4,MATCH($B$2&amp;"|22",'因子水準表'!$B$20:$KO$20,0)),""))</f>
        <v/>
      </c>
      <c r="AC4" s="22">
        <f>IF($B$2="","",IFERROR(INDEX('因子水準表'!$B$4:$KO$4,MATCH($B$2&amp;"|23",'因子水準表'!$B$20:$KO$20,0)),""))</f>
        <v/>
      </c>
      <c r="AD4" s="22">
        <f>IF($B$2="","",IFERROR(INDEX('因子水準表'!$B$4:$KO$4,MATCH($B$2&amp;"|24",'因子水準表'!$B$20:$KO$20,0)),""))</f>
        <v/>
      </c>
      <c r="AE4" s="22">
        <f>IF($B$2="","",IFERROR(INDEX('因子水準表'!$B$4:$KO$4,MATCH($B$2&amp;"|25",'因子水準表'!$B$20:$KO$20,0)),""))</f>
        <v/>
      </c>
      <c r="AF4" s="22">
        <f>IF($B$2="","",IFERROR(INDEX('因子水準表'!$B$4:$KO$4,MATCH($B$2&amp;"|26",'因子水準表'!$B$20:$KO$20,0)),""))</f>
        <v/>
      </c>
      <c r="AG4" s="22">
        <f>IF($B$2="","",IFERROR(INDEX('因子水準表'!$B$4:$KO$4,MATCH($B$2&amp;"|27",'因子水準表'!$B$20:$KO$20,0)),""))</f>
        <v/>
      </c>
      <c r="AH4" s="22">
        <f>IF($B$2="","",IFERROR(INDEX('因子水準表'!$B$4:$KO$4,MATCH($B$2&amp;"|28",'因子水準表'!$B$20:$KO$20,0)),""))</f>
        <v/>
      </c>
      <c r="AI4" s="22">
        <f>IF($B$2="","",IFERROR(INDEX('因子水準表'!$B$4:$KO$4,MATCH($B$2&amp;"|29",'因子水準表'!$B$20:$KO$20,0)),""))</f>
        <v/>
      </c>
      <c r="AJ4" s="22">
        <f>IF($B$2="","",IFERROR(INDEX('因子水準表'!$B$4:$KO$4,MATCH($B$2&amp;"|30",'因子水準表'!$B$20:$KO$20,0)),""))</f>
        <v/>
      </c>
      <c r="AK4" s="22">
        <f>IF($B$2="","",IFERROR(INDEX('因子水準表'!$B$4:$KO$4,MATCH($B$2&amp;"|31",'因子水準表'!$B$20:$KO$20,0)),""))</f>
        <v/>
      </c>
      <c r="AL4" s="22">
        <f>IF($B$2="","",IFERROR(INDEX('因子水準表'!$B$4:$KO$4,MATCH($B$2&amp;"|32",'因子水準表'!$B$20:$KO$20,0)),""))</f>
        <v/>
      </c>
      <c r="AM4" s="22">
        <f>IF($B$2="","",IFERROR(INDEX('因子水準表'!$B$4:$KO$4,MATCH($B$2&amp;"|33",'因子水準表'!$B$20:$KO$20,0)),""))</f>
        <v/>
      </c>
      <c r="AN4" s="22">
        <f>IF($B$2="","",IFERROR(INDEX('因子水準表'!$B$4:$KO$4,MATCH($B$2&amp;"|34",'因子水準表'!$B$20:$KO$20,0)),""))</f>
        <v/>
      </c>
      <c r="AO4" s="22">
        <f>IF($B$2="","",IFERROR(INDEX('因子水準表'!$B$4:$KO$4,MATCH($B$2&amp;"|35",'因子水準表'!$B$20:$KO$20,0)),""))</f>
        <v/>
      </c>
      <c r="AP4" s="22">
        <f>IF($B$2="","",IFERROR(INDEX('因子水準表'!$B$4:$KO$4,MATCH($B$2&amp;"|36",'因子水準表'!$B$20:$KO$20,0)),""))</f>
        <v/>
      </c>
      <c r="AQ4" s="22">
        <f>IF($B$2="","",IFERROR(INDEX('因子水準表'!$B$4:$KO$4,MATCH($B$2&amp;"|37",'因子水準表'!$B$20:$KO$20,0)),""))</f>
        <v/>
      </c>
      <c r="AR4" s="22">
        <f>IF($B$2="","",IFERROR(INDEX('因子水準表'!$B$4:$KO$4,MATCH($B$2&amp;"|38",'因子水準表'!$B$20:$KO$20,0)),""))</f>
        <v/>
      </c>
      <c r="AS4" s="22">
        <f>IF($B$2="","",IFERROR(INDEX('因子水準表'!$B$4:$KO$4,MATCH($B$2&amp;"|39",'因子水準表'!$B$20:$KO$20,0)),""))</f>
        <v/>
      </c>
      <c r="AT4" s="22">
        <f>IF($B$2="","",IFERROR(INDEX('因子水準表'!$B$4:$KO$4,MATCH($B$2&amp;"|40",'因子水準表'!$B$20:$KO$20,0)),""))</f>
        <v/>
      </c>
      <c r="AU4" s="22">
        <f>IF($B$2="","",IFERROR(INDEX('因子水準表'!$B$4:$KO$4,MATCH($B$2&amp;"|41",'因子水準表'!$B$20:$KO$20,0)),""))</f>
        <v/>
      </c>
      <c r="AV4" s="22">
        <f>IF($B$2="","",IFERROR(INDEX('因子水準表'!$B$4:$KO$4,MATCH($B$2&amp;"|42",'因子水準表'!$B$20:$KO$20,0)),""))</f>
        <v/>
      </c>
      <c r="AW4" s="22">
        <f>IF($B$2="","",IFERROR(INDEX('因子水準表'!$B$4:$KO$4,MATCH($B$2&amp;"|43",'因子水準表'!$B$20:$KO$20,0)),""))</f>
        <v/>
      </c>
      <c r="AX4" s="22">
        <f>IF($B$2="","",IFERROR(INDEX('因子水準表'!$B$4:$KO$4,MATCH($B$2&amp;"|44",'因子水準表'!$B$20:$KO$20,0)),""))</f>
        <v/>
      </c>
      <c r="AY4" s="22">
        <f>IF($B$2="","",IFERROR(INDEX('因子水準表'!$B$4:$KO$4,MATCH($B$2&amp;"|45",'因子水準表'!$B$20:$KO$20,0)),""))</f>
        <v/>
      </c>
      <c r="AZ4" s="22">
        <f>IF($B$2="","",IFERROR(INDEX('因子水準表'!$B$4:$KO$4,MATCH($B$2&amp;"|46",'因子水準表'!$B$20:$KO$20,0)),""))</f>
        <v/>
      </c>
      <c r="BA4" s="22">
        <f>IF($B$2="","",IFERROR(INDEX('因子水準表'!$B$4:$KO$4,MATCH($B$2&amp;"|47",'因子水準表'!$B$20:$KO$20,0)),""))</f>
        <v/>
      </c>
      <c r="BB4" s="22">
        <f>IF($B$2="","",IFERROR(INDEX('因子水準表'!$B$4:$KO$4,MATCH($B$2&amp;"|48",'因子水準表'!$B$20:$KO$20,0)),""))</f>
        <v/>
      </c>
      <c r="BC4" s="22">
        <f>IF($B$2="","",IFERROR(INDEX('因子水準表'!$B$4:$KO$4,MATCH($B$2&amp;"|49",'因子水準表'!$B$20:$KO$20,0)),""))</f>
        <v/>
      </c>
      <c r="BD4" s="22">
        <f>IF($B$2="","",IFERROR(INDEX('因子水準表'!$B$4:$KO$4,MATCH($B$2&amp;"|50",'因子水準表'!$B$20:$KO$20,0)),""))</f>
        <v/>
      </c>
      <c r="BE4" s="12" t="inlineStr">
        <is>
          <t>手順</t>
        </is>
      </c>
      <c r="BF4" s="12" t="inlineStr">
        <is>
          <t>期待結果</t>
        </is>
      </c>
      <c r="BG4" s="12" t="inlineStr">
        <is>
          <t>技法</t>
        </is>
      </c>
      <c r="BH4" s="12" t="inlineStr">
        <is>
          <t>自動化</t>
        </is>
      </c>
      <c r="BI4" s="12" t="inlineStr">
        <is>
          <t>実行日</t>
        </is>
      </c>
      <c r="BJ4" s="12" t="inlineStr">
        <is>
          <t>実行者</t>
        </is>
      </c>
      <c r="BK4" s="12" t="inlineStr">
        <is>
          <t>結果</t>
        </is>
      </c>
      <c r="BL4" s="12" t="inlineStr">
        <is>
          <t>欠陥ID</t>
        </is>
      </c>
      <c r="BM4" s="12" t="inlineStr">
        <is>
          <t>備考</t>
        </is>
      </c>
      <c r="BO4" s="21" t="inlineStr">
        <is>
          <t>プルダウン用（非表示・編集しない）</t>
        </is>
      </c>
      <c r="BP4" s="9" t="n"/>
      <c r="BQ4" s="9" t="n"/>
      <c r="BR4" s="9" t="n"/>
      <c r="BS4" s="9" t="n"/>
      <c r="BT4" s="9" t="n"/>
      <c r="BU4" s="9" t="n"/>
      <c r="BV4" s="9" t="n"/>
      <c r="BW4" s="9" t="n"/>
      <c r="BX4" s="9" t="n"/>
      <c r="BY4" s="9" t="n"/>
      <c r="BZ4" s="9" t="n"/>
      <c r="CA4" s="9" t="n"/>
      <c r="CB4" s="9" t="n"/>
      <c r="CC4" s="9" t="n"/>
      <c r="CD4" s="9" t="n"/>
      <c r="CE4" s="9" t="n"/>
      <c r="CF4" s="9" t="n"/>
      <c r="CG4" s="9" t="n"/>
      <c r="CH4" s="9" t="n"/>
      <c r="CI4" s="9" t="n"/>
      <c r="CJ4" s="9" t="n"/>
      <c r="CK4" s="9" t="n"/>
      <c r="CL4" s="9" t="n"/>
      <c r="CM4" s="9" t="n"/>
      <c r="CN4" s="9" t="n"/>
      <c r="CO4" s="9" t="n"/>
      <c r="CP4" s="9" t="n"/>
      <c r="CQ4" s="9" t="n"/>
      <c r="CR4" s="9" t="n"/>
      <c r="CS4" s="9" t="n"/>
      <c r="CT4" s="9" t="n"/>
      <c r="CU4" s="9" t="n"/>
      <c r="CV4" s="9" t="n"/>
      <c r="CW4" s="9" t="n"/>
      <c r="CX4" s="9" t="n"/>
      <c r="CY4" s="9" t="n"/>
      <c r="CZ4" s="9" t="n"/>
      <c r="DA4" s="9" t="n"/>
      <c r="DB4" s="9" t="n"/>
      <c r="DC4" s="9" t="n"/>
      <c r="DD4" s="9" t="n"/>
      <c r="DE4" s="9" t="n"/>
      <c r="DF4" s="9" t="n"/>
      <c r="DG4" s="9" t="n"/>
      <c r="DH4" s="9" t="n"/>
      <c r="DI4" s="9" t="n"/>
      <c r="DJ4" s="9" t="n"/>
      <c r="DK4" s="9" t="n"/>
      <c r="DL4" s="9" t="n"/>
      <c r="DM4" s="9" t="n"/>
      <c r="DN4" s="10" t="n"/>
    </row>
    <row r="5">
      <c r="A5" s="23" t="n"/>
      <c r="B5" s="23" t="n"/>
      <c r="C5" s="23" t="n"/>
      <c r="D5" s="23" t="n"/>
      <c r="E5" s="23" t="n"/>
      <c r="F5" s="23" t="n"/>
      <c r="G5" s="12">
        <f>IF(G4="","（未使用）",IFERROR(INDEX('因子水準表'!$B$6:$KO$6,MATCH(G4,'因子水準表'!$B$4:$KO$4,0)),"（ID不明）"))</f>
        <v/>
      </c>
      <c r="H5" s="12">
        <f>IF(H4="","（未使用）",IFERROR(INDEX('因子水準表'!$B$6:$KO$6,MATCH(H4,'因子水準表'!$B$4:$KO$4,0)),"（ID不明）"))</f>
        <v/>
      </c>
      <c r="I5" s="12">
        <f>IF(I4="","（未使用）",IFERROR(INDEX('因子水準表'!$B$6:$KO$6,MATCH(I4,'因子水準表'!$B$4:$KO$4,0)),"（ID不明）"))</f>
        <v/>
      </c>
      <c r="J5" s="12">
        <f>IF(J4="","（未使用）",IFERROR(INDEX('因子水準表'!$B$6:$KO$6,MATCH(J4,'因子水準表'!$B$4:$KO$4,0)),"（ID不明）"))</f>
        <v/>
      </c>
      <c r="K5" s="12">
        <f>IF(K4="","（未使用）",IFERROR(INDEX('因子水準表'!$B$6:$KO$6,MATCH(K4,'因子水準表'!$B$4:$KO$4,0)),"（ID不明）"))</f>
        <v/>
      </c>
      <c r="L5" s="12">
        <f>IF(L4="","（未使用）",IFERROR(INDEX('因子水準表'!$B$6:$KO$6,MATCH(L4,'因子水準表'!$B$4:$KO$4,0)),"（ID不明）"))</f>
        <v/>
      </c>
      <c r="M5" s="12">
        <f>IF(M4="","（未使用）",IFERROR(INDEX('因子水準表'!$B$6:$KO$6,MATCH(M4,'因子水準表'!$B$4:$KO$4,0)),"（ID不明）"))</f>
        <v/>
      </c>
      <c r="N5" s="12">
        <f>IF(N4="","（未使用）",IFERROR(INDEX('因子水準表'!$B$6:$KO$6,MATCH(N4,'因子水準表'!$B$4:$KO$4,0)),"（ID不明）"))</f>
        <v/>
      </c>
      <c r="O5" s="12">
        <f>IF(O4="","（未使用）",IFERROR(INDEX('因子水準表'!$B$6:$KO$6,MATCH(O4,'因子水準表'!$B$4:$KO$4,0)),"（ID不明）"))</f>
        <v/>
      </c>
      <c r="P5" s="12">
        <f>IF(P4="","（未使用）",IFERROR(INDEX('因子水準表'!$B$6:$KO$6,MATCH(P4,'因子水準表'!$B$4:$KO$4,0)),"（ID不明）"))</f>
        <v/>
      </c>
      <c r="Q5" s="12">
        <f>IF(Q4="","（未使用）",IFERROR(INDEX('因子水準表'!$B$6:$KO$6,MATCH(Q4,'因子水準表'!$B$4:$KO$4,0)),"（ID不明）"))</f>
        <v/>
      </c>
      <c r="R5" s="12">
        <f>IF(R4="","（未使用）",IFERROR(INDEX('因子水準表'!$B$6:$KO$6,MATCH(R4,'因子水準表'!$B$4:$KO$4,0)),"（ID不明）"))</f>
        <v/>
      </c>
      <c r="S5" s="12">
        <f>IF(S4="","（未使用）",IFERROR(INDEX('因子水準表'!$B$6:$KO$6,MATCH(S4,'因子水準表'!$B$4:$KO$4,0)),"（ID不明）"))</f>
        <v/>
      </c>
      <c r="T5" s="12">
        <f>IF(T4="","（未使用）",IFERROR(INDEX('因子水準表'!$B$6:$KO$6,MATCH(T4,'因子水準表'!$B$4:$KO$4,0)),"（ID不明）"))</f>
        <v/>
      </c>
      <c r="U5" s="12">
        <f>IF(U4="","（未使用）",IFERROR(INDEX('因子水準表'!$B$6:$KO$6,MATCH(U4,'因子水準表'!$B$4:$KO$4,0)),"（ID不明）"))</f>
        <v/>
      </c>
      <c r="V5" s="12">
        <f>IF(V4="","（未使用）",IFERROR(INDEX('因子水準表'!$B$6:$KO$6,MATCH(V4,'因子水準表'!$B$4:$KO$4,0)),"（ID不明）"))</f>
        <v/>
      </c>
      <c r="W5" s="12">
        <f>IF(W4="","（未使用）",IFERROR(INDEX('因子水準表'!$B$6:$KO$6,MATCH(W4,'因子水準表'!$B$4:$KO$4,0)),"（ID不明）"))</f>
        <v/>
      </c>
      <c r="X5" s="12">
        <f>IF(X4="","（未使用）",IFERROR(INDEX('因子水準表'!$B$6:$KO$6,MATCH(X4,'因子水準表'!$B$4:$KO$4,0)),"（ID不明）"))</f>
        <v/>
      </c>
      <c r="Y5" s="12">
        <f>IF(Y4="","（未使用）",IFERROR(INDEX('因子水準表'!$B$6:$KO$6,MATCH(Y4,'因子水準表'!$B$4:$KO$4,0)),"（ID不明）"))</f>
        <v/>
      </c>
      <c r="Z5" s="12">
        <f>IF(Z4="","（未使用）",IFERROR(INDEX('因子水準表'!$B$6:$KO$6,MATCH(Z4,'因子水準表'!$B$4:$KO$4,0)),"（ID不明）"))</f>
        <v/>
      </c>
      <c r="AA5" s="12">
        <f>IF(AA4="","（未使用）",IFERROR(INDEX('因子水準表'!$B$6:$KO$6,MATCH(AA4,'因子水準表'!$B$4:$KO$4,0)),"（ID不明）"))</f>
        <v/>
      </c>
      <c r="AB5" s="12">
        <f>IF(AB4="","（未使用）",IFERROR(INDEX('因子水準表'!$B$6:$KO$6,MATCH(AB4,'因子水準表'!$B$4:$KO$4,0)),"（ID不明）"))</f>
        <v/>
      </c>
      <c r="AC5" s="12">
        <f>IF(AC4="","（未使用）",IFERROR(INDEX('因子水準表'!$B$6:$KO$6,MATCH(AC4,'因子水準表'!$B$4:$KO$4,0)),"（ID不明）"))</f>
        <v/>
      </c>
      <c r="AD5" s="12">
        <f>IF(AD4="","（未使用）",IFERROR(INDEX('因子水準表'!$B$6:$KO$6,MATCH(AD4,'因子水準表'!$B$4:$KO$4,0)),"（ID不明）"))</f>
        <v/>
      </c>
      <c r="AE5" s="12">
        <f>IF(AE4="","（未使用）",IFERROR(INDEX('因子水準表'!$B$6:$KO$6,MATCH(AE4,'因子水準表'!$B$4:$KO$4,0)),"（ID不明）"))</f>
        <v/>
      </c>
      <c r="AF5" s="12">
        <f>IF(AF4="","（未使用）",IFERROR(INDEX('因子水準表'!$B$6:$KO$6,MATCH(AF4,'因子水準表'!$B$4:$KO$4,0)),"（ID不明）"))</f>
        <v/>
      </c>
      <c r="AG5" s="12">
        <f>IF(AG4="","（未使用）",IFERROR(INDEX('因子水準表'!$B$6:$KO$6,MATCH(AG4,'因子水準表'!$B$4:$KO$4,0)),"（ID不明）"))</f>
        <v/>
      </c>
      <c r="AH5" s="12">
        <f>IF(AH4="","（未使用）",IFERROR(INDEX('因子水準表'!$B$6:$KO$6,MATCH(AH4,'因子水準表'!$B$4:$KO$4,0)),"（ID不明）"))</f>
        <v/>
      </c>
      <c r="AI5" s="12">
        <f>IF(AI4="","（未使用）",IFERROR(INDEX('因子水準表'!$B$6:$KO$6,MATCH(AI4,'因子水準表'!$B$4:$KO$4,0)),"（ID不明）"))</f>
        <v/>
      </c>
      <c r="AJ5" s="12">
        <f>IF(AJ4="","（未使用）",IFERROR(INDEX('因子水準表'!$B$6:$KO$6,MATCH(AJ4,'因子水準表'!$B$4:$KO$4,0)),"（ID不明）"))</f>
        <v/>
      </c>
      <c r="AK5" s="12">
        <f>IF(AK4="","（未使用）",IFERROR(INDEX('因子水準表'!$B$6:$KO$6,MATCH(AK4,'因子水準表'!$B$4:$KO$4,0)),"（ID不明）"))</f>
        <v/>
      </c>
      <c r="AL5" s="12">
        <f>IF(AL4="","（未使用）",IFERROR(INDEX('因子水準表'!$B$6:$KO$6,MATCH(AL4,'因子水準表'!$B$4:$KO$4,0)),"（ID不明）"))</f>
        <v/>
      </c>
      <c r="AM5" s="12">
        <f>IF(AM4="","（未使用）",IFERROR(INDEX('因子水準表'!$B$6:$KO$6,MATCH(AM4,'因子水準表'!$B$4:$KO$4,0)),"（ID不明）"))</f>
        <v/>
      </c>
      <c r="AN5" s="12">
        <f>IF(AN4="","（未使用）",IFERROR(INDEX('因子水準表'!$B$6:$KO$6,MATCH(AN4,'因子水準表'!$B$4:$KO$4,0)),"（ID不明）"))</f>
        <v/>
      </c>
      <c r="AO5" s="12">
        <f>IF(AO4="","（未使用）",IFERROR(INDEX('因子水準表'!$B$6:$KO$6,MATCH(AO4,'因子水準表'!$B$4:$KO$4,0)),"（ID不明）"))</f>
        <v/>
      </c>
      <c r="AP5" s="12">
        <f>IF(AP4="","（未使用）",IFERROR(INDEX('因子水準表'!$B$6:$KO$6,MATCH(AP4,'因子水準表'!$B$4:$KO$4,0)),"（ID不明）"))</f>
        <v/>
      </c>
      <c r="AQ5" s="12">
        <f>IF(AQ4="","（未使用）",IFERROR(INDEX('因子水準表'!$B$6:$KO$6,MATCH(AQ4,'因子水準表'!$B$4:$KO$4,0)),"（ID不明）"))</f>
        <v/>
      </c>
      <c r="AR5" s="12">
        <f>IF(AR4="","（未使用）",IFERROR(INDEX('因子水準表'!$B$6:$KO$6,MATCH(AR4,'因子水準表'!$B$4:$KO$4,0)),"（ID不明）"))</f>
        <v/>
      </c>
      <c r="AS5" s="12">
        <f>IF(AS4="","（未使用）",IFERROR(INDEX('因子水準表'!$B$6:$KO$6,MATCH(AS4,'因子水準表'!$B$4:$KO$4,0)),"（ID不明）"))</f>
        <v/>
      </c>
      <c r="AT5" s="12">
        <f>IF(AT4="","（未使用）",IFERROR(INDEX('因子水準表'!$B$6:$KO$6,MATCH(AT4,'因子水準表'!$B$4:$KO$4,0)),"（ID不明）"))</f>
        <v/>
      </c>
      <c r="AU5" s="12">
        <f>IF(AU4="","（未使用）",IFERROR(INDEX('因子水準表'!$B$6:$KO$6,MATCH(AU4,'因子水準表'!$B$4:$KO$4,0)),"（ID不明）"))</f>
        <v/>
      </c>
      <c r="AV5" s="12">
        <f>IF(AV4="","（未使用）",IFERROR(INDEX('因子水準表'!$B$6:$KO$6,MATCH(AV4,'因子水準表'!$B$4:$KO$4,0)),"（ID不明）"))</f>
        <v/>
      </c>
      <c r="AW5" s="12">
        <f>IF(AW4="","（未使用）",IFERROR(INDEX('因子水準表'!$B$6:$KO$6,MATCH(AW4,'因子水準表'!$B$4:$KO$4,0)),"（ID不明）"))</f>
        <v/>
      </c>
      <c r="AX5" s="12">
        <f>IF(AX4="","（未使用）",IFERROR(INDEX('因子水準表'!$B$6:$KO$6,MATCH(AX4,'因子水準表'!$B$4:$KO$4,0)),"（ID不明）"))</f>
        <v/>
      </c>
      <c r="AY5" s="12">
        <f>IF(AY4="","（未使用）",IFERROR(INDEX('因子水準表'!$B$6:$KO$6,MATCH(AY4,'因子水準表'!$B$4:$KO$4,0)),"（ID不明）"))</f>
        <v/>
      </c>
      <c r="AZ5" s="12">
        <f>IF(AZ4="","（未使用）",IFERROR(INDEX('因子水準表'!$B$6:$KO$6,MATCH(AZ4,'因子水準表'!$B$4:$KO$4,0)),"（ID不明）"))</f>
        <v/>
      </c>
      <c r="BA5" s="12">
        <f>IF(BA4="","（未使用）",IFERROR(INDEX('因子水準表'!$B$6:$KO$6,MATCH(BA4,'因子水準表'!$B$4:$KO$4,0)),"（ID不明）"))</f>
        <v/>
      </c>
      <c r="BB5" s="12">
        <f>IF(BB4="","（未使用）",IFERROR(INDEX('因子水準表'!$B$6:$KO$6,MATCH(BB4,'因子水準表'!$B$4:$KO$4,0)),"（ID不明）"))</f>
        <v/>
      </c>
      <c r="BC5" s="12">
        <f>IF(BC4="","（未使用）",IFERROR(INDEX('因子水準表'!$B$6:$KO$6,MATCH(BC4,'因子水準表'!$B$4:$KO$4,0)),"（ID不明）"))</f>
        <v/>
      </c>
      <c r="BD5" s="12">
        <f>IF(BD4="","（未使用）",IFERROR(INDEX('因子水準表'!$B$6:$KO$6,MATCH(BD4,'因子水準表'!$B$4:$KO$4,0)),"（ID不明）"))</f>
        <v/>
      </c>
      <c r="BE5" s="23" t="n"/>
      <c r="BF5" s="23" t="n"/>
      <c r="BG5" s="23" t="n"/>
      <c r="BH5" s="23" t="n"/>
      <c r="BI5" s="23" t="n"/>
      <c r="BJ5" s="23" t="n"/>
      <c r="BK5" s="23" t="n"/>
      <c r="BL5" s="23" t="n"/>
      <c r="BM5" s="23" t="n"/>
      <c r="BO5" s="12" t="inlineStr">
        <is>
          <t>1列目の水準</t>
        </is>
      </c>
      <c r="BP5" s="12" t="inlineStr">
        <is>
          <t>2列目の水準</t>
        </is>
      </c>
      <c r="BQ5" s="12" t="inlineStr">
        <is>
          <t>3列目の水準</t>
        </is>
      </c>
      <c r="BR5" s="12" t="inlineStr">
        <is>
          <t>4列目の水準</t>
        </is>
      </c>
      <c r="BS5" s="12" t="inlineStr">
        <is>
          <t>5列目の水準</t>
        </is>
      </c>
      <c r="BT5" s="12" t="inlineStr">
        <is>
          <t>6列目の水準</t>
        </is>
      </c>
      <c r="BU5" s="12" t="inlineStr">
        <is>
          <t>7列目の水準</t>
        </is>
      </c>
      <c r="BV5" s="12" t="inlineStr">
        <is>
          <t>8列目の水準</t>
        </is>
      </c>
      <c r="BW5" s="12" t="inlineStr">
        <is>
          <t>9列目の水準</t>
        </is>
      </c>
      <c r="BX5" s="12" t="inlineStr">
        <is>
          <t>10列目の水準</t>
        </is>
      </c>
      <c r="BY5" s="12" t="inlineStr">
        <is>
          <t>11列目の水準</t>
        </is>
      </c>
      <c r="BZ5" s="12" t="inlineStr">
        <is>
          <t>12列目の水準</t>
        </is>
      </c>
      <c r="CA5" s="12" t="inlineStr">
        <is>
          <t>13列目の水準</t>
        </is>
      </c>
      <c r="CB5" s="12" t="inlineStr">
        <is>
          <t>14列目の水準</t>
        </is>
      </c>
      <c r="CC5" s="12" t="inlineStr">
        <is>
          <t>15列目の水準</t>
        </is>
      </c>
      <c r="CD5" s="12" t="inlineStr">
        <is>
          <t>16列目の水準</t>
        </is>
      </c>
      <c r="CE5" s="12" t="inlineStr">
        <is>
          <t>17列目の水準</t>
        </is>
      </c>
      <c r="CF5" s="12" t="inlineStr">
        <is>
          <t>18列目の水準</t>
        </is>
      </c>
      <c r="CG5" s="12" t="inlineStr">
        <is>
          <t>19列目の水準</t>
        </is>
      </c>
      <c r="CH5" s="12" t="inlineStr">
        <is>
          <t>20列目の水準</t>
        </is>
      </c>
      <c r="CI5" s="12" t="inlineStr">
        <is>
          <t>21列目の水準</t>
        </is>
      </c>
      <c r="CJ5" s="12" t="inlineStr">
        <is>
          <t>22列目の水準</t>
        </is>
      </c>
      <c r="CK5" s="12" t="inlineStr">
        <is>
          <t>23列目の水準</t>
        </is>
      </c>
      <c r="CL5" s="12" t="inlineStr">
        <is>
          <t>24列目の水準</t>
        </is>
      </c>
      <c r="CM5" s="12" t="inlineStr">
        <is>
          <t>25列目の水準</t>
        </is>
      </c>
      <c r="CN5" s="12" t="inlineStr">
        <is>
          <t>26列目の水準</t>
        </is>
      </c>
      <c r="CO5" s="12" t="inlineStr">
        <is>
          <t>27列目の水準</t>
        </is>
      </c>
      <c r="CP5" s="12" t="inlineStr">
        <is>
          <t>28列目の水準</t>
        </is>
      </c>
      <c r="CQ5" s="12" t="inlineStr">
        <is>
          <t>29列目の水準</t>
        </is>
      </c>
      <c r="CR5" s="12" t="inlineStr">
        <is>
          <t>30列目の水準</t>
        </is>
      </c>
      <c r="CS5" s="12" t="inlineStr">
        <is>
          <t>31列目の水準</t>
        </is>
      </c>
      <c r="CT5" s="12" t="inlineStr">
        <is>
          <t>32列目の水準</t>
        </is>
      </c>
      <c r="CU5" s="12" t="inlineStr">
        <is>
          <t>33列目の水準</t>
        </is>
      </c>
      <c r="CV5" s="12" t="inlineStr">
        <is>
          <t>34列目の水準</t>
        </is>
      </c>
      <c r="CW5" s="12" t="inlineStr">
        <is>
          <t>35列目の水準</t>
        </is>
      </c>
      <c r="CX5" s="12" t="inlineStr">
        <is>
          <t>36列目の水準</t>
        </is>
      </c>
      <c r="CY5" s="12" t="inlineStr">
        <is>
          <t>37列目の水準</t>
        </is>
      </c>
      <c r="CZ5" s="12" t="inlineStr">
        <is>
          <t>38列目の水準</t>
        </is>
      </c>
      <c r="DA5" s="12" t="inlineStr">
        <is>
          <t>39列目の水準</t>
        </is>
      </c>
      <c r="DB5" s="12" t="inlineStr">
        <is>
          <t>40列目の水準</t>
        </is>
      </c>
      <c r="DC5" s="12" t="inlineStr">
        <is>
          <t>41列目の水準</t>
        </is>
      </c>
      <c r="DD5" s="12" t="inlineStr">
        <is>
          <t>42列目の水準</t>
        </is>
      </c>
      <c r="DE5" s="12" t="inlineStr">
        <is>
          <t>43列目の水準</t>
        </is>
      </c>
      <c r="DF5" s="12" t="inlineStr">
        <is>
          <t>44列目の水準</t>
        </is>
      </c>
      <c r="DG5" s="12" t="inlineStr">
        <is>
          <t>45列目の水準</t>
        </is>
      </c>
      <c r="DH5" s="12" t="inlineStr">
        <is>
          <t>46列目の水準</t>
        </is>
      </c>
      <c r="DI5" s="12" t="inlineStr">
        <is>
          <t>47列目の水準</t>
        </is>
      </c>
      <c r="DJ5" s="12" t="inlineStr">
        <is>
          <t>48列目の水準</t>
        </is>
      </c>
      <c r="DK5" s="12" t="inlineStr">
        <is>
          <t>49列目の水準</t>
        </is>
      </c>
      <c r="DL5" s="12" t="inlineStr">
        <is>
          <t>50列目の水準</t>
        </is>
      </c>
      <c r="DM5" s="12" t="inlineStr">
        <is>
          <t>カテゴリ</t>
        </is>
      </c>
      <c r="DN5" s="12" t="inlineStr">
        <is>
          <t>条件ID</t>
        </is>
      </c>
    </row>
    <row r="6">
      <c r="A6" s="27" t="n"/>
      <c r="B6" s="27" t="n"/>
      <c r="C6" s="28">
        <f>IF(A6="","",$B$2)</f>
        <v/>
      </c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  <c r="AI6" s="27" t="n"/>
      <c r="AJ6" s="27" t="n"/>
      <c r="AK6" s="27" t="n"/>
      <c r="AL6" s="27" t="n"/>
      <c r="AM6" s="27" t="n"/>
      <c r="AN6" s="27" t="n"/>
      <c r="AO6" s="27" t="n"/>
      <c r="AP6" s="27" t="n"/>
      <c r="AQ6" s="27" t="n"/>
      <c r="AR6" s="27" t="n"/>
      <c r="AS6" s="27" t="n"/>
      <c r="AT6" s="27" t="n"/>
      <c r="AU6" s="27" t="n"/>
      <c r="AV6" s="27" t="n"/>
      <c r="AW6" s="27" t="n"/>
      <c r="AX6" s="27" t="n"/>
      <c r="AY6" s="27" t="n"/>
      <c r="AZ6" s="27" t="n"/>
      <c r="BA6" s="27" t="n"/>
      <c r="BB6" s="27" t="n"/>
      <c r="BC6" s="27" t="n"/>
      <c r="BD6" s="27" t="n"/>
      <c r="BE6" s="27" t="n"/>
      <c r="BF6" s="27" t="n"/>
      <c r="BG6" s="27" t="n"/>
      <c r="BH6" s="27" t="n"/>
      <c r="BI6" s="29" t="n"/>
      <c r="BJ6" s="27" t="n"/>
      <c r="BK6" s="27" t="n"/>
      <c r="BL6" s="27" t="n"/>
      <c r="BM6" s="27" t="n"/>
      <c r="BO6" s="26">
        <f>IF(G$4="","",IFERROR(INDEX('因子水準表'!$B$9:$KO$18,1,MATCH(G$4,'因子水準表'!$B$4:$KO$4,0))&amp;"",""))</f>
        <v/>
      </c>
      <c r="BP6" s="26">
        <f>IF(H$4="","",IFERROR(INDEX('因子水準表'!$B$9:$KO$18,1,MATCH(H$4,'因子水準表'!$B$4:$KO$4,0))&amp;"",""))</f>
        <v/>
      </c>
      <c r="BQ6" s="26">
        <f>IF(I$4="","",IFERROR(INDEX('因子水準表'!$B$9:$KO$18,1,MATCH(I$4,'因子水準表'!$B$4:$KO$4,0))&amp;"",""))</f>
        <v/>
      </c>
      <c r="BR6" s="26">
        <f>IF(J$4="","",IFERROR(INDEX('因子水準表'!$B$9:$KO$18,1,MATCH(J$4,'因子水準表'!$B$4:$KO$4,0))&amp;"",""))</f>
        <v/>
      </c>
      <c r="BS6" s="26">
        <f>IF(K$4="","",IFERROR(INDEX('因子水準表'!$B$9:$KO$18,1,MATCH(K$4,'因子水準表'!$B$4:$KO$4,0))&amp;"",""))</f>
        <v/>
      </c>
      <c r="BT6" s="26">
        <f>IF(L$4="","",IFERROR(INDEX('因子水準表'!$B$9:$KO$18,1,MATCH(L$4,'因子水準表'!$B$4:$KO$4,0))&amp;"",""))</f>
        <v/>
      </c>
      <c r="BU6" s="26">
        <f>IF(M$4="","",IFERROR(INDEX('因子水準表'!$B$9:$KO$18,1,MATCH(M$4,'因子水準表'!$B$4:$KO$4,0))&amp;"",""))</f>
        <v/>
      </c>
      <c r="BV6" s="26">
        <f>IF(N$4="","",IFERROR(INDEX('因子水準表'!$B$9:$KO$18,1,MATCH(N$4,'因子水準表'!$B$4:$KO$4,0))&amp;"",""))</f>
        <v/>
      </c>
      <c r="BW6" s="26">
        <f>IF(O$4="","",IFERROR(INDEX('因子水準表'!$B$9:$KO$18,1,MATCH(O$4,'因子水準表'!$B$4:$KO$4,0))&amp;"",""))</f>
        <v/>
      </c>
      <c r="BX6" s="26">
        <f>IF(P$4="","",IFERROR(INDEX('因子水準表'!$B$9:$KO$18,1,MATCH(P$4,'因子水準表'!$B$4:$KO$4,0))&amp;"",""))</f>
        <v/>
      </c>
      <c r="BY6" s="26">
        <f>IF(Q$4="","",IFERROR(INDEX('因子水準表'!$B$9:$KO$18,1,MATCH(Q$4,'因子水準表'!$B$4:$KO$4,0))&amp;"",""))</f>
        <v/>
      </c>
      <c r="BZ6" s="26">
        <f>IF(R$4="","",IFERROR(INDEX('因子水準表'!$B$9:$KO$18,1,MATCH(R$4,'因子水準表'!$B$4:$KO$4,0))&amp;"",""))</f>
        <v/>
      </c>
      <c r="CA6" s="26">
        <f>IF(S$4="","",IFERROR(INDEX('因子水準表'!$B$9:$KO$18,1,MATCH(S$4,'因子水準表'!$B$4:$KO$4,0))&amp;"",""))</f>
        <v/>
      </c>
      <c r="CB6" s="26">
        <f>IF(T$4="","",IFERROR(INDEX('因子水準表'!$B$9:$KO$18,1,MATCH(T$4,'因子水準表'!$B$4:$KO$4,0))&amp;"",""))</f>
        <v/>
      </c>
      <c r="CC6" s="26">
        <f>IF(U$4="","",IFERROR(INDEX('因子水準表'!$B$9:$KO$18,1,MATCH(U$4,'因子水準表'!$B$4:$KO$4,0))&amp;"",""))</f>
        <v/>
      </c>
      <c r="CD6" s="26">
        <f>IF(V$4="","",IFERROR(INDEX('因子水準表'!$B$9:$KO$18,1,MATCH(V$4,'因子水準表'!$B$4:$KO$4,0))&amp;"",""))</f>
        <v/>
      </c>
      <c r="CE6" s="26">
        <f>IF(W$4="","",IFERROR(INDEX('因子水準表'!$B$9:$KO$18,1,MATCH(W$4,'因子水準表'!$B$4:$KO$4,0))&amp;"",""))</f>
        <v/>
      </c>
      <c r="CF6" s="26">
        <f>IF(X$4="","",IFERROR(INDEX('因子水準表'!$B$9:$KO$18,1,MATCH(X$4,'因子水準表'!$B$4:$KO$4,0))&amp;"",""))</f>
        <v/>
      </c>
      <c r="CG6" s="26">
        <f>IF(Y$4="","",IFERROR(INDEX('因子水準表'!$B$9:$KO$18,1,MATCH(Y$4,'因子水準表'!$B$4:$KO$4,0))&amp;"",""))</f>
        <v/>
      </c>
      <c r="CH6" s="26">
        <f>IF(Z$4="","",IFERROR(INDEX('因子水準表'!$B$9:$KO$18,1,MATCH(Z$4,'因子水準表'!$B$4:$KO$4,0))&amp;"",""))</f>
        <v/>
      </c>
      <c r="CI6" s="26">
        <f>IF(AA$4="","",IFERROR(INDEX('因子水準表'!$B$9:$KO$18,1,MATCH(AA$4,'因子水準表'!$B$4:$KO$4,0))&amp;"",""))</f>
        <v/>
      </c>
      <c r="CJ6" s="26">
        <f>IF(AB$4="","",IFERROR(INDEX('因子水準表'!$B$9:$KO$18,1,MATCH(AB$4,'因子水準表'!$B$4:$KO$4,0))&amp;"",""))</f>
        <v/>
      </c>
      <c r="CK6" s="26">
        <f>IF(AC$4="","",IFERROR(INDEX('因子水準表'!$B$9:$KO$18,1,MATCH(AC$4,'因子水準表'!$B$4:$KO$4,0))&amp;"",""))</f>
        <v/>
      </c>
      <c r="CL6" s="26">
        <f>IF(AD$4="","",IFERROR(INDEX('因子水準表'!$B$9:$KO$18,1,MATCH(AD$4,'因子水準表'!$B$4:$KO$4,0))&amp;"",""))</f>
        <v/>
      </c>
      <c r="CM6" s="26">
        <f>IF(AE$4="","",IFERROR(INDEX('因子水準表'!$B$9:$KO$18,1,MATCH(AE$4,'因子水準表'!$B$4:$KO$4,0))&amp;"",""))</f>
        <v/>
      </c>
      <c r="CN6" s="26">
        <f>IF(AF$4="","",IFERROR(INDEX('因子水準表'!$B$9:$KO$18,1,MATCH(AF$4,'因子水準表'!$B$4:$KO$4,0))&amp;"",""))</f>
        <v/>
      </c>
      <c r="CO6" s="26">
        <f>IF(AG$4="","",IFERROR(INDEX('因子水準表'!$B$9:$KO$18,1,MATCH(AG$4,'因子水準表'!$B$4:$KO$4,0))&amp;"",""))</f>
        <v/>
      </c>
      <c r="CP6" s="26">
        <f>IF(AH$4="","",IFERROR(INDEX('因子水準表'!$B$9:$KO$18,1,MATCH(AH$4,'因子水準表'!$B$4:$KO$4,0))&amp;"",""))</f>
        <v/>
      </c>
      <c r="CQ6" s="26">
        <f>IF(AI$4="","",IFERROR(INDEX('因子水準表'!$B$9:$KO$18,1,MATCH(AI$4,'因子水準表'!$B$4:$KO$4,0))&amp;"",""))</f>
        <v/>
      </c>
      <c r="CR6" s="26">
        <f>IF(AJ$4="","",IFERROR(INDEX('因子水準表'!$B$9:$KO$18,1,MATCH(AJ$4,'因子水準表'!$B$4:$KO$4,0))&amp;"",""))</f>
        <v/>
      </c>
      <c r="CS6" s="26">
        <f>IF(AK$4="","",IFERROR(INDEX('因子水準表'!$B$9:$KO$18,1,MATCH(AK$4,'因子水準表'!$B$4:$KO$4,0))&amp;"",""))</f>
        <v/>
      </c>
      <c r="CT6" s="26">
        <f>IF(AL$4="","",IFERROR(INDEX('因子水準表'!$B$9:$KO$18,1,MATCH(AL$4,'因子水準表'!$B$4:$KO$4,0))&amp;"",""))</f>
        <v/>
      </c>
      <c r="CU6" s="26">
        <f>IF(AM$4="","",IFERROR(INDEX('因子水準表'!$B$9:$KO$18,1,MATCH(AM$4,'因子水準表'!$B$4:$KO$4,0))&amp;"",""))</f>
        <v/>
      </c>
      <c r="CV6" s="26">
        <f>IF(AN$4="","",IFERROR(INDEX('因子水準表'!$B$9:$KO$18,1,MATCH(AN$4,'因子水準表'!$B$4:$KO$4,0))&amp;"",""))</f>
        <v/>
      </c>
      <c r="CW6" s="26">
        <f>IF(AO$4="","",IFERROR(INDEX('因子水準表'!$B$9:$KO$18,1,MATCH(AO$4,'因子水準表'!$B$4:$KO$4,0))&amp;"",""))</f>
        <v/>
      </c>
      <c r="CX6" s="26">
        <f>IF(AP$4="","",IFERROR(INDEX('因子水準表'!$B$9:$KO$18,1,MATCH(AP$4,'因子水準表'!$B$4:$KO$4,0))&amp;"",""))</f>
        <v/>
      </c>
      <c r="CY6" s="26">
        <f>IF(AQ$4="","",IFERROR(INDEX('因子水準表'!$B$9:$KO$18,1,MATCH(AQ$4,'因子水準表'!$B$4:$KO$4,0))&amp;"",""))</f>
        <v/>
      </c>
      <c r="CZ6" s="26">
        <f>IF(AR$4="","",IFERROR(INDEX('因子水準表'!$B$9:$KO$18,1,MATCH(AR$4,'因子水準表'!$B$4:$KO$4,0))&amp;"",""))</f>
        <v/>
      </c>
      <c r="DA6" s="26">
        <f>IF(AS$4="","",IFERROR(INDEX('因子水準表'!$B$9:$KO$18,1,MATCH(AS$4,'因子水準表'!$B$4:$KO$4,0))&amp;"",""))</f>
        <v/>
      </c>
      <c r="DB6" s="26">
        <f>IF(AT$4="","",IFERROR(INDEX('因子水準表'!$B$9:$KO$18,1,MATCH(AT$4,'因子水準表'!$B$4:$KO$4,0))&amp;"",""))</f>
        <v/>
      </c>
      <c r="DC6" s="26">
        <f>IF(AU$4="","",IFERROR(INDEX('因子水準表'!$B$9:$KO$18,1,MATCH(AU$4,'因子水準表'!$B$4:$KO$4,0))&amp;"",""))</f>
        <v/>
      </c>
      <c r="DD6" s="26">
        <f>IF(AV$4="","",IFERROR(INDEX('因子水準表'!$B$9:$KO$18,1,MATCH(AV$4,'因子水準表'!$B$4:$KO$4,0))&amp;"",""))</f>
        <v/>
      </c>
      <c r="DE6" s="26">
        <f>IF(AW$4="","",IFERROR(INDEX('因子水準表'!$B$9:$KO$18,1,MATCH(AW$4,'因子水準表'!$B$4:$KO$4,0))&amp;"",""))</f>
        <v/>
      </c>
      <c r="DF6" s="26">
        <f>IF(AX$4="","",IFERROR(INDEX('因子水準表'!$B$9:$KO$18,1,MATCH(AX$4,'因子水準表'!$B$4:$KO$4,0))&amp;"",""))</f>
        <v/>
      </c>
      <c r="DG6" s="26">
        <f>IF(AY$4="","",IFERROR(INDEX('因子水準表'!$B$9:$KO$18,1,MATCH(AY$4,'因子水準表'!$B$4:$KO$4,0))&amp;"",""))</f>
        <v/>
      </c>
      <c r="DH6" s="26">
        <f>IF(AZ$4="","",IFERROR(INDEX('因子水準表'!$B$9:$KO$18,1,MATCH(AZ$4,'因子水準表'!$B$4:$KO$4,0))&amp;"",""))</f>
        <v/>
      </c>
      <c r="DI6" s="26">
        <f>IF(BA$4="","",IFERROR(INDEX('因子水準表'!$B$9:$KO$18,1,MATCH(BA$4,'因子水準表'!$B$4:$KO$4,0))&amp;"",""))</f>
        <v/>
      </c>
      <c r="DJ6" s="26">
        <f>IF(BB$4="","",IFERROR(INDEX('因子水準表'!$B$9:$KO$18,1,MATCH(BB$4,'因子水準表'!$B$4:$KO$4,0))&amp;"",""))</f>
        <v/>
      </c>
      <c r="DK6" s="26">
        <f>IF(BC$4="","",IFERROR(INDEX('因子水準表'!$B$9:$KO$18,1,MATCH(BC$4,'因子水準表'!$B$4:$KO$4,0))&amp;"",""))</f>
        <v/>
      </c>
      <c r="DL6" s="26">
        <f>IF(BD$4="","",IFERROR(INDEX('因子水準表'!$B$9:$KO$18,1,MATCH(BD$4,'因子水準表'!$B$4:$KO$4,0))&amp;"",""))</f>
        <v/>
      </c>
      <c r="DM6" s="26">
        <f>IF('因子水準表'!B29="","",'因子水準表'!B29)</f>
        <v/>
      </c>
      <c r="DN6" s="26">
        <f>IF('テスト条件'!A5="","",'テスト条件'!A5)</f>
        <v/>
      </c>
    </row>
    <row r="7">
      <c r="A7" s="27" t="n"/>
      <c r="B7" s="27" t="n"/>
      <c r="C7" s="28">
        <f>IF(A7="","",$B$2)</f>
        <v/>
      </c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7" t="n"/>
      <c r="BE7" s="27" t="n"/>
      <c r="BF7" s="27" t="n"/>
      <c r="BG7" s="27" t="n"/>
      <c r="BH7" s="27" t="n"/>
      <c r="BI7" s="29" t="n"/>
      <c r="BJ7" s="27" t="n"/>
      <c r="BK7" s="27" t="n"/>
      <c r="BL7" s="27" t="n"/>
      <c r="BM7" s="27" t="n"/>
      <c r="BO7" s="26">
        <f>IF(G$4="","",IFERROR(INDEX('因子水準表'!$B$9:$KO$18,2,MATCH(G$4,'因子水準表'!$B$4:$KO$4,0))&amp;"",""))</f>
        <v/>
      </c>
      <c r="BP7" s="26">
        <f>IF(H$4="","",IFERROR(INDEX('因子水準表'!$B$9:$KO$18,2,MATCH(H$4,'因子水準表'!$B$4:$KO$4,0))&amp;"",""))</f>
        <v/>
      </c>
      <c r="BQ7" s="26">
        <f>IF(I$4="","",IFERROR(INDEX('因子水準表'!$B$9:$KO$18,2,MATCH(I$4,'因子水準表'!$B$4:$KO$4,0))&amp;"",""))</f>
        <v/>
      </c>
      <c r="BR7" s="26">
        <f>IF(J$4="","",IFERROR(INDEX('因子水準表'!$B$9:$KO$18,2,MATCH(J$4,'因子水準表'!$B$4:$KO$4,0))&amp;"",""))</f>
        <v/>
      </c>
      <c r="BS7" s="26">
        <f>IF(K$4="","",IFERROR(INDEX('因子水準表'!$B$9:$KO$18,2,MATCH(K$4,'因子水準表'!$B$4:$KO$4,0))&amp;"",""))</f>
        <v/>
      </c>
      <c r="BT7" s="26">
        <f>IF(L$4="","",IFERROR(INDEX('因子水準表'!$B$9:$KO$18,2,MATCH(L$4,'因子水準表'!$B$4:$KO$4,0))&amp;"",""))</f>
        <v/>
      </c>
      <c r="BU7" s="26">
        <f>IF(M$4="","",IFERROR(INDEX('因子水準表'!$B$9:$KO$18,2,MATCH(M$4,'因子水準表'!$B$4:$KO$4,0))&amp;"",""))</f>
        <v/>
      </c>
      <c r="BV7" s="26">
        <f>IF(N$4="","",IFERROR(INDEX('因子水準表'!$B$9:$KO$18,2,MATCH(N$4,'因子水準表'!$B$4:$KO$4,0))&amp;"",""))</f>
        <v/>
      </c>
      <c r="BW7" s="26">
        <f>IF(O$4="","",IFERROR(INDEX('因子水準表'!$B$9:$KO$18,2,MATCH(O$4,'因子水準表'!$B$4:$KO$4,0))&amp;"",""))</f>
        <v/>
      </c>
      <c r="BX7" s="26">
        <f>IF(P$4="","",IFERROR(INDEX('因子水準表'!$B$9:$KO$18,2,MATCH(P$4,'因子水準表'!$B$4:$KO$4,0))&amp;"",""))</f>
        <v/>
      </c>
      <c r="BY7" s="26">
        <f>IF(Q$4="","",IFERROR(INDEX('因子水準表'!$B$9:$KO$18,2,MATCH(Q$4,'因子水準表'!$B$4:$KO$4,0))&amp;"",""))</f>
        <v/>
      </c>
      <c r="BZ7" s="26">
        <f>IF(R$4="","",IFERROR(INDEX('因子水準表'!$B$9:$KO$18,2,MATCH(R$4,'因子水準表'!$B$4:$KO$4,0))&amp;"",""))</f>
        <v/>
      </c>
      <c r="CA7" s="26">
        <f>IF(S$4="","",IFERROR(INDEX('因子水準表'!$B$9:$KO$18,2,MATCH(S$4,'因子水準表'!$B$4:$KO$4,0))&amp;"",""))</f>
        <v/>
      </c>
      <c r="CB7" s="26">
        <f>IF(T$4="","",IFERROR(INDEX('因子水準表'!$B$9:$KO$18,2,MATCH(T$4,'因子水準表'!$B$4:$KO$4,0))&amp;"",""))</f>
        <v/>
      </c>
      <c r="CC7" s="26">
        <f>IF(U$4="","",IFERROR(INDEX('因子水準表'!$B$9:$KO$18,2,MATCH(U$4,'因子水準表'!$B$4:$KO$4,0))&amp;"",""))</f>
        <v/>
      </c>
      <c r="CD7" s="26">
        <f>IF(V$4="","",IFERROR(INDEX('因子水準表'!$B$9:$KO$18,2,MATCH(V$4,'因子水準表'!$B$4:$KO$4,0))&amp;"",""))</f>
        <v/>
      </c>
      <c r="CE7" s="26">
        <f>IF(W$4="","",IFERROR(INDEX('因子水準表'!$B$9:$KO$18,2,MATCH(W$4,'因子水準表'!$B$4:$KO$4,0))&amp;"",""))</f>
        <v/>
      </c>
      <c r="CF7" s="26">
        <f>IF(X$4="","",IFERROR(INDEX('因子水準表'!$B$9:$KO$18,2,MATCH(X$4,'因子水準表'!$B$4:$KO$4,0))&amp;"",""))</f>
        <v/>
      </c>
      <c r="CG7" s="26">
        <f>IF(Y$4="","",IFERROR(INDEX('因子水準表'!$B$9:$KO$18,2,MATCH(Y$4,'因子水準表'!$B$4:$KO$4,0))&amp;"",""))</f>
        <v/>
      </c>
      <c r="CH7" s="26">
        <f>IF(Z$4="","",IFERROR(INDEX('因子水準表'!$B$9:$KO$18,2,MATCH(Z$4,'因子水準表'!$B$4:$KO$4,0))&amp;"",""))</f>
        <v/>
      </c>
      <c r="CI7" s="26">
        <f>IF(AA$4="","",IFERROR(INDEX('因子水準表'!$B$9:$KO$18,2,MATCH(AA$4,'因子水準表'!$B$4:$KO$4,0))&amp;"",""))</f>
        <v/>
      </c>
      <c r="CJ7" s="26">
        <f>IF(AB$4="","",IFERROR(INDEX('因子水準表'!$B$9:$KO$18,2,MATCH(AB$4,'因子水準表'!$B$4:$KO$4,0))&amp;"",""))</f>
        <v/>
      </c>
      <c r="CK7" s="26">
        <f>IF(AC$4="","",IFERROR(INDEX('因子水準表'!$B$9:$KO$18,2,MATCH(AC$4,'因子水準表'!$B$4:$KO$4,0))&amp;"",""))</f>
        <v/>
      </c>
      <c r="CL7" s="26">
        <f>IF(AD$4="","",IFERROR(INDEX('因子水準表'!$B$9:$KO$18,2,MATCH(AD$4,'因子水準表'!$B$4:$KO$4,0))&amp;"",""))</f>
        <v/>
      </c>
      <c r="CM7" s="26">
        <f>IF(AE$4="","",IFERROR(INDEX('因子水準表'!$B$9:$KO$18,2,MATCH(AE$4,'因子水準表'!$B$4:$KO$4,0))&amp;"",""))</f>
        <v/>
      </c>
      <c r="CN7" s="26">
        <f>IF(AF$4="","",IFERROR(INDEX('因子水準表'!$B$9:$KO$18,2,MATCH(AF$4,'因子水準表'!$B$4:$KO$4,0))&amp;"",""))</f>
        <v/>
      </c>
      <c r="CO7" s="26">
        <f>IF(AG$4="","",IFERROR(INDEX('因子水準表'!$B$9:$KO$18,2,MATCH(AG$4,'因子水準表'!$B$4:$KO$4,0))&amp;"",""))</f>
        <v/>
      </c>
      <c r="CP7" s="26">
        <f>IF(AH$4="","",IFERROR(INDEX('因子水準表'!$B$9:$KO$18,2,MATCH(AH$4,'因子水準表'!$B$4:$KO$4,0))&amp;"",""))</f>
        <v/>
      </c>
      <c r="CQ7" s="26">
        <f>IF(AI$4="","",IFERROR(INDEX('因子水準表'!$B$9:$KO$18,2,MATCH(AI$4,'因子水準表'!$B$4:$KO$4,0))&amp;"",""))</f>
        <v/>
      </c>
      <c r="CR7" s="26">
        <f>IF(AJ$4="","",IFERROR(INDEX('因子水準表'!$B$9:$KO$18,2,MATCH(AJ$4,'因子水準表'!$B$4:$KO$4,0))&amp;"",""))</f>
        <v/>
      </c>
      <c r="CS7" s="26">
        <f>IF(AK$4="","",IFERROR(INDEX('因子水準表'!$B$9:$KO$18,2,MATCH(AK$4,'因子水準表'!$B$4:$KO$4,0))&amp;"",""))</f>
        <v/>
      </c>
      <c r="CT7" s="26">
        <f>IF(AL$4="","",IFERROR(INDEX('因子水準表'!$B$9:$KO$18,2,MATCH(AL$4,'因子水準表'!$B$4:$KO$4,0))&amp;"",""))</f>
        <v/>
      </c>
      <c r="CU7" s="26">
        <f>IF(AM$4="","",IFERROR(INDEX('因子水準表'!$B$9:$KO$18,2,MATCH(AM$4,'因子水準表'!$B$4:$KO$4,0))&amp;"",""))</f>
        <v/>
      </c>
      <c r="CV7" s="26">
        <f>IF(AN$4="","",IFERROR(INDEX('因子水準表'!$B$9:$KO$18,2,MATCH(AN$4,'因子水準表'!$B$4:$KO$4,0))&amp;"",""))</f>
        <v/>
      </c>
      <c r="CW7" s="26">
        <f>IF(AO$4="","",IFERROR(INDEX('因子水準表'!$B$9:$KO$18,2,MATCH(AO$4,'因子水準表'!$B$4:$KO$4,0))&amp;"",""))</f>
        <v/>
      </c>
      <c r="CX7" s="26">
        <f>IF(AP$4="","",IFERROR(INDEX('因子水準表'!$B$9:$KO$18,2,MATCH(AP$4,'因子水準表'!$B$4:$KO$4,0))&amp;"",""))</f>
        <v/>
      </c>
      <c r="CY7" s="26">
        <f>IF(AQ$4="","",IFERROR(INDEX('因子水準表'!$B$9:$KO$18,2,MATCH(AQ$4,'因子水準表'!$B$4:$KO$4,0))&amp;"",""))</f>
        <v/>
      </c>
      <c r="CZ7" s="26">
        <f>IF(AR$4="","",IFERROR(INDEX('因子水準表'!$B$9:$KO$18,2,MATCH(AR$4,'因子水準表'!$B$4:$KO$4,0))&amp;"",""))</f>
        <v/>
      </c>
      <c r="DA7" s="26">
        <f>IF(AS$4="","",IFERROR(INDEX('因子水準表'!$B$9:$KO$18,2,MATCH(AS$4,'因子水準表'!$B$4:$KO$4,0))&amp;"",""))</f>
        <v/>
      </c>
      <c r="DB7" s="26">
        <f>IF(AT$4="","",IFERROR(INDEX('因子水準表'!$B$9:$KO$18,2,MATCH(AT$4,'因子水準表'!$B$4:$KO$4,0))&amp;"",""))</f>
        <v/>
      </c>
      <c r="DC7" s="26">
        <f>IF(AU$4="","",IFERROR(INDEX('因子水準表'!$B$9:$KO$18,2,MATCH(AU$4,'因子水準表'!$B$4:$KO$4,0))&amp;"",""))</f>
        <v/>
      </c>
      <c r="DD7" s="26">
        <f>IF(AV$4="","",IFERROR(INDEX('因子水準表'!$B$9:$KO$18,2,MATCH(AV$4,'因子水準表'!$B$4:$KO$4,0))&amp;"",""))</f>
        <v/>
      </c>
      <c r="DE7" s="26">
        <f>IF(AW$4="","",IFERROR(INDEX('因子水準表'!$B$9:$KO$18,2,MATCH(AW$4,'因子水準表'!$B$4:$KO$4,0))&amp;"",""))</f>
        <v/>
      </c>
      <c r="DF7" s="26">
        <f>IF(AX$4="","",IFERROR(INDEX('因子水準表'!$B$9:$KO$18,2,MATCH(AX$4,'因子水準表'!$B$4:$KO$4,0))&amp;"",""))</f>
        <v/>
      </c>
      <c r="DG7" s="26">
        <f>IF(AY$4="","",IFERROR(INDEX('因子水準表'!$B$9:$KO$18,2,MATCH(AY$4,'因子水準表'!$B$4:$KO$4,0))&amp;"",""))</f>
        <v/>
      </c>
      <c r="DH7" s="26">
        <f>IF(AZ$4="","",IFERROR(INDEX('因子水準表'!$B$9:$KO$18,2,MATCH(AZ$4,'因子水準表'!$B$4:$KO$4,0))&amp;"",""))</f>
        <v/>
      </c>
      <c r="DI7" s="26">
        <f>IF(BA$4="","",IFERROR(INDEX('因子水準表'!$B$9:$KO$18,2,MATCH(BA$4,'因子水準表'!$B$4:$KO$4,0))&amp;"",""))</f>
        <v/>
      </c>
      <c r="DJ7" s="26">
        <f>IF(BB$4="","",IFERROR(INDEX('因子水準表'!$B$9:$KO$18,2,MATCH(BB$4,'因子水準表'!$B$4:$KO$4,0))&amp;"",""))</f>
        <v/>
      </c>
      <c r="DK7" s="26">
        <f>IF(BC$4="","",IFERROR(INDEX('因子水準表'!$B$9:$KO$18,2,MATCH(BC$4,'因子水準表'!$B$4:$KO$4,0))&amp;"",""))</f>
        <v/>
      </c>
      <c r="DL7" s="26">
        <f>IF(BD$4="","",IFERROR(INDEX('因子水準表'!$B$9:$KO$18,2,MATCH(BD$4,'因子水準表'!$B$4:$KO$4,0))&amp;"",""))</f>
        <v/>
      </c>
      <c r="DM7" s="26">
        <f>IF('因子水準表'!B30="","",'因子水準表'!B30)</f>
        <v/>
      </c>
      <c r="DN7" s="26">
        <f>IF('テスト条件'!A6="","",'テスト条件'!A6)</f>
        <v/>
      </c>
    </row>
    <row r="8">
      <c r="A8" s="27" t="n"/>
      <c r="B8" s="27" t="n"/>
      <c r="C8" s="28">
        <f>IF(A8="","",$B$2)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  <c r="AJ8" s="27" t="n"/>
      <c r="AK8" s="27" t="n"/>
      <c r="AL8" s="27" t="n"/>
      <c r="AM8" s="27" t="n"/>
      <c r="AN8" s="27" t="n"/>
      <c r="AO8" s="27" t="n"/>
      <c r="AP8" s="27" t="n"/>
      <c r="AQ8" s="27" t="n"/>
      <c r="AR8" s="27" t="n"/>
      <c r="AS8" s="27" t="n"/>
      <c r="AT8" s="27" t="n"/>
      <c r="AU8" s="27" t="n"/>
      <c r="AV8" s="27" t="n"/>
      <c r="AW8" s="27" t="n"/>
      <c r="AX8" s="27" t="n"/>
      <c r="AY8" s="27" t="n"/>
      <c r="AZ8" s="27" t="n"/>
      <c r="BA8" s="27" t="n"/>
      <c r="BB8" s="27" t="n"/>
      <c r="BC8" s="27" t="n"/>
      <c r="BD8" s="27" t="n"/>
      <c r="BE8" s="27" t="n"/>
      <c r="BF8" s="27" t="n"/>
      <c r="BG8" s="27" t="n"/>
      <c r="BH8" s="27" t="n"/>
      <c r="BI8" s="29" t="n"/>
      <c r="BJ8" s="27" t="n"/>
      <c r="BK8" s="27" t="n"/>
      <c r="BL8" s="27" t="n"/>
      <c r="BM8" s="27" t="n"/>
      <c r="BO8" s="26">
        <f>IF(G$4="","",IFERROR(INDEX('因子水準表'!$B$9:$KO$18,3,MATCH(G$4,'因子水準表'!$B$4:$KO$4,0))&amp;"",""))</f>
        <v/>
      </c>
      <c r="BP8" s="26">
        <f>IF(H$4="","",IFERROR(INDEX('因子水準表'!$B$9:$KO$18,3,MATCH(H$4,'因子水準表'!$B$4:$KO$4,0))&amp;"",""))</f>
        <v/>
      </c>
      <c r="BQ8" s="26">
        <f>IF(I$4="","",IFERROR(INDEX('因子水準表'!$B$9:$KO$18,3,MATCH(I$4,'因子水準表'!$B$4:$KO$4,0))&amp;"",""))</f>
        <v/>
      </c>
      <c r="BR8" s="26">
        <f>IF(J$4="","",IFERROR(INDEX('因子水準表'!$B$9:$KO$18,3,MATCH(J$4,'因子水準表'!$B$4:$KO$4,0))&amp;"",""))</f>
        <v/>
      </c>
      <c r="BS8" s="26">
        <f>IF(K$4="","",IFERROR(INDEX('因子水準表'!$B$9:$KO$18,3,MATCH(K$4,'因子水準表'!$B$4:$KO$4,0))&amp;"",""))</f>
        <v/>
      </c>
      <c r="BT8" s="26">
        <f>IF(L$4="","",IFERROR(INDEX('因子水準表'!$B$9:$KO$18,3,MATCH(L$4,'因子水準表'!$B$4:$KO$4,0))&amp;"",""))</f>
        <v/>
      </c>
      <c r="BU8" s="26">
        <f>IF(M$4="","",IFERROR(INDEX('因子水準表'!$B$9:$KO$18,3,MATCH(M$4,'因子水準表'!$B$4:$KO$4,0))&amp;"",""))</f>
        <v/>
      </c>
      <c r="BV8" s="26">
        <f>IF(N$4="","",IFERROR(INDEX('因子水準表'!$B$9:$KO$18,3,MATCH(N$4,'因子水準表'!$B$4:$KO$4,0))&amp;"",""))</f>
        <v/>
      </c>
      <c r="BW8" s="26">
        <f>IF(O$4="","",IFERROR(INDEX('因子水準表'!$B$9:$KO$18,3,MATCH(O$4,'因子水準表'!$B$4:$KO$4,0))&amp;"",""))</f>
        <v/>
      </c>
      <c r="BX8" s="26">
        <f>IF(P$4="","",IFERROR(INDEX('因子水準表'!$B$9:$KO$18,3,MATCH(P$4,'因子水準表'!$B$4:$KO$4,0))&amp;"",""))</f>
        <v/>
      </c>
      <c r="BY8" s="26">
        <f>IF(Q$4="","",IFERROR(INDEX('因子水準表'!$B$9:$KO$18,3,MATCH(Q$4,'因子水準表'!$B$4:$KO$4,0))&amp;"",""))</f>
        <v/>
      </c>
      <c r="BZ8" s="26">
        <f>IF(R$4="","",IFERROR(INDEX('因子水準表'!$B$9:$KO$18,3,MATCH(R$4,'因子水準表'!$B$4:$KO$4,0))&amp;"",""))</f>
        <v/>
      </c>
      <c r="CA8" s="26">
        <f>IF(S$4="","",IFERROR(INDEX('因子水準表'!$B$9:$KO$18,3,MATCH(S$4,'因子水準表'!$B$4:$KO$4,0))&amp;"",""))</f>
        <v/>
      </c>
      <c r="CB8" s="26">
        <f>IF(T$4="","",IFERROR(INDEX('因子水準表'!$B$9:$KO$18,3,MATCH(T$4,'因子水準表'!$B$4:$KO$4,0))&amp;"",""))</f>
        <v/>
      </c>
      <c r="CC8" s="26">
        <f>IF(U$4="","",IFERROR(INDEX('因子水準表'!$B$9:$KO$18,3,MATCH(U$4,'因子水準表'!$B$4:$KO$4,0))&amp;"",""))</f>
        <v/>
      </c>
      <c r="CD8" s="26">
        <f>IF(V$4="","",IFERROR(INDEX('因子水準表'!$B$9:$KO$18,3,MATCH(V$4,'因子水準表'!$B$4:$KO$4,0))&amp;"",""))</f>
        <v/>
      </c>
      <c r="CE8" s="26">
        <f>IF(W$4="","",IFERROR(INDEX('因子水準表'!$B$9:$KO$18,3,MATCH(W$4,'因子水準表'!$B$4:$KO$4,0))&amp;"",""))</f>
        <v/>
      </c>
      <c r="CF8" s="26">
        <f>IF(X$4="","",IFERROR(INDEX('因子水準表'!$B$9:$KO$18,3,MATCH(X$4,'因子水準表'!$B$4:$KO$4,0))&amp;"",""))</f>
        <v/>
      </c>
      <c r="CG8" s="26">
        <f>IF(Y$4="","",IFERROR(INDEX('因子水準表'!$B$9:$KO$18,3,MATCH(Y$4,'因子水準表'!$B$4:$KO$4,0))&amp;"",""))</f>
        <v/>
      </c>
      <c r="CH8" s="26">
        <f>IF(Z$4="","",IFERROR(INDEX('因子水準表'!$B$9:$KO$18,3,MATCH(Z$4,'因子水準表'!$B$4:$KO$4,0))&amp;"",""))</f>
        <v/>
      </c>
      <c r="CI8" s="26">
        <f>IF(AA$4="","",IFERROR(INDEX('因子水準表'!$B$9:$KO$18,3,MATCH(AA$4,'因子水準表'!$B$4:$KO$4,0))&amp;"",""))</f>
        <v/>
      </c>
      <c r="CJ8" s="26">
        <f>IF(AB$4="","",IFERROR(INDEX('因子水準表'!$B$9:$KO$18,3,MATCH(AB$4,'因子水準表'!$B$4:$KO$4,0))&amp;"",""))</f>
        <v/>
      </c>
      <c r="CK8" s="26">
        <f>IF(AC$4="","",IFERROR(INDEX('因子水準表'!$B$9:$KO$18,3,MATCH(AC$4,'因子水準表'!$B$4:$KO$4,0))&amp;"",""))</f>
        <v/>
      </c>
      <c r="CL8" s="26">
        <f>IF(AD$4="","",IFERROR(INDEX('因子水準表'!$B$9:$KO$18,3,MATCH(AD$4,'因子水準表'!$B$4:$KO$4,0))&amp;"",""))</f>
        <v/>
      </c>
      <c r="CM8" s="26">
        <f>IF(AE$4="","",IFERROR(INDEX('因子水準表'!$B$9:$KO$18,3,MATCH(AE$4,'因子水準表'!$B$4:$KO$4,0))&amp;"",""))</f>
        <v/>
      </c>
      <c r="CN8" s="26">
        <f>IF(AF$4="","",IFERROR(INDEX('因子水準表'!$B$9:$KO$18,3,MATCH(AF$4,'因子水準表'!$B$4:$KO$4,0))&amp;"",""))</f>
        <v/>
      </c>
      <c r="CO8" s="26">
        <f>IF(AG$4="","",IFERROR(INDEX('因子水準表'!$B$9:$KO$18,3,MATCH(AG$4,'因子水準表'!$B$4:$KO$4,0))&amp;"",""))</f>
        <v/>
      </c>
      <c r="CP8" s="26">
        <f>IF(AH$4="","",IFERROR(INDEX('因子水準表'!$B$9:$KO$18,3,MATCH(AH$4,'因子水準表'!$B$4:$KO$4,0))&amp;"",""))</f>
        <v/>
      </c>
      <c r="CQ8" s="26">
        <f>IF(AI$4="","",IFERROR(INDEX('因子水準表'!$B$9:$KO$18,3,MATCH(AI$4,'因子水準表'!$B$4:$KO$4,0))&amp;"",""))</f>
        <v/>
      </c>
      <c r="CR8" s="26">
        <f>IF(AJ$4="","",IFERROR(INDEX('因子水準表'!$B$9:$KO$18,3,MATCH(AJ$4,'因子水準表'!$B$4:$KO$4,0))&amp;"",""))</f>
        <v/>
      </c>
      <c r="CS8" s="26">
        <f>IF(AK$4="","",IFERROR(INDEX('因子水準表'!$B$9:$KO$18,3,MATCH(AK$4,'因子水準表'!$B$4:$KO$4,0))&amp;"",""))</f>
        <v/>
      </c>
      <c r="CT8" s="26">
        <f>IF(AL$4="","",IFERROR(INDEX('因子水準表'!$B$9:$KO$18,3,MATCH(AL$4,'因子水準表'!$B$4:$KO$4,0))&amp;"",""))</f>
        <v/>
      </c>
      <c r="CU8" s="26">
        <f>IF(AM$4="","",IFERROR(INDEX('因子水準表'!$B$9:$KO$18,3,MATCH(AM$4,'因子水準表'!$B$4:$KO$4,0))&amp;"",""))</f>
        <v/>
      </c>
      <c r="CV8" s="26">
        <f>IF(AN$4="","",IFERROR(INDEX('因子水準表'!$B$9:$KO$18,3,MATCH(AN$4,'因子水準表'!$B$4:$KO$4,0))&amp;"",""))</f>
        <v/>
      </c>
      <c r="CW8" s="26">
        <f>IF(AO$4="","",IFERROR(INDEX('因子水準表'!$B$9:$KO$18,3,MATCH(AO$4,'因子水準表'!$B$4:$KO$4,0))&amp;"",""))</f>
        <v/>
      </c>
      <c r="CX8" s="26">
        <f>IF(AP$4="","",IFERROR(INDEX('因子水準表'!$B$9:$KO$18,3,MATCH(AP$4,'因子水準表'!$B$4:$KO$4,0))&amp;"",""))</f>
        <v/>
      </c>
      <c r="CY8" s="26">
        <f>IF(AQ$4="","",IFERROR(INDEX('因子水準表'!$B$9:$KO$18,3,MATCH(AQ$4,'因子水準表'!$B$4:$KO$4,0))&amp;"",""))</f>
        <v/>
      </c>
      <c r="CZ8" s="26">
        <f>IF(AR$4="","",IFERROR(INDEX('因子水準表'!$B$9:$KO$18,3,MATCH(AR$4,'因子水準表'!$B$4:$KO$4,0))&amp;"",""))</f>
        <v/>
      </c>
      <c r="DA8" s="26">
        <f>IF(AS$4="","",IFERROR(INDEX('因子水準表'!$B$9:$KO$18,3,MATCH(AS$4,'因子水準表'!$B$4:$KO$4,0))&amp;"",""))</f>
        <v/>
      </c>
      <c r="DB8" s="26">
        <f>IF(AT$4="","",IFERROR(INDEX('因子水準表'!$B$9:$KO$18,3,MATCH(AT$4,'因子水準表'!$B$4:$KO$4,0))&amp;"",""))</f>
        <v/>
      </c>
      <c r="DC8" s="26">
        <f>IF(AU$4="","",IFERROR(INDEX('因子水準表'!$B$9:$KO$18,3,MATCH(AU$4,'因子水準表'!$B$4:$KO$4,0))&amp;"",""))</f>
        <v/>
      </c>
      <c r="DD8" s="26">
        <f>IF(AV$4="","",IFERROR(INDEX('因子水準表'!$B$9:$KO$18,3,MATCH(AV$4,'因子水準表'!$B$4:$KO$4,0))&amp;"",""))</f>
        <v/>
      </c>
      <c r="DE8" s="26">
        <f>IF(AW$4="","",IFERROR(INDEX('因子水準表'!$B$9:$KO$18,3,MATCH(AW$4,'因子水準表'!$B$4:$KO$4,0))&amp;"",""))</f>
        <v/>
      </c>
      <c r="DF8" s="26">
        <f>IF(AX$4="","",IFERROR(INDEX('因子水準表'!$B$9:$KO$18,3,MATCH(AX$4,'因子水準表'!$B$4:$KO$4,0))&amp;"",""))</f>
        <v/>
      </c>
      <c r="DG8" s="26">
        <f>IF(AY$4="","",IFERROR(INDEX('因子水準表'!$B$9:$KO$18,3,MATCH(AY$4,'因子水準表'!$B$4:$KO$4,0))&amp;"",""))</f>
        <v/>
      </c>
      <c r="DH8" s="26">
        <f>IF(AZ$4="","",IFERROR(INDEX('因子水準表'!$B$9:$KO$18,3,MATCH(AZ$4,'因子水準表'!$B$4:$KO$4,0))&amp;"",""))</f>
        <v/>
      </c>
      <c r="DI8" s="26">
        <f>IF(BA$4="","",IFERROR(INDEX('因子水準表'!$B$9:$KO$18,3,MATCH(BA$4,'因子水準表'!$B$4:$KO$4,0))&amp;"",""))</f>
        <v/>
      </c>
      <c r="DJ8" s="26">
        <f>IF(BB$4="","",IFERROR(INDEX('因子水準表'!$B$9:$KO$18,3,MATCH(BB$4,'因子水準表'!$B$4:$KO$4,0))&amp;"",""))</f>
        <v/>
      </c>
      <c r="DK8" s="26">
        <f>IF(BC$4="","",IFERROR(INDEX('因子水準表'!$B$9:$KO$18,3,MATCH(BC$4,'因子水準表'!$B$4:$KO$4,0))&amp;"",""))</f>
        <v/>
      </c>
      <c r="DL8" s="26">
        <f>IF(BD$4="","",IFERROR(INDEX('因子水準表'!$B$9:$KO$18,3,MATCH(BD$4,'因子水準表'!$B$4:$KO$4,0))&amp;"",""))</f>
        <v/>
      </c>
      <c r="DM8" s="26">
        <f>IF('因子水準表'!B31="","",'因子水準表'!B31)</f>
        <v/>
      </c>
      <c r="DN8" s="26">
        <f>IF('テスト条件'!A7="","",'テスト条件'!A7)</f>
        <v/>
      </c>
    </row>
    <row r="9">
      <c r="A9" s="27" t="n"/>
      <c r="B9" s="27" t="n"/>
      <c r="C9" s="28">
        <f>IF(A9="","",$B$2)</f>
        <v/>
      </c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  <c r="AA9" s="27" t="n"/>
      <c r="AB9" s="27" t="n"/>
      <c r="AC9" s="27" t="n"/>
      <c r="AD9" s="27" t="n"/>
      <c r="AE9" s="27" t="n"/>
      <c r="AF9" s="27" t="n"/>
      <c r="AG9" s="27" t="n"/>
      <c r="AH9" s="27" t="n"/>
      <c r="AI9" s="27" t="n"/>
      <c r="AJ9" s="27" t="n"/>
      <c r="AK9" s="27" t="n"/>
      <c r="AL9" s="27" t="n"/>
      <c r="AM9" s="27" t="n"/>
      <c r="AN9" s="27" t="n"/>
      <c r="AO9" s="27" t="n"/>
      <c r="AP9" s="27" t="n"/>
      <c r="AQ9" s="27" t="n"/>
      <c r="AR9" s="27" t="n"/>
      <c r="AS9" s="27" t="n"/>
      <c r="AT9" s="27" t="n"/>
      <c r="AU9" s="27" t="n"/>
      <c r="AV9" s="27" t="n"/>
      <c r="AW9" s="27" t="n"/>
      <c r="AX9" s="27" t="n"/>
      <c r="AY9" s="27" t="n"/>
      <c r="AZ9" s="27" t="n"/>
      <c r="BA9" s="27" t="n"/>
      <c r="BB9" s="27" t="n"/>
      <c r="BC9" s="27" t="n"/>
      <c r="BD9" s="27" t="n"/>
      <c r="BE9" s="27" t="n"/>
      <c r="BF9" s="27" t="n"/>
      <c r="BG9" s="27" t="n"/>
      <c r="BH9" s="27" t="n"/>
      <c r="BI9" s="29" t="n"/>
      <c r="BJ9" s="27" t="n"/>
      <c r="BK9" s="27" t="n"/>
      <c r="BL9" s="27" t="n"/>
      <c r="BM9" s="27" t="n"/>
      <c r="BO9" s="26">
        <f>IF(G$4="","",IFERROR(INDEX('因子水準表'!$B$9:$KO$18,4,MATCH(G$4,'因子水準表'!$B$4:$KO$4,0))&amp;"",""))</f>
        <v/>
      </c>
      <c r="BP9" s="26">
        <f>IF(H$4="","",IFERROR(INDEX('因子水準表'!$B$9:$KO$18,4,MATCH(H$4,'因子水準表'!$B$4:$KO$4,0))&amp;"",""))</f>
        <v/>
      </c>
      <c r="BQ9" s="26">
        <f>IF(I$4="","",IFERROR(INDEX('因子水準表'!$B$9:$KO$18,4,MATCH(I$4,'因子水準表'!$B$4:$KO$4,0))&amp;"",""))</f>
        <v/>
      </c>
      <c r="BR9" s="26">
        <f>IF(J$4="","",IFERROR(INDEX('因子水準表'!$B$9:$KO$18,4,MATCH(J$4,'因子水準表'!$B$4:$KO$4,0))&amp;"",""))</f>
        <v/>
      </c>
      <c r="BS9" s="26">
        <f>IF(K$4="","",IFERROR(INDEX('因子水準表'!$B$9:$KO$18,4,MATCH(K$4,'因子水準表'!$B$4:$KO$4,0))&amp;"",""))</f>
        <v/>
      </c>
      <c r="BT9" s="26">
        <f>IF(L$4="","",IFERROR(INDEX('因子水準表'!$B$9:$KO$18,4,MATCH(L$4,'因子水準表'!$B$4:$KO$4,0))&amp;"",""))</f>
        <v/>
      </c>
      <c r="BU9" s="26">
        <f>IF(M$4="","",IFERROR(INDEX('因子水準表'!$B$9:$KO$18,4,MATCH(M$4,'因子水準表'!$B$4:$KO$4,0))&amp;"",""))</f>
        <v/>
      </c>
      <c r="BV9" s="26">
        <f>IF(N$4="","",IFERROR(INDEX('因子水準表'!$B$9:$KO$18,4,MATCH(N$4,'因子水準表'!$B$4:$KO$4,0))&amp;"",""))</f>
        <v/>
      </c>
      <c r="BW9" s="26">
        <f>IF(O$4="","",IFERROR(INDEX('因子水準表'!$B$9:$KO$18,4,MATCH(O$4,'因子水準表'!$B$4:$KO$4,0))&amp;"",""))</f>
        <v/>
      </c>
      <c r="BX9" s="26">
        <f>IF(P$4="","",IFERROR(INDEX('因子水準表'!$B$9:$KO$18,4,MATCH(P$4,'因子水準表'!$B$4:$KO$4,0))&amp;"",""))</f>
        <v/>
      </c>
      <c r="BY9" s="26">
        <f>IF(Q$4="","",IFERROR(INDEX('因子水準表'!$B$9:$KO$18,4,MATCH(Q$4,'因子水準表'!$B$4:$KO$4,0))&amp;"",""))</f>
        <v/>
      </c>
      <c r="BZ9" s="26">
        <f>IF(R$4="","",IFERROR(INDEX('因子水準表'!$B$9:$KO$18,4,MATCH(R$4,'因子水準表'!$B$4:$KO$4,0))&amp;"",""))</f>
        <v/>
      </c>
      <c r="CA9" s="26">
        <f>IF(S$4="","",IFERROR(INDEX('因子水準表'!$B$9:$KO$18,4,MATCH(S$4,'因子水準表'!$B$4:$KO$4,0))&amp;"",""))</f>
        <v/>
      </c>
      <c r="CB9" s="26">
        <f>IF(T$4="","",IFERROR(INDEX('因子水準表'!$B$9:$KO$18,4,MATCH(T$4,'因子水準表'!$B$4:$KO$4,0))&amp;"",""))</f>
        <v/>
      </c>
      <c r="CC9" s="26">
        <f>IF(U$4="","",IFERROR(INDEX('因子水準表'!$B$9:$KO$18,4,MATCH(U$4,'因子水準表'!$B$4:$KO$4,0))&amp;"",""))</f>
        <v/>
      </c>
      <c r="CD9" s="26">
        <f>IF(V$4="","",IFERROR(INDEX('因子水準表'!$B$9:$KO$18,4,MATCH(V$4,'因子水準表'!$B$4:$KO$4,0))&amp;"",""))</f>
        <v/>
      </c>
      <c r="CE9" s="26">
        <f>IF(W$4="","",IFERROR(INDEX('因子水準表'!$B$9:$KO$18,4,MATCH(W$4,'因子水準表'!$B$4:$KO$4,0))&amp;"",""))</f>
        <v/>
      </c>
      <c r="CF9" s="26">
        <f>IF(X$4="","",IFERROR(INDEX('因子水準表'!$B$9:$KO$18,4,MATCH(X$4,'因子水準表'!$B$4:$KO$4,0))&amp;"",""))</f>
        <v/>
      </c>
      <c r="CG9" s="26">
        <f>IF(Y$4="","",IFERROR(INDEX('因子水準表'!$B$9:$KO$18,4,MATCH(Y$4,'因子水準表'!$B$4:$KO$4,0))&amp;"",""))</f>
        <v/>
      </c>
      <c r="CH9" s="26">
        <f>IF(Z$4="","",IFERROR(INDEX('因子水準表'!$B$9:$KO$18,4,MATCH(Z$4,'因子水準表'!$B$4:$KO$4,0))&amp;"",""))</f>
        <v/>
      </c>
      <c r="CI9" s="26">
        <f>IF(AA$4="","",IFERROR(INDEX('因子水準表'!$B$9:$KO$18,4,MATCH(AA$4,'因子水準表'!$B$4:$KO$4,0))&amp;"",""))</f>
        <v/>
      </c>
      <c r="CJ9" s="26">
        <f>IF(AB$4="","",IFERROR(INDEX('因子水準表'!$B$9:$KO$18,4,MATCH(AB$4,'因子水準表'!$B$4:$KO$4,0))&amp;"",""))</f>
        <v/>
      </c>
      <c r="CK9" s="26">
        <f>IF(AC$4="","",IFERROR(INDEX('因子水準表'!$B$9:$KO$18,4,MATCH(AC$4,'因子水準表'!$B$4:$KO$4,0))&amp;"",""))</f>
        <v/>
      </c>
      <c r="CL9" s="26">
        <f>IF(AD$4="","",IFERROR(INDEX('因子水準表'!$B$9:$KO$18,4,MATCH(AD$4,'因子水準表'!$B$4:$KO$4,0))&amp;"",""))</f>
        <v/>
      </c>
      <c r="CM9" s="26">
        <f>IF(AE$4="","",IFERROR(INDEX('因子水準表'!$B$9:$KO$18,4,MATCH(AE$4,'因子水準表'!$B$4:$KO$4,0))&amp;"",""))</f>
        <v/>
      </c>
      <c r="CN9" s="26">
        <f>IF(AF$4="","",IFERROR(INDEX('因子水準表'!$B$9:$KO$18,4,MATCH(AF$4,'因子水準表'!$B$4:$KO$4,0))&amp;"",""))</f>
        <v/>
      </c>
      <c r="CO9" s="26">
        <f>IF(AG$4="","",IFERROR(INDEX('因子水準表'!$B$9:$KO$18,4,MATCH(AG$4,'因子水準表'!$B$4:$KO$4,0))&amp;"",""))</f>
        <v/>
      </c>
      <c r="CP9" s="26">
        <f>IF(AH$4="","",IFERROR(INDEX('因子水準表'!$B$9:$KO$18,4,MATCH(AH$4,'因子水準表'!$B$4:$KO$4,0))&amp;"",""))</f>
        <v/>
      </c>
      <c r="CQ9" s="26">
        <f>IF(AI$4="","",IFERROR(INDEX('因子水準表'!$B$9:$KO$18,4,MATCH(AI$4,'因子水準表'!$B$4:$KO$4,0))&amp;"",""))</f>
        <v/>
      </c>
      <c r="CR9" s="26">
        <f>IF(AJ$4="","",IFERROR(INDEX('因子水準表'!$B$9:$KO$18,4,MATCH(AJ$4,'因子水準表'!$B$4:$KO$4,0))&amp;"",""))</f>
        <v/>
      </c>
      <c r="CS9" s="26">
        <f>IF(AK$4="","",IFERROR(INDEX('因子水準表'!$B$9:$KO$18,4,MATCH(AK$4,'因子水準表'!$B$4:$KO$4,0))&amp;"",""))</f>
        <v/>
      </c>
      <c r="CT9" s="26">
        <f>IF(AL$4="","",IFERROR(INDEX('因子水準表'!$B$9:$KO$18,4,MATCH(AL$4,'因子水準表'!$B$4:$KO$4,0))&amp;"",""))</f>
        <v/>
      </c>
      <c r="CU9" s="26">
        <f>IF(AM$4="","",IFERROR(INDEX('因子水準表'!$B$9:$KO$18,4,MATCH(AM$4,'因子水準表'!$B$4:$KO$4,0))&amp;"",""))</f>
        <v/>
      </c>
      <c r="CV9" s="26">
        <f>IF(AN$4="","",IFERROR(INDEX('因子水準表'!$B$9:$KO$18,4,MATCH(AN$4,'因子水準表'!$B$4:$KO$4,0))&amp;"",""))</f>
        <v/>
      </c>
      <c r="CW9" s="26">
        <f>IF(AO$4="","",IFERROR(INDEX('因子水準表'!$B$9:$KO$18,4,MATCH(AO$4,'因子水準表'!$B$4:$KO$4,0))&amp;"",""))</f>
        <v/>
      </c>
      <c r="CX9" s="26">
        <f>IF(AP$4="","",IFERROR(INDEX('因子水準表'!$B$9:$KO$18,4,MATCH(AP$4,'因子水準表'!$B$4:$KO$4,0))&amp;"",""))</f>
        <v/>
      </c>
      <c r="CY9" s="26">
        <f>IF(AQ$4="","",IFERROR(INDEX('因子水準表'!$B$9:$KO$18,4,MATCH(AQ$4,'因子水準表'!$B$4:$KO$4,0))&amp;"",""))</f>
        <v/>
      </c>
      <c r="CZ9" s="26">
        <f>IF(AR$4="","",IFERROR(INDEX('因子水準表'!$B$9:$KO$18,4,MATCH(AR$4,'因子水準表'!$B$4:$KO$4,0))&amp;"",""))</f>
        <v/>
      </c>
      <c r="DA9" s="26">
        <f>IF(AS$4="","",IFERROR(INDEX('因子水準表'!$B$9:$KO$18,4,MATCH(AS$4,'因子水準表'!$B$4:$KO$4,0))&amp;"",""))</f>
        <v/>
      </c>
      <c r="DB9" s="26">
        <f>IF(AT$4="","",IFERROR(INDEX('因子水準表'!$B$9:$KO$18,4,MATCH(AT$4,'因子水準表'!$B$4:$KO$4,0))&amp;"",""))</f>
        <v/>
      </c>
      <c r="DC9" s="26">
        <f>IF(AU$4="","",IFERROR(INDEX('因子水準表'!$B$9:$KO$18,4,MATCH(AU$4,'因子水準表'!$B$4:$KO$4,0))&amp;"",""))</f>
        <v/>
      </c>
      <c r="DD9" s="26">
        <f>IF(AV$4="","",IFERROR(INDEX('因子水準表'!$B$9:$KO$18,4,MATCH(AV$4,'因子水準表'!$B$4:$KO$4,0))&amp;"",""))</f>
        <v/>
      </c>
      <c r="DE9" s="26">
        <f>IF(AW$4="","",IFERROR(INDEX('因子水準表'!$B$9:$KO$18,4,MATCH(AW$4,'因子水準表'!$B$4:$KO$4,0))&amp;"",""))</f>
        <v/>
      </c>
      <c r="DF9" s="26">
        <f>IF(AX$4="","",IFERROR(INDEX('因子水準表'!$B$9:$KO$18,4,MATCH(AX$4,'因子水準表'!$B$4:$KO$4,0))&amp;"",""))</f>
        <v/>
      </c>
      <c r="DG9" s="26">
        <f>IF(AY$4="","",IFERROR(INDEX('因子水準表'!$B$9:$KO$18,4,MATCH(AY$4,'因子水準表'!$B$4:$KO$4,0))&amp;"",""))</f>
        <v/>
      </c>
      <c r="DH9" s="26">
        <f>IF(AZ$4="","",IFERROR(INDEX('因子水準表'!$B$9:$KO$18,4,MATCH(AZ$4,'因子水準表'!$B$4:$KO$4,0))&amp;"",""))</f>
        <v/>
      </c>
      <c r="DI9" s="26">
        <f>IF(BA$4="","",IFERROR(INDEX('因子水準表'!$B$9:$KO$18,4,MATCH(BA$4,'因子水準表'!$B$4:$KO$4,0))&amp;"",""))</f>
        <v/>
      </c>
      <c r="DJ9" s="26">
        <f>IF(BB$4="","",IFERROR(INDEX('因子水準表'!$B$9:$KO$18,4,MATCH(BB$4,'因子水準表'!$B$4:$KO$4,0))&amp;"",""))</f>
        <v/>
      </c>
      <c r="DK9" s="26">
        <f>IF(BC$4="","",IFERROR(INDEX('因子水準表'!$B$9:$KO$18,4,MATCH(BC$4,'因子水準表'!$B$4:$KO$4,0))&amp;"",""))</f>
        <v/>
      </c>
      <c r="DL9" s="26">
        <f>IF(BD$4="","",IFERROR(INDEX('因子水準表'!$B$9:$KO$18,4,MATCH(BD$4,'因子水準表'!$B$4:$KO$4,0))&amp;"",""))</f>
        <v/>
      </c>
      <c r="DM9" s="26">
        <f>IF('因子水準表'!B32="","",'因子水準表'!B32)</f>
        <v/>
      </c>
      <c r="DN9" s="26">
        <f>IF('テスト条件'!A8="","",'テスト条件'!A8)</f>
        <v/>
      </c>
    </row>
    <row r="10">
      <c r="A10" s="27" t="n"/>
      <c r="B10" s="27" t="n"/>
      <c r="C10" s="28">
        <f>IF(A10="","",$B$2)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  <c r="AI10" s="27" t="n"/>
      <c r="AJ10" s="27" t="n"/>
      <c r="AK10" s="27" t="n"/>
      <c r="AL10" s="27" t="n"/>
      <c r="AM10" s="27" t="n"/>
      <c r="AN10" s="27" t="n"/>
      <c r="AO10" s="27" t="n"/>
      <c r="AP10" s="27" t="n"/>
      <c r="AQ10" s="27" t="n"/>
      <c r="AR10" s="27" t="n"/>
      <c r="AS10" s="27" t="n"/>
      <c r="AT10" s="27" t="n"/>
      <c r="AU10" s="27" t="n"/>
      <c r="AV10" s="27" t="n"/>
      <c r="AW10" s="27" t="n"/>
      <c r="AX10" s="27" t="n"/>
      <c r="AY10" s="27" t="n"/>
      <c r="AZ10" s="27" t="n"/>
      <c r="BA10" s="27" t="n"/>
      <c r="BB10" s="27" t="n"/>
      <c r="BC10" s="27" t="n"/>
      <c r="BD10" s="27" t="n"/>
      <c r="BE10" s="27" t="n"/>
      <c r="BF10" s="27" t="n"/>
      <c r="BG10" s="27" t="n"/>
      <c r="BH10" s="27" t="n"/>
      <c r="BI10" s="29" t="n"/>
      <c r="BJ10" s="27" t="n"/>
      <c r="BK10" s="27" t="n"/>
      <c r="BL10" s="27" t="n"/>
      <c r="BM10" s="27" t="n"/>
      <c r="BO10" s="26">
        <f>IF(G$4="","",IFERROR(INDEX('因子水準表'!$B$9:$KO$18,5,MATCH(G$4,'因子水準表'!$B$4:$KO$4,0))&amp;"",""))</f>
        <v/>
      </c>
      <c r="BP10" s="26">
        <f>IF(H$4="","",IFERROR(INDEX('因子水準表'!$B$9:$KO$18,5,MATCH(H$4,'因子水準表'!$B$4:$KO$4,0))&amp;"",""))</f>
        <v/>
      </c>
      <c r="BQ10" s="26">
        <f>IF(I$4="","",IFERROR(INDEX('因子水準表'!$B$9:$KO$18,5,MATCH(I$4,'因子水準表'!$B$4:$KO$4,0))&amp;"",""))</f>
        <v/>
      </c>
      <c r="BR10" s="26">
        <f>IF(J$4="","",IFERROR(INDEX('因子水準表'!$B$9:$KO$18,5,MATCH(J$4,'因子水準表'!$B$4:$KO$4,0))&amp;"",""))</f>
        <v/>
      </c>
      <c r="BS10" s="26">
        <f>IF(K$4="","",IFERROR(INDEX('因子水準表'!$B$9:$KO$18,5,MATCH(K$4,'因子水準表'!$B$4:$KO$4,0))&amp;"",""))</f>
        <v/>
      </c>
      <c r="BT10" s="26">
        <f>IF(L$4="","",IFERROR(INDEX('因子水準表'!$B$9:$KO$18,5,MATCH(L$4,'因子水準表'!$B$4:$KO$4,0))&amp;"",""))</f>
        <v/>
      </c>
      <c r="BU10" s="26">
        <f>IF(M$4="","",IFERROR(INDEX('因子水準表'!$B$9:$KO$18,5,MATCH(M$4,'因子水準表'!$B$4:$KO$4,0))&amp;"",""))</f>
        <v/>
      </c>
      <c r="BV10" s="26">
        <f>IF(N$4="","",IFERROR(INDEX('因子水準表'!$B$9:$KO$18,5,MATCH(N$4,'因子水準表'!$B$4:$KO$4,0))&amp;"",""))</f>
        <v/>
      </c>
      <c r="BW10" s="26">
        <f>IF(O$4="","",IFERROR(INDEX('因子水準表'!$B$9:$KO$18,5,MATCH(O$4,'因子水準表'!$B$4:$KO$4,0))&amp;"",""))</f>
        <v/>
      </c>
      <c r="BX10" s="26">
        <f>IF(P$4="","",IFERROR(INDEX('因子水準表'!$B$9:$KO$18,5,MATCH(P$4,'因子水準表'!$B$4:$KO$4,0))&amp;"",""))</f>
        <v/>
      </c>
      <c r="BY10" s="26">
        <f>IF(Q$4="","",IFERROR(INDEX('因子水準表'!$B$9:$KO$18,5,MATCH(Q$4,'因子水準表'!$B$4:$KO$4,0))&amp;"",""))</f>
        <v/>
      </c>
      <c r="BZ10" s="26">
        <f>IF(R$4="","",IFERROR(INDEX('因子水準表'!$B$9:$KO$18,5,MATCH(R$4,'因子水準表'!$B$4:$KO$4,0))&amp;"",""))</f>
        <v/>
      </c>
      <c r="CA10" s="26">
        <f>IF(S$4="","",IFERROR(INDEX('因子水準表'!$B$9:$KO$18,5,MATCH(S$4,'因子水準表'!$B$4:$KO$4,0))&amp;"",""))</f>
        <v/>
      </c>
      <c r="CB10" s="26">
        <f>IF(T$4="","",IFERROR(INDEX('因子水準表'!$B$9:$KO$18,5,MATCH(T$4,'因子水準表'!$B$4:$KO$4,0))&amp;"",""))</f>
        <v/>
      </c>
      <c r="CC10" s="26">
        <f>IF(U$4="","",IFERROR(INDEX('因子水準表'!$B$9:$KO$18,5,MATCH(U$4,'因子水準表'!$B$4:$KO$4,0))&amp;"",""))</f>
        <v/>
      </c>
      <c r="CD10" s="26">
        <f>IF(V$4="","",IFERROR(INDEX('因子水準表'!$B$9:$KO$18,5,MATCH(V$4,'因子水準表'!$B$4:$KO$4,0))&amp;"",""))</f>
        <v/>
      </c>
      <c r="CE10" s="26">
        <f>IF(W$4="","",IFERROR(INDEX('因子水準表'!$B$9:$KO$18,5,MATCH(W$4,'因子水準表'!$B$4:$KO$4,0))&amp;"",""))</f>
        <v/>
      </c>
      <c r="CF10" s="26">
        <f>IF(X$4="","",IFERROR(INDEX('因子水準表'!$B$9:$KO$18,5,MATCH(X$4,'因子水準表'!$B$4:$KO$4,0))&amp;"",""))</f>
        <v/>
      </c>
      <c r="CG10" s="26">
        <f>IF(Y$4="","",IFERROR(INDEX('因子水準表'!$B$9:$KO$18,5,MATCH(Y$4,'因子水準表'!$B$4:$KO$4,0))&amp;"",""))</f>
        <v/>
      </c>
      <c r="CH10" s="26">
        <f>IF(Z$4="","",IFERROR(INDEX('因子水準表'!$B$9:$KO$18,5,MATCH(Z$4,'因子水準表'!$B$4:$KO$4,0))&amp;"",""))</f>
        <v/>
      </c>
      <c r="CI10" s="26">
        <f>IF(AA$4="","",IFERROR(INDEX('因子水準表'!$B$9:$KO$18,5,MATCH(AA$4,'因子水準表'!$B$4:$KO$4,0))&amp;"",""))</f>
        <v/>
      </c>
      <c r="CJ10" s="26">
        <f>IF(AB$4="","",IFERROR(INDEX('因子水準表'!$B$9:$KO$18,5,MATCH(AB$4,'因子水準表'!$B$4:$KO$4,0))&amp;"",""))</f>
        <v/>
      </c>
      <c r="CK10" s="26">
        <f>IF(AC$4="","",IFERROR(INDEX('因子水準表'!$B$9:$KO$18,5,MATCH(AC$4,'因子水準表'!$B$4:$KO$4,0))&amp;"",""))</f>
        <v/>
      </c>
      <c r="CL10" s="26">
        <f>IF(AD$4="","",IFERROR(INDEX('因子水準表'!$B$9:$KO$18,5,MATCH(AD$4,'因子水準表'!$B$4:$KO$4,0))&amp;"",""))</f>
        <v/>
      </c>
      <c r="CM10" s="26">
        <f>IF(AE$4="","",IFERROR(INDEX('因子水準表'!$B$9:$KO$18,5,MATCH(AE$4,'因子水準表'!$B$4:$KO$4,0))&amp;"",""))</f>
        <v/>
      </c>
      <c r="CN10" s="26">
        <f>IF(AF$4="","",IFERROR(INDEX('因子水準表'!$B$9:$KO$18,5,MATCH(AF$4,'因子水準表'!$B$4:$KO$4,0))&amp;"",""))</f>
        <v/>
      </c>
      <c r="CO10" s="26">
        <f>IF(AG$4="","",IFERROR(INDEX('因子水準表'!$B$9:$KO$18,5,MATCH(AG$4,'因子水準表'!$B$4:$KO$4,0))&amp;"",""))</f>
        <v/>
      </c>
      <c r="CP10" s="26">
        <f>IF(AH$4="","",IFERROR(INDEX('因子水準表'!$B$9:$KO$18,5,MATCH(AH$4,'因子水準表'!$B$4:$KO$4,0))&amp;"",""))</f>
        <v/>
      </c>
      <c r="CQ10" s="26">
        <f>IF(AI$4="","",IFERROR(INDEX('因子水準表'!$B$9:$KO$18,5,MATCH(AI$4,'因子水準表'!$B$4:$KO$4,0))&amp;"",""))</f>
        <v/>
      </c>
      <c r="CR10" s="26">
        <f>IF(AJ$4="","",IFERROR(INDEX('因子水準表'!$B$9:$KO$18,5,MATCH(AJ$4,'因子水準表'!$B$4:$KO$4,0))&amp;"",""))</f>
        <v/>
      </c>
      <c r="CS10" s="26">
        <f>IF(AK$4="","",IFERROR(INDEX('因子水準表'!$B$9:$KO$18,5,MATCH(AK$4,'因子水準表'!$B$4:$KO$4,0))&amp;"",""))</f>
        <v/>
      </c>
      <c r="CT10" s="26">
        <f>IF(AL$4="","",IFERROR(INDEX('因子水準表'!$B$9:$KO$18,5,MATCH(AL$4,'因子水準表'!$B$4:$KO$4,0))&amp;"",""))</f>
        <v/>
      </c>
      <c r="CU10" s="26">
        <f>IF(AM$4="","",IFERROR(INDEX('因子水準表'!$B$9:$KO$18,5,MATCH(AM$4,'因子水準表'!$B$4:$KO$4,0))&amp;"",""))</f>
        <v/>
      </c>
      <c r="CV10" s="26">
        <f>IF(AN$4="","",IFERROR(INDEX('因子水準表'!$B$9:$KO$18,5,MATCH(AN$4,'因子水準表'!$B$4:$KO$4,0))&amp;"",""))</f>
        <v/>
      </c>
      <c r="CW10" s="26">
        <f>IF(AO$4="","",IFERROR(INDEX('因子水準表'!$B$9:$KO$18,5,MATCH(AO$4,'因子水準表'!$B$4:$KO$4,0))&amp;"",""))</f>
        <v/>
      </c>
      <c r="CX10" s="26">
        <f>IF(AP$4="","",IFERROR(INDEX('因子水準表'!$B$9:$KO$18,5,MATCH(AP$4,'因子水準表'!$B$4:$KO$4,0))&amp;"",""))</f>
        <v/>
      </c>
      <c r="CY10" s="26">
        <f>IF(AQ$4="","",IFERROR(INDEX('因子水準表'!$B$9:$KO$18,5,MATCH(AQ$4,'因子水準表'!$B$4:$KO$4,0))&amp;"",""))</f>
        <v/>
      </c>
      <c r="CZ10" s="26">
        <f>IF(AR$4="","",IFERROR(INDEX('因子水準表'!$B$9:$KO$18,5,MATCH(AR$4,'因子水準表'!$B$4:$KO$4,0))&amp;"",""))</f>
        <v/>
      </c>
      <c r="DA10" s="26">
        <f>IF(AS$4="","",IFERROR(INDEX('因子水準表'!$B$9:$KO$18,5,MATCH(AS$4,'因子水準表'!$B$4:$KO$4,0))&amp;"",""))</f>
        <v/>
      </c>
      <c r="DB10" s="26">
        <f>IF(AT$4="","",IFERROR(INDEX('因子水準表'!$B$9:$KO$18,5,MATCH(AT$4,'因子水準表'!$B$4:$KO$4,0))&amp;"",""))</f>
        <v/>
      </c>
      <c r="DC10" s="26">
        <f>IF(AU$4="","",IFERROR(INDEX('因子水準表'!$B$9:$KO$18,5,MATCH(AU$4,'因子水準表'!$B$4:$KO$4,0))&amp;"",""))</f>
        <v/>
      </c>
      <c r="DD10" s="26">
        <f>IF(AV$4="","",IFERROR(INDEX('因子水準表'!$B$9:$KO$18,5,MATCH(AV$4,'因子水準表'!$B$4:$KO$4,0))&amp;"",""))</f>
        <v/>
      </c>
      <c r="DE10" s="26">
        <f>IF(AW$4="","",IFERROR(INDEX('因子水準表'!$B$9:$KO$18,5,MATCH(AW$4,'因子水準表'!$B$4:$KO$4,0))&amp;"",""))</f>
        <v/>
      </c>
      <c r="DF10" s="26">
        <f>IF(AX$4="","",IFERROR(INDEX('因子水準表'!$B$9:$KO$18,5,MATCH(AX$4,'因子水準表'!$B$4:$KO$4,0))&amp;"",""))</f>
        <v/>
      </c>
      <c r="DG10" s="26">
        <f>IF(AY$4="","",IFERROR(INDEX('因子水準表'!$B$9:$KO$18,5,MATCH(AY$4,'因子水準表'!$B$4:$KO$4,0))&amp;"",""))</f>
        <v/>
      </c>
      <c r="DH10" s="26">
        <f>IF(AZ$4="","",IFERROR(INDEX('因子水準表'!$B$9:$KO$18,5,MATCH(AZ$4,'因子水準表'!$B$4:$KO$4,0))&amp;"",""))</f>
        <v/>
      </c>
      <c r="DI10" s="26">
        <f>IF(BA$4="","",IFERROR(INDEX('因子水準表'!$B$9:$KO$18,5,MATCH(BA$4,'因子水準表'!$B$4:$KO$4,0))&amp;"",""))</f>
        <v/>
      </c>
      <c r="DJ10" s="26">
        <f>IF(BB$4="","",IFERROR(INDEX('因子水準表'!$B$9:$KO$18,5,MATCH(BB$4,'因子水準表'!$B$4:$KO$4,0))&amp;"",""))</f>
        <v/>
      </c>
      <c r="DK10" s="26">
        <f>IF(BC$4="","",IFERROR(INDEX('因子水準表'!$B$9:$KO$18,5,MATCH(BC$4,'因子水準表'!$B$4:$KO$4,0))&amp;"",""))</f>
        <v/>
      </c>
      <c r="DL10" s="26">
        <f>IF(BD$4="","",IFERROR(INDEX('因子水準表'!$B$9:$KO$18,5,MATCH(BD$4,'因子水準表'!$B$4:$KO$4,0))&amp;"",""))</f>
        <v/>
      </c>
      <c r="DM10" s="26">
        <f>IF('因子水準表'!B33="","",'因子水準表'!B33)</f>
        <v/>
      </c>
      <c r="DN10" s="26">
        <f>IF('テスト条件'!A9="","",'テスト条件'!A9)</f>
        <v/>
      </c>
    </row>
    <row r="11">
      <c r="A11" s="27" t="n"/>
      <c r="B11" s="27" t="n"/>
      <c r="C11" s="28">
        <f>IF(A11="","",$B$2)</f>
        <v/>
      </c>
      <c r="D11" s="27" t="n"/>
      <c r="E11" s="27" t="n"/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  <c r="AA11" s="27" t="n"/>
      <c r="AB11" s="27" t="n"/>
      <c r="AC11" s="27" t="n"/>
      <c r="AD11" s="27" t="n"/>
      <c r="AE11" s="27" t="n"/>
      <c r="AF11" s="27" t="n"/>
      <c r="AG11" s="27" t="n"/>
      <c r="AH11" s="27" t="n"/>
      <c r="AI11" s="27" t="n"/>
      <c r="AJ11" s="27" t="n"/>
      <c r="AK11" s="27" t="n"/>
      <c r="AL11" s="27" t="n"/>
      <c r="AM11" s="27" t="n"/>
      <c r="AN11" s="27" t="n"/>
      <c r="AO11" s="27" t="n"/>
      <c r="AP11" s="27" t="n"/>
      <c r="AQ11" s="27" t="n"/>
      <c r="AR11" s="27" t="n"/>
      <c r="AS11" s="27" t="n"/>
      <c r="AT11" s="27" t="n"/>
      <c r="AU11" s="27" t="n"/>
      <c r="AV11" s="27" t="n"/>
      <c r="AW11" s="27" t="n"/>
      <c r="AX11" s="27" t="n"/>
      <c r="AY11" s="27" t="n"/>
      <c r="AZ11" s="27" t="n"/>
      <c r="BA11" s="27" t="n"/>
      <c r="BB11" s="27" t="n"/>
      <c r="BC11" s="27" t="n"/>
      <c r="BD11" s="27" t="n"/>
      <c r="BE11" s="27" t="n"/>
      <c r="BF11" s="27" t="n"/>
      <c r="BG11" s="27" t="n"/>
      <c r="BH11" s="27" t="n"/>
      <c r="BI11" s="29" t="n"/>
      <c r="BJ11" s="27" t="n"/>
      <c r="BK11" s="27" t="n"/>
      <c r="BL11" s="27" t="n"/>
      <c r="BM11" s="27" t="n"/>
      <c r="BO11" s="26">
        <f>IF(G$4="","",IFERROR(INDEX('因子水準表'!$B$9:$KO$18,6,MATCH(G$4,'因子水準表'!$B$4:$KO$4,0))&amp;"",""))</f>
        <v/>
      </c>
      <c r="BP11" s="26">
        <f>IF(H$4="","",IFERROR(INDEX('因子水準表'!$B$9:$KO$18,6,MATCH(H$4,'因子水準表'!$B$4:$KO$4,0))&amp;"",""))</f>
        <v/>
      </c>
      <c r="BQ11" s="26">
        <f>IF(I$4="","",IFERROR(INDEX('因子水準表'!$B$9:$KO$18,6,MATCH(I$4,'因子水準表'!$B$4:$KO$4,0))&amp;"",""))</f>
        <v/>
      </c>
      <c r="BR11" s="26">
        <f>IF(J$4="","",IFERROR(INDEX('因子水準表'!$B$9:$KO$18,6,MATCH(J$4,'因子水準表'!$B$4:$KO$4,0))&amp;"",""))</f>
        <v/>
      </c>
      <c r="BS11" s="26">
        <f>IF(K$4="","",IFERROR(INDEX('因子水準表'!$B$9:$KO$18,6,MATCH(K$4,'因子水準表'!$B$4:$KO$4,0))&amp;"",""))</f>
        <v/>
      </c>
      <c r="BT11" s="26">
        <f>IF(L$4="","",IFERROR(INDEX('因子水準表'!$B$9:$KO$18,6,MATCH(L$4,'因子水準表'!$B$4:$KO$4,0))&amp;"",""))</f>
        <v/>
      </c>
      <c r="BU11" s="26">
        <f>IF(M$4="","",IFERROR(INDEX('因子水準表'!$B$9:$KO$18,6,MATCH(M$4,'因子水準表'!$B$4:$KO$4,0))&amp;"",""))</f>
        <v/>
      </c>
      <c r="BV11" s="26">
        <f>IF(N$4="","",IFERROR(INDEX('因子水準表'!$B$9:$KO$18,6,MATCH(N$4,'因子水準表'!$B$4:$KO$4,0))&amp;"",""))</f>
        <v/>
      </c>
      <c r="BW11" s="26">
        <f>IF(O$4="","",IFERROR(INDEX('因子水準表'!$B$9:$KO$18,6,MATCH(O$4,'因子水準表'!$B$4:$KO$4,0))&amp;"",""))</f>
        <v/>
      </c>
      <c r="BX11" s="26">
        <f>IF(P$4="","",IFERROR(INDEX('因子水準表'!$B$9:$KO$18,6,MATCH(P$4,'因子水準表'!$B$4:$KO$4,0))&amp;"",""))</f>
        <v/>
      </c>
      <c r="BY11" s="26">
        <f>IF(Q$4="","",IFERROR(INDEX('因子水準表'!$B$9:$KO$18,6,MATCH(Q$4,'因子水準表'!$B$4:$KO$4,0))&amp;"",""))</f>
        <v/>
      </c>
      <c r="BZ11" s="26">
        <f>IF(R$4="","",IFERROR(INDEX('因子水準表'!$B$9:$KO$18,6,MATCH(R$4,'因子水準表'!$B$4:$KO$4,0))&amp;"",""))</f>
        <v/>
      </c>
      <c r="CA11" s="26">
        <f>IF(S$4="","",IFERROR(INDEX('因子水準表'!$B$9:$KO$18,6,MATCH(S$4,'因子水準表'!$B$4:$KO$4,0))&amp;"",""))</f>
        <v/>
      </c>
      <c r="CB11" s="26">
        <f>IF(T$4="","",IFERROR(INDEX('因子水準表'!$B$9:$KO$18,6,MATCH(T$4,'因子水準表'!$B$4:$KO$4,0))&amp;"",""))</f>
        <v/>
      </c>
      <c r="CC11" s="26">
        <f>IF(U$4="","",IFERROR(INDEX('因子水準表'!$B$9:$KO$18,6,MATCH(U$4,'因子水準表'!$B$4:$KO$4,0))&amp;"",""))</f>
        <v/>
      </c>
      <c r="CD11" s="26">
        <f>IF(V$4="","",IFERROR(INDEX('因子水準表'!$B$9:$KO$18,6,MATCH(V$4,'因子水準表'!$B$4:$KO$4,0))&amp;"",""))</f>
        <v/>
      </c>
      <c r="CE11" s="26">
        <f>IF(W$4="","",IFERROR(INDEX('因子水準表'!$B$9:$KO$18,6,MATCH(W$4,'因子水準表'!$B$4:$KO$4,0))&amp;"",""))</f>
        <v/>
      </c>
      <c r="CF11" s="26">
        <f>IF(X$4="","",IFERROR(INDEX('因子水準表'!$B$9:$KO$18,6,MATCH(X$4,'因子水準表'!$B$4:$KO$4,0))&amp;"",""))</f>
        <v/>
      </c>
      <c r="CG11" s="26">
        <f>IF(Y$4="","",IFERROR(INDEX('因子水準表'!$B$9:$KO$18,6,MATCH(Y$4,'因子水準表'!$B$4:$KO$4,0))&amp;"",""))</f>
        <v/>
      </c>
      <c r="CH11" s="26">
        <f>IF(Z$4="","",IFERROR(INDEX('因子水準表'!$B$9:$KO$18,6,MATCH(Z$4,'因子水準表'!$B$4:$KO$4,0))&amp;"",""))</f>
        <v/>
      </c>
      <c r="CI11" s="26">
        <f>IF(AA$4="","",IFERROR(INDEX('因子水準表'!$B$9:$KO$18,6,MATCH(AA$4,'因子水準表'!$B$4:$KO$4,0))&amp;"",""))</f>
        <v/>
      </c>
      <c r="CJ11" s="26">
        <f>IF(AB$4="","",IFERROR(INDEX('因子水準表'!$B$9:$KO$18,6,MATCH(AB$4,'因子水準表'!$B$4:$KO$4,0))&amp;"",""))</f>
        <v/>
      </c>
      <c r="CK11" s="26">
        <f>IF(AC$4="","",IFERROR(INDEX('因子水準表'!$B$9:$KO$18,6,MATCH(AC$4,'因子水準表'!$B$4:$KO$4,0))&amp;"",""))</f>
        <v/>
      </c>
      <c r="CL11" s="26">
        <f>IF(AD$4="","",IFERROR(INDEX('因子水準表'!$B$9:$KO$18,6,MATCH(AD$4,'因子水準表'!$B$4:$KO$4,0))&amp;"",""))</f>
        <v/>
      </c>
      <c r="CM11" s="26">
        <f>IF(AE$4="","",IFERROR(INDEX('因子水準表'!$B$9:$KO$18,6,MATCH(AE$4,'因子水準表'!$B$4:$KO$4,0))&amp;"",""))</f>
        <v/>
      </c>
      <c r="CN11" s="26">
        <f>IF(AF$4="","",IFERROR(INDEX('因子水準表'!$B$9:$KO$18,6,MATCH(AF$4,'因子水準表'!$B$4:$KO$4,0))&amp;"",""))</f>
        <v/>
      </c>
      <c r="CO11" s="26">
        <f>IF(AG$4="","",IFERROR(INDEX('因子水準表'!$B$9:$KO$18,6,MATCH(AG$4,'因子水準表'!$B$4:$KO$4,0))&amp;"",""))</f>
        <v/>
      </c>
      <c r="CP11" s="26">
        <f>IF(AH$4="","",IFERROR(INDEX('因子水準表'!$B$9:$KO$18,6,MATCH(AH$4,'因子水準表'!$B$4:$KO$4,0))&amp;"",""))</f>
        <v/>
      </c>
      <c r="CQ11" s="26">
        <f>IF(AI$4="","",IFERROR(INDEX('因子水準表'!$B$9:$KO$18,6,MATCH(AI$4,'因子水準表'!$B$4:$KO$4,0))&amp;"",""))</f>
        <v/>
      </c>
      <c r="CR11" s="26">
        <f>IF(AJ$4="","",IFERROR(INDEX('因子水準表'!$B$9:$KO$18,6,MATCH(AJ$4,'因子水準表'!$B$4:$KO$4,0))&amp;"",""))</f>
        <v/>
      </c>
      <c r="CS11" s="26">
        <f>IF(AK$4="","",IFERROR(INDEX('因子水準表'!$B$9:$KO$18,6,MATCH(AK$4,'因子水準表'!$B$4:$KO$4,0))&amp;"",""))</f>
        <v/>
      </c>
      <c r="CT11" s="26">
        <f>IF(AL$4="","",IFERROR(INDEX('因子水準表'!$B$9:$KO$18,6,MATCH(AL$4,'因子水準表'!$B$4:$KO$4,0))&amp;"",""))</f>
        <v/>
      </c>
      <c r="CU11" s="26">
        <f>IF(AM$4="","",IFERROR(INDEX('因子水準表'!$B$9:$KO$18,6,MATCH(AM$4,'因子水準表'!$B$4:$KO$4,0))&amp;"",""))</f>
        <v/>
      </c>
      <c r="CV11" s="26">
        <f>IF(AN$4="","",IFERROR(INDEX('因子水準表'!$B$9:$KO$18,6,MATCH(AN$4,'因子水準表'!$B$4:$KO$4,0))&amp;"",""))</f>
        <v/>
      </c>
      <c r="CW11" s="26">
        <f>IF(AO$4="","",IFERROR(INDEX('因子水準表'!$B$9:$KO$18,6,MATCH(AO$4,'因子水準表'!$B$4:$KO$4,0))&amp;"",""))</f>
        <v/>
      </c>
      <c r="CX11" s="26">
        <f>IF(AP$4="","",IFERROR(INDEX('因子水準表'!$B$9:$KO$18,6,MATCH(AP$4,'因子水準表'!$B$4:$KO$4,0))&amp;"",""))</f>
        <v/>
      </c>
      <c r="CY11" s="26">
        <f>IF(AQ$4="","",IFERROR(INDEX('因子水準表'!$B$9:$KO$18,6,MATCH(AQ$4,'因子水準表'!$B$4:$KO$4,0))&amp;"",""))</f>
        <v/>
      </c>
      <c r="CZ11" s="26">
        <f>IF(AR$4="","",IFERROR(INDEX('因子水準表'!$B$9:$KO$18,6,MATCH(AR$4,'因子水準表'!$B$4:$KO$4,0))&amp;"",""))</f>
        <v/>
      </c>
      <c r="DA11" s="26">
        <f>IF(AS$4="","",IFERROR(INDEX('因子水準表'!$B$9:$KO$18,6,MATCH(AS$4,'因子水準表'!$B$4:$KO$4,0))&amp;"",""))</f>
        <v/>
      </c>
      <c r="DB11" s="26">
        <f>IF(AT$4="","",IFERROR(INDEX('因子水準表'!$B$9:$KO$18,6,MATCH(AT$4,'因子水準表'!$B$4:$KO$4,0))&amp;"",""))</f>
        <v/>
      </c>
      <c r="DC11" s="26">
        <f>IF(AU$4="","",IFERROR(INDEX('因子水準表'!$B$9:$KO$18,6,MATCH(AU$4,'因子水準表'!$B$4:$KO$4,0))&amp;"",""))</f>
        <v/>
      </c>
      <c r="DD11" s="26">
        <f>IF(AV$4="","",IFERROR(INDEX('因子水準表'!$B$9:$KO$18,6,MATCH(AV$4,'因子水準表'!$B$4:$KO$4,0))&amp;"",""))</f>
        <v/>
      </c>
      <c r="DE11" s="26">
        <f>IF(AW$4="","",IFERROR(INDEX('因子水準表'!$B$9:$KO$18,6,MATCH(AW$4,'因子水準表'!$B$4:$KO$4,0))&amp;"",""))</f>
        <v/>
      </c>
      <c r="DF11" s="26">
        <f>IF(AX$4="","",IFERROR(INDEX('因子水準表'!$B$9:$KO$18,6,MATCH(AX$4,'因子水準表'!$B$4:$KO$4,0))&amp;"",""))</f>
        <v/>
      </c>
      <c r="DG11" s="26">
        <f>IF(AY$4="","",IFERROR(INDEX('因子水準表'!$B$9:$KO$18,6,MATCH(AY$4,'因子水準表'!$B$4:$KO$4,0))&amp;"",""))</f>
        <v/>
      </c>
      <c r="DH11" s="26">
        <f>IF(AZ$4="","",IFERROR(INDEX('因子水準表'!$B$9:$KO$18,6,MATCH(AZ$4,'因子水準表'!$B$4:$KO$4,0))&amp;"",""))</f>
        <v/>
      </c>
      <c r="DI11" s="26">
        <f>IF(BA$4="","",IFERROR(INDEX('因子水準表'!$B$9:$KO$18,6,MATCH(BA$4,'因子水準表'!$B$4:$KO$4,0))&amp;"",""))</f>
        <v/>
      </c>
      <c r="DJ11" s="26">
        <f>IF(BB$4="","",IFERROR(INDEX('因子水準表'!$B$9:$KO$18,6,MATCH(BB$4,'因子水準表'!$B$4:$KO$4,0))&amp;"",""))</f>
        <v/>
      </c>
      <c r="DK11" s="26">
        <f>IF(BC$4="","",IFERROR(INDEX('因子水準表'!$B$9:$KO$18,6,MATCH(BC$4,'因子水準表'!$B$4:$KO$4,0))&amp;"",""))</f>
        <v/>
      </c>
      <c r="DL11" s="26">
        <f>IF(BD$4="","",IFERROR(INDEX('因子水準表'!$B$9:$KO$18,6,MATCH(BD$4,'因子水準表'!$B$4:$KO$4,0))&amp;"",""))</f>
        <v/>
      </c>
      <c r="DM11" s="26">
        <f>IF('因子水準表'!B34="","",'因子水準表'!B34)</f>
        <v/>
      </c>
      <c r="DN11" s="26">
        <f>IF('テスト条件'!A10="","",'テスト条件'!A10)</f>
        <v/>
      </c>
    </row>
    <row r="12">
      <c r="A12" s="27" t="n"/>
      <c r="B12" s="27" t="n"/>
      <c r="C12" s="28">
        <f>IF(A12="","",$B$2)</f>
        <v/>
      </c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  <c r="AJ12" s="27" t="n"/>
      <c r="AK12" s="27" t="n"/>
      <c r="AL12" s="27" t="n"/>
      <c r="AM12" s="27" t="n"/>
      <c r="AN12" s="27" t="n"/>
      <c r="AO12" s="27" t="n"/>
      <c r="AP12" s="27" t="n"/>
      <c r="AQ12" s="27" t="n"/>
      <c r="AR12" s="27" t="n"/>
      <c r="AS12" s="27" t="n"/>
      <c r="AT12" s="27" t="n"/>
      <c r="AU12" s="27" t="n"/>
      <c r="AV12" s="27" t="n"/>
      <c r="AW12" s="27" t="n"/>
      <c r="AX12" s="27" t="n"/>
      <c r="AY12" s="27" t="n"/>
      <c r="AZ12" s="27" t="n"/>
      <c r="BA12" s="27" t="n"/>
      <c r="BB12" s="27" t="n"/>
      <c r="BC12" s="27" t="n"/>
      <c r="BD12" s="27" t="n"/>
      <c r="BE12" s="27" t="n"/>
      <c r="BF12" s="27" t="n"/>
      <c r="BG12" s="27" t="n"/>
      <c r="BH12" s="27" t="n"/>
      <c r="BI12" s="29" t="n"/>
      <c r="BJ12" s="27" t="n"/>
      <c r="BK12" s="27" t="n"/>
      <c r="BL12" s="27" t="n"/>
      <c r="BM12" s="27" t="n"/>
      <c r="BO12" s="26">
        <f>IF(G$4="","",IFERROR(INDEX('因子水準表'!$B$9:$KO$18,7,MATCH(G$4,'因子水準表'!$B$4:$KO$4,0))&amp;"",""))</f>
        <v/>
      </c>
      <c r="BP12" s="26">
        <f>IF(H$4="","",IFERROR(INDEX('因子水準表'!$B$9:$KO$18,7,MATCH(H$4,'因子水準表'!$B$4:$KO$4,0))&amp;"",""))</f>
        <v/>
      </c>
      <c r="BQ12" s="26">
        <f>IF(I$4="","",IFERROR(INDEX('因子水準表'!$B$9:$KO$18,7,MATCH(I$4,'因子水準表'!$B$4:$KO$4,0))&amp;"",""))</f>
        <v/>
      </c>
      <c r="BR12" s="26">
        <f>IF(J$4="","",IFERROR(INDEX('因子水準表'!$B$9:$KO$18,7,MATCH(J$4,'因子水準表'!$B$4:$KO$4,0))&amp;"",""))</f>
        <v/>
      </c>
      <c r="BS12" s="26">
        <f>IF(K$4="","",IFERROR(INDEX('因子水準表'!$B$9:$KO$18,7,MATCH(K$4,'因子水準表'!$B$4:$KO$4,0))&amp;"",""))</f>
        <v/>
      </c>
      <c r="BT12" s="26">
        <f>IF(L$4="","",IFERROR(INDEX('因子水準表'!$B$9:$KO$18,7,MATCH(L$4,'因子水準表'!$B$4:$KO$4,0))&amp;"",""))</f>
        <v/>
      </c>
      <c r="BU12" s="26">
        <f>IF(M$4="","",IFERROR(INDEX('因子水準表'!$B$9:$KO$18,7,MATCH(M$4,'因子水準表'!$B$4:$KO$4,0))&amp;"",""))</f>
        <v/>
      </c>
      <c r="BV12" s="26">
        <f>IF(N$4="","",IFERROR(INDEX('因子水準表'!$B$9:$KO$18,7,MATCH(N$4,'因子水準表'!$B$4:$KO$4,0))&amp;"",""))</f>
        <v/>
      </c>
      <c r="BW12" s="26">
        <f>IF(O$4="","",IFERROR(INDEX('因子水準表'!$B$9:$KO$18,7,MATCH(O$4,'因子水準表'!$B$4:$KO$4,0))&amp;"",""))</f>
        <v/>
      </c>
      <c r="BX12" s="26">
        <f>IF(P$4="","",IFERROR(INDEX('因子水準表'!$B$9:$KO$18,7,MATCH(P$4,'因子水準表'!$B$4:$KO$4,0))&amp;"",""))</f>
        <v/>
      </c>
      <c r="BY12" s="26">
        <f>IF(Q$4="","",IFERROR(INDEX('因子水準表'!$B$9:$KO$18,7,MATCH(Q$4,'因子水準表'!$B$4:$KO$4,0))&amp;"",""))</f>
        <v/>
      </c>
      <c r="BZ12" s="26">
        <f>IF(R$4="","",IFERROR(INDEX('因子水準表'!$B$9:$KO$18,7,MATCH(R$4,'因子水準表'!$B$4:$KO$4,0))&amp;"",""))</f>
        <v/>
      </c>
      <c r="CA12" s="26">
        <f>IF(S$4="","",IFERROR(INDEX('因子水準表'!$B$9:$KO$18,7,MATCH(S$4,'因子水準表'!$B$4:$KO$4,0))&amp;"",""))</f>
        <v/>
      </c>
      <c r="CB12" s="26">
        <f>IF(T$4="","",IFERROR(INDEX('因子水準表'!$B$9:$KO$18,7,MATCH(T$4,'因子水準表'!$B$4:$KO$4,0))&amp;"",""))</f>
        <v/>
      </c>
      <c r="CC12" s="26">
        <f>IF(U$4="","",IFERROR(INDEX('因子水準表'!$B$9:$KO$18,7,MATCH(U$4,'因子水準表'!$B$4:$KO$4,0))&amp;"",""))</f>
        <v/>
      </c>
      <c r="CD12" s="26">
        <f>IF(V$4="","",IFERROR(INDEX('因子水準表'!$B$9:$KO$18,7,MATCH(V$4,'因子水準表'!$B$4:$KO$4,0))&amp;"",""))</f>
        <v/>
      </c>
      <c r="CE12" s="26">
        <f>IF(W$4="","",IFERROR(INDEX('因子水準表'!$B$9:$KO$18,7,MATCH(W$4,'因子水準表'!$B$4:$KO$4,0))&amp;"",""))</f>
        <v/>
      </c>
      <c r="CF12" s="26">
        <f>IF(X$4="","",IFERROR(INDEX('因子水準表'!$B$9:$KO$18,7,MATCH(X$4,'因子水準表'!$B$4:$KO$4,0))&amp;"",""))</f>
        <v/>
      </c>
      <c r="CG12" s="26">
        <f>IF(Y$4="","",IFERROR(INDEX('因子水準表'!$B$9:$KO$18,7,MATCH(Y$4,'因子水準表'!$B$4:$KO$4,0))&amp;"",""))</f>
        <v/>
      </c>
      <c r="CH12" s="26">
        <f>IF(Z$4="","",IFERROR(INDEX('因子水準表'!$B$9:$KO$18,7,MATCH(Z$4,'因子水準表'!$B$4:$KO$4,0))&amp;"",""))</f>
        <v/>
      </c>
      <c r="CI12" s="26">
        <f>IF(AA$4="","",IFERROR(INDEX('因子水準表'!$B$9:$KO$18,7,MATCH(AA$4,'因子水準表'!$B$4:$KO$4,0))&amp;"",""))</f>
        <v/>
      </c>
      <c r="CJ12" s="26">
        <f>IF(AB$4="","",IFERROR(INDEX('因子水準表'!$B$9:$KO$18,7,MATCH(AB$4,'因子水準表'!$B$4:$KO$4,0))&amp;"",""))</f>
        <v/>
      </c>
      <c r="CK12" s="26">
        <f>IF(AC$4="","",IFERROR(INDEX('因子水準表'!$B$9:$KO$18,7,MATCH(AC$4,'因子水準表'!$B$4:$KO$4,0))&amp;"",""))</f>
        <v/>
      </c>
      <c r="CL12" s="26">
        <f>IF(AD$4="","",IFERROR(INDEX('因子水準表'!$B$9:$KO$18,7,MATCH(AD$4,'因子水準表'!$B$4:$KO$4,0))&amp;"",""))</f>
        <v/>
      </c>
      <c r="CM12" s="26">
        <f>IF(AE$4="","",IFERROR(INDEX('因子水準表'!$B$9:$KO$18,7,MATCH(AE$4,'因子水準表'!$B$4:$KO$4,0))&amp;"",""))</f>
        <v/>
      </c>
      <c r="CN12" s="26">
        <f>IF(AF$4="","",IFERROR(INDEX('因子水準表'!$B$9:$KO$18,7,MATCH(AF$4,'因子水準表'!$B$4:$KO$4,0))&amp;"",""))</f>
        <v/>
      </c>
      <c r="CO12" s="26">
        <f>IF(AG$4="","",IFERROR(INDEX('因子水準表'!$B$9:$KO$18,7,MATCH(AG$4,'因子水準表'!$B$4:$KO$4,0))&amp;"",""))</f>
        <v/>
      </c>
      <c r="CP12" s="26">
        <f>IF(AH$4="","",IFERROR(INDEX('因子水準表'!$B$9:$KO$18,7,MATCH(AH$4,'因子水準表'!$B$4:$KO$4,0))&amp;"",""))</f>
        <v/>
      </c>
      <c r="CQ12" s="26">
        <f>IF(AI$4="","",IFERROR(INDEX('因子水準表'!$B$9:$KO$18,7,MATCH(AI$4,'因子水準表'!$B$4:$KO$4,0))&amp;"",""))</f>
        <v/>
      </c>
      <c r="CR12" s="26">
        <f>IF(AJ$4="","",IFERROR(INDEX('因子水準表'!$B$9:$KO$18,7,MATCH(AJ$4,'因子水準表'!$B$4:$KO$4,0))&amp;"",""))</f>
        <v/>
      </c>
      <c r="CS12" s="26">
        <f>IF(AK$4="","",IFERROR(INDEX('因子水準表'!$B$9:$KO$18,7,MATCH(AK$4,'因子水準表'!$B$4:$KO$4,0))&amp;"",""))</f>
        <v/>
      </c>
      <c r="CT12" s="26">
        <f>IF(AL$4="","",IFERROR(INDEX('因子水準表'!$B$9:$KO$18,7,MATCH(AL$4,'因子水準表'!$B$4:$KO$4,0))&amp;"",""))</f>
        <v/>
      </c>
      <c r="CU12" s="26">
        <f>IF(AM$4="","",IFERROR(INDEX('因子水準表'!$B$9:$KO$18,7,MATCH(AM$4,'因子水準表'!$B$4:$KO$4,0))&amp;"",""))</f>
        <v/>
      </c>
      <c r="CV12" s="26">
        <f>IF(AN$4="","",IFERROR(INDEX('因子水準表'!$B$9:$KO$18,7,MATCH(AN$4,'因子水準表'!$B$4:$KO$4,0))&amp;"",""))</f>
        <v/>
      </c>
      <c r="CW12" s="26">
        <f>IF(AO$4="","",IFERROR(INDEX('因子水準表'!$B$9:$KO$18,7,MATCH(AO$4,'因子水準表'!$B$4:$KO$4,0))&amp;"",""))</f>
        <v/>
      </c>
      <c r="CX12" s="26">
        <f>IF(AP$4="","",IFERROR(INDEX('因子水準表'!$B$9:$KO$18,7,MATCH(AP$4,'因子水準表'!$B$4:$KO$4,0))&amp;"",""))</f>
        <v/>
      </c>
      <c r="CY12" s="26">
        <f>IF(AQ$4="","",IFERROR(INDEX('因子水準表'!$B$9:$KO$18,7,MATCH(AQ$4,'因子水準表'!$B$4:$KO$4,0))&amp;"",""))</f>
        <v/>
      </c>
      <c r="CZ12" s="26">
        <f>IF(AR$4="","",IFERROR(INDEX('因子水準表'!$B$9:$KO$18,7,MATCH(AR$4,'因子水準表'!$B$4:$KO$4,0))&amp;"",""))</f>
        <v/>
      </c>
      <c r="DA12" s="26">
        <f>IF(AS$4="","",IFERROR(INDEX('因子水準表'!$B$9:$KO$18,7,MATCH(AS$4,'因子水準表'!$B$4:$KO$4,0))&amp;"",""))</f>
        <v/>
      </c>
      <c r="DB12" s="26">
        <f>IF(AT$4="","",IFERROR(INDEX('因子水準表'!$B$9:$KO$18,7,MATCH(AT$4,'因子水準表'!$B$4:$KO$4,0))&amp;"",""))</f>
        <v/>
      </c>
      <c r="DC12" s="26">
        <f>IF(AU$4="","",IFERROR(INDEX('因子水準表'!$B$9:$KO$18,7,MATCH(AU$4,'因子水準表'!$B$4:$KO$4,0))&amp;"",""))</f>
        <v/>
      </c>
      <c r="DD12" s="26">
        <f>IF(AV$4="","",IFERROR(INDEX('因子水準表'!$B$9:$KO$18,7,MATCH(AV$4,'因子水準表'!$B$4:$KO$4,0))&amp;"",""))</f>
        <v/>
      </c>
      <c r="DE12" s="26">
        <f>IF(AW$4="","",IFERROR(INDEX('因子水準表'!$B$9:$KO$18,7,MATCH(AW$4,'因子水準表'!$B$4:$KO$4,0))&amp;"",""))</f>
        <v/>
      </c>
      <c r="DF12" s="26">
        <f>IF(AX$4="","",IFERROR(INDEX('因子水準表'!$B$9:$KO$18,7,MATCH(AX$4,'因子水準表'!$B$4:$KO$4,0))&amp;"",""))</f>
        <v/>
      </c>
      <c r="DG12" s="26">
        <f>IF(AY$4="","",IFERROR(INDEX('因子水準表'!$B$9:$KO$18,7,MATCH(AY$4,'因子水準表'!$B$4:$KO$4,0))&amp;"",""))</f>
        <v/>
      </c>
      <c r="DH12" s="26">
        <f>IF(AZ$4="","",IFERROR(INDEX('因子水準表'!$B$9:$KO$18,7,MATCH(AZ$4,'因子水準表'!$B$4:$KO$4,0))&amp;"",""))</f>
        <v/>
      </c>
      <c r="DI12" s="26">
        <f>IF(BA$4="","",IFERROR(INDEX('因子水準表'!$B$9:$KO$18,7,MATCH(BA$4,'因子水準表'!$B$4:$KO$4,0))&amp;"",""))</f>
        <v/>
      </c>
      <c r="DJ12" s="26">
        <f>IF(BB$4="","",IFERROR(INDEX('因子水準表'!$B$9:$KO$18,7,MATCH(BB$4,'因子水準表'!$B$4:$KO$4,0))&amp;"",""))</f>
        <v/>
      </c>
      <c r="DK12" s="26">
        <f>IF(BC$4="","",IFERROR(INDEX('因子水準表'!$B$9:$KO$18,7,MATCH(BC$4,'因子水準表'!$B$4:$KO$4,0))&amp;"",""))</f>
        <v/>
      </c>
      <c r="DL12" s="26">
        <f>IF(BD$4="","",IFERROR(INDEX('因子水準表'!$B$9:$KO$18,7,MATCH(BD$4,'因子水準表'!$B$4:$KO$4,0))&amp;"",""))</f>
        <v/>
      </c>
      <c r="DM12" s="26">
        <f>IF('因子水準表'!B35="","",'因子水準表'!B35)</f>
        <v/>
      </c>
      <c r="DN12" s="26">
        <f>IF('テスト条件'!A11="","",'テスト条件'!A11)</f>
        <v/>
      </c>
    </row>
    <row r="13">
      <c r="A13" s="27" t="n"/>
      <c r="B13" s="27" t="n"/>
      <c r="C13" s="28">
        <f>IF(A13="","",$B$2)</f>
        <v/>
      </c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  <c r="AA13" s="27" t="n"/>
      <c r="AB13" s="27" t="n"/>
      <c r="AC13" s="27" t="n"/>
      <c r="AD13" s="27" t="n"/>
      <c r="AE13" s="27" t="n"/>
      <c r="AF13" s="27" t="n"/>
      <c r="AG13" s="27" t="n"/>
      <c r="AH13" s="27" t="n"/>
      <c r="AI13" s="27" t="n"/>
      <c r="AJ13" s="27" t="n"/>
      <c r="AK13" s="27" t="n"/>
      <c r="AL13" s="27" t="n"/>
      <c r="AM13" s="27" t="n"/>
      <c r="AN13" s="27" t="n"/>
      <c r="AO13" s="27" t="n"/>
      <c r="AP13" s="27" t="n"/>
      <c r="AQ13" s="27" t="n"/>
      <c r="AR13" s="27" t="n"/>
      <c r="AS13" s="27" t="n"/>
      <c r="AT13" s="27" t="n"/>
      <c r="AU13" s="27" t="n"/>
      <c r="AV13" s="27" t="n"/>
      <c r="AW13" s="27" t="n"/>
      <c r="AX13" s="27" t="n"/>
      <c r="AY13" s="27" t="n"/>
      <c r="AZ13" s="27" t="n"/>
      <c r="BA13" s="27" t="n"/>
      <c r="BB13" s="27" t="n"/>
      <c r="BC13" s="27" t="n"/>
      <c r="BD13" s="27" t="n"/>
      <c r="BE13" s="27" t="n"/>
      <c r="BF13" s="27" t="n"/>
      <c r="BG13" s="27" t="n"/>
      <c r="BH13" s="27" t="n"/>
      <c r="BI13" s="29" t="n"/>
      <c r="BJ13" s="27" t="n"/>
      <c r="BK13" s="27" t="n"/>
      <c r="BL13" s="27" t="n"/>
      <c r="BM13" s="27" t="n"/>
      <c r="BO13" s="26">
        <f>IF(G$4="","",IFERROR(INDEX('因子水準表'!$B$9:$KO$18,8,MATCH(G$4,'因子水準表'!$B$4:$KO$4,0))&amp;"",""))</f>
        <v/>
      </c>
      <c r="BP13" s="26">
        <f>IF(H$4="","",IFERROR(INDEX('因子水準表'!$B$9:$KO$18,8,MATCH(H$4,'因子水準表'!$B$4:$KO$4,0))&amp;"",""))</f>
        <v/>
      </c>
      <c r="BQ13" s="26">
        <f>IF(I$4="","",IFERROR(INDEX('因子水準表'!$B$9:$KO$18,8,MATCH(I$4,'因子水準表'!$B$4:$KO$4,0))&amp;"",""))</f>
        <v/>
      </c>
      <c r="BR13" s="26">
        <f>IF(J$4="","",IFERROR(INDEX('因子水準表'!$B$9:$KO$18,8,MATCH(J$4,'因子水準表'!$B$4:$KO$4,0))&amp;"",""))</f>
        <v/>
      </c>
      <c r="BS13" s="26">
        <f>IF(K$4="","",IFERROR(INDEX('因子水準表'!$B$9:$KO$18,8,MATCH(K$4,'因子水準表'!$B$4:$KO$4,0))&amp;"",""))</f>
        <v/>
      </c>
      <c r="BT13" s="26">
        <f>IF(L$4="","",IFERROR(INDEX('因子水準表'!$B$9:$KO$18,8,MATCH(L$4,'因子水準表'!$B$4:$KO$4,0))&amp;"",""))</f>
        <v/>
      </c>
      <c r="BU13" s="26">
        <f>IF(M$4="","",IFERROR(INDEX('因子水準表'!$B$9:$KO$18,8,MATCH(M$4,'因子水準表'!$B$4:$KO$4,0))&amp;"",""))</f>
        <v/>
      </c>
      <c r="BV13" s="26">
        <f>IF(N$4="","",IFERROR(INDEX('因子水準表'!$B$9:$KO$18,8,MATCH(N$4,'因子水準表'!$B$4:$KO$4,0))&amp;"",""))</f>
        <v/>
      </c>
      <c r="BW13" s="26">
        <f>IF(O$4="","",IFERROR(INDEX('因子水準表'!$B$9:$KO$18,8,MATCH(O$4,'因子水準表'!$B$4:$KO$4,0))&amp;"",""))</f>
        <v/>
      </c>
      <c r="BX13" s="26">
        <f>IF(P$4="","",IFERROR(INDEX('因子水準表'!$B$9:$KO$18,8,MATCH(P$4,'因子水準表'!$B$4:$KO$4,0))&amp;"",""))</f>
        <v/>
      </c>
      <c r="BY13" s="26">
        <f>IF(Q$4="","",IFERROR(INDEX('因子水準表'!$B$9:$KO$18,8,MATCH(Q$4,'因子水準表'!$B$4:$KO$4,0))&amp;"",""))</f>
        <v/>
      </c>
      <c r="BZ13" s="26">
        <f>IF(R$4="","",IFERROR(INDEX('因子水準表'!$B$9:$KO$18,8,MATCH(R$4,'因子水準表'!$B$4:$KO$4,0))&amp;"",""))</f>
        <v/>
      </c>
      <c r="CA13" s="26">
        <f>IF(S$4="","",IFERROR(INDEX('因子水準表'!$B$9:$KO$18,8,MATCH(S$4,'因子水準表'!$B$4:$KO$4,0))&amp;"",""))</f>
        <v/>
      </c>
      <c r="CB13" s="26">
        <f>IF(T$4="","",IFERROR(INDEX('因子水準表'!$B$9:$KO$18,8,MATCH(T$4,'因子水準表'!$B$4:$KO$4,0))&amp;"",""))</f>
        <v/>
      </c>
      <c r="CC13" s="26">
        <f>IF(U$4="","",IFERROR(INDEX('因子水準表'!$B$9:$KO$18,8,MATCH(U$4,'因子水準表'!$B$4:$KO$4,0))&amp;"",""))</f>
        <v/>
      </c>
      <c r="CD13" s="26">
        <f>IF(V$4="","",IFERROR(INDEX('因子水準表'!$B$9:$KO$18,8,MATCH(V$4,'因子水準表'!$B$4:$KO$4,0))&amp;"",""))</f>
        <v/>
      </c>
      <c r="CE13" s="26">
        <f>IF(W$4="","",IFERROR(INDEX('因子水準表'!$B$9:$KO$18,8,MATCH(W$4,'因子水準表'!$B$4:$KO$4,0))&amp;"",""))</f>
        <v/>
      </c>
      <c r="CF13" s="26">
        <f>IF(X$4="","",IFERROR(INDEX('因子水準表'!$B$9:$KO$18,8,MATCH(X$4,'因子水準表'!$B$4:$KO$4,0))&amp;"",""))</f>
        <v/>
      </c>
      <c r="CG13" s="26">
        <f>IF(Y$4="","",IFERROR(INDEX('因子水準表'!$B$9:$KO$18,8,MATCH(Y$4,'因子水準表'!$B$4:$KO$4,0))&amp;"",""))</f>
        <v/>
      </c>
      <c r="CH13" s="26">
        <f>IF(Z$4="","",IFERROR(INDEX('因子水準表'!$B$9:$KO$18,8,MATCH(Z$4,'因子水準表'!$B$4:$KO$4,0))&amp;"",""))</f>
        <v/>
      </c>
      <c r="CI13" s="26">
        <f>IF(AA$4="","",IFERROR(INDEX('因子水準表'!$B$9:$KO$18,8,MATCH(AA$4,'因子水準表'!$B$4:$KO$4,0))&amp;"",""))</f>
        <v/>
      </c>
      <c r="CJ13" s="26">
        <f>IF(AB$4="","",IFERROR(INDEX('因子水準表'!$B$9:$KO$18,8,MATCH(AB$4,'因子水準表'!$B$4:$KO$4,0))&amp;"",""))</f>
        <v/>
      </c>
      <c r="CK13" s="26">
        <f>IF(AC$4="","",IFERROR(INDEX('因子水準表'!$B$9:$KO$18,8,MATCH(AC$4,'因子水準表'!$B$4:$KO$4,0))&amp;"",""))</f>
        <v/>
      </c>
      <c r="CL13" s="26">
        <f>IF(AD$4="","",IFERROR(INDEX('因子水準表'!$B$9:$KO$18,8,MATCH(AD$4,'因子水準表'!$B$4:$KO$4,0))&amp;"",""))</f>
        <v/>
      </c>
      <c r="CM13" s="26">
        <f>IF(AE$4="","",IFERROR(INDEX('因子水準表'!$B$9:$KO$18,8,MATCH(AE$4,'因子水準表'!$B$4:$KO$4,0))&amp;"",""))</f>
        <v/>
      </c>
      <c r="CN13" s="26">
        <f>IF(AF$4="","",IFERROR(INDEX('因子水準表'!$B$9:$KO$18,8,MATCH(AF$4,'因子水準表'!$B$4:$KO$4,0))&amp;"",""))</f>
        <v/>
      </c>
      <c r="CO13" s="26">
        <f>IF(AG$4="","",IFERROR(INDEX('因子水準表'!$B$9:$KO$18,8,MATCH(AG$4,'因子水準表'!$B$4:$KO$4,0))&amp;"",""))</f>
        <v/>
      </c>
      <c r="CP13" s="26">
        <f>IF(AH$4="","",IFERROR(INDEX('因子水準表'!$B$9:$KO$18,8,MATCH(AH$4,'因子水準表'!$B$4:$KO$4,0))&amp;"",""))</f>
        <v/>
      </c>
      <c r="CQ13" s="26">
        <f>IF(AI$4="","",IFERROR(INDEX('因子水準表'!$B$9:$KO$18,8,MATCH(AI$4,'因子水準表'!$B$4:$KO$4,0))&amp;"",""))</f>
        <v/>
      </c>
      <c r="CR13" s="26">
        <f>IF(AJ$4="","",IFERROR(INDEX('因子水準表'!$B$9:$KO$18,8,MATCH(AJ$4,'因子水準表'!$B$4:$KO$4,0))&amp;"",""))</f>
        <v/>
      </c>
      <c r="CS13" s="26">
        <f>IF(AK$4="","",IFERROR(INDEX('因子水準表'!$B$9:$KO$18,8,MATCH(AK$4,'因子水準表'!$B$4:$KO$4,0))&amp;"",""))</f>
        <v/>
      </c>
      <c r="CT13" s="26">
        <f>IF(AL$4="","",IFERROR(INDEX('因子水準表'!$B$9:$KO$18,8,MATCH(AL$4,'因子水準表'!$B$4:$KO$4,0))&amp;"",""))</f>
        <v/>
      </c>
      <c r="CU13" s="26">
        <f>IF(AM$4="","",IFERROR(INDEX('因子水準表'!$B$9:$KO$18,8,MATCH(AM$4,'因子水準表'!$B$4:$KO$4,0))&amp;"",""))</f>
        <v/>
      </c>
      <c r="CV13" s="26">
        <f>IF(AN$4="","",IFERROR(INDEX('因子水準表'!$B$9:$KO$18,8,MATCH(AN$4,'因子水準表'!$B$4:$KO$4,0))&amp;"",""))</f>
        <v/>
      </c>
      <c r="CW13" s="26">
        <f>IF(AO$4="","",IFERROR(INDEX('因子水準表'!$B$9:$KO$18,8,MATCH(AO$4,'因子水準表'!$B$4:$KO$4,0))&amp;"",""))</f>
        <v/>
      </c>
      <c r="CX13" s="26">
        <f>IF(AP$4="","",IFERROR(INDEX('因子水準表'!$B$9:$KO$18,8,MATCH(AP$4,'因子水準表'!$B$4:$KO$4,0))&amp;"",""))</f>
        <v/>
      </c>
      <c r="CY13" s="26">
        <f>IF(AQ$4="","",IFERROR(INDEX('因子水準表'!$B$9:$KO$18,8,MATCH(AQ$4,'因子水準表'!$B$4:$KO$4,0))&amp;"",""))</f>
        <v/>
      </c>
      <c r="CZ13" s="26">
        <f>IF(AR$4="","",IFERROR(INDEX('因子水準表'!$B$9:$KO$18,8,MATCH(AR$4,'因子水準表'!$B$4:$KO$4,0))&amp;"",""))</f>
        <v/>
      </c>
      <c r="DA13" s="26">
        <f>IF(AS$4="","",IFERROR(INDEX('因子水準表'!$B$9:$KO$18,8,MATCH(AS$4,'因子水準表'!$B$4:$KO$4,0))&amp;"",""))</f>
        <v/>
      </c>
      <c r="DB13" s="26">
        <f>IF(AT$4="","",IFERROR(INDEX('因子水準表'!$B$9:$KO$18,8,MATCH(AT$4,'因子水準表'!$B$4:$KO$4,0))&amp;"",""))</f>
        <v/>
      </c>
      <c r="DC13" s="26">
        <f>IF(AU$4="","",IFERROR(INDEX('因子水準表'!$B$9:$KO$18,8,MATCH(AU$4,'因子水準表'!$B$4:$KO$4,0))&amp;"",""))</f>
        <v/>
      </c>
      <c r="DD13" s="26">
        <f>IF(AV$4="","",IFERROR(INDEX('因子水準表'!$B$9:$KO$18,8,MATCH(AV$4,'因子水準表'!$B$4:$KO$4,0))&amp;"",""))</f>
        <v/>
      </c>
      <c r="DE13" s="26">
        <f>IF(AW$4="","",IFERROR(INDEX('因子水準表'!$B$9:$KO$18,8,MATCH(AW$4,'因子水準表'!$B$4:$KO$4,0))&amp;"",""))</f>
        <v/>
      </c>
      <c r="DF13" s="26">
        <f>IF(AX$4="","",IFERROR(INDEX('因子水準表'!$B$9:$KO$18,8,MATCH(AX$4,'因子水準表'!$B$4:$KO$4,0))&amp;"",""))</f>
        <v/>
      </c>
      <c r="DG13" s="26">
        <f>IF(AY$4="","",IFERROR(INDEX('因子水準表'!$B$9:$KO$18,8,MATCH(AY$4,'因子水準表'!$B$4:$KO$4,0))&amp;"",""))</f>
        <v/>
      </c>
      <c r="DH13" s="26">
        <f>IF(AZ$4="","",IFERROR(INDEX('因子水準表'!$B$9:$KO$18,8,MATCH(AZ$4,'因子水準表'!$B$4:$KO$4,0))&amp;"",""))</f>
        <v/>
      </c>
      <c r="DI13" s="26">
        <f>IF(BA$4="","",IFERROR(INDEX('因子水準表'!$B$9:$KO$18,8,MATCH(BA$4,'因子水準表'!$B$4:$KO$4,0))&amp;"",""))</f>
        <v/>
      </c>
      <c r="DJ13" s="26">
        <f>IF(BB$4="","",IFERROR(INDEX('因子水準表'!$B$9:$KO$18,8,MATCH(BB$4,'因子水準表'!$B$4:$KO$4,0))&amp;"",""))</f>
        <v/>
      </c>
      <c r="DK13" s="26">
        <f>IF(BC$4="","",IFERROR(INDEX('因子水準表'!$B$9:$KO$18,8,MATCH(BC$4,'因子水準表'!$B$4:$KO$4,0))&amp;"",""))</f>
        <v/>
      </c>
      <c r="DL13" s="26">
        <f>IF(BD$4="","",IFERROR(INDEX('因子水準表'!$B$9:$KO$18,8,MATCH(BD$4,'因子水準表'!$B$4:$KO$4,0))&amp;"",""))</f>
        <v/>
      </c>
      <c r="DM13" s="26">
        <f>IF('因子水準表'!B36="","",'因子水準表'!B36)</f>
        <v/>
      </c>
      <c r="DN13" s="26">
        <f>IF('テスト条件'!A12="","",'テスト条件'!A12)</f>
        <v/>
      </c>
    </row>
    <row r="14">
      <c r="A14" s="27" t="n"/>
      <c r="B14" s="27" t="n"/>
      <c r="C14" s="28">
        <f>IF(A14="","",$B$2)</f>
        <v/>
      </c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7" t="n"/>
      <c r="AO14" s="27" t="n"/>
      <c r="AP14" s="27" t="n"/>
      <c r="AQ14" s="27" t="n"/>
      <c r="AR14" s="27" t="n"/>
      <c r="AS14" s="27" t="n"/>
      <c r="AT14" s="27" t="n"/>
      <c r="AU14" s="27" t="n"/>
      <c r="AV14" s="27" t="n"/>
      <c r="AW14" s="27" t="n"/>
      <c r="AX14" s="27" t="n"/>
      <c r="AY14" s="27" t="n"/>
      <c r="AZ14" s="27" t="n"/>
      <c r="BA14" s="27" t="n"/>
      <c r="BB14" s="27" t="n"/>
      <c r="BC14" s="27" t="n"/>
      <c r="BD14" s="27" t="n"/>
      <c r="BE14" s="27" t="n"/>
      <c r="BF14" s="27" t="n"/>
      <c r="BG14" s="27" t="n"/>
      <c r="BH14" s="27" t="n"/>
      <c r="BI14" s="29" t="n"/>
      <c r="BJ14" s="27" t="n"/>
      <c r="BK14" s="27" t="n"/>
      <c r="BL14" s="27" t="n"/>
      <c r="BM14" s="27" t="n"/>
      <c r="BO14" s="26">
        <f>IF(G$4="","",IFERROR(INDEX('因子水準表'!$B$9:$KO$18,9,MATCH(G$4,'因子水準表'!$B$4:$KO$4,0))&amp;"",""))</f>
        <v/>
      </c>
      <c r="BP14" s="26">
        <f>IF(H$4="","",IFERROR(INDEX('因子水準表'!$B$9:$KO$18,9,MATCH(H$4,'因子水準表'!$B$4:$KO$4,0))&amp;"",""))</f>
        <v/>
      </c>
      <c r="BQ14" s="26">
        <f>IF(I$4="","",IFERROR(INDEX('因子水準表'!$B$9:$KO$18,9,MATCH(I$4,'因子水準表'!$B$4:$KO$4,0))&amp;"",""))</f>
        <v/>
      </c>
      <c r="BR14" s="26">
        <f>IF(J$4="","",IFERROR(INDEX('因子水準表'!$B$9:$KO$18,9,MATCH(J$4,'因子水準表'!$B$4:$KO$4,0))&amp;"",""))</f>
        <v/>
      </c>
      <c r="BS14" s="26">
        <f>IF(K$4="","",IFERROR(INDEX('因子水準表'!$B$9:$KO$18,9,MATCH(K$4,'因子水準表'!$B$4:$KO$4,0))&amp;"",""))</f>
        <v/>
      </c>
      <c r="BT14" s="26">
        <f>IF(L$4="","",IFERROR(INDEX('因子水準表'!$B$9:$KO$18,9,MATCH(L$4,'因子水準表'!$B$4:$KO$4,0))&amp;"",""))</f>
        <v/>
      </c>
      <c r="BU14" s="26">
        <f>IF(M$4="","",IFERROR(INDEX('因子水準表'!$B$9:$KO$18,9,MATCH(M$4,'因子水準表'!$B$4:$KO$4,0))&amp;"",""))</f>
        <v/>
      </c>
      <c r="BV14" s="26">
        <f>IF(N$4="","",IFERROR(INDEX('因子水準表'!$B$9:$KO$18,9,MATCH(N$4,'因子水準表'!$B$4:$KO$4,0))&amp;"",""))</f>
        <v/>
      </c>
      <c r="BW14" s="26">
        <f>IF(O$4="","",IFERROR(INDEX('因子水準表'!$B$9:$KO$18,9,MATCH(O$4,'因子水準表'!$B$4:$KO$4,0))&amp;"",""))</f>
        <v/>
      </c>
      <c r="BX14" s="26">
        <f>IF(P$4="","",IFERROR(INDEX('因子水準表'!$B$9:$KO$18,9,MATCH(P$4,'因子水準表'!$B$4:$KO$4,0))&amp;"",""))</f>
        <v/>
      </c>
      <c r="BY14" s="26">
        <f>IF(Q$4="","",IFERROR(INDEX('因子水準表'!$B$9:$KO$18,9,MATCH(Q$4,'因子水準表'!$B$4:$KO$4,0))&amp;"",""))</f>
        <v/>
      </c>
      <c r="BZ14" s="26">
        <f>IF(R$4="","",IFERROR(INDEX('因子水準表'!$B$9:$KO$18,9,MATCH(R$4,'因子水準表'!$B$4:$KO$4,0))&amp;"",""))</f>
        <v/>
      </c>
      <c r="CA14" s="26">
        <f>IF(S$4="","",IFERROR(INDEX('因子水準表'!$B$9:$KO$18,9,MATCH(S$4,'因子水準表'!$B$4:$KO$4,0))&amp;"",""))</f>
        <v/>
      </c>
      <c r="CB14" s="26">
        <f>IF(T$4="","",IFERROR(INDEX('因子水準表'!$B$9:$KO$18,9,MATCH(T$4,'因子水準表'!$B$4:$KO$4,0))&amp;"",""))</f>
        <v/>
      </c>
      <c r="CC14" s="26">
        <f>IF(U$4="","",IFERROR(INDEX('因子水準表'!$B$9:$KO$18,9,MATCH(U$4,'因子水準表'!$B$4:$KO$4,0))&amp;"",""))</f>
        <v/>
      </c>
      <c r="CD14" s="26">
        <f>IF(V$4="","",IFERROR(INDEX('因子水準表'!$B$9:$KO$18,9,MATCH(V$4,'因子水準表'!$B$4:$KO$4,0))&amp;"",""))</f>
        <v/>
      </c>
      <c r="CE14" s="26">
        <f>IF(W$4="","",IFERROR(INDEX('因子水準表'!$B$9:$KO$18,9,MATCH(W$4,'因子水準表'!$B$4:$KO$4,0))&amp;"",""))</f>
        <v/>
      </c>
      <c r="CF14" s="26">
        <f>IF(X$4="","",IFERROR(INDEX('因子水準表'!$B$9:$KO$18,9,MATCH(X$4,'因子水準表'!$B$4:$KO$4,0))&amp;"",""))</f>
        <v/>
      </c>
      <c r="CG14" s="26">
        <f>IF(Y$4="","",IFERROR(INDEX('因子水準表'!$B$9:$KO$18,9,MATCH(Y$4,'因子水準表'!$B$4:$KO$4,0))&amp;"",""))</f>
        <v/>
      </c>
      <c r="CH14" s="26">
        <f>IF(Z$4="","",IFERROR(INDEX('因子水準表'!$B$9:$KO$18,9,MATCH(Z$4,'因子水準表'!$B$4:$KO$4,0))&amp;"",""))</f>
        <v/>
      </c>
      <c r="CI14" s="26">
        <f>IF(AA$4="","",IFERROR(INDEX('因子水準表'!$B$9:$KO$18,9,MATCH(AA$4,'因子水準表'!$B$4:$KO$4,0))&amp;"",""))</f>
        <v/>
      </c>
      <c r="CJ14" s="26">
        <f>IF(AB$4="","",IFERROR(INDEX('因子水準表'!$B$9:$KO$18,9,MATCH(AB$4,'因子水準表'!$B$4:$KO$4,0))&amp;"",""))</f>
        <v/>
      </c>
      <c r="CK14" s="26">
        <f>IF(AC$4="","",IFERROR(INDEX('因子水準表'!$B$9:$KO$18,9,MATCH(AC$4,'因子水準表'!$B$4:$KO$4,0))&amp;"",""))</f>
        <v/>
      </c>
      <c r="CL14" s="26">
        <f>IF(AD$4="","",IFERROR(INDEX('因子水準表'!$B$9:$KO$18,9,MATCH(AD$4,'因子水準表'!$B$4:$KO$4,0))&amp;"",""))</f>
        <v/>
      </c>
      <c r="CM14" s="26">
        <f>IF(AE$4="","",IFERROR(INDEX('因子水準表'!$B$9:$KO$18,9,MATCH(AE$4,'因子水準表'!$B$4:$KO$4,0))&amp;"",""))</f>
        <v/>
      </c>
      <c r="CN14" s="26">
        <f>IF(AF$4="","",IFERROR(INDEX('因子水準表'!$B$9:$KO$18,9,MATCH(AF$4,'因子水準表'!$B$4:$KO$4,0))&amp;"",""))</f>
        <v/>
      </c>
      <c r="CO14" s="26">
        <f>IF(AG$4="","",IFERROR(INDEX('因子水準表'!$B$9:$KO$18,9,MATCH(AG$4,'因子水準表'!$B$4:$KO$4,0))&amp;"",""))</f>
        <v/>
      </c>
      <c r="CP14" s="26">
        <f>IF(AH$4="","",IFERROR(INDEX('因子水準表'!$B$9:$KO$18,9,MATCH(AH$4,'因子水準表'!$B$4:$KO$4,0))&amp;"",""))</f>
        <v/>
      </c>
      <c r="CQ14" s="26">
        <f>IF(AI$4="","",IFERROR(INDEX('因子水準表'!$B$9:$KO$18,9,MATCH(AI$4,'因子水準表'!$B$4:$KO$4,0))&amp;"",""))</f>
        <v/>
      </c>
      <c r="CR14" s="26">
        <f>IF(AJ$4="","",IFERROR(INDEX('因子水準表'!$B$9:$KO$18,9,MATCH(AJ$4,'因子水準表'!$B$4:$KO$4,0))&amp;"",""))</f>
        <v/>
      </c>
      <c r="CS14" s="26">
        <f>IF(AK$4="","",IFERROR(INDEX('因子水準表'!$B$9:$KO$18,9,MATCH(AK$4,'因子水準表'!$B$4:$KO$4,0))&amp;"",""))</f>
        <v/>
      </c>
      <c r="CT14" s="26">
        <f>IF(AL$4="","",IFERROR(INDEX('因子水準表'!$B$9:$KO$18,9,MATCH(AL$4,'因子水準表'!$B$4:$KO$4,0))&amp;"",""))</f>
        <v/>
      </c>
      <c r="CU14" s="26">
        <f>IF(AM$4="","",IFERROR(INDEX('因子水準表'!$B$9:$KO$18,9,MATCH(AM$4,'因子水準表'!$B$4:$KO$4,0))&amp;"",""))</f>
        <v/>
      </c>
      <c r="CV14" s="26">
        <f>IF(AN$4="","",IFERROR(INDEX('因子水準表'!$B$9:$KO$18,9,MATCH(AN$4,'因子水準表'!$B$4:$KO$4,0))&amp;"",""))</f>
        <v/>
      </c>
      <c r="CW14" s="26">
        <f>IF(AO$4="","",IFERROR(INDEX('因子水準表'!$B$9:$KO$18,9,MATCH(AO$4,'因子水準表'!$B$4:$KO$4,0))&amp;"",""))</f>
        <v/>
      </c>
      <c r="CX14" s="26">
        <f>IF(AP$4="","",IFERROR(INDEX('因子水準表'!$B$9:$KO$18,9,MATCH(AP$4,'因子水準表'!$B$4:$KO$4,0))&amp;"",""))</f>
        <v/>
      </c>
      <c r="CY14" s="26">
        <f>IF(AQ$4="","",IFERROR(INDEX('因子水準表'!$B$9:$KO$18,9,MATCH(AQ$4,'因子水準表'!$B$4:$KO$4,0))&amp;"",""))</f>
        <v/>
      </c>
      <c r="CZ14" s="26">
        <f>IF(AR$4="","",IFERROR(INDEX('因子水準表'!$B$9:$KO$18,9,MATCH(AR$4,'因子水準表'!$B$4:$KO$4,0))&amp;"",""))</f>
        <v/>
      </c>
      <c r="DA14" s="26">
        <f>IF(AS$4="","",IFERROR(INDEX('因子水準表'!$B$9:$KO$18,9,MATCH(AS$4,'因子水準表'!$B$4:$KO$4,0))&amp;"",""))</f>
        <v/>
      </c>
      <c r="DB14" s="26">
        <f>IF(AT$4="","",IFERROR(INDEX('因子水準表'!$B$9:$KO$18,9,MATCH(AT$4,'因子水準表'!$B$4:$KO$4,0))&amp;"",""))</f>
        <v/>
      </c>
      <c r="DC14" s="26">
        <f>IF(AU$4="","",IFERROR(INDEX('因子水準表'!$B$9:$KO$18,9,MATCH(AU$4,'因子水準表'!$B$4:$KO$4,0))&amp;"",""))</f>
        <v/>
      </c>
      <c r="DD14" s="26">
        <f>IF(AV$4="","",IFERROR(INDEX('因子水準表'!$B$9:$KO$18,9,MATCH(AV$4,'因子水準表'!$B$4:$KO$4,0))&amp;"",""))</f>
        <v/>
      </c>
      <c r="DE14" s="26">
        <f>IF(AW$4="","",IFERROR(INDEX('因子水準表'!$B$9:$KO$18,9,MATCH(AW$4,'因子水準表'!$B$4:$KO$4,0))&amp;"",""))</f>
        <v/>
      </c>
      <c r="DF14" s="26">
        <f>IF(AX$4="","",IFERROR(INDEX('因子水準表'!$B$9:$KO$18,9,MATCH(AX$4,'因子水準表'!$B$4:$KO$4,0))&amp;"",""))</f>
        <v/>
      </c>
      <c r="DG14" s="26">
        <f>IF(AY$4="","",IFERROR(INDEX('因子水準表'!$B$9:$KO$18,9,MATCH(AY$4,'因子水準表'!$B$4:$KO$4,0))&amp;"",""))</f>
        <v/>
      </c>
      <c r="DH14" s="26">
        <f>IF(AZ$4="","",IFERROR(INDEX('因子水準表'!$B$9:$KO$18,9,MATCH(AZ$4,'因子水準表'!$B$4:$KO$4,0))&amp;"",""))</f>
        <v/>
      </c>
      <c r="DI14" s="26">
        <f>IF(BA$4="","",IFERROR(INDEX('因子水準表'!$B$9:$KO$18,9,MATCH(BA$4,'因子水準表'!$B$4:$KO$4,0))&amp;"",""))</f>
        <v/>
      </c>
      <c r="DJ14" s="26">
        <f>IF(BB$4="","",IFERROR(INDEX('因子水準表'!$B$9:$KO$18,9,MATCH(BB$4,'因子水準表'!$B$4:$KO$4,0))&amp;"",""))</f>
        <v/>
      </c>
      <c r="DK14" s="26">
        <f>IF(BC$4="","",IFERROR(INDEX('因子水準表'!$B$9:$KO$18,9,MATCH(BC$4,'因子水準表'!$B$4:$KO$4,0))&amp;"",""))</f>
        <v/>
      </c>
      <c r="DL14" s="26">
        <f>IF(BD$4="","",IFERROR(INDEX('因子水準表'!$B$9:$KO$18,9,MATCH(BD$4,'因子水準表'!$B$4:$KO$4,0))&amp;"",""))</f>
        <v/>
      </c>
      <c r="DM14" s="26">
        <f>IF('因子水準表'!B37="","",'因子水準表'!B37)</f>
        <v/>
      </c>
      <c r="DN14" s="26">
        <f>IF('テスト条件'!A13="","",'テスト条件'!A13)</f>
        <v/>
      </c>
    </row>
    <row r="15">
      <c r="A15" s="27" t="n"/>
      <c r="B15" s="27" t="n"/>
      <c r="C15" s="28">
        <f>IF(A15="","",$B$2)</f>
        <v/>
      </c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  <c r="AI15" s="27" t="n"/>
      <c r="AJ15" s="27" t="n"/>
      <c r="AK15" s="27" t="n"/>
      <c r="AL15" s="27" t="n"/>
      <c r="AM15" s="27" t="n"/>
      <c r="AN15" s="27" t="n"/>
      <c r="AO15" s="27" t="n"/>
      <c r="AP15" s="27" t="n"/>
      <c r="AQ15" s="27" t="n"/>
      <c r="AR15" s="27" t="n"/>
      <c r="AS15" s="27" t="n"/>
      <c r="AT15" s="27" t="n"/>
      <c r="AU15" s="27" t="n"/>
      <c r="AV15" s="27" t="n"/>
      <c r="AW15" s="27" t="n"/>
      <c r="AX15" s="27" t="n"/>
      <c r="AY15" s="27" t="n"/>
      <c r="AZ15" s="27" t="n"/>
      <c r="BA15" s="27" t="n"/>
      <c r="BB15" s="27" t="n"/>
      <c r="BC15" s="27" t="n"/>
      <c r="BD15" s="27" t="n"/>
      <c r="BE15" s="27" t="n"/>
      <c r="BF15" s="27" t="n"/>
      <c r="BG15" s="27" t="n"/>
      <c r="BH15" s="27" t="n"/>
      <c r="BI15" s="29" t="n"/>
      <c r="BJ15" s="27" t="n"/>
      <c r="BK15" s="27" t="n"/>
      <c r="BL15" s="27" t="n"/>
      <c r="BM15" s="27" t="n"/>
      <c r="BO15" s="26">
        <f>IF(G$4="","",IFERROR(INDEX('因子水準表'!$B$9:$KO$18,10,MATCH(G$4,'因子水準表'!$B$4:$KO$4,0))&amp;"",""))</f>
        <v/>
      </c>
      <c r="BP15" s="26">
        <f>IF(H$4="","",IFERROR(INDEX('因子水準表'!$B$9:$KO$18,10,MATCH(H$4,'因子水準表'!$B$4:$KO$4,0))&amp;"",""))</f>
        <v/>
      </c>
      <c r="BQ15" s="26">
        <f>IF(I$4="","",IFERROR(INDEX('因子水準表'!$B$9:$KO$18,10,MATCH(I$4,'因子水準表'!$B$4:$KO$4,0))&amp;"",""))</f>
        <v/>
      </c>
      <c r="BR15" s="26">
        <f>IF(J$4="","",IFERROR(INDEX('因子水準表'!$B$9:$KO$18,10,MATCH(J$4,'因子水準表'!$B$4:$KO$4,0))&amp;"",""))</f>
        <v/>
      </c>
      <c r="BS15" s="26">
        <f>IF(K$4="","",IFERROR(INDEX('因子水準表'!$B$9:$KO$18,10,MATCH(K$4,'因子水準表'!$B$4:$KO$4,0))&amp;"",""))</f>
        <v/>
      </c>
      <c r="BT15" s="26">
        <f>IF(L$4="","",IFERROR(INDEX('因子水準表'!$B$9:$KO$18,10,MATCH(L$4,'因子水準表'!$B$4:$KO$4,0))&amp;"",""))</f>
        <v/>
      </c>
      <c r="BU15" s="26">
        <f>IF(M$4="","",IFERROR(INDEX('因子水準表'!$B$9:$KO$18,10,MATCH(M$4,'因子水準表'!$B$4:$KO$4,0))&amp;"",""))</f>
        <v/>
      </c>
      <c r="BV15" s="26">
        <f>IF(N$4="","",IFERROR(INDEX('因子水準表'!$B$9:$KO$18,10,MATCH(N$4,'因子水準表'!$B$4:$KO$4,0))&amp;"",""))</f>
        <v/>
      </c>
      <c r="BW15" s="26">
        <f>IF(O$4="","",IFERROR(INDEX('因子水準表'!$B$9:$KO$18,10,MATCH(O$4,'因子水準表'!$B$4:$KO$4,0))&amp;"",""))</f>
        <v/>
      </c>
      <c r="BX15" s="26">
        <f>IF(P$4="","",IFERROR(INDEX('因子水準表'!$B$9:$KO$18,10,MATCH(P$4,'因子水準表'!$B$4:$KO$4,0))&amp;"",""))</f>
        <v/>
      </c>
      <c r="BY15" s="26">
        <f>IF(Q$4="","",IFERROR(INDEX('因子水準表'!$B$9:$KO$18,10,MATCH(Q$4,'因子水準表'!$B$4:$KO$4,0))&amp;"",""))</f>
        <v/>
      </c>
      <c r="BZ15" s="26">
        <f>IF(R$4="","",IFERROR(INDEX('因子水準表'!$B$9:$KO$18,10,MATCH(R$4,'因子水準表'!$B$4:$KO$4,0))&amp;"",""))</f>
        <v/>
      </c>
      <c r="CA15" s="26">
        <f>IF(S$4="","",IFERROR(INDEX('因子水準表'!$B$9:$KO$18,10,MATCH(S$4,'因子水準表'!$B$4:$KO$4,0))&amp;"",""))</f>
        <v/>
      </c>
      <c r="CB15" s="26">
        <f>IF(T$4="","",IFERROR(INDEX('因子水準表'!$B$9:$KO$18,10,MATCH(T$4,'因子水準表'!$B$4:$KO$4,0))&amp;"",""))</f>
        <v/>
      </c>
      <c r="CC15" s="26">
        <f>IF(U$4="","",IFERROR(INDEX('因子水準表'!$B$9:$KO$18,10,MATCH(U$4,'因子水準表'!$B$4:$KO$4,0))&amp;"",""))</f>
        <v/>
      </c>
      <c r="CD15" s="26">
        <f>IF(V$4="","",IFERROR(INDEX('因子水準表'!$B$9:$KO$18,10,MATCH(V$4,'因子水準表'!$B$4:$KO$4,0))&amp;"",""))</f>
        <v/>
      </c>
      <c r="CE15" s="26">
        <f>IF(W$4="","",IFERROR(INDEX('因子水準表'!$B$9:$KO$18,10,MATCH(W$4,'因子水準表'!$B$4:$KO$4,0))&amp;"",""))</f>
        <v/>
      </c>
      <c r="CF15" s="26">
        <f>IF(X$4="","",IFERROR(INDEX('因子水準表'!$B$9:$KO$18,10,MATCH(X$4,'因子水準表'!$B$4:$KO$4,0))&amp;"",""))</f>
        <v/>
      </c>
      <c r="CG15" s="26">
        <f>IF(Y$4="","",IFERROR(INDEX('因子水準表'!$B$9:$KO$18,10,MATCH(Y$4,'因子水準表'!$B$4:$KO$4,0))&amp;"",""))</f>
        <v/>
      </c>
      <c r="CH15" s="26">
        <f>IF(Z$4="","",IFERROR(INDEX('因子水準表'!$B$9:$KO$18,10,MATCH(Z$4,'因子水準表'!$B$4:$KO$4,0))&amp;"",""))</f>
        <v/>
      </c>
      <c r="CI15" s="26">
        <f>IF(AA$4="","",IFERROR(INDEX('因子水準表'!$B$9:$KO$18,10,MATCH(AA$4,'因子水準表'!$B$4:$KO$4,0))&amp;"",""))</f>
        <v/>
      </c>
      <c r="CJ15" s="26">
        <f>IF(AB$4="","",IFERROR(INDEX('因子水準表'!$B$9:$KO$18,10,MATCH(AB$4,'因子水準表'!$B$4:$KO$4,0))&amp;"",""))</f>
        <v/>
      </c>
      <c r="CK15" s="26">
        <f>IF(AC$4="","",IFERROR(INDEX('因子水準表'!$B$9:$KO$18,10,MATCH(AC$4,'因子水準表'!$B$4:$KO$4,0))&amp;"",""))</f>
        <v/>
      </c>
      <c r="CL15" s="26">
        <f>IF(AD$4="","",IFERROR(INDEX('因子水準表'!$B$9:$KO$18,10,MATCH(AD$4,'因子水準表'!$B$4:$KO$4,0))&amp;"",""))</f>
        <v/>
      </c>
      <c r="CM15" s="26">
        <f>IF(AE$4="","",IFERROR(INDEX('因子水準表'!$B$9:$KO$18,10,MATCH(AE$4,'因子水準表'!$B$4:$KO$4,0))&amp;"",""))</f>
        <v/>
      </c>
      <c r="CN15" s="26">
        <f>IF(AF$4="","",IFERROR(INDEX('因子水準表'!$B$9:$KO$18,10,MATCH(AF$4,'因子水準表'!$B$4:$KO$4,0))&amp;"",""))</f>
        <v/>
      </c>
      <c r="CO15" s="26">
        <f>IF(AG$4="","",IFERROR(INDEX('因子水準表'!$B$9:$KO$18,10,MATCH(AG$4,'因子水準表'!$B$4:$KO$4,0))&amp;"",""))</f>
        <v/>
      </c>
      <c r="CP15" s="26">
        <f>IF(AH$4="","",IFERROR(INDEX('因子水準表'!$B$9:$KO$18,10,MATCH(AH$4,'因子水準表'!$B$4:$KO$4,0))&amp;"",""))</f>
        <v/>
      </c>
      <c r="CQ15" s="26">
        <f>IF(AI$4="","",IFERROR(INDEX('因子水準表'!$B$9:$KO$18,10,MATCH(AI$4,'因子水準表'!$B$4:$KO$4,0))&amp;"",""))</f>
        <v/>
      </c>
      <c r="CR15" s="26">
        <f>IF(AJ$4="","",IFERROR(INDEX('因子水準表'!$B$9:$KO$18,10,MATCH(AJ$4,'因子水準表'!$B$4:$KO$4,0))&amp;"",""))</f>
        <v/>
      </c>
      <c r="CS15" s="26">
        <f>IF(AK$4="","",IFERROR(INDEX('因子水準表'!$B$9:$KO$18,10,MATCH(AK$4,'因子水準表'!$B$4:$KO$4,0))&amp;"",""))</f>
        <v/>
      </c>
      <c r="CT15" s="26">
        <f>IF(AL$4="","",IFERROR(INDEX('因子水準表'!$B$9:$KO$18,10,MATCH(AL$4,'因子水準表'!$B$4:$KO$4,0))&amp;"",""))</f>
        <v/>
      </c>
      <c r="CU15" s="26">
        <f>IF(AM$4="","",IFERROR(INDEX('因子水準表'!$B$9:$KO$18,10,MATCH(AM$4,'因子水準表'!$B$4:$KO$4,0))&amp;"",""))</f>
        <v/>
      </c>
      <c r="CV15" s="26">
        <f>IF(AN$4="","",IFERROR(INDEX('因子水準表'!$B$9:$KO$18,10,MATCH(AN$4,'因子水準表'!$B$4:$KO$4,0))&amp;"",""))</f>
        <v/>
      </c>
      <c r="CW15" s="26">
        <f>IF(AO$4="","",IFERROR(INDEX('因子水準表'!$B$9:$KO$18,10,MATCH(AO$4,'因子水準表'!$B$4:$KO$4,0))&amp;"",""))</f>
        <v/>
      </c>
      <c r="CX15" s="26">
        <f>IF(AP$4="","",IFERROR(INDEX('因子水準表'!$B$9:$KO$18,10,MATCH(AP$4,'因子水準表'!$B$4:$KO$4,0))&amp;"",""))</f>
        <v/>
      </c>
      <c r="CY15" s="26">
        <f>IF(AQ$4="","",IFERROR(INDEX('因子水準表'!$B$9:$KO$18,10,MATCH(AQ$4,'因子水準表'!$B$4:$KO$4,0))&amp;"",""))</f>
        <v/>
      </c>
      <c r="CZ15" s="26">
        <f>IF(AR$4="","",IFERROR(INDEX('因子水準表'!$B$9:$KO$18,10,MATCH(AR$4,'因子水準表'!$B$4:$KO$4,0))&amp;"",""))</f>
        <v/>
      </c>
      <c r="DA15" s="26">
        <f>IF(AS$4="","",IFERROR(INDEX('因子水準表'!$B$9:$KO$18,10,MATCH(AS$4,'因子水準表'!$B$4:$KO$4,0))&amp;"",""))</f>
        <v/>
      </c>
      <c r="DB15" s="26">
        <f>IF(AT$4="","",IFERROR(INDEX('因子水準表'!$B$9:$KO$18,10,MATCH(AT$4,'因子水準表'!$B$4:$KO$4,0))&amp;"",""))</f>
        <v/>
      </c>
      <c r="DC15" s="26">
        <f>IF(AU$4="","",IFERROR(INDEX('因子水準表'!$B$9:$KO$18,10,MATCH(AU$4,'因子水準表'!$B$4:$KO$4,0))&amp;"",""))</f>
        <v/>
      </c>
      <c r="DD15" s="26">
        <f>IF(AV$4="","",IFERROR(INDEX('因子水準表'!$B$9:$KO$18,10,MATCH(AV$4,'因子水準表'!$B$4:$KO$4,0))&amp;"",""))</f>
        <v/>
      </c>
      <c r="DE15" s="26">
        <f>IF(AW$4="","",IFERROR(INDEX('因子水準表'!$B$9:$KO$18,10,MATCH(AW$4,'因子水準表'!$B$4:$KO$4,0))&amp;"",""))</f>
        <v/>
      </c>
      <c r="DF15" s="26">
        <f>IF(AX$4="","",IFERROR(INDEX('因子水準表'!$B$9:$KO$18,10,MATCH(AX$4,'因子水準表'!$B$4:$KO$4,0))&amp;"",""))</f>
        <v/>
      </c>
      <c r="DG15" s="26">
        <f>IF(AY$4="","",IFERROR(INDEX('因子水準表'!$B$9:$KO$18,10,MATCH(AY$4,'因子水準表'!$B$4:$KO$4,0))&amp;"",""))</f>
        <v/>
      </c>
      <c r="DH15" s="26">
        <f>IF(AZ$4="","",IFERROR(INDEX('因子水準表'!$B$9:$KO$18,10,MATCH(AZ$4,'因子水準表'!$B$4:$KO$4,0))&amp;"",""))</f>
        <v/>
      </c>
      <c r="DI15" s="26">
        <f>IF(BA$4="","",IFERROR(INDEX('因子水準表'!$B$9:$KO$18,10,MATCH(BA$4,'因子水準表'!$B$4:$KO$4,0))&amp;"",""))</f>
        <v/>
      </c>
      <c r="DJ15" s="26">
        <f>IF(BB$4="","",IFERROR(INDEX('因子水準表'!$B$9:$KO$18,10,MATCH(BB$4,'因子水準表'!$B$4:$KO$4,0))&amp;"",""))</f>
        <v/>
      </c>
      <c r="DK15" s="26">
        <f>IF(BC$4="","",IFERROR(INDEX('因子水準表'!$B$9:$KO$18,10,MATCH(BC$4,'因子水準表'!$B$4:$KO$4,0))&amp;"",""))</f>
        <v/>
      </c>
      <c r="DL15" s="26">
        <f>IF(BD$4="","",IFERROR(INDEX('因子水準表'!$B$9:$KO$18,10,MATCH(BD$4,'因子水準表'!$B$4:$KO$4,0))&amp;"",""))</f>
        <v/>
      </c>
      <c r="DM15" s="26">
        <f>IF('因子水準表'!B38="","",'因子水準表'!B38)</f>
        <v/>
      </c>
      <c r="DN15" s="26">
        <f>IF('テスト条件'!A14="","",'テスト条件'!A14)</f>
        <v/>
      </c>
    </row>
    <row r="16">
      <c r="A16" s="27" t="n"/>
      <c r="B16" s="27" t="n"/>
      <c r="C16" s="28">
        <f>IF(A16="","",$B$2)</f>
        <v/>
      </c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  <c r="AA16" s="27" t="n"/>
      <c r="AB16" s="27" t="n"/>
      <c r="AC16" s="27" t="n"/>
      <c r="AD16" s="27" t="n"/>
      <c r="AE16" s="27" t="n"/>
      <c r="AF16" s="27" t="n"/>
      <c r="AG16" s="27" t="n"/>
      <c r="AH16" s="27" t="n"/>
      <c r="AI16" s="27" t="n"/>
      <c r="AJ16" s="27" t="n"/>
      <c r="AK16" s="27" t="n"/>
      <c r="AL16" s="27" t="n"/>
      <c r="AM16" s="27" t="n"/>
      <c r="AN16" s="27" t="n"/>
      <c r="AO16" s="27" t="n"/>
      <c r="AP16" s="27" t="n"/>
      <c r="AQ16" s="27" t="n"/>
      <c r="AR16" s="27" t="n"/>
      <c r="AS16" s="27" t="n"/>
      <c r="AT16" s="27" t="n"/>
      <c r="AU16" s="27" t="n"/>
      <c r="AV16" s="27" t="n"/>
      <c r="AW16" s="27" t="n"/>
      <c r="AX16" s="27" t="n"/>
      <c r="AY16" s="27" t="n"/>
      <c r="AZ16" s="27" t="n"/>
      <c r="BA16" s="27" t="n"/>
      <c r="BB16" s="27" t="n"/>
      <c r="BC16" s="27" t="n"/>
      <c r="BD16" s="27" t="n"/>
      <c r="BE16" s="27" t="n"/>
      <c r="BF16" s="27" t="n"/>
      <c r="BG16" s="27" t="n"/>
      <c r="BH16" s="27" t="n"/>
      <c r="BI16" s="29" t="n"/>
      <c r="BJ16" s="27" t="n"/>
      <c r="BK16" s="27" t="n"/>
      <c r="BL16" s="27" t="n"/>
      <c r="BM16" s="27" t="n"/>
      <c r="DM16" s="26">
        <f>IF('因子水準表'!B39="","",'因子水準表'!B39)</f>
        <v/>
      </c>
      <c r="DN16" s="26">
        <f>IF('テスト条件'!A15="","",'テスト条件'!A15)</f>
        <v/>
      </c>
    </row>
    <row r="17">
      <c r="A17" s="27" t="n"/>
      <c r="B17" s="27" t="n"/>
      <c r="C17" s="28">
        <f>IF(A17="","",$B$2)</f>
        <v/>
      </c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  <c r="AI17" s="27" t="n"/>
      <c r="AJ17" s="27" t="n"/>
      <c r="AK17" s="27" t="n"/>
      <c r="AL17" s="27" t="n"/>
      <c r="AM17" s="27" t="n"/>
      <c r="AN17" s="27" t="n"/>
      <c r="AO17" s="27" t="n"/>
      <c r="AP17" s="27" t="n"/>
      <c r="AQ17" s="27" t="n"/>
      <c r="AR17" s="27" t="n"/>
      <c r="AS17" s="27" t="n"/>
      <c r="AT17" s="27" t="n"/>
      <c r="AU17" s="27" t="n"/>
      <c r="AV17" s="27" t="n"/>
      <c r="AW17" s="27" t="n"/>
      <c r="AX17" s="27" t="n"/>
      <c r="AY17" s="27" t="n"/>
      <c r="AZ17" s="27" t="n"/>
      <c r="BA17" s="27" t="n"/>
      <c r="BB17" s="27" t="n"/>
      <c r="BC17" s="27" t="n"/>
      <c r="BD17" s="27" t="n"/>
      <c r="BE17" s="27" t="n"/>
      <c r="BF17" s="27" t="n"/>
      <c r="BG17" s="27" t="n"/>
      <c r="BH17" s="27" t="n"/>
      <c r="BI17" s="29" t="n"/>
      <c r="BJ17" s="27" t="n"/>
      <c r="BK17" s="27" t="n"/>
      <c r="BL17" s="27" t="n"/>
      <c r="BM17" s="27" t="n"/>
      <c r="DM17" s="26">
        <f>IF('因子水準表'!B40="","",'因子水準表'!B40)</f>
        <v/>
      </c>
      <c r="DN17" s="26">
        <f>IF('テスト条件'!A16="","",'テスト条件'!A16)</f>
        <v/>
      </c>
    </row>
    <row r="18">
      <c r="A18" s="27" t="n"/>
      <c r="B18" s="27" t="n"/>
      <c r="C18" s="28">
        <f>IF(A18="","",$B$2)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  <c r="AJ18" s="27" t="n"/>
      <c r="AK18" s="27" t="n"/>
      <c r="AL18" s="27" t="n"/>
      <c r="AM18" s="27" t="n"/>
      <c r="AN18" s="27" t="n"/>
      <c r="AO18" s="27" t="n"/>
      <c r="AP18" s="27" t="n"/>
      <c r="AQ18" s="27" t="n"/>
      <c r="AR18" s="27" t="n"/>
      <c r="AS18" s="27" t="n"/>
      <c r="AT18" s="27" t="n"/>
      <c r="AU18" s="27" t="n"/>
      <c r="AV18" s="27" t="n"/>
      <c r="AW18" s="27" t="n"/>
      <c r="AX18" s="27" t="n"/>
      <c r="AY18" s="27" t="n"/>
      <c r="AZ18" s="27" t="n"/>
      <c r="BA18" s="27" t="n"/>
      <c r="BB18" s="27" t="n"/>
      <c r="BC18" s="27" t="n"/>
      <c r="BD18" s="27" t="n"/>
      <c r="BE18" s="27" t="n"/>
      <c r="BF18" s="27" t="n"/>
      <c r="BG18" s="27" t="n"/>
      <c r="BH18" s="27" t="n"/>
      <c r="BI18" s="29" t="n"/>
      <c r="BJ18" s="27" t="n"/>
      <c r="BK18" s="27" t="n"/>
      <c r="BL18" s="27" t="n"/>
      <c r="BM18" s="27" t="n"/>
      <c r="DM18" s="26">
        <f>IF('因子水準表'!B41="","",'因子水準表'!B41)</f>
        <v/>
      </c>
      <c r="DN18" s="26">
        <f>IF('テスト条件'!A17="","",'テスト条件'!A17)</f>
        <v/>
      </c>
    </row>
    <row r="19">
      <c r="A19" s="27" t="n"/>
      <c r="B19" s="27" t="n"/>
      <c r="C19" s="28">
        <f>IF(A19="","",$B$2)</f>
        <v/>
      </c>
      <c r="D19" s="27" t="n"/>
      <c r="E19" s="27" t="n"/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  <c r="AA19" s="27" t="n"/>
      <c r="AB19" s="27" t="n"/>
      <c r="AC19" s="27" t="n"/>
      <c r="AD19" s="27" t="n"/>
      <c r="AE19" s="27" t="n"/>
      <c r="AF19" s="27" t="n"/>
      <c r="AG19" s="27" t="n"/>
      <c r="AH19" s="27" t="n"/>
      <c r="AI19" s="27" t="n"/>
      <c r="AJ19" s="27" t="n"/>
      <c r="AK19" s="27" t="n"/>
      <c r="AL19" s="27" t="n"/>
      <c r="AM19" s="27" t="n"/>
      <c r="AN19" s="27" t="n"/>
      <c r="AO19" s="27" t="n"/>
      <c r="AP19" s="27" t="n"/>
      <c r="AQ19" s="27" t="n"/>
      <c r="AR19" s="27" t="n"/>
      <c r="AS19" s="27" t="n"/>
      <c r="AT19" s="27" t="n"/>
      <c r="AU19" s="27" t="n"/>
      <c r="AV19" s="27" t="n"/>
      <c r="AW19" s="27" t="n"/>
      <c r="AX19" s="27" t="n"/>
      <c r="AY19" s="27" t="n"/>
      <c r="AZ19" s="27" t="n"/>
      <c r="BA19" s="27" t="n"/>
      <c r="BB19" s="27" t="n"/>
      <c r="BC19" s="27" t="n"/>
      <c r="BD19" s="27" t="n"/>
      <c r="BE19" s="27" t="n"/>
      <c r="BF19" s="27" t="n"/>
      <c r="BG19" s="27" t="n"/>
      <c r="BH19" s="27" t="n"/>
      <c r="BI19" s="29" t="n"/>
      <c r="BJ19" s="27" t="n"/>
      <c r="BK19" s="27" t="n"/>
      <c r="BL19" s="27" t="n"/>
      <c r="BM19" s="27" t="n"/>
      <c r="DM19" s="26">
        <f>IF('因子水準表'!B42="","",'因子水準表'!B42)</f>
        <v/>
      </c>
      <c r="DN19" s="26">
        <f>IF('テスト条件'!A18="","",'テスト条件'!A18)</f>
        <v/>
      </c>
    </row>
    <row r="20">
      <c r="A20" s="27" t="n"/>
      <c r="B20" s="27" t="n"/>
      <c r="C20" s="28">
        <f>IF(A20="","",$B$2)</f>
        <v/>
      </c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7" t="n"/>
      <c r="AI20" s="27" t="n"/>
      <c r="AJ20" s="27" t="n"/>
      <c r="AK20" s="27" t="n"/>
      <c r="AL20" s="27" t="n"/>
      <c r="AM20" s="27" t="n"/>
      <c r="AN20" s="27" t="n"/>
      <c r="AO20" s="27" t="n"/>
      <c r="AP20" s="27" t="n"/>
      <c r="AQ20" s="27" t="n"/>
      <c r="AR20" s="27" t="n"/>
      <c r="AS20" s="27" t="n"/>
      <c r="AT20" s="27" t="n"/>
      <c r="AU20" s="27" t="n"/>
      <c r="AV20" s="27" t="n"/>
      <c r="AW20" s="27" t="n"/>
      <c r="AX20" s="27" t="n"/>
      <c r="AY20" s="27" t="n"/>
      <c r="AZ20" s="27" t="n"/>
      <c r="BA20" s="27" t="n"/>
      <c r="BB20" s="27" t="n"/>
      <c r="BC20" s="27" t="n"/>
      <c r="BD20" s="27" t="n"/>
      <c r="BE20" s="27" t="n"/>
      <c r="BF20" s="27" t="n"/>
      <c r="BG20" s="27" t="n"/>
      <c r="BH20" s="27" t="n"/>
      <c r="BI20" s="29" t="n"/>
      <c r="BJ20" s="27" t="n"/>
      <c r="BK20" s="27" t="n"/>
      <c r="BL20" s="27" t="n"/>
      <c r="BM20" s="27" t="n"/>
      <c r="DM20" s="26">
        <f>IF('因子水準表'!B43="","",'因子水準表'!B43)</f>
        <v/>
      </c>
      <c r="DN20" s="26">
        <f>IF('テスト条件'!A19="","",'テスト条件'!A19)</f>
        <v/>
      </c>
    </row>
    <row r="21">
      <c r="A21" s="27" t="n"/>
      <c r="B21" s="27" t="n"/>
      <c r="C21" s="28">
        <f>IF(A21="","",$B$2)</f>
        <v/>
      </c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  <c r="AI21" s="27" t="n"/>
      <c r="AJ21" s="27" t="n"/>
      <c r="AK21" s="27" t="n"/>
      <c r="AL21" s="27" t="n"/>
      <c r="AM21" s="27" t="n"/>
      <c r="AN21" s="27" t="n"/>
      <c r="AO21" s="27" t="n"/>
      <c r="AP21" s="27" t="n"/>
      <c r="AQ21" s="27" t="n"/>
      <c r="AR21" s="27" t="n"/>
      <c r="AS21" s="27" t="n"/>
      <c r="AT21" s="27" t="n"/>
      <c r="AU21" s="27" t="n"/>
      <c r="AV21" s="27" t="n"/>
      <c r="AW21" s="27" t="n"/>
      <c r="AX21" s="27" t="n"/>
      <c r="AY21" s="27" t="n"/>
      <c r="AZ21" s="27" t="n"/>
      <c r="BA21" s="27" t="n"/>
      <c r="BB21" s="27" t="n"/>
      <c r="BC21" s="27" t="n"/>
      <c r="BD21" s="27" t="n"/>
      <c r="BE21" s="27" t="n"/>
      <c r="BF21" s="27" t="n"/>
      <c r="BG21" s="27" t="n"/>
      <c r="BH21" s="27" t="n"/>
      <c r="BI21" s="29" t="n"/>
      <c r="BJ21" s="27" t="n"/>
      <c r="BK21" s="27" t="n"/>
      <c r="BL21" s="27" t="n"/>
      <c r="BM21" s="27" t="n"/>
      <c r="DM21" s="26">
        <f>IF('因子水準表'!B44="","",'因子水準表'!B44)</f>
        <v/>
      </c>
      <c r="DN21" s="26">
        <f>IF('テスト条件'!A20="","",'テスト条件'!A20)</f>
        <v/>
      </c>
    </row>
    <row r="22">
      <c r="A22" s="27" t="n"/>
      <c r="B22" s="27" t="n"/>
      <c r="C22" s="28">
        <f>IF(A22="","",$B$2)</f>
        <v/>
      </c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  <c r="AA22" s="27" t="n"/>
      <c r="AB22" s="27" t="n"/>
      <c r="AC22" s="27" t="n"/>
      <c r="AD22" s="27" t="n"/>
      <c r="AE22" s="27" t="n"/>
      <c r="AF22" s="27" t="n"/>
      <c r="AG22" s="27" t="n"/>
      <c r="AH22" s="27" t="n"/>
      <c r="AI22" s="27" t="n"/>
      <c r="AJ22" s="27" t="n"/>
      <c r="AK22" s="27" t="n"/>
      <c r="AL22" s="27" t="n"/>
      <c r="AM22" s="27" t="n"/>
      <c r="AN22" s="27" t="n"/>
      <c r="AO22" s="27" t="n"/>
      <c r="AP22" s="27" t="n"/>
      <c r="AQ22" s="27" t="n"/>
      <c r="AR22" s="27" t="n"/>
      <c r="AS22" s="27" t="n"/>
      <c r="AT22" s="27" t="n"/>
      <c r="AU22" s="27" t="n"/>
      <c r="AV22" s="27" t="n"/>
      <c r="AW22" s="27" t="n"/>
      <c r="AX22" s="27" t="n"/>
      <c r="AY22" s="27" t="n"/>
      <c r="AZ22" s="27" t="n"/>
      <c r="BA22" s="27" t="n"/>
      <c r="BB22" s="27" t="n"/>
      <c r="BC22" s="27" t="n"/>
      <c r="BD22" s="27" t="n"/>
      <c r="BE22" s="27" t="n"/>
      <c r="BF22" s="27" t="n"/>
      <c r="BG22" s="27" t="n"/>
      <c r="BH22" s="27" t="n"/>
      <c r="BI22" s="29" t="n"/>
      <c r="BJ22" s="27" t="n"/>
      <c r="BK22" s="27" t="n"/>
      <c r="BL22" s="27" t="n"/>
      <c r="BM22" s="27" t="n"/>
      <c r="DM22" s="26">
        <f>IF('因子水準表'!B45="","",'因子水準表'!B45)</f>
        <v/>
      </c>
      <c r="DN22" s="26">
        <f>IF('テスト条件'!A21="","",'テスト条件'!A21)</f>
        <v/>
      </c>
    </row>
    <row r="23">
      <c r="A23" s="27" t="n"/>
      <c r="B23" s="27" t="n"/>
      <c r="C23" s="28">
        <f>IF(A23="","",$B$2)</f>
        <v/>
      </c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  <c r="AI23" s="27" t="n"/>
      <c r="AJ23" s="27" t="n"/>
      <c r="AK23" s="27" t="n"/>
      <c r="AL23" s="27" t="n"/>
      <c r="AM23" s="27" t="n"/>
      <c r="AN23" s="27" t="n"/>
      <c r="AO23" s="27" t="n"/>
      <c r="AP23" s="27" t="n"/>
      <c r="AQ23" s="27" t="n"/>
      <c r="AR23" s="27" t="n"/>
      <c r="AS23" s="27" t="n"/>
      <c r="AT23" s="27" t="n"/>
      <c r="AU23" s="27" t="n"/>
      <c r="AV23" s="27" t="n"/>
      <c r="AW23" s="27" t="n"/>
      <c r="AX23" s="27" t="n"/>
      <c r="AY23" s="27" t="n"/>
      <c r="AZ23" s="27" t="n"/>
      <c r="BA23" s="27" t="n"/>
      <c r="BB23" s="27" t="n"/>
      <c r="BC23" s="27" t="n"/>
      <c r="BD23" s="27" t="n"/>
      <c r="BE23" s="27" t="n"/>
      <c r="BF23" s="27" t="n"/>
      <c r="BG23" s="27" t="n"/>
      <c r="BH23" s="27" t="n"/>
      <c r="BI23" s="29" t="n"/>
      <c r="BJ23" s="27" t="n"/>
      <c r="BK23" s="27" t="n"/>
      <c r="BL23" s="27" t="n"/>
      <c r="BM23" s="27" t="n"/>
      <c r="DM23" s="26">
        <f>IF('因子水準表'!B46="","",'因子水準表'!B46)</f>
        <v/>
      </c>
      <c r="DN23" s="26">
        <f>IF('テスト条件'!A22="","",'テスト条件'!A22)</f>
        <v/>
      </c>
    </row>
    <row r="24">
      <c r="A24" s="27" t="n"/>
      <c r="B24" s="27" t="n"/>
      <c r="C24" s="28">
        <f>IF(A24="","",$B$2)</f>
        <v/>
      </c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7" t="n"/>
      <c r="AB24" s="27" t="n"/>
      <c r="AC24" s="27" t="n"/>
      <c r="AD24" s="27" t="n"/>
      <c r="AE24" s="27" t="n"/>
      <c r="AF24" s="27" t="n"/>
      <c r="AG24" s="27" t="n"/>
      <c r="AH24" s="27" t="n"/>
      <c r="AI24" s="27" t="n"/>
      <c r="AJ24" s="27" t="n"/>
      <c r="AK24" s="27" t="n"/>
      <c r="AL24" s="27" t="n"/>
      <c r="AM24" s="27" t="n"/>
      <c r="AN24" s="27" t="n"/>
      <c r="AO24" s="27" t="n"/>
      <c r="AP24" s="27" t="n"/>
      <c r="AQ24" s="27" t="n"/>
      <c r="AR24" s="27" t="n"/>
      <c r="AS24" s="27" t="n"/>
      <c r="AT24" s="27" t="n"/>
      <c r="AU24" s="27" t="n"/>
      <c r="AV24" s="27" t="n"/>
      <c r="AW24" s="27" t="n"/>
      <c r="AX24" s="27" t="n"/>
      <c r="AY24" s="27" t="n"/>
      <c r="AZ24" s="27" t="n"/>
      <c r="BA24" s="27" t="n"/>
      <c r="BB24" s="27" t="n"/>
      <c r="BC24" s="27" t="n"/>
      <c r="BD24" s="27" t="n"/>
      <c r="BE24" s="27" t="n"/>
      <c r="BF24" s="27" t="n"/>
      <c r="BG24" s="27" t="n"/>
      <c r="BH24" s="27" t="n"/>
      <c r="BI24" s="29" t="n"/>
      <c r="BJ24" s="27" t="n"/>
      <c r="BK24" s="27" t="n"/>
      <c r="BL24" s="27" t="n"/>
      <c r="BM24" s="27" t="n"/>
      <c r="DM24" s="26">
        <f>IF('因子水準表'!B47="","",'因子水準表'!B47)</f>
        <v/>
      </c>
      <c r="DN24" s="26">
        <f>IF('テスト条件'!A23="","",'テスト条件'!A23)</f>
        <v/>
      </c>
    </row>
    <row r="25">
      <c r="A25" s="27" t="n"/>
      <c r="B25" s="27" t="n"/>
      <c r="C25" s="28">
        <f>IF(A25="","",$B$2)</f>
        <v/>
      </c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  <c r="AI25" s="27" t="n"/>
      <c r="AJ25" s="27" t="n"/>
      <c r="AK25" s="27" t="n"/>
      <c r="AL25" s="27" t="n"/>
      <c r="AM25" s="27" t="n"/>
      <c r="AN25" s="27" t="n"/>
      <c r="AO25" s="27" t="n"/>
      <c r="AP25" s="27" t="n"/>
      <c r="AQ25" s="27" t="n"/>
      <c r="AR25" s="27" t="n"/>
      <c r="AS25" s="27" t="n"/>
      <c r="AT25" s="27" t="n"/>
      <c r="AU25" s="27" t="n"/>
      <c r="AV25" s="27" t="n"/>
      <c r="AW25" s="27" t="n"/>
      <c r="AX25" s="27" t="n"/>
      <c r="AY25" s="27" t="n"/>
      <c r="AZ25" s="27" t="n"/>
      <c r="BA25" s="27" t="n"/>
      <c r="BB25" s="27" t="n"/>
      <c r="BC25" s="27" t="n"/>
      <c r="BD25" s="27" t="n"/>
      <c r="BE25" s="27" t="n"/>
      <c r="BF25" s="27" t="n"/>
      <c r="BG25" s="27" t="n"/>
      <c r="BH25" s="27" t="n"/>
      <c r="BI25" s="29" t="n"/>
      <c r="BJ25" s="27" t="n"/>
      <c r="BK25" s="27" t="n"/>
      <c r="BL25" s="27" t="n"/>
      <c r="BM25" s="27" t="n"/>
      <c r="DM25" s="26">
        <f>IF('因子水準表'!B48="","",'因子水準表'!B48)</f>
        <v/>
      </c>
      <c r="DN25" s="26">
        <f>IF('テスト条件'!A24="","",'テスト条件'!A24)</f>
        <v/>
      </c>
    </row>
    <row r="26">
      <c r="A26" s="27" t="n"/>
      <c r="B26" s="27" t="n"/>
      <c r="C26" s="28">
        <f>IF(A26="","",$B$2)</f>
        <v/>
      </c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  <c r="AA26" s="27" t="n"/>
      <c r="AB26" s="27" t="n"/>
      <c r="AC26" s="27" t="n"/>
      <c r="AD26" s="27" t="n"/>
      <c r="AE26" s="27" t="n"/>
      <c r="AF26" s="27" t="n"/>
      <c r="AG26" s="27" t="n"/>
      <c r="AH26" s="27" t="n"/>
      <c r="AI26" s="27" t="n"/>
      <c r="AJ26" s="27" t="n"/>
      <c r="AK26" s="27" t="n"/>
      <c r="AL26" s="27" t="n"/>
      <c r="AM26" s="27" t="n"/>
      <c r="AN26" s="27" t="n"/>
      <c r="AO26" s="27" t="n"/>
      <c r="AP26" s="27" t="n"/>
      <c r="AQ26" s="27" t="n"/>
      <c r="AR26" s="27" t="n"/>
      <c r="AS26" s="27" t="n"/>
      <c r="AT26" s="27" t="n"/>
      <c r="AU26" s="27" t="n"/>
      <c r="AV26" s="27" t="n"/>
      <c r="AW26" s="27" t="n"/>
      <c r="AX26" s="27" t="n"/>
      <c r="AY26" s="27" t="n"/>
      <c r="AZ26" s="27" t="n"/>
      <c r="BA26" s="27" t="n"/>
      <c r="BB26" s="27" t="n"/>
      <c r="BC26" s="27" t="n"/>
      <c r="BD26" s="27" t="n"/>
      <c r="BE26" s="27" t="n"/>
      <c r="BF26" s="27" t="n"/>
      <c r="BG26" s="27" t="n"/>
      <c r="BH26" s="27" t="n"/>
      <c r="BI26" s="29" t="n"/>
      <c r="BJ26" s="27" t="n"/>
      <c r="BK26" s="27" t="n"/>
      <c r="BL26" s="27" t="n"/>
      <c r="BM26" s="27" t="n"/>
      <c r="DM26" s="26">
        <f>IF('因子水準表'!B49="","",'因子水準表'!B49)</f>
        <v/>
      </c>
      <c r="DN26" s="26">
        <f>IF('テスト条件'!A25="","",'テスト条件'!A25)</f>
        <v/>
      </c>
    </row>
    <row r="27">
      <c r="A27" s="27" t="n"/>
      <c r="B27" s="27" t="n"/>
      <c r="C27" s="28">
        <f>IF(A27="","",$B$2)</f>
        <v/>
      </c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  <c r="AI27" s="27" t="n"/>
      <c r="AJ27" s="27" t="n"/>
      <c r="AK27" s="27" t="n"/>
      <c r="AL27" s="27" t="n"/>
      <c r="AM27" s="27" t="n"/>
      <c r="AN27" s="27" t="n"/>
      <c r="AO27" s="27" t="n"/>
      <c r="AP27" s="27" t="n"/>
      <c r="AQ27" s="27" t="n"/>
      <c r="AR27" s="27" t="n"/>
      <c r="AS27" s="27" t="n"/>
      <c r="AT27" s="27" t="n"/>
      <c r="AU27" s="27" t="n"/>
      <c r="AV27" s="27" t="n"/>
      <c r="AW27" s="27" t="n"/>
      <c r="AX27" s="27" t="n"/>
      <c r="AY27" s="27" t="n"/>
      <c r="AZ27" s="27" t="n"/>
      <c r="BA27" s="27" t="n"/>
      <c r="BB27" s="27" t="n"/>
      <c r="BC27" s="27" t="n"/>
      <c r="BD27" s="27" t="n"/>
      <c r="BE27" s="27" t="n"/>
      <c r="BF27" s="27" t="n"/>
      <c r="BG27" s="27" t="n"/>
      <c r="BH27" s="27" t="n"/>
      <c r="BI27" s="29" t="n"/>
      <c r="BJ27" s="27" t="n"/>
      <c r="BK27" s="27" t="n"/>
      <c r="BL27" s="27" t="n"/>
      <c r="BM27" s="27" t="n"/>
      <c r="DM27" s="26">
        <f>IF('因子水準表'!B50="","",'因子水準表'!B50)</f>
        <v/>
      </c>
      <c r="DN27" s="26">
        <f>IF('テスト条件'!A26="","",'テスト条件'!A26)</f>
        <v/>
      </c>
    </row>
    <row r="28">
      <c r="A28" s="27" t="n"/>
      <c r="B28" s="27" t="n"/>
      <c r="C28" s="28">
        <f>IF(A28="","",$B$2)</f>
        <v/>
      </c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  <c r="AA28" s="27" t="n"/>
      <c r="AB28" s="27" t="n"/>
      <c r="AC28" s="27" t="n"/>
      <c r="AD28" s="27" t="n"/>
      <c r="AE28" s="27" t="n"/>
      <c r="AF28" s="27" t="n"/>
      <c r="AG28" s="27" t="n"/>
      <c r="AH28" s="27" t="n"/>
      <c r="AI28" s="27" t="n"/>
      <c r="AJ28" s="27" t="n"/>
      <c r="AK28" s="27" t="n"/>
      <c r="AL28" s="27" t="n"/>
      <c r="AM28" s="27" t="n"/>
      <c r="AN28" s="27" t="n"/>
      <c r="AO28" s="27" t="n"/>
      <c r="AP28" s="27" t="n"/>
      <c r="AQ28" s="27" t="n"/>
      <c r="AR28" s="27" t="n"/>
      <c r="AS28" s="27" t="n"/>
      <c r="AT28" s="27" t="n"/>
      <c r="AU28" s="27" t="n"/>
      <c r="AV28" s="27" t="n"/>
      <c r="AW28" s="27" t="n"/>
      <c r="AX28" s="27" t="n"/>
      <c r="AY28" s="27" t="n"/>
      <c r="AZ28" s="27" t="n"/>
      <c r="BA28" s="27" t="n"/>
      <c r="BB28" s="27" t="n"/>
      <c r="BC28" s="27" t="n"/>
      <c r="BD28" s="27" t="n"/>
      <c r="BE28" s="27" t="n"/>
      <c r="BF28" s="27" t="n"/>
      <c r="BG28" s="27" t="n"/>
      <c r="BH28" s="27" t="n"/>
      <c r="BI28" s="29" t="n"/>
      <c r="BJ28" s="27" t="n"/>
      <c r="BK28" s="27" t="n"/>
      <c r="BL28" s="27" t="n"/>
      <c r="BM28" s="27" t="n"/>
      <c r="DM28" s="26">
        <f>IF('因子水準表'!B51="","",'因子水準表'!B51)</f>
        <v/>
      </c>
      <c r="DN28" s="26">
        <f>IF('テスト条件'!A27="","",'テスト条件'!A27)</f>
        <v/>
      </c>
    </row>
    <row r="29">
      <c r="A29" s="27" t="n"/>
      <c r="B29" s="27" t="n"/>
      <c r="C29" s="28">
        <f>IF(A29="","",$B$2)</f>
        <v/>
      </c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  <c r="AI29" s="27" t="n"/>
      <c r="AJ29" s="27" t="n"/>
      <c r="AK29" s="27" t="n"/>
      <c r="AL29" s="27" t="n"/>
      <c r="AM29" s="27" t="n"/>
      <c r="AN29" s="27" t="n"/>
      <c r="AO29" s="27" t="n"/>
      <c r="AP29" s="27" t="n"/>
      <c r="AQ29" s="27" t="n"/>
      <c r="AR29" s="27" t="n"/>
      <c r="AS29" s="27" t="n"/>
      <c r="AT29" s="27" t="n"/>
      <c r="AU29" s="27" t="n"/>
      <c r="AV29" s="27" t="n"/>
      <c r="AW29" s="27" t="n"/>
      <c r="AX29" s="27" t="n"/>
      <c r="AY29" s="27" t="n"/>
      <c r="AZ29" s="27" t="n"/>
      <c r="BA29" s="27" t="n"/>
      <c r="BB29" s="27" t="n"/>
      <c r="BC29" s="27" t="n"/>
      <c r="BD29" s="27" t="n"/>
      <c r="BE29" s="27" t="n"/>
      <c r="BF29" s="27" t="n"/>
      <c r="BG29" s="27" t="n"/>
      <c r="BH29" s="27" t="n"/>
      <c r="BI29" s="29" t="n"/>
      <c r="BJ29" s="27" t="n"/>
      <c r="BK29" s="27" t="n"/>
      <c r="BL29" s="27" t="n"/>
      <c r="BM29" s="27" t="n"/>
      <c r="DM29" s="26">
        <f>IF('因子水準表'!B52="","",'因子水準表'!B52)</f>
        <v/>
      </c>
      <c r="DN29" s="26">
        <f>IF('テスト条件'!A28="","",'テスト条件'!A28)</f>
        <v/>
      </c>
    </row>
    <row r="30">
      <c r="A30" s="27" t="n"/>
      <c r="B30" s="27" t="n"/>
      <c r="C30" s="28">
        <f>IF(A30="","",$B$2)</f>
        <v/>
      </c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7" t="n"/>
      <c r="AF30" s="27" t="n"/>
      <c r="AG30" s="27" t="n"/>
      <c r="AH30" s="27" t="n"/>
      <c r="AI30" s="27" t="n"/>
      <c r="AJ30" s="27" t="n"/>
      <c r="AK30" s="27" t="n"/>
      <c r="AL30" s="27" t="n"/>
      <c r="AM30" s="27" t="n"/>
      <c r="AN30" s="27" t="n"/>
      <c r="AO30" s="27" t="n"/>
      <c r="AP30" s="27" t="n"/>
      <c r="AQ30" s="27" t="n"/>
      <c r="AR30" s="27" t="n"/>
      <c r="AS30" s="27" t="n"/>
      <c r="AT30" s="27" t="n"/>
      <c r="AU30" s="27" t="n"/>
      <c r="AV30" s="27" t="n"/>
      <c r="AW30" s="27" t="n"/>
      <c r="AX30" s="27" t="n"/>
      <c r="AY30" s="27" t="n"/>
      <c r="AZ30" s="27" t="n"/>
      <c r="BA30" s="27" t="n"/>
      <c r="BB30" s="27" t="n"/>
      <c r="BC30" s="27" t="n"/>
      <c r="BD30" s="27" t="n"/>
      <c r="BE30" s="27" t="n"/>
      <c r="BF30" s="27" t="n"/>
      <c r="BG30" s="27" t="n"/>
      <c r="BH30" s="27" t="n"/>
      <c r="BI30" s="29" t="n"/>
      <c r="BJ30" s="27" t="n"/>
      <c r="BK30" s="27" t="n"/>
      <c r="BL30" s="27" t="n"/>
      <c r="BM30" s="27" t="n"/>
      <c r="DM30" s="26">
        <f>IF('因子水準表'!B53="","",'因子水準表'!B53)</f>
        <v/>
      </c>
      <c r="DN30" s="26">
        <f>IF('テスト条件'!A29="","",'テスト条件'!A29)</f>
        <v/>
      </c>
    </row>
    <row r="31">
      <c r="A31" s="27" t="n"/>
      <c r="B31" s="27" t="n"/>
      <c r="C31" s="28">
        <f>IF(A31="","",$B$2)</f>
        <v/>
      </c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27" t="n"/>
      <c r="AJ31" s="27" t="n"/>
      <c r="AK31" s="27" t="n"/>
      <c r="AL31" s="27" t="n"/>
      <c r="AM31" s="27" t="n"/>
      <c r="AN31" s="27" t="n"/>
      <c r="AO31" s="27" t="n"/>
      <c r="AP31" s="27" t="n"/>
      <c r="AQ31" s="27" t="n"/>
      <c r="AR31" s="27" t="n"/>
      <c r="AS31" s="27" t="n"/>
      <c r="AT31" s="27" t="n"/>
      <c r="AU31" s="27" t="n"/>
      <c r="AV31" s="27" t="n"/>
      <c r="AW31" s="27" t="n"/>
      <c r="AX31" s="27" t="n"/>
      <c r="AY31" s="27" t="n"/>
      <c r="AZ31" s="27" t="n"/>
      <c r="BA31" s="27" t="n"/>
      <c r="BB31" s="27" t="n"/>
      <c r="BC31" s="27" t="n"/>
      <c r="BD31" s="27" t="n"/>
      <c r="BE31" s="27" t="n"/>
      <c r="BF31" s="27" t="n"/>
      <c r="BG31" s="27" t="n"/>
      <c r="BH31" s="27" t="n"/>
      <c r="BI31" s="29" t="n"/>
      <c r="BJ31" s="27" t="n"/>
      <c r="BK31" s="27" t="n"/>
      <c r="BL31" s="27" t="n"/>
      <c r="BM31" s="27" t="n"/>
      <c r="DM31" s="26">
        <f>IF('因子水準表'!B54="","",'因子水準表'!B54)</f>
        <v/>
      </c>
      <c r="DN31" s="26">
        <f>IF('テスト条件'!A30="","",'テスト条件'!A30)</f>
        <v/>
      </c>
    </row>
    <row r="32">
      <c r="A32" s="27" t="n"/>
      <c r="B32" s="27" t="n"/>
      <c r="C32" s="28">
        <f>IF(A32="","",$B$2)</f>
        <v/>
      </c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27" t="n"/>
      <c r="AJ32" s="27" t="n"/>
      <c r="AK32" s="27" t="n"/>
      <c r="AL32" s="27" t="n"/>
      <c r="AM32" s="27" t="n"/>
      <c r="AN32" s="27" t="n"/>
      <c r="AO32" s="27" t="n"/>
      <c r="AP32" s="27" t="n"/>
      <c r="AQ32" s="27" t="n"/>
      <c r="AR32" s="27" t="n"/>
      <c r="AS32" s="27" t="n"/>
      <c r="AT32" s="27" t="n"/>
      <c r="AU32" s="27" t="n"/>
      <c r="AV32" s="27" t="n"/>
      <c r="AW32" s="27" t="n"/>
      <c r="AX32" s="27" t="n"/>
      <c r="AY32" s="27" t="n"/>
      <c r="AZ32" s="27" t="n"/>
      <c r="BA32" s="27" t="n"/>
      <c r="BB32" s="27" t="n"/>
      <c r="BC32" s="27" t="n"/>
      <c r="BD32" s="27" t="n"/>
      <c r="BE32" s="27" t="n"/>
      <c r="BF32" s="27" t="n"/>
      <c r="BG32" s="27" t="n"/>
      <c r="BH32" s="27" t="n"/>
      <c r="BI32" s="29" t="n"/>
      <c r="BJ32" s="27" t="n"/>
      <c r="BK32" s="27" t="n"/>
      <c r="BL32" s="27" t="n"/>
      <c r="BM32" s="27" t="n"/>
      <c r="DM32" s="26">
        <f>IF('因子水準表'!B55="","",'因子水準表'!B55)</f>
        <v/>
      </c>
      <c r="DN32" s="26">
        <f>IF('テスト条件'!A31="","",'テスト条件'!A31)</f>
        <v/>
      </c>
    </row>
    <row r="33">
      <c r="A33" s="27" t="n"/>
      <c r="B33" s="27" t="n"/>
      <c r="C33" s="28">
        <f>IF(A33="","",$B$2)</f>
        <v/>
      </c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  <c r="AJ33" s="27" t="n"/>
      <c r="AK33" s="27" t="n"/>
      <c r="AL33" s="27" t="n"/>
      <c r="AM33" s="27" t="n"/>
      <c r="AN33" s="27" t="n"/>
      <c r="AO33" s="27" t="n"/>
      <c r="AP33" s="27" t="n"/>
      <c r="AQ33" s="27" t="n"/>
      <c r="AR33" s="27" t="n"/>
      <c r="AS33" s="27" t="n"/>
      <c r="AT33" s="27" t="n"/>
      <c r="AU33" s="27" t="n"/>
      <c r="AV33" s="27" t="n"/>
      <c r="AW33" s="27" t="n"/>
      <c r="AX33" s="27" t="n"/>
      <c r="AY33" s="27" t="n"/>
      <c r="AZ33" s="27" t="n"/>
      <c r="BA33" s="27" t="n"/>
      <c r="BB33" s="27" t="n"/>
      <c r="BC33" s="27" t="n"/>
      <c r="BD33" s="27" t="n"/>
      <c r="BE33" s="27" t="n"/>
      <c r="BF33" s="27" t="n"/>
      <c r="BG33" s="27" t="n"/>
      <c r="BH33" s="27" t="n"/>
      <c r="BI33" s="29" t="n"/>
      <c r="BJ33" s="27" t="n"/>
      <c r="BK33" s="27" t="n"/>
      <c r="BL33" s="27" t="n"/>
      <c r="BM33" s="27" t="n"/>
      <c r="DM33" s="26">
        <f>IF('因子水準表'!B56="","",'因子水準表'!B56)</f>
        <v/>
      </c>
      <c r="DN33" s="26">
        <f>IF('テスト条件'!A32="","",'テスト条件'!A32)</f>
        <v/>
      </c>
    </row>
    <row r="34">
      <c r="A34" s="27" t="n"/>
      <c r="B34" s="27" t="n"/>
      <c r="C34" s="28">
        <f>IF(A34="","",$B$2)</f>
        <v/>
      </c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  <c r="AJ34" s="27" t="n"/>
      <c r="AK34" s="27" t="n"/>
      <c r="AL34" s="27" t="n"/>
      <c r="AM34" s="27" t="n"/>
      <c r="AN34" s="27" t="n"/>
      <c r="AO34" s="27" t="n"/>
      <c r="AP34" s="27" t="n"/>
      <c r="AQ34" s="27" t="n"/>
      <c r="AR34" s="27" t="n"/>
      <c r="AS34" s="27" t="n"/>
      <c r="AT34" s="27" t="n"/>
      <c r="AU34" s="27" t="n"/>
      <c r="AV34" s="27" t="n"/>
      <c r="AW34" s="27" t="n"/>
      <c r="AX34" s="27" t="n"/>
      <c r="AY34" s="27" t="n"/>
      <c r="AZ34" s="27" t="n"/>
      <c r="BA34" s="27" t="n"/>
      <c r="BB34" s="27" t="n"/>
      <c r="BC34" s="27" t="n"/>
      <c r="BD34" s="27" t="n"/>
      <c r="BE34" s="27" t="n"/>
      <c r="BF34" s="27" t="n"/>
      <c r="BG34" s="27" t="n"/>
      <c r="BH34" s="27" t="n"/>
      <c r="BI34" s="29" t="n"/>
      <c r="BJ34" s="27" t="n"/>
      <c r="BK34" s="27" t="n"/>
      <c r="BL34" s="27" t="n"/>
      <c r="BM34" s="27" t="n"/>
      <c r="DM34" s="26">
        <f>IF('因子水準表'!B57="","",'因子水準表'!B57)</f>
        <v/>
      </c>
      <c r="DN34" s="26">
        <f>IF('テスト条件'!A33="","",'テスト条件'!A33)</f>
        <v/>
      </c>
    </row>
    <row r="35">
      <c r="A35" s="27" t="n"/>
      <c r="B35" s="27" t="n"/>
      <c r="C35" s="28">
        <f>IF(A35="","",$B$2)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27" t="n"/>
      <c r="AJ35" s="27" t="n"/>
      <c r="AK35" s="27" t="n"/>
      <c r="AL35" s="27" t="n"/>
      <c r="AM35" s="27" t="n"/>
      <c r="AN35" s="27" t="n"/>
      <c r="AO35" s="27" t="n"/>
      <c r="AP35" s="27" t="n"/>
      <c r="AQ35" s="27" t="n"/>
      <c r="AR35" s="27" t="n"/>
      <c r="AS35" s="27" t="n"/>
      <c r="AT35" s="27" t="n"/>
      <c r="AU35" s="27" t="n"/>
      <c r="AV35" s="27" t="n"/>
      <c r="AW35" s="27" t="n"/>
      <c r="AX35" s="27" t="n"/>
      <c r="AY35" s="27" t="n"/>
      <c r="AZ35" s="27" t="n"/>
      <c r="BA35" s="27" t="n"/>
      <c r="BB35" s="27" t="n"/>
      <c r="BC35" s="27" t="n"/>
      <c r="BD35" s="27" t="n"/>
      <c r="BE35" s="27" t="n"/>
      <c r="BF35" s="27" t="n"/>
      <c r="BG35" s="27" t="n"/>
      <c r="BH35" s="27" t="n"/>
      <c r="BI35" s="29" t="n"/>
      <c r="BJ35" s="27" t="n"/>
      <c r="BK35" s="27" t="n"/>
      <c r="BL35" s="27" t="n"/>
      <c r="BM35" s="27" t="n"/>
      <c r="DM35" s="26">
        <f>IF('因子水準表'!B58="","",'因子水準表'!B58)</f>
        <v/>
      </c>
      <c r="DN35" s="26">
        <f>IF('テスト条件'!A34="","",'テスト条件'!A34)</f>
        <v/>
      </c>
    </row>
    <row r="36">
      <c r="A36" s="27" t="n"/>
      <c r="B36" s="27" t="n"/>
      <c r="C36" s="28">
        <f>IF(A36="","",$B$2)</f>
        <v/>
      </c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27" t="n"/>
      <c r="AJ36" s="27" t="n"/>
      <c r="AK36" s="27" t="n"/>
      <c r="AL36" s="27" t="n"/>
      <c r="AM36" s="27" t="n"/>
      <c r="AN36" s="27" t="n"/>
      <c r="AO36" s="27" t="n"/>
      <c r="AP36" s="27" t="n"/>
      <c r="AQ36" s="27" t="n"/>
      <c r="AR36" s="27" t="n"/>
      <c r="AS36" s="27" t="n"/>
      <c r="AT36" s="27" t="n"/>
      <c r="AU36" s="27" t="n"/>
      <c r="AV36" s="27" t="n"/>
      <c r="AW36" s="27" t="n"/>
      <c r="AX36" s="27" t="n"/>
      <c r="AY36" s="27" t="n"/>
      <c r="AZ36" s="27" t="n"/>
      <c r="BA36" s="27" t="n"/>
      <c r="BB36" s="27" t="n"/>
      <c r="BC36" s="27" t="n"/>
      <c r="BD36" s="27" t="n"/>
      <c r="BE36" s="27" t="n"/>
      <c r="BF36" s="27" t="n"/>
      <c r="BG36" s="27" t="n"/>
      <c r="BH36" s="27" t="n"/>
      <c r="BI36" s="29" t="n"/>
      <c r="BJ36" s="27" t="n"/>
      <c r="BK36" s="27" t="n"/>
      <c r="BL36" s="27" t="n"/>
      <c r="BM36" s="27" t="n"/>
      <c r="DN36" s="26">
        <f>IF('テスト条件'!A35="","",'テスト条件'!A35)</f>
        <v/>
      </c>
    </row>
    <row r="37">
      <c r="A37" s="27" t="n"/>
      <c r="B37" s="27" t="n"/>
      <c r="C37" s="28">
        <f>IF(A37="","",$B$2)</f>
        <v/>
      </c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27" t="n"/>
      <c r="AJ37" s="27" t="n"/>
      <c r="AK37" s="27" t="n"/>
      <c r="AL37" s="27" t="n"/>
      <c r="AM37" s="27" t="n"/>
      <c r="AN37" s="27" t="n"/>
      <c r="AO37" s="27" t="n"/>
      <c r="AP37" s="27" t="n"/>
      <c r="AQ37" s="27" t="n"/>
      <c r="AR37" s="27" t="n"/>
      <c r="AS37" s="27" t="n"/>
      <c r="AT37" s="27" t="n"/>
      <c r="AU37" s="27" t="n"/>
      <c r="AV37" s="27" t="n"/>
      <c r="AW37" s="27" t="n"/>
      <c r="AX37" s="27" t="n"/>
      <c r="AY37" s="27" t="n"/>
      <c r="AZ37" s="27" t="n"/>
      <c r="BA37" s="27" t="n"/>
      <c r="BB37" s="27" t="n"/>
      <c r="BC37" s="27" t="n"/>
      <c r="BD37" s="27" t="n"/>
      <c r="BE37" s="27" t="n"/>
      <c r="BF37" s="27" t="n"/>
      <c r="BG37" s="27" t="n"/>
      <c r="BH37" s="27" t="n"/>
      <c r="BI37" s="29" t="n"/>
      <c r="BJ37" s="27" t="n"/>
      <c r="BK37" s="27" t="n"/>
      <c r="BL37" s="27" t="n"/>
      <c r="BM37" s="27" t="n"/>
      <c r="DN37" s="26">
        <f>IF('テスト条件'!A36="","",'テスト条件'!A36)</f>
        <v/>
      </c>
    </row>
    <row r="38">
      <c r="A38" s="27" t="n"/>
      <c r="B38" s="27" t="n"/>
      <c r="C38" s="28">
        <f>IF(A38="","",$B$2)</f>
        <v/>
      </c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27" t="n"/>
      <c r="AJ38" s="27" t="n"/>
      <c r="AK38" s="27" t="n"/>
      <c r="AL38" s="27" t="n"/>
      <c r="AM38" s="27" t="n"/>
      <c r="AN38" s="27" t="n"/>
      <c r="AO38" s="27" t="n"/>
      <c r="AP38" s="27" t="n"/>
      <c r="AQ38" s="27" t="n"/>
      <c r="AR38" s="27" t="n"/>
      <c r="AS38" s="27" t="n"/>
      <c r="AT38" s="27" t="n"/>
      <c r="AU38" s="27" t="n"/>
      <c r="AV38" s="27" t="n"/>
      <c r="AW38" s="27" t="n"/>
      <c r="AX38" s="27" t="n"/>
      <c r="AY38" s="27" t="n"/>
      <c r="AZ38" s="27" t="n"/>
      <c r="BA38" s="27" t="n"/>
      <c r="BB38" s="27" t="n"/>
      <c r="BC38" s="27" t="n"/>
      <c r="BD38" s="27" t="n"/>
      <c r="BE38" s="27" t="n"/>
      <c r="BF38" s="27" t="n"/>
      <c r="BG38" s="27" t="n"/>
      <c r="BH38" s="27" t="n"/>
      <c r="BI38" s="29" t="n"/>
      <c r="BJ38" s="27" t="n"/>
      <c r="BK38" s="27" t="n"/>
      <c r="BL38" s="27" t="n"/>
      <c r="BM38" s="27" t="n"/>
      <c r="DN38" s="26">
        <f>IF('テスト条件'!A37="","",'テスト条件'!A37)</f>
        <v/>
      </c>
    </row>
    <row r="39">
      <c r="A39" s="27" t="n"/>
      <c r="B39" s="27" t="n"/>
      <c r="C39" s="28">
        <f>IF(A39="","",$B$2)</f>
        <v/>
      </c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27" t="n"/>
      <c r="AJ39" s="27" t="n"/>
      <c r="AK39" s="27" t="n"/>
      <c r="AL39" s="27" t="n"/>
      <c r="AM39" s="27" t="n"/>
      <c r="AN39" s="27" t="n"/>
      <c r="AO39" s="27" t="n"/>
      <c r="AP39" s="27" t="n"/>
      <c r="AQ39" s="27" t="n"/>
      <c r="AR39" s="27" t="n"/>
      <c r="AS39" s="27" t="n"/>
      <c r="AT39" s="27" t="n"/>
      <c r="AU39" s="27" t="n"/>
      <c r="AV39" s="27" t="n"/>
      <c r="AW39" s="27" t="n"/>
      <c r="AX39" s="27" t="n"/>
      <c r="AY39" s="27" t="n"/>
      <c r="AZ39" s="27" t="n"/>
      <c r="BA39" s="27" t="n"/>
      <c r="BB39" s="27" t="n"/>
      <c r="BC39" s="27" t="n"/>
      <c r="BD39" s="27" t="n"/>
      <c r="BE39" s="27" t="n"/>
      <c r="BF39" s="27" t="n"/>
      <c r="BG39" s="27" t="n"/>
      <c r="BH39" s="27" t="n"/>
      <c r="BI39" s="29" t="n"/>
      <c r="BJ39" s="27" t="n"/>
      <c r="BK39" s="27" t="n"/>
      <c r="BL39" s="27" t="n"/>
      <c r="BM39" s="27" t="n"/>
      <c r="DN39" s="26">
        <f>IF('テスト条件'!A38="","",'テスト条件'!A38)</f>
        <v/>
      </c>
    </row>
    <row r="40">
      <c r="A40" s="27" t="n"/>
      <c r="B40" s="27" t="n"/>
      <c r="C40" s="28">
        <f>IF(A40="","",$B$2)</f>
        <v/>
      </c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7" t="n"/>
      <c r="AJ40" s="27" t="n"/>
      <c r="AK40" s="27" t="n"/>
      <c r="AL40" s="27" t="n"/>
      <c r="AM40" s="27" t="n"/>
      <c r="AN40" s="27" t="n"/>
      <c r="AO40" s="27" t="n"/>
      <c r="AP40" s="27" t="n"/>
      <c r="AQ40" s="27" t="n"/>
      <c r="AR40" s="27" t="n"/>
      <c r="AS40" s="27" t="n"/>
      <c r="AT40" s="27" t="n"/>
      <c r="AU40" s="27" t="n"/>
      <c r="AV40" s="27" t="n"/>
      <c r="AW40" s="27" t="n"/>
      <c r="AX40" s="27" t="n"/>
      <c r="AY40" s="27" t="n"/>
      <c r="AZ40" s="27" t="n"/>
      <c r="BA40" s="27" t="n"/>
      <c r="BB40" s="27" t="n"/>
      <c r="BC40" s="27" t="n"/>
      <c r="BD40" s="27" t="n"/>
      <c r="BE40" s="27" t="n"/>
      <c r="BF40" s="27" t="n"/>
      <c r="BG40" s="27" t="n"/>
      <c r="BH40" s="27" t="n"/>
      <c r="BI40" s="29" t="n"/>
      <c r="BJ40" s="27" t="n"/>
      <c r="BK40" s="27" t="n"/>
      <c r="BL40" s="27" t="n"/>
      <c r="BM40" s="27" t="n"/>
      <c r="DN40" s="26">
        <f>IF('テスト条件'!A39="","",'テスト条件'!A39)</f>
        <v/>
      </c>
    </row>
    <row r="41">
      <c r="A41" s="27" t="n"/>
      <c r="B41" s="27" t="n"/>
      <c r="C41" s="28">
        <f>IF(A41="","",$B$2)</f>
        <v/>
      </c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27" t="n"/>
      <c r="AJ41" s="27" t="n"/>
      <c r="AK41" s="27" t="n"/>
      <c r="AL41" s="27" t="n"/>
      <c r="AM41" s="27" t="n"/>
      <c r="AN41" s="27" t="n"/>
      <c r="AO41" s="27" t="n"/>
      <c r="AP41" s="27" t="n"/>
      <c r="AQ41" s="27" t="n"/>
      <c r="AR41" s="27" t="n"/>
      <c r="AS41" s="27" t="n"/>
      <c r="AT41" s="27" t="n"/>
      <c r="AU41" s="27" t="n"/>
      <c r="AV41" s="27" t="n"/>
      <c r="AW41" s="27" t="n"/>
      <c r="AX41" s="27" t="n"/>
      <c r="AY41" s="27" t="n"/>
      <c r="AZ41" s="27" t="n"/>
      <c r="BA41" s="27" t="n"/>
      <c r="BB41" s="27" t="n"/>
      <c r="BC41" s="27" t="n"/>
      <c r="BD41" s="27" t="n"/>
      <c r="BE41" s="27" t="n"/>
      <c r="BF41" s="27" t="n"/>
      <c r="BG41" s="27" t="n"/>
      <c r="BH41" s="27" t="n"/>
      <c r="BI41" s="29" t="n"/>
      <c r="BJ41" s="27" t="n"/>
      <c r="BK41" s="27" t="n"/>
      <c r="BL41" s="27" t="n"/>
      <c r="BM41" s="27" t="n"/>
      <c r="DN41" s="26">
        <f>IF('テスト条件'!A40="","",'テスト条件'!A40)</f>
        <v/>
      </c>
    </row>
    <row r="42">
      <c r="A42" s="27" t="n"/>
      <c r="B42" s="27" t="n"/>
      <c r="C42" s="28">
        <f>IF(A42="","",$B$2)</f>
        <v/>
      </c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27" t="n"/>
      <c r="AJ42" s="27" t="n"/>
      <c r="AK42" s="27" t="n"/>
      <c r="AL42" s="27" t="n"/>
      <c r="AM42" s="27" t="n"/>
      <c r="AN42" s="27" t="n"/>
      <c r="AO42" s="27" t="n"/>
      <c r="AP42" s="27" t="n"/>
      <c r="AQ42" s="27" t="n"/>
      <c r="AR42" s="27" t="n"/>
      <c r="AS42" s="27" t="n"/>
      <c r="AT42" s="27" t="n"/>
      <c r="AU42" s="27" t="n"/>
      <c r="AV42" s="27" t="n"/>
      <c r="AW42" s="27" t="n"/>
      <c r="AX42" s="27" t="n"/>
      <c r="AY42" s="27" t="n"/>
      <c r="AZ42" s="27" t="n"/>
      <c r="BA42" s="27" t="n"/>
      <c r="BB42" s="27" t="n"/>
      <c r="BC42" s="27" t="n"/>
      <c r="BD42" s="27" t="n"/>
      <c r="BE42" s="27" t="n"/>
      <c r="BF42" s="27" t="n"/>
      <c r="BG42" s="27" t="n"/>
      <c r="BH42" s="27" t="n"/>
      <c r="BI42" s="29" t="n"/>
      <c r="BJ42" s="27" t="n"/>
      <c r="BK42" s="27" t="n"/>
      <c r="BL42" s="27" t="n"/>
      <c r="BM42" s="27" t="n"/>
      <c r="DN42" s="26">
        <f>IF('テスト条件'!A41="","",'テスト条件'!A41)</f>
        <v/>
      </c>
    </row>
    <row r="43">
      <c r="A43" s="27" t="n"/>
      <c r="B43" s="27" t="n"/>
      <c r="C43" s="28">
        <f>IF(A43="","",$B$2)</f>
        <v/>
      </c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27" t="n"/>
      <c r="AJ43" s="27" t="n"/>
      <c r="AK43" s="27" t="n"/>
      <c r="AL43" s="27" t="n"/>
      <c r="AM43" s="27" t="n"/>
      <c r="AN43" s="27" t="n"/>
      <c r="AO43" s="27" t="n"/>
      <c r="AP43" s="27" t="n"/>
      <c r="AQ43" s="27" t="n"/>
      <c r="AR43" s="27" t="n"/>
      <c r="AS43" s="27" t="n"/>
      <c r="AT43" s="27" t="n"/>
      <c r="AU43" s="27" t="n"/>
      <c r="AV43" s="27" t="n"/>
      <c r="AW43" s="27" t="n"/>
      <c r="AX43" s="27" t="n"/>
      <c r="AY43" s="27" t="n"/>
      <c r="AZ43" s="27" t="n"/>
      <c r="BA43" s="27" t="n"/>
      <c r="BB43" s="27" t="n"/>
      <c r="BC43" s="27" t="n"/>
      <c r="BD43" s="27" t="n"/>
      <c r="BE43" s="27" t="n"/>
      <c r="BF43" s="27" t="n"/>
      <c r="BG43" s="27" t="n"/>
      <c r="BH43" s="27" t="n"/>
      <c r="BI43" s="29" t="n"/>
      <c r="BJ43" s="27" t="n"/>
      <c r="BK43" s="27" t="n"/>
      <c r="BL43" s="27" t="n"/>
      <c r="BM43" s="27" t="n"/>
      <c r="DN43" s="26">
        <f>IF('テスト条件'!A42="","",'テスト条件'!A42)</f>
        <v/>
      </c>
    </row>
    <row r="44">
      <c r="A44" s="27" t="n"/>
      <c r="B44" s="27" t="n"/>
      <c r="C44" s="28">
        <f>IF(A44="","",$B$2)</f>
        <v/>
      </c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  <c r="AJ44" s="27" t="n"/>
      <c r="AK44" s="27" t="n"/>
      <c r="AL44" s="27" t="n"/>
      <c r="AM44" s="27" t="n"/>
      <c r="AN44" s="27" t="n"/>
      <c r="AO44" s="27" t="n"/>
      <c r="AP44" s="27" t="n"/>
      <c r="AQ44" s="27" t="n"/>
      <c r="AR44" s="27" t="n"/>
      <c r="AS44" s="27" t="n"/>
      <c r="AT44" s="27" t="n"/>
      <c r="AU44" s="27" t="n"/>
      <c r="AV44" s="27" t="n"/>
      <c r="AW44" s="27" t="n"/>
      <c r="AX44" s="27" t="n"/>
      <c r="AY44" s="27" t="n"/>
      <c r="AZ44" s="27" t="n"/>
      <c r="BA44" s="27" t="n"/>
      <c r="BB44" s="27" t="n"/>
      <c r="BC44" s="27" t="n"/>
      <c r="BD44" s="27" t="n"/>
      <c r="BE44" s="27" t="n"/>
      <c r="BF44" s="27" t="n"/>
      <c r="BG44" s="27" t="n"/>
      <c r="BH44" s="27" t="n"/>
      <c r="BI44" s="29" t="n"/>
      <c r="BJ44" s="27" t="n"/>
      <c r="BK44" s="27" t="n"/>
      <c r="BL44" s="27" t="n"/>
      <c r="BM44" s="27" t="n"/>
      <c r="DN44" s="26">
        <f>IF('テスト条件'!A43="","",'テスト条件'!A43)</f>
        <v/>
      </c>
    </row>
    <row r="45">
      <c r="A45" s="27" t="n"/>
      <c r="B45" s="27" t="n"/>
      <c r="C45" s="28">
        <f>IF(A45="","",$B$2)</f>
        <v/>
      </c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27" t="n"/>
      <c r="AJ45" s="27" t="n"/>
      <c r="AK45" s="27" t="n"/>
      <c r="AL45" s="27" t="n"/>
      <c r="AM45" s="27" t="n"/>
      <c r="AN45" s="27" t="n"/>
      <c r="AO45" s="27" t="n"/>
      <c r="AP45" s="27" t="n"/>
      <c r="AQ45" s="27" t="n"/>
      <c r="AR45" s="27" t="n"/>
      <c r="AS45" s="27" t="n"/>
      <c r="AT45" s="27" t="n"/>
      <c r="AU45" s="27" t="n"/>
      <c r="AV45" s="27" t="n"/>
      <c r="AW45" s="27" t="n"/>
      <c r="AX45" s="27" t="n"/>
      <c r="AY45" s="27" t="n"/>
      <c r="AZ45" s="27" t="n"/>
      <c r="BA45" s="27" t="n"/>
      <c r="BB45" s="27" t="n"/>
      <c r="BC45" s="27" t="n"/>
      <c r="BD45" s="27" t="n"/>
      <c r="BE45" s="27" t="n"/>
      <c r="BF45" s="27" t="n"/>
      <c r="BG45" s="27" t="n"/>
      <c r="BH45" s="27" t="n"/>
      <c r="BI45" s="29" t="n"/>
      <c r="BJ45" s="27" t="n"/>
      <c r="BK45" s="27" t="n"/>
      <c r="BL45" s="27" t="n"/>
      <c r="BM45" s="27" t="n"/>
      <c r="DN45" s="26">
        <f>IF('テスト条件'!A44="","",'テスト条件'!A44)</f>
        <v/>
      </c>
    </row>
    <row r="46">
      <c r="A46" s="27" t="n"/>
      <c r="B46" s="27" t="n"/>
      <c r="C46" s="28">
        <f>IF(A46="","",$B$2)</f>
        <v/>
      </c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  <c r="AJ46" s="27" t="n"/>
      <c r="AK46" s="27" t="n"/>
      <c r="AL46" s="27" t="n"/>
      <c r="AM46" s="27" t="n"/>
      <c r="AN46" s="27" t="n"/>
      <c r="AO46" s="27" t="n"/>
      <c r="AP46" s="27" t="n"/>
      <c r="AQ46" s="27" t="n"/>
      <c r="AR46" s="27" t="n"/>
      <c r="AS46" s="27" t="n"/>
      <c r="AT46" s="27" t="n"/>
      <c r="AU46" s="27" t="n"/>
      <c r="AV46" s="27" t="n"/>
      <c r="AW46" s="27" t="n"/>
      <c r="AX46" s="27" t="n"/>
      <c r="AY46" s="27" t="n"/>
      <c r="AZ46" s="27" t="n"/>
      <c r="BA46" s="27" t="n"/>
      <c r="BB46" s="27" t="n"/>
      <c r="BC46" s="27" t="n"/>
      <c r="BD46" s="27" t="n"/>
      <c r="BE46" s="27" t="n"/>
      <c r="BF46" s="27" t="n"/>
      <c r="BG46" s="27" t="n"/>
      <c r="BH46" s="27" t="n"/>
      <c r="BI46" s="29" t="n"/>
      <c r="BJ46" s="27" t="n"/>
      <c r="BK46" s="27" t="n"/>
      <c r="BL46" s="27" t="n"/>
      <c r="BM46" s="27" t="n"/>
      <c r="DN46" s="26">
        <f>IF('テスト条件'!A45="","",'テスト条件'!A45)</f>
        <v/>
      </c>
    </row>
    <row r="47">
      <c r="A47" s="27" t="n"/>
      <c r="B47" s="27" t="n"/>
      <c r="C47" s="28">
        <f>IF(A47="","",$B$2)</f>
        <v/>
      </c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  <c r="AJ47" s="27" t="n"/>
      <c r="AK47" s="27" t="n"/>
      <c r="AL47" s="27" t="n"/>
      <c r="AM47" s="27" t="n"/>
      <c r="AN47" s="27" t="n"/>
      <c r="AO47" s="27" t="n"/>
      <c r="AP47" s="27" t="n"/>
      <c r="AQ47" s="27" t="n"/>
      <c r="AR47" s="27" t="n"/>
      <c r="AS47" s="27" t="n"/>
      <c r="AT47" s="27" t="n"/>
      <c r="AU47" s="27" t="n"/>
      <c r="AV47" s="27" t="n"/>
      <c r="AW47" s="27" t="n"/>
      <c r="AX47" s="27" t="n"/>
      <c r="AY47" s="27" t="n"/>
      <c r="AZ47" s="27" t="n"/>
      <c r="BA47" s="27" t="n"/>
      <c r="BB47" s="27" t="n"/>
      <c r="BC47" s="27" t="n"/>
      <c r="BD47" s="27" t="n"/>
      <c r="BE47" s="27" t="n"/>
      <c r="BF47" s="27" t="n"/>
      <c r="BG47" s="27" t="n"/>
      <c r="BH47" s="27" t="n"/>
      <c r="BI47" s="29" t="n"/>
      <c r="BJ47" s="27" t="n"/>
      <c r="BK47" s="27" t="n"/>
      <c r="BL47" s="27" t="n"/>
      <c r="BM47" s="27" t="n"/>
      <c r="DN47" s="26">
        <f>IF('テスト条件'!A46="","",'テスト条件'!A46)</f>
        <v/>
      </c>
    </row>
    <row r="48">
      <c r="A48" s="27" t="n"/>
      <c r="B48" s="27" t="n"/>
      <c r="C48" s="28">
        <f>IF(A48="","",$B$2)</f>
        <v/>
      </c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27" t="n"/>
      <c r="AJ48" s="27" t="n"/>
      <c r="AK48" s="27" t="n"/>
      <c r="AL48" s="27" t="n"/>
      <c r="AM48" s="27" t="n"/>
      <c r="AN48" s="27" t="n"/>
      <c r="AO48" s="27" t="n"/>
      <c r="AP48" s="27" t="n"/>
      <c r="AQ48" s="27" t="n"/>
      <c r="AR48" s="27" t="n"/>
      <c r="AS48" s="27" t="n"/>
      <c r="AT48" s="27" t="n"/>
      <c r="AU48" s="27" t="n"/>
      <c r="AV48" s="27" t="n"/>
      <c r="AW48" s="27" t="n"/>
      <c r="AX48" s="27" t="n"/>
      <c r="AY48" s="27" t="n"/>
      <c r="AZ48" s="27" t="n"/>
      <c r="BA48" s="27" t="n"/>
      <c r="BB48" s="27" t="n"/>
      <c r="BC48" s="27" t="n"/>
      <c r="BD48" s="27" t="n"/>
      <c r="BE48" s="27" t="n"/>
      <c r="BF48" s="27" t="n"/>
      <c r="BG48" s="27" t="n"/>
      <c r="BH48" s="27" t="n"/>
      <c r="BI48" s="29" t="n"/>
      <c r="BJ48" s="27" t="n"/>
      <c r="BK48" s="27" t="n"/>
      <c r="BL48" s="27" t="n"/>
      <c r="BM48" s="27" t="n"/>
      <c r="DN48" s="26">
        <f>IF('テスト条件'!A47="","",'テスト条件'!A47)</f>
        <v/>
      </c>
    </row>
    <row r="49">
      <c r="A49" s="27" t="n"/>
      <c r="B49" s="27" t="n"/>
      <c r="C49" s="28">
        <f>IF(A49="","",$B$2)</f>
        <v/>
      </c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27" t="n"/>
      <c r="AJ49" s="27" t="n"/>
      <c r="AK49" s="27" t="n"/>
      <c r="AL49" s="27" t="n"/>
      <c r="AM49" s="27" t="n"/>
      <c r="AN49" s="27" t="n"/>
      <c r="AO49" s="27" t="n"/>
      <c r="AP49" s="27" t="n"/>
      <c r="AQ49" s="27" t="n"/>
      <c r="AR49" s="27" t="n"/>
      <c r="AS49" s="27" t="n"/>
      <c r="AT49" s="27" t="n"/>
      <c r="AU49" s="27" t="n"/>
      <c r="AV49" s="27" t="n"/>
      <c r="AW49" s="27" t="n"/>
      <c r="AX49" s="27" t="n"/>
      <c r="AY49" s="27" t="n"/>
      <c r="AZ49" s="27" t="n"/>
      <c r="BA49" s="27" t="n"/>
      <c r="BB49" s="27" t="n"/>
      <c r="BC49" s="27" t="n"/>
      <c r="BD49" s="27" t="n"/>
      <c r="BE49" s="27" t="n"/>
      <c r="BF49" s="27" t="n"/>
      <c r="BG49" s="27" t="n"/>
      <c r="BH49" s="27" t="n"/>
      <c r="BI49" s="29" t="n"/>
      <c r="BJ49" s="27" t="n"/>
      <c r="BK49" s="27" t="n"/>
      <c r="BL49" s="27" t="n"/>
      <c r="BM49" s="27" t="n"/>
      <c r="DN49" s="26">
        <f>IF('テスト条件'!A48="","",'テスト条件'!A48)</f>
        <v/>
      </c>
    </row>
    <row r="50">
      <c r="A50" s="27" t="n"/>
      <c r="B50" s="27" t="n"/>
      <c r="C50" s="28">
        <f>IF(A50="","",$B$2)</f>
        <v/>
      </c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27" t="n"/>
      <c r="AJ50" s="27" t="n"/>
      <c r="AK50" s="27" t="n"/>
      <c r="AL50" s="27" t="n"/>
      <c r="AM50" s="27" t="n"/>
      <c r="AN50" s="27" t="n"/>
      <c r="AO50" s="27" t="n"/>
      <c r="AP50" s="27" t="n"/>
      <c r="AQ50" s="27" t="n"/>
      <c r="AR50" s="27" t="n"/>
      <c r="AS50" s="27" t="n"/>
      <c r="AT50" s="27" t="n"/>
      <c r="AU50" s="27" t="n"/>
      <c r="AV50" s="27" t="n"/>
      <c r="AW50" s="27" t="n"/>
      <c r="AX50" s="27" t="n"/>
      <c r="AY50" s="27" t="n"/>
      <c r="AZ50" s="27" t="n"/>
      <c r="BA50" s="27" t="n"/>
      <c r="BB50" s="27" t="n"/>
      <c r="BC50" s="27" t="n"/>
      <c r="BD50" s="27" t="n"/>
      <c r="BE50" s="27" t="n"/>
      <c r="BF50" s="27" t="n"/>
      <c r="BG50" s="27" t="n"/>
      <c r="BH50" s="27" t="n"/>
      <c r="BI50" s="29" t="n"/>
      <c r="BJ50" s="27" t="n"/>
      <c r="BK50" s="27" t="n"/>
      <c r="BL50" s="27" t="n"/>
      <c r="BM50" s="27" t="n"/>
      <c r="DN50" s="26">
        <f>IF('テスト条件'!A49="","",'テスト条件'!A49)</f>
        <v/>
      </c>
    </row>
    <row r="51">
      <c r="A51" s="27" t="n"/>
      <c r="B51" s="27" t="n"/>
      <c r="C51" s="28">
        <f>IF(A51="","",$B$2)</f>
        <v/>
      </c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27" t="n"/>
      <c r="AJ51" s="27" t="n"/>
      <c r="AK51" s="27" t="n"/>
      <c r="AL51" s="27" t="n"/>
      <c r="AM51" s="27" t="n"/>
      <c r="AN51" s="27" t="n"/>
      <c r="AO51" s="27" t="n"/>
      <c r="AP51" s="27" t="n"/>
      <c r="AQ51" s="27" t="n"/>
      <c r="AR51" s="27" t="n"/>
      <c r="AS51" s="27" t="n"/>
      <c r="AT51" s="27" t="n"/>
      <c r="AU51" s="27" t="n"/>
      <c r="AV51" s="27" t="n"/>
      <c r="AW51" s="27" t="n"/>
      <c r="AX51" s="27" t="n"/>
      <c r="AY51" s="27" t="n"/>
      <c r="AZ51" s="27" t="n"/>
      <c r="BA51" s="27" t="n"/>
      <c r="BB51" s="27" t="n"/>
      <c r="BC51" s="27" t="n"/>
      <c r="BD51" s="27" t="n"/>
      <c r="BE51" s="27" t="n"/>
      <c r="BF51" s="27" t="n"/>
      <c r="BG51" s="27" t="n"/>
      <c r="BH51" s="27" t="n"/>
      <c r="BI51" s="29" t="n"/>
      <c r="BJ51" s="27" t="n"/>
      <c r="BK51" s="27" t="n"/>
      <c r="BL51" s="27" t="n"/>
      <c r="BM51" s="27" t="n"/>
      <c r="DN51" s="26">
        <f>IF('テスト条件'!A50="","",'テスト条件'!A50)</f>
        <v/>
      </c>
    </row>
    <row r="52">
      <c r="A52" s="27" t="n"/>
      <c r="B52" s="27" t="n"/>
      <c r="C52" s="28">
        <f>IF(A52="","",$B$2)</f>
        <v/>
      </c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27" t="n"/>
      <c r="AJ52" s="27" t="n"/>
      <c r="AK52" s="27" t="n"/>
      <c r="AL52" s="27" t="n"/>
      <c r="AM52" s="27" t="n"/>
      <c r="AN52" s="27" t="n"/>
      <c r="AO52" s="27" t="n"/>
      <c r="AP52" s="27" t="n"/>
      <c r="AQ52" s="27" t="n"/>
      <c r="AR52" s="27" t="n"/>
      <c r="AS52" s="27" t="n"/>
      <c r="AT52" s="27" t="n"/>
      <c r="AU52" s="27" t="n"/>
      <c r="AV52" s="27" t="n"/>
      <c r="AW52" s="27" t="n"/>
      <c r="AX52" s="27" t="n"/>
      <c r="AY52" s="27" t="n"/>
      <c r="AZ52" s="27" t="n"/>
      <c r="BA52" s="27" t="n"/>
      <c r="BB52" s="27" t="n"/>
      <c r="BC52" s="27" t="n"/>
      <c r="BD52" s="27" t="n"/>
      <c r="BE52" s="27" t="n"/>
      <c r="BF52" s="27" t="n"/>
      <c r="BG52" s="27" t="n"/>
      <c r="BH52" s="27" t="n"/>
      <c r="BI52" s="29" t="n"/>
      <c r="BJ52" s="27" t="n"/>
      <c r="BK52" s="27" t="n"/>
      <c r="BL52" s="27" t="n"/>
      <c r="BM52" s="27" t="n"/>
      <c r="DN52" s="26">
        <f>IF('テスト条件'!A51="","",'テスト条件'!A51)</f>
        <v/>
      </c>
    </row>
    <row r="53">
      <c r="A53" s="27" t="n"/>
      <c r="B53" s="27" t="n"/>
      <c r="C53" s="28">
        <f>IF(A53="","",$B$2)</f>
        <v/>
      </c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27" t="n"/>
      <c r="AJ53" s="27" t="n"/>
      <c r="AK53" s="27" t="n"/>
      <c r="AL53" s="27" t="n"/>
      <c r="AM53" s="27" t="n"/>
      <c r="AN53" s="27" t="n"/>
      <c r="AO53" s="27" t="n"/>
      <c r="AP53" s="27" t="n"/>
      <c r="AQ53" s="27" t="n"/>
      <c r="AR53" s="27" t="n"/>
      <c r="AS53" s="27" t="n"/>
      <c r="AT53" s="27" t="n"/>
      <c r="AU53" s="27" t="n"/>
      <c r="AV53" s="27" t="n"/>
      <c r="AW53" s="27" t="n"/>
      <c r="AX53" s="27" t="n"/>
      <c r="AY53" s="27" t="n"/>
      <c r="AZ53" s="27" t="n"/>
      <c r="BA53" s="27" t="n"/>
      <c r="BB53" s="27" t="n"/>
      <c r="BC53" s="27" t="n"/>
      <c r="BD53" s="27" t="n"/>
      <c r="BE53" s="27" t="n"/>
      <c r="BF53" s="27" t="n"/>
      <c r="BG53" s="27" t="n"/>
      <c r="BH53" s="27" t="n"/>
      <c r="BI53" s="29" t="n"/>
      <c r="BJ53" s="27" t="n"/>
      <c r="BK53" s="27" t="n"/>
      <c r="BL53" s="27" t="n"/>
      <c r="BM53" s="27" t="n"/>
      <c r="DN53" s="26">
        <f>IF('テスト条件'!A52="","",'テスト条件'!A52)</f>
        <v/>
      </c>
    </row>
    <row r="54">
      <c r="A54" s="27" t="n"/>
      <c r="B54" s="27" t="n"/>
      <c r="C54" s="28">
        <f>IF(A54="","",$B$2)</f>
        <v/>
      </c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27" t="n"/>
      <c r="AJ54" s="27" t="n"/>
      <c r="AK54" s="27" t="n"/>
      <c r="AL54" s="27" t="n"/>
      <c r="AM54" s="27" t="n"/>
      <c r="AN54" s="27" t="n"/>
      <c r="AO54" s="27" t="n"/>
      <c r="AP54" s="27" t="n"/>
      <c r="AQ54" s="27" t="n"/>
      <c r="AR54" s="27" t="n"/>
      <c r="AS54" s="27" t="n"/>
      <c r="AT54" s="27" t="n"/>
      <c r="AU54" s="27" t="n"/>
      <c r="AV54" s="27" t="n"/>
      <c r="AW54" s="27" t="n"/>
      <c r="AX54" s="27" t="n"/>
      <c r="AY54" s="27" t="n"/>
      <c r="AZ54" s="27" t="n"/>
      <c r="BA54" s="27" t="n"/>
      <c r="BB54" s="27" t="n"/>
      <c r="BC54" s="27" t="n"/>
      <c r="BD54" s="27" t="n"/>
      <c r="BE54" s="27" t="n"/>
      <c r="BF54" s="27" t="n"/>
      <c r="BG54" s="27" t="n"/>
      <c r="BH54" s="27" t="n"/>
      <c r="BI54" s="29" t="n"/>
      <c r="BJ54" s="27" t="n"/>
      <c r="BK54" s="27" t="n"/>
      <c r="BL54" s="27" t="n"/>
      <c r="BM54" s="27" t="n"/>
      <c r="DN54" s="26">
        <f>IF('テスト条件'!A53="","",'テスト条件'!A53)</f>
        <v/>
      </c>
    </row>
    <row r="55">
      <c r="A55" s="27" t="n"/>
      <c r="B55" s="27" t="n"/>
      <c r="C55" s="28">
        <f>IF(A55="","",$B$2)</f>
        <v/>
      </c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27" t="n"/>
      <c r="AJ55" s="27" t="n"/>
      <c r="AK55" s="27" t="n"/>
      <c r="AL55" s="27" t="n"/>
      <c r="AM55" s="27" t="n"/>
      <c r="AN55" s="27" t="n"/>
      <c r="AO55" s="27" t="n"/>
      <c r="AP55" s="27" t="n"/>
      <c r="AQ55" s="27" t="n"/>
      <c r="AR55" s="27" t="n"/>
      <c r="AS55" s="27" t="n"/>
      <c r="AT55" s="27" t="n"/>
      <c r="AU55" s="27" t="n"/>
      <c r="AV55" s="27" t="n"/>
      <c r="AW55" s="27" t="n"/>
      <c r="AX55" s="27" t="n"/>
      <c r="AY55" s="27" t="n"/>
      <c r="AZ55" s="27" t="n"/>
      <c r="BA55" s="27" t="n"/>
      <c r="BB55" s="27" t="n"/>
      <c r="BC55" s="27" t="n"/>
      <c r="BD55" s="27" t="n"/>
      <c r="BE55" s="27" t="n"/>
      <c r="BF55" s="27" t="n"/>
      <c r="BG55" s="27" t="n"/>
      <c r="BH55" s="27" t="n"/>
      <c r="BI55" s="29" t="n"/>
      <c r="BJ55" s="27" t="n"/>
      <c r="BK55" s="27" t="n"/>
      <c r="BL55" s="27" t="n"/>
      <c r="BM55" s="27" t="n"/>
      <c r="DN55" s="26">
        <f>IF('テスト条件'!A54="","",'テスト条件'!A54)</f>
        <v/>
      </c>
    </row>
    <row r="56">
      <c r="A56" s="27" t="n"/>
      <c r="B56" s="27" t="n"/>
      <c r="C56" s="28">
        <f>IF(A56="","",$B$2)</f>
        <v/>
      </c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  <c r="AJ56" s="27" t="n"/>
      <c r="AK56" s="27" t="n"/>
      <c r="AL56" s="27" t="n"/>
      <c r="AM56" s="27" t="n"/>
      <c r="AN56" s="27" t="n"/>
      <c r="AO56" s="27" t="n"/>
      <c r="AP56" s="27" t="n"/>
      <c r="AQ56" s="27" t="n"/>
      <c r="AR56" s="27" t="n"/>
      <c r="AS56" s="27" t="n"/>
      <c r="AT56" s="27" t="n"/>
      <c r="AU56" s="27" t="n"/>
      <c r="AV56" s="27" t="n"/>
      <c r="AW56" s="27" t="n"/>
      <c r="AX56" s="27" t="n"/>
      <c r="AY56" s="27" t="n"/>
      <c r="AZ56" s="27" t="n"/>
      <c r="BA56" s="27" t="n"/>
      <c r="BB56" s="27" t="n"/>
      <c r="BC56" s="27" t="n"/>
      <c r="BD56" s="27" t="n"/>
      <c r="BE56" s="27" t="n"/>
      <c r="BF56" s="27" t="n"/>
      <c r="BG56" s="27" t="n"/>
      <c r="BH56" s="27" t="n"/>
      <c r="BI56" s="29" t="n"/>
      <c r="BJ56" s="27" t="n"/>
      <c r="BK56" s="27" t="n"/>
      <c r="BL56" s="27" t="n"/>
      <c r="BM56" s="27" t="n"/>
      <c r="DN56" s="26">
        <f>IF('テスト条件'!A55="","",'テスト条件'!A55)</f>
        <v/>
      </c>
    </row>
    <row r="57">
      <c r="A57" s="27" t="n"/>
      <c r="B57" s="27" t="n"/>
      <c r="C57" s="28">
        <f>IF(A57="","",$B$2)</f>
        <v/>
      </c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  <c r="AA57" s="27" t="n"/>
      <c r="AB57" s="27" t="n"/>
      <c r="AC57" s="27" t="n"/>
      <c r="AD57" s="27" t="n"/>
      <c r="AE57" s="27" t="n"/>
      <c r="AF57" s="27" t="n"/>
      <c r="AG57" s="27" t="n"/>
      <c r="AH57" s="27" t="n"/>
      <c r="AI57" s="27" t="n"/>
      <c r="AJ57" s="27" t="n"/>
      <c r="AK57" s="27" t="n"/>
      <c r="AL57" s="27" t="n"/>
      <c r="AM57" s="27" t="n"/>
      <c r="AN57" s="27" t="n"/>
      <c r="AO57" s="27" t="n"/>
      <c r="AP57" s="27" t="n"/>
      <c r="AQ57" s="27" t="n"/>
      <c r="AR57" s="27" t="n"/>
      <c r="AS57" s="27" t="n"/>
      <c r="AT57" s="27" t="n"/>
      <c r="AU57" s="27" t="n"/>
      <c r="AV57" s="27" t="n"/>
      <c r="AW57" s="27" t="n"/>
      <c r="AX57" s="27" t="n"/>
      <c r="AY57" s="27" t="n"/>
      <c r="AZ57" s="27" t="n"/>
      <c r="BA57" s="27" t="n"/>
      <c r="BB57" s="27" t="n"/>
      <c r="BC57" s="27" t="n"/>
      <c r="BD57" s="27" t="n"/>
      <c r="BE57" s="27" t="n"/>
      <c r="BF57" s="27" t="n"/>
      <c r="BG57" s="27" t="n"/>
      <c r="BH57" s="27" t="n"/>
      <c r="BI57" s="29" t="n"/>
      <c r="BJ57" s="27" t="n"/>
      <c r="BK57" s="27" t="n"/>
      <c r="BL57" s="27" t="n"/>
      <c r="BM57" s="27" t="n"/>
      <c r="DN57" s="26">
        <f>IF('テスト条件'!A56="","",'テスト条件'!A56)</f>
        <v/>
      </c>
    </row>
    <row r="58">
      <c r="A58" s="27" t="n"/>
      <c r="B58" s="27" t="n"/>
      <c r="C58" s="28">
        <f>IF(A58="","",$B$2)</f>
        <v/>
      </c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27" t="n"/>
      <c r="AJ58" s="27" t="n"/>
      <c r="AK58" s="27" t="n"/>
      <c r="AL58" s="27" t="n"/>
      <c r="AM58" s="27" t="n"/>
      <c r="AN58" s="27" t="n"/>
      <c r="AO58" s="27" t="n"/>
      <c r="AP58" s="27" t="n"/>
      <c r="AQ58" s="27" t="n"/>
      <c r="AR58" s="27" t="n"/>
      <c r="AS58" s="27" t="n"/>
      <c r="AT58" s="27" t="n"/>
      <c r="AU58" s="27" t="n"/>
      <c r="AV58" s="27" t="n"/>
      <c r="AW58" s="27" t="n"/>
      <c r="AX58" s="27" t="n"/>
      <c r="AY58" s="27" t="n"/>
      <c r="AZ58" s="27" t="n"/>
      <c r="BA58" s="27" t="n"/>
      <c r="BB58" s="27" t="n"/>
      <c r="BC58" s="27" t="n"/>
      <c r="BD58" s="27" t="n"/>
      <c r="BE58" s="27" t="n"/>
      <c r="BF58" s="27" t="n"/>
      <c r="BG58" s="27" t="n"/>
      <c r="BH58" s="27" t="n"/>
      <c r="BI58" s="29" t="n"/>
      <c r="BJ58" s="27" t="n"/>
      <c r="BK58" s="27" t="n"/>
      <c r="BL58" s="27" t="n"/>
      <c r="BM58" s="27" t="n"/>
      <c r="DN58" s="26">
        <f>IF('テスト条件'!A57="","",'テスト条件'!A57)</f>
        <v/>
      </c>
    </row>
    <row r="59">
      <c r="A59" s="27" t="n"/>
      <c r="B59" s="27" t="n"/>
      <c r="C59" s="28">
        <f>IF(A59="","",$B$2)</f>
        <v/>
      </c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27" t="n"/>
      <c r="AJ59" s="27" t="n"/>
      <c r="AK59" s="27" t="n"/>
      <c r="AL59" s="27" t="n"/>
      <c r="AM59" s="27" t="n"/>
      <c r="AN59" s="27" t="n"/>
      <c r="AO59" s="27" t="n"/>
      <c r="AP59" s="27" t="n"/>
      <c r="AQ59" s="27" t="n"/>
      <c r="AR59" s="27" t="n"/>
      <c r="AS59" s="27" t="n"/>
      <c r="AT59" s="27" t="n"/>
      <c r="AU59" s="27" t="n"/>
      <c r="AV59" s="27" t="n"/>
      <c r="AW59" s="27" t="n"/>
      <c r="AX59" s="27" t="n"/>
      <c r="AY59" s="27" t="n"/>
      <c r="AZ59" s="27" t="n"/>
      <c r="BA59" s="27" t="n"/>
      <c r="BB59" s="27" t="n"/>
      <c r="BC59" s="27" t="n"/>
      <c r="BD59" s="27" t="n"/>
      <c r="BE59" s="27" t="n"/>
      <c r="BF59" s="27" t="n"/>
      <c r="BG59" s="27" t="n"/>
      <c r="BH59" s="27" t="n"/>
      <c r="BI59" s="29" t="n"/>
      <c r="BJ59" s="27" t="n"/>
      <c r="BK59" s="27" t="n"/>
      <c r="BL59" s="27" t="n"/>
      <c r="BM59" s="27" t="n"/>
      <c r="DN59" s="26">
        <f>IF('テスト条件'!A58="","",'テスト条件'!A58)</f>
        <v/>
      </c>
    </row>
    <row r="60">
      <c r="A60" s="27" t="n"/>
      <c r="B60" s="27" t="n"/>
      <c r="C60" s="28">
        <f>IF(A60="","",$B$2)</f>
        <v/>
      </c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27" t="n"/>
      <c r="AJ60" s="27" t="n"/>
      <c r="AK60" s="27" t="n"/>
      <c r="AL60" s="27" t="n"/>
      <c r="AM60" s="27" t="n"/>
      <c r="AN60" s="27" t="n"/>
      <c r="AO60" s="27" t="n"/>
      <c r="AP60" s="27" t="n"/>
      <c r="AQ60" s="27" t="n"/>
      <c r="AR60" s="27" t="n"/>
      <c r="AS60" s="27" t="n"/>
      <c r="AT60" s="27" t="n"/>
      <c r="AU60" s="27" t="n"/>
      <c r="AV60" s="27" t="n"/>
      <c r="AW60" s="27" t="n"/>
      <c r="AX60" s="27" t="n"/>
      <c r="AY60" s="27" t="n"/>
      <c r="AZ60" s="27" t="n"/>
      <c r="BA60" s="27" t="n"/>
      <c r="BB60" s="27" t="n"/>
      <c r="BC60" s="27" t="n"/>
      <c r="BD60" s="27" t="n"/>
      <c r="BE60" s="27" t="n"/>
      <c r="BF60" s="27" t="n"/>
      <c r="BG60" s="27" t="n"/>
      <c r="BH60" s="27" t="n"/>
      <c r="BI60" s="29" t="n"/>
      <c r="BJ60" s="27" t="n"/>
      <c r="BK60" s="27" t="n"/>
      <c r="BL60" s="27" t="n"/>
      <c r="BM60" s="27" t="n"/>
      <c r="DN60" s="26">
        <f>IF('テスト条件'!A59="","",'テスト条件'!A59)</f>
        <v/>
      </c>
    </row>
    <row r="61">
      <c r="A61" s="27" t="n"/>
      <c r="B61" s="27" t="n"/>
      <c r="C61" s="28">
        <f>IF(A61="","",$B$2)</f>
        <v/>
      </c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27" t="n"/>
      <c r="AJ61" s="27" t="n"/>
      <c r="AK61" s="27" t="n"/>
      <c r="AL61" s="27" t="n"/>
      <c r="AM61" s="27" t="n"/>
      <c r="AN61" s="27" t="n"/>
      <c r="AO61" s="27" t="n"/>
      <c r="AP61" s="27" t="n"/>
      <c r="AQ61" s="27" t="n"/>
      <c r="AR61" s="27" t="n"/>
      <c r="AS61" s="27" t="n"/>
      <c r="AT61" s="27" t="n"/>
      <c r="AU61" s="27" t="n"/>
      <c r="AV61" s="27" t="n"/>
      <c r="AW61" s="27" t="n"/>
      <c r="AX61" s="27" t="n"/>
      <c r="AY61" s="27" t="n"/>
      <c r="AZ61" s="27" t="n"/>
      <c r="BA61" s="27" t="n"/>
      <c r="BB61" s="27" t="n"/>
      <c r="BC61" s="27" t="n"/>
      <c r="BD61" s="27" t="n"/>
      <c r="BE61" s="27" t="n"/>
      <c r="BF61" s="27" t="n"/>
      <c r="BG61" s="27" t="n"/>
      <c r="BH61" s="27" t="n"/>
      <c r="BI61" s="29" t="n"/>
      <c r="BJ61" s="27" t="n"/>
      <c r="BK61" s="27" t="n"/>
      <c r="BL61" s="27" t="n"/>
      <c r="BM61" s="27" t="n"/>
      <c r="DN61" s="26">
        <f>IF('テスト条件'!A60="","",'テスト条件'!A60)</f>
        <v/>
      </c>
    </row>
    <row r="62">
      <c r="A62" s="27" t="n"/>
      <c r="B62" s="27" t="n"/>
      <c r="C62" s="28">
        <f>IF(A62="","",$B$2)</f>
        <v/>
      </c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27" t="n"/>
      <c r="AJ62" s="27" t="n"/>
      <c r="AK62" s="27" t="n"/>
      <c r="AL62" s="27" t="n"/>
      <c r="AM62" s="27" t="n"/>
      <c r="AN62" s="27" t="n"/>
      <c r="AO62" s="27" t="n"/>
      <c r="AP62" s="27" t="n"/>
      <c r="AQ62" s="27" t="n"/>
      <c r="AR62" s="27" t="n"/>
      <c r="AS62" s="27" t="n"/>
      <c r="AT62" s="27" t="n"/>
      <c r="AU62" s="27" t="n"/>
      <c r="AV62" s="27" t="n"/>
      <c r="AW62" s="27" t="n"/>
      <c r="AX62" s="27" t="n"/>
      <c r="AY62" s="27" t="n"/>
      <c r="AZ62" s="27" t="n"/>
      <c r="BA62" s="27" t="n"/>
      <c r="BB62" s="27" t="n"/>
      <c r="BC62" s="27" t="n"/>
      <c r="BD62" s="27" t="n"/>
      <c r="BE62" s="27" t="n"/>
      <c r="BF62" s="27" t="n"/>
      <c r="BG62" s="27" t="n"/>
      <c r="BH62" s="27" t="n"/>
      <c r="BI62" s="29" t="n"/>
      <c r="BJ62" s="27" t="n"/>
      <c r="BK62" s="27" t="n"/>
      <c r="BL62" s="27" t="n"/>
      <c r="BM62" s="27" t="n"/>
      <c r="DN62" s="26">
        <f>IF('テスト条件'!A61="","",'テスト条件'!A61)</f>
        <v/>
      </c>
    </row>
    <row r="63">
      <c r="A63" s="27" t="n"/>
      <c r="B63" s="27" t="n"/>
      <c r="C63" s="28">
        <f>IF(A63="","",$B$2)</f>
        <v/>
      </c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  <c r="AA63" s="27" t="n"/>
      <c r="AB63" s="27" t="n"/>
      <c r="AC63" s="27" t="n"/>
      <c r="AD63" s="27" t="n"/>
      <c r="AE63" s="27" t="n"/>
      <c r="AF63" s="27" t="n"/>
      <c r="AG63" s="27" t="n"/>
      <c r="AH63" s="27" t="n"/>
      <c r="AI63" s="27" t="n"/>
      <c r="AJ63" s="27" t="n"/>
      <c r="AK63" s="27" t="n"/>
      <c r="AL63" s="27" t="n"/>
      <c r="AM63" s="27" t="n"/>
      <c r="AN63" s="27" t="n"/>
      <c r="AO63" s="27" t="n"/>
      <c r="AP63" s="27" t="n"/>
      <c r="AQ63" s="27" t="n"/>
      <c r="AR63" s="27" t="n"/>
      <c r="AS63" s="27" t="n"/>
      <c r="AT63" s="27" t="n"/>
      <c r="AU63" s="27" t="n"/>
      <c r="AV63" s="27" t="n"/>
      <c r="AW63" s="27" t="n"/>
      <c r="AX63" s="27" t="n"/>
      <c r="AY63" s="27" t="n"/>
      <c r="AZ63" s="27" t="n"/>
      <c r="BA63" s="27" t="n"/>
      <c r="BB63" s="27" t="n"/>
      <c r="BC63" s="27" t="n"/>
      <c r="BD63" s="27" t="n"/>
      <c r="BE63" s="27" t="n"/>
      <c r="BF63" s="27" t="n"/>
      <c r="BG63" s="27" t="n"/>
      <c r="BH63" s="27" t="n"/>
      <c r="BI63" s="29" t="n"/>
      <c r="BJ63" s="27" t="n"/>
      <c r="BK63" s="27" t="n"/>
      <c r="BL63" s="27" t="n"/>
      <c r="BM63" s="27" t="n"/>
      <c r="DN63" s="26">
        <f>IF('テスト条件'!A62="","",'テスト条件'!A62)</f>
        <v/>
      </c>
    </row>
    <row r="64">
      <c r="A64" s="27" t="n"/>
      <c r="B64" s="27" t="n"/>
      <c r="C64" s="28">
        <f>IF(A64="","",$B$2)</f>
        <v/>
      </c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27" t="n"/>
      <c r="AJ64" s="27" t="n"/>
      <c r="AK64" s="27" t="n"/>
      <c r="AL64" s="27" t="n"/>
      <c r="AM64" s="27" t="n"/>
      <c r="AN64" s="27" t="n"/>
      <c r="AO64" s="27" t="n"/>
      <c r="AP64" s="27" t="n"/>
      <c r="AQ64" s="27" t="n"/>
      <c r="AR64" s="27" t="n"/>
      <c r="AS64" s="27" t="n"/>
      <c r="AT64" s="27" t="n"/>
      <c r="AU64" s="27" t="n"/>
      <c r="AV64" s="27" t="n"/>
      <c r="AW64" s="27" t="n"/>
      <c r="AX64" s="27" t="n"/>
      <c r="AY64" s="27" t="n"/>
      <c r="AZ64" s="27" t="n"/>
      <c r="BA64" s="27" t="n"/>
      <c r="BB64" s="27" t="n"/>
      <c r="BC64" s="27" t="n"/>
      <c r="BD64" s="27" t="n"/>
      <c r="BE64" s="27" t="n"/>
      <c r="BF64" s="27" t="n"/>
      <c r="BG64" s="27" t="n"/>
      <c r="BH64" s="27" t="n"/>
      <c r="BI64" s="29" t="n"/>
      <c r="BJ64" s="27" t="n"/>
      <c r="BK64" s="27" t="n"/>
      <c r="BL64" s="27" t="n"/>
      <c r="BM64" s="27" t="n"/>
      <c r="DN64" s="26">
        <f>IF('テスト条件'!A63="","",'テスト条件'!A63)</f>
        <v/>
      </c>
    </row>
    <row r="65">
      <c r="A65" s="27" t="n"/>
      <c r="B65" s="27" t="n"/>
      <c r="C65" s="28">
        <f>IF(A65="","",$B$2)</f>
        <v/>
      </c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27" t="n"/>
      <c r="AJ65" s="27" t="n"/>
      <c r="AK65" s="27" t="n"/>
      <c r="AL65" s="27" t="n"/>
      <c r="AM65" s="27" t="n"/>
      <c r="AN65" s="27" t="n"/>
      <c r="AO65" s="27" t="n"/>
      <c r="AP65" s="27" t="n"/>
      <c r="AQ65" s="27" t="n"/>
      <c r="AR65" s="27" t="n"/>
      <c r="AS65" s="27" t="n"/>
      <c r="AT65" s="27" t="n"/>
      <c r="AU65" s="27" t="n"/>
      <c r="AV65" s="27" t="n"/>
      <c r="AW65" s="27" t="n"/>
      <c r="AX65" s="27" t="n"/>
      <c r="AY65" s="27" t="n"/>
      <c r="AZ65" s="27" t="n"/>
      <c r="BA65" s="27" t="n"/>
      <c r="BB65" s="27" t="n"/>
      <c r="BC65" s="27" t="n"/>
      <c r="BD65" s="27" t="n"/>
      <c r="BE65" s="27" t="n"/>
      <c r="BF65" s="27" t="n"/>
      <c r="BG65" s="27" t="n"/>
      <c r="BH65" s="27" t="n"/>
      <c r="BI65" s="29" t="n"/>
      <c r="BJ65" s="27" t="n"/>
      <c r="BK65" s="27" t="n"/>
      <c r="BL65" s="27" t="n"/>
      <c r="BM65" s="27" t="n"/>
      <c r="DN65" s="26">
        <f>IF('テスト条件'!A64="","",'テスト条件'!A64)</f>
        <v/>
      </c>
    </row>
    <row r="66">
      <c r="A66" s="27" t="n"/>
      <c r="B66" s="27" t="n"/>
      <c r="C66" s="28">
        <f>IF(A66="","",$B$2)</f>
        <v/>
      </c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27" t="n"/>
      <c r="AJ66" s="27" t="n"/>
      <c r="AK66" s="27" t="n"/>
      <c r="AL66" s="27" t="n"/>
      <c r="AM66" s="27" t="n"/>
      <c r="AN66" s="27" t="n"/>
      <c r="AO66" s="27" t="n"/>
      <c r="AP66" s="27" t="n"/>
      <c r="AQ66" s="27" t="n"/>
      <c r="AR66" s="27" t="n"/>
      <c r="AS66" s="27" t="n"/>
      <c r="AT66" s="27" t="n"/>
      <c r="AU66" s="27" t="n"/>
      <c r="AV66" s="27" t="n"/>
      <c r="AW66" s="27" t="n"/>
      <c r="AX66" s="27" t="n"/>
      <c r="AY66" s="27" t="n"/>
      <c r="AZ66" s="27" t="n"/>
      <c r="BA66" s="27" t="n"/>
      <c r="BB66" s="27" t="n"/>
      <c r="BC66" s="27" t="n"/>
      <c r="BD66" s="27" t="n"/>
      <c r="BE66" s="27" t="n"/>
      <c r="BF66" s="27" t="n"/>
      <c r="BG66" s="27" t="n"/>
      <c r="BH66" s="27" t="n"/>
      <c r="BI66" s="29" t="n"/>
      <c r="BJ66" s="27" t="n"/>
      <c r="BK66" s="27" t="n"/>
      <c r="BL66" s="27" t="n"/>
      <c r="BM66" s="27" t="n"/>
      <c r="DN66" s="26">
        <f>IF('テスト条件'!A65="","",'テスト条件'!A65)</f>
        <v/>
      </c>
    </row>
    <row r="67">
      <c r="A67" s="27" t="n"/>
      <c r="B67" s="27" t="n"/>
      <c r="C67" s="28">
        <f>IF(A67="","",$B$2)</f>
        <v/>
      </c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  <c r="AA67" s="27" t="n"/>
      <c r="AB67" s="27" t="n"/>
      <c r="AC67" s="27" t="n"/>
      <c r="AD67" s="27" t="n"/>
      <c r="AE67" s="27" t="n"/>
      <c r="AF67" s="27" t="n"/>
      <c r="AG67" s="27" t="n"/>
      <c r="AH67" s="27" t="n"/>
      <c r="AI67" s="27" t="n"/>
      <c r="AJ67" s="27" t="n"/>
      <c r="AK67" s="27" t="n"/>
      <c r="AL67" s="27" t="n"/>
      <c r="AM67" s="27" t="n"/>
      <c r="AN67" s="27" t="n"/>
      <c r="AO67" s="27" t="n"/>
      <c r="AP67" s="27" t="n"/>
      <c r="AQ67" s="27" t="n"/>
      <c r="AR67" s="27" t="n"/>
      <c r="AS67" s="27" t="n"/>
      <c r="AT67" s="27" t="n"/>
      <c r="AU67" s="27" t="n"/>
      <c r="AV67" s="27" t="n"/>
      <c r="AW67" s="27" t="n"/>
      <c r="AX67" s="27" t="n"/>
      <c r="AY67" s="27" t="n"/>
      <c r="AZ67" s="27" t="n"/>
      <c r="BA67" s="27" t="n"/>
      <c r="BB67" s="27" t="n"/>
      <c r="BC67" s="27" t="n"/>
      <c r="BD67" s="27" t="n"/>
      <c r="BE67" s="27" t="n"/>
      <c r="BF67" s="27" t="n"/>
      <c r="BG67" s="27" t="n"/>
      <c r="BH67" s="27" t="n"/>
      <c r="BI67" s="29" t="n"/>
      <c r="BJ67" s="27" t="n"/>
      <c r="BK67" s="27" t="n"/>
      <c r="BL67" s="27" t="n"/>
      <c r="BM67" s="27" t="n"/>
      <c r="DN67" s="26">
        <f>IF('テスト条件'!A66="","",'テスト条件'!A66)</f>
        <v/>
      </c>
    </row>
    <row r="68">
      <c r="A68" s="27" t="n"/>
      <c r="B68" s="27" t="n"/>
      <c r="C68" s="28">
        <f>IF(A68="","",$B$2)</f>
        <v/>
      </c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  <c r="AA68" s="27" t="n"/>
      <c r="AB68" s="27" t="n"/>
      <c r="AC68" s="27" t="n"/>
      <c r="AD68" s="27" t="n"/>
      <c r="AE68" s="27" t="n"/>
      <c r="AF68" s="27" t="n"/>
      <c r="AG68" s="27" t="n"/>
      <c r="AH68" s="27" t="n"/>
      <c r="AI68" s="27" t="n"/>
      <c r="AJ68" s="27" t="n"/>
      <c r="AK68" s="27" t="n"/>
      <c r="AL68" s="27" t="n"/>
      <c r="AM68" s="27" t="n"/>
      <c r="AN68" s="27" t="n"/>
      <c r="AO68" s="27" t="n"/>
      <c r="AP68" s="27" t="n"/>
      <c r="AQ68" s="27" t="n"/>
      <c r="AR68" s="27" t="n"/>
      <c r="AS68" s="27" t="n"/>
      <c r="AT68" s="27" t="n"/>
      <c r="AU68" s="27" t="n"/>
      <c r="AV68" s="27" t="n"/>
      <c r="AW68" s="27" t="n"/>
      <c r="AX68" s="27" t="n"/>
      <c r="AY68" s="27" t="n"/>
      <c r="AZ68" s="27" t="n"/>
      <c r="BA68" s="27" t="n"/>
      <c r="BB68" s="27" t="n"/>
      <c r="BC68" s="27" t="n"/>
      <c r="BD68" s="27" t="n"/>
      <c r="BE68" s="27" t="n"/>
      <c r="BF68" s="27" t="n"/>
      <c r="BG68" s="27" t="n"/>
      <c r="BH68" s="27" t="n"/>
      <c r="BI68" s="29" t="n"/>
      <c r="BJ68" s="27" t="n"/>
      <c r="BK68" s="27" t="n"/>
      <c r="BL68" s="27" t="n"/>
      <c r="BM68" s="27" t="n"/>
      <c r="DN68" s="26">
        <f>IF('テスト条件'!A67="","",'テスト条件'!A67)</f>
        <v/>
      </c>
    </row>
    <row r="69">
      <c r="A69" s="27" t="n"/>
      <c r="B69" s="27" t="n"/>
      <c r="C69" s="28">
        <f>IF(A69="","",$B$2)</f>
        <v/>
      </c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  <c r="AA69" s="27" t="n"/>
      <c r="AB69" s="27" t="n"/>
      <c r="AC69" s="27" t="n"/>
      <c r="AD69" s="27" t="n"/>
      <c r="AE69" s="27" t="n"/>
      <c r="AF69" s="27" t="n"/>
      <c r="AG69" s="27" t="n"/>
      <c r="AH69" s="27" t="n"/>
      <c r="AI69" s="27" t="n"/>
      <c r="AJ69" s="27" t="n"/>
      <c r="AK69" s="27" t="n"/>
      <c r="AL69" s="27" t="n"/>
      <c r="AM69" s="27" t="n"/>
      <c r="AN69" s="27" t="n"/>
      <c r="AO69" s="27" t="n"/>
      <c r="AP69" s="27" t="n"/>
      <c r="AQ69" s="27" t="n"/>
      <c r="AR69" s="27" t="n"/>
      <c r="AS69" s="27" t="n"/>
      <c r="AT69" s="27" t="n"/>
      <c r="AU69" s="27" t="n"/>
      <c r="AV69" s="27" t="n"/>
      <c r="AW69" s="27" t="n"/>
      <c r="AX69" s="27" t="n"/>
      <c r="AY69" s="27" t="n"/>
      <c r="AZ69" s="27" t="n"/>
      <c r="BA69" s="27" t="n"/>
      <c r="BB69" s="27" t="n"/>
      <c r="BC69" s="27" t="n"/>
      <c r="BD69" s="27" t="n"/>
      <c r="BE69" s="27" t="n"/>
      <c r="BF69" s="27" t="n"/>
      <c r="BG69" s="27" t="n"/>
      <c r="BH69" s="27" t="n"/>
      <c r="BI69" s="29" t="n"/>
      <c r="BJ69" s="27" t="n"/>
      <c r="BK69" s="27" t="n"/>
      <c r="BL69" s="27" t="n"/>
      <c r="BM69" s="27" t="n"/>
      <c r="DN69" s="26">
        <f>IF('テスト条件'!A68="","",'テスト条件'!A68)</f>
        <v/>
      </c>
    </row>
    <row r="70">
      <c r="A70" s="27" t="n"/>
      <c r="B70" s="27" t="n"/>
      <c r="C70" s="28">
        <f>IF(A70="","",$B$2)</f>
        <v/>
      </c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  <c r="AA70" s="27" t="n"/>
      <c r="AB70" s="27" t="n"/>
      <c r="AC70" s="27" t="n"/>
      <c r="AD70" s="27" t="n"/>
      <c r="AE70" s="27" t="n"/>
      <c r="AF70" s="27" t="n"/>
      <c r="AG70" s="27" t="n"/>
      <c r="AH70" s="27" t="n"/>
      <c r="AI70" s="27" t="n"/>
      <c r="AJ70" s="27" t="n"/>
      <c r="AK70" s="27" t="n"/>
      <c r="AL70" s="27" t="n"/>
      <c r="AM70" s="27" t="n"/>
      <c r="AN70" s="27" t="n"/>
      <c r="AO70" s="27" t="n"/>
      <c r="AP70" s="27" t="n"/>
      <c r="AQ70" s="27" t="n"/>
      <c r="AR70" s="27" t="n"/>
      <c r="AS70" s="27" t="n"/>
      <c r="AT70" s="27" t="n"/>
      <c r="AU70" s="27" t="n"/>
      <c r="AV70" s="27" t="n"/>
      <c r="AW70" s="27" t="n"/>
      <c r="AX70" s="27" t="n"/>
      <c r="AY70" s="27" t="n"/>
      <c r="AZ70" s="27" t="n"/>
      <c r="BA70" s="27" t="n"/>
      <c r="BB70" s="27" t="n"/>
      <c r="BC70" s="27" t="n"/>
      <c r="BD70" s="27" t="n"/>
      <c r="BE70" s="27" t="n"/>
      <c r="BF70" s="27" t="n"/>
      <c r="BG70" s="27" t="n"/>
      <c r="BH70" s="27" t="n"/>
      <c r="BI70" s="29" t="n"/>
      <c r="BJ70" s="27" t="n"/>
      <c r="BK70" s="27" t="n"/>
      <c r="BL70" s="27" t="n"/>
      <c r="BM70" s="27" t="n"/>
      <c r="DN70" s="26">
        <f>IF('テスト条件'!A69="","",'テスト条件'!A69)</f>
        <v/>
      </c>
    </row>
    <row r="71">
      <c r="A71" s="27" t="n"/>
      <c r="B71" s="27" t="n"/>
      <c r="C71" s="28">
        <f>IF(A71="","",$B$2)</f>
        <v/>
      </c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  <c r="AA71" s="27" t="n"/>
      <c r="AB71" s="27" t="n"/>
      <c r="AC71" s="27" t="n"/>
      <c r="AD71" s="27" t="n"/>
      <c r="AE71" s="27" t="n"/>
      <c r="AF71" s="27" t="n"/>
      <c r="AG71" s="27" t="n"/>
      <c r="AH71" s="27" t="n"/>
      <c r="AI71" s="27" t="n"/>
      <c r="AJ71" s="27" t="n"/>
      <c r="AK71" s="27" t="n"/>
      <c r="AL71" s="27" t="n"/>
      <c r="AM71" s="27" t="n"/>
      <c r="AN71" s="27" t="n"/>
      <c r="AO71" s="27" t="n"/>
      <c r="AP71" s="27" t="n"/>
      <c r="AQ71" s="27" t="n"/>
      <c r="AR71" s="27" t="n"/>
      <c r="AS71" s="27" t="n"/>
      <c r="AT71" s="27" t="n"/>
      <c r="AU71" s="27" t="n"/>
      <c r="AV71" s="27" t="n"/>
      <c r="AW71" s="27" t="n"/>
      <c r="AX71" s="27" t="n"/>
      <c r="AY71" s="27" t="n"/>
      <c r="AZ71" s="27" t="n"/>
      <c r="BA71" s="27" t="n"/>
      <c r="BB71" s="27" t="n"/>
      <c r="BC71" s="27" t="n"/>
      <c r="BD71" s="27" t="n"/>
      <c r="BE71" s="27" t="n"/>
      <c r="BF71" s="27" t="n"/>
      <c r="BG71" s="27" t="n"/>
      <c r="BH71" s="27" t="n"/>
      <c r="BI71" s="29" t="n"/>
      <c r="BJ71" s="27" t="n"/>
      <c r="BK71" s="27" t="n"/>
      <c r="BL71" s="27" t="n"/>
      <c r="BM71" s="27" t="n"/>
      <c r="DN71" s="26">
        <f>IF('テスト条件'!A70="","",'テスト条件'!A70)</f>
        <v/>
      </c>
    </row>
    <row r="72">
      <c r="A72" s="27" t="n"/>
      <c r="B72" s="27" t="n"/>
      <c r="C72" s="28">
        <f>IF(A72="","",$B$2)</f>
        <v/>
      </c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  <c r="AA72" s="27" t="n"/>
      <c r="AB72" s="27" t="n"/>
      <c r="AC72" s="27" t="n"/>
      <c r="AD72" s="27" t="n"/>
      <c r="AE72" s="27" t="n"/>
      <c r="AF72" s="27" t="n"/>
      <c r="AG72" s="27" t="n"/>
      <c r="AH72" s="27" t="n"/>
      <c r="AI72" s="27" t="n"/>
      <c r="AJ72" s="27" t="n"/>
      <c r="AK72" s="27" t="n"/>
      <c r="AL72" s="27" t="n"/>
      <c r="AM72" s="27" t="n"/>
      <c r="AN72" s="27" t="n"/>
      <c r="AO72" s="27" t="n"/>
      <c r="AP72" s="27" t="n"/>
      <c r="AQ72" s="27" t="n"/>
      <c r="AR72" s="27" t="n"/>
      <c r="AS72" s="27" t="n"/>
      <c r="AT72" s="27" t="n"/>
      <c r="AU72" s="27" t="n"/>
      <c r="AV72" s="27" t="n"/>
      <c r="AW72" s="27" t="n"/>
      <c r="AX72" s="27" t="n"/>
      <c r="AY72" s="27" t="n"/>
      <c r="AZ72" s="27" t="n"/>
      <c r="BA72" s="27" t="n"/>
      <c r="BB72" s="27" t="n"/>
      <c r="BC72" s="27" t="n"/>
      <c r="BD72" s="27" t="n"/>
      <c r="BE72" s="27" t="n"/>
      <c r="BF72" s="27" t="n"/>
      <c r="BG72" s="27" t="n"/>
      <c r="BH72" s="27" t="n"/>
      <c r="BI72" s="29" t="n"/>
      <c r="BJ72" s="27" t="n"/>
      <c r="BK72" s="27" t="n"/>
      <c r="BL72" s="27" t="n"/>
      <c r="BM72" s="27" t="n"/>
      <c r="DN72" s="26">
        <f>IF('テスト条件'!A71="","",'テスト条件'!A71)</f>
        <v/>
      </c>
    </row>
    <row r="73">
      <c r="A73" s="27" t="n"/>
      <c r="B73" s="27" t="n"/>
      <c r="C73" s="28">
        <f>IF(A73="","",$B$2)</f>
        <v/>
      </c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  <c r="AA73" s="27" t="n"/>
      <c r="AB73" s="27" t="n"/>
      <c r="AC73" s="27" t="n"/>
      <c r="AD73" s="27" t="n"/>
      <c r="AE73" s="27" t="n"/>
      <c r="AF73" s="27" t="n"/>
      <c r="AG73" s="27" t="n"/>
      <c r="AH73" s="27" t="n"/>
      <c r="AI73" s="27" t="n"/>
      <c r="AJ73" s="27" t="n"/>
      <c r="AK73" s="27" t="n"/>
      <c r="AL73" s="27" t="n"/>
      <c r="AM73" s="27" t="n"/>
      <c r="AN73" s="27" t="n"/>
      <c r="AO73" s="27" t="n"/>
      <c r="AP73" s="27" t="n"/>
      <c r="AQ73" s="27" t="n"/>
      <c r="AR73" s="27" t="n"/>
      <c r="AS73" s="27" t="n"/>
      <c r="AT73" s="27" t="n"/>
      <c r="AU73" s="27" t="n"/>
      <c r="AV73" s="27" t="n"/>
      <c r="AW73" s="27" t="n"/>
      <c r="AX73" s="27" t="n"/>
      <c r="AY73" s="27" t="n"/>
      <c r="AZ73" s="27" t="n"/>
      <c r="BA73" s="27" t="n"/>
      <c r="BB73" s="27" t="n"/>
      <c r="BC73" s="27" t="n"/>
      <c r="BD73" s="27" t="n"/>
      <c r="BE73" s="27" t="n"/>
      <c r="BF73" s="27" t="n"/>
      <c r="BG73" s="27" t="n"/>
      <c r="BH73" s="27" t="n"/>
      <c r="BI73" s="29" t="n"/>
      <c r="BJ73" s="27" t="n"/>
      <c r="BK73" s="27" t="n"/>
      <c r="BL73" s="27" t="n"/>
      <c r="BM73" s="27" t="n"/>
      <c r="DN73" s="26">
        <f>IF('テスト条件'!A72="","",'テスト条件'!A72)</f>
        <v/>
      </c>
    </row>
    <row r="74">
      <c r="A74" s="27" t="n"/>
      <c r="B74" s="27" t="n"/>
      <c r="C74" s="28">
        <f>IF(A74="","",$B$2)</f>
        <v/>
      </c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  <c r="AA74" s="27" t="n"/>
      <c r="AB74" s="27" t="n"/>
      <c r="AC74" s="27" t="n"/>
      <c r="AD74" s="27" t="n"/>
      <c r="AE74" s="27" t="n"/>
      <c r="AF74" s="27" t="n"/>
      <c r="AG74" s="27" t="n"/>
      <c r="AH74" s="27" t="n"/>
      <c r="AI74" s="27" t="n"/>
      <c r="AJ74" s="27" t="n"/>
      <c r="AK74" s="27" t="n"/>
      <c r="AL74" s="27" t="n"/>
      <c r="AM74" s="27" t="n"/>
      <c r="AN74" s="27" t="n"/>
      <c r="AO74" s="27" t="n"/>
      <c r="AP74" s="27" t="n"/>
      <c r="AQ74" s="27" t="n"/>
      <c r="AR74" s="27" t="n"/>
      <c r="AS74" s="27" t="n"/>
      <c r="AT74" s="27" t="n"/>
      <c r="AU74" s="27" t="n"/>
      <c r="AV74" s="27" t="n"/>
      <c r="AW74" s="27" t="n"/>
      <c r="AX74" s="27" t="n"/>
      <c r="AY74" s="27" t="n"/>
      <c r="AZ74" s="27" t="n"/>
      <c r="BA74" s="27" t="n"/>
      <c r="BB74" s="27" t="n"/>
      <c r="BC74" s="27" t="n"/>
      <c r="BD74" s="27" t="n"/>
      <c r="BE74" s="27" t="n"/>
      <c r="BF74" s="27" t="n"/>
      <c r="BG74" s="27" t="n"/>
      <c r="BH74" s="27" t="n"/>
      <c r="BI74" s="29" t="n"/>
      <c r="BJ74" s="27" t="n"/>
      <c r="BK74" s="27" t="n"/>
      <c r="BL74" s="27" t="n"/>
      <c r="BM74" s="27" t="n"/>
      <c r="DN74" s="26">
        <f>IF('テスト条件'!A73="","",'テスト条件'!A73)</f>
        <v/>
      </c>
    </row>
    <row r="75">
      <c r="A75" s="27" t="n"/>
      <c r="B75" s="27" t="n"/>
      <c r="C75" s="28">
        <f>IF(A75="","",$B$2)</f>
        <v/>
      </c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  <c r="AA75" s="27" t="n"/>
      <c r="AB75" s="27" t="n"/>
      <c r="AC75" s="27" t="n"/>
      <c r="AD75" s="27" t="n"/>
      <c r="AE75" s="27" t="n"/>
      <c r="AF75" s="27" t="n"/>
      <c r="AG75" s="27" t="n"/>
      <c r="AH75" s="27" t="n"/>
      <c r="AI75" s="27" t="n"/>
      <c r="AJ75" s="27" t="n"/>
      <c r="AK75" s="27" t="n"/>
      <c r="AL75" s="27" t="n"/>
      <c r="AM75" s="27" t="n"/>
      <c r="AN75" s="27" t="n"/>
      <c r="AO75" s="27" t="n"/>
      <c r="AP75" s="27" t="n"/>
      <c r="AQ75" s="27" t="n"/>
      <c r="AR75" s="27" t="n"/>
      <c r="AS75" s="27" t="n"/>
      <c r="AT75" s="27" t="n"/>
      <c r="AU75" s="27" t="n"/>
      <c r="AV75" s="27" t="n"/>
      <c r="AW75" s="27" t="n"/>
      <c r="AX75" s="27" t="n"/>
      <c r="AY75" s="27" t="n"/>
      <c r="AZ75" s="27" t="n"/>
      <c r="BA75" s="27" t="n"/>
      <c r="BB75" s="27" t="n"/>
      <c r="BC75" s="27" t="n"/>
      <c r="BD75" s="27" t="n"/>
      <c r="BE75" s="27" t="n"/>
      <c r="BF75" s="27" t="n"/>
      <c r="BG75" s="27" t="n"/>
      <c r="BH75" s="27" t="n"/>
      <c r="BI75" s="29" t="n"/>
      <c r="BJ75" s="27" t="n"/>
      <c r="BK75" s="27" t="n"/>
      <c r="BL75" s="27" t="n"/>
      <c r="BM75" s="27" t="n"/>
      <c r="DN75" s="26">
        <f>IF('テスト条件'!A74="","",'テスト条件'!A74)</f>
        <v/>
      </c>
    </row>
    <row r="76">
      <c r="A76" s="27" t="n"/>
      <c r="B76" s="27" t="n"/>
      <c r="C76" s="28">
        <f>IF(A76="","",$B$2)</f>
        <v/>
      </c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  <c r="AA76" s="27" t="n"/>
      <c r="AB76" s="27" t="n"/>
      <c r="AC76" s="27" t="n"/>
      <c r="AD76" s="27" t="n"/>
      <c r="AE76" s="27" t="n"/>
      <c r="AF76" s="27" t="n"/>
      <c r="AG76" s="27" t="n"/>
      <c r="AH76" s="27" t="n"/>
      <c r="AI76" s="27" t="n"/>
      <c r="AJ76" s="27" t="n"/>
      <c r="AK76" s="27" t="n"/>
      <c r="AL76" s="27" t="n"/>
      <c r="AM76" s="27" t="n"/>
      <c r="AN76" s="27" t="n"/>
      <c r="AO76" s="27" t="n"/>
      <c r="AP76" s="27" t="n"/>
      <c r="AQ76" s="27" t="n"/>
      <c r="AR76" s="27" t="n"/>
      <c r="AS76" s="27" t="n"/>
      <c r="AT76" s="27" t="n"/>
      <c r="AU76" s="27" t="n"/>
      <c r="AV76" s="27" t="n"/>
      <c r="AW76" s="27" t="n"/>
      <c r="AX76" s="27" t="n"/>
      <c r="AY76" s="27" t="n"/>
      <c r="AZ76" s="27" t="n"/>
      <c r="BA76" s="27" t="n"/>
      <c r="BB76" s="27" t="n"/>
      <c r="BC76" s="27" t="n"/>
      <c r="BD76" s="27" t="n"/>
      <c r="BE76" s="27" t="n"/>
      <c r="BF76" s="27" t="n"/>
      <c r="BG76" s="27" t="n"/>
      <c r="BH76" s="27" t="n"/>
      <c r="BI76" s="29" t="n"/>
      <c r="BJ76" s="27" t="n"/>
      <c r="BK76" s="27" t="n"/>
      <c r="BL76" s="27" t="n"/>
      <c r="BM76" s="27" t="n"/>
      <c r="DN76" s="26">
        <f>IF('テスト条件'!A75="","",'テスト条件'!A75)</f>
        <v/>
      </c>
    </row>
    <row r="77">
      <c r="A77" s="27" t="n"/>
      <c r="B77" s="27" t="n"/>
      <c r="C77" s="28">
        <f>IF(A77="","",$B$2)</f>
        <v/>
      </c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  <c r="AA77" s="27" t="n"/>
      <c r="AB77" s="27" t="n"/>
      <c r="AC77" s="27" t="n"/>
      <c r="AD77" s="27" t="n"/>
      <c r="AE77" s="27" t="n"/>
      <c r="AF77" s="27" t="n"/>
      <c r="AG77" s="27" t="n"/>
      <c r="AH77" s="27" t="n"/>
      <c r="AI77" s="27" t="n"/>
      <c r="AJ77" s="27" t="n"/>
      <c r="AK77" s="27" t="n"/>
      <c r="AL77" s="27" t="n"/>
      <c r="AM77" s="27" t="n"/>
      <c r="AN77" s="27" t="n"/>
      <c r="AO77" s="27" t="n"/>
      <c r="AP77" s="27" t="n"/>
      <c r="AQ77" s="27" t="n"/>
      <c r="AR77" s="27" t="n"/>
      <c r="AS77" s="27" t="n"/>
      <c r="AT77" s="27" t="n"/>
      <c r="AU77" s="27" t="n"/>
      <c r="AV77" s="27" t="n"/>
      <c r="AW77" s="27" t="n"/>
      <c r="AX77" s="27" t="n"/>
      <c r="AY77" s="27" t="n"/>
      <c r="AZ77" s="27" t="n"/>
      <c r="BA77" s="27" t="n"/>
      <c r="BB77" s="27" t="n"/>
      <c r="BC77" s="27" t="n"/>
      <c r="BD77" s="27" t="n"/>
      <c r="BE77" s="27" t="n"/>
      <c r="BF77" s="27" t="n"/>
      <c r="BG77" s="27" t="n"/>
      <c r="BH77" s="27" t="n"/>
      <c r="BI77" s="29" t="n"/>
      <c r="BJ77" s="27" t="n"/>
      <c r="BK77" s="27" t="n"/>
      <c r="BL77" s="27" t="n"/>
      <c r="BM77" s="27" t="n"/>
      <c r="DN77" s="26">
        <f>IF('テスト条件'!A76="","",'テスト条件'!A76)</f>
        <v/>
      </c>
    </row>
    <row r="78">
      <c r="A78" s="27" t="n"/>
      <c r="B78" s="27" t="n"/>
      <c r="C78" s="28">
        <f>IF(A78="","",$B$2)</f>
        <v/>
      </c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  <c r="AA78" s="27" t="n"/>
      <c r="AB78" s="27" t="n"/>
      <c r="AC78" s="27" t="n"/>
      <c r="AD78" s="27" t="n"/>
      <c r="AE78" s="27" t="n"/>
      <c r="AF78" s="27" t="n"/>
      <c r="AG78" s="27" t="n"/>
      <c r="AH78" s="27" t="n"/>
      <c r="AI78" s="27" t="n"/>
      <c r="AJ78" s="27" t="n"/>
      <c r="AK78" s="27" t="n"/>
      <c r="AL78" s="27" t="n"/>
      <c r="AM78" s="27" t="n"/>
      <c r="AN78" s="27" t="n"/>
      <c r="AO78" s="27" t="n"/>
      <c r="AP78" s="27" t="n"/>
      <c r="AQ78" s="27" t="n"/>
      <c r="AR78" s="27" t="n"/>
      <c r="AS78" s="27" t="n"/>
      <c r="AT78" s="27" t="n"/>
      <c r="AU78" s="27" t="n"/>
      <c r="AV78" s="27" t="n"/>
      <c r="AW78" s="27" t="n"/>
      <c r="AX78" s="27" t="n"/>
      <c r="AY78" s="27" t="n"/>
      <c r="AZ78" s="27" t="n"/>
      <c r="BA78" s="27" t="n"/>
      <c r="BB78" s="27" t="n"/>
      <c r="BC78" s="27" t="n"/>
      <c r="BD78" s="27" t="n"/>
      <c r="BE78" s="27" t="n"/>
      <c r="BF78" s="27" t="n"/>
      <c r="BG78" s="27" t="n"/>
      <c r="BH78" s="27" t="n"/>
      <c r="BI78" s="29" t="n"/>
      <c r="BJ78" s="27" t="n"/>
      <c r="BK78" s="27" t="n"/>
      <c r="BL78" s="27" t="n"/>
      <c r="BM78" s="27" t="n"/>
      <c r="DN78" s="26">
        <f>IF('テスト条件'!A77="","",'テスト条件'!A77)</f>
        <v/>
      </c>
    </row>
    <row r="79">
      <c r="A79" s="27" t="n"/>
      <c r="B79" s="27" t="n"/>
      <c r="C79" s="28">
        <f>IF(A79="","",$B$2)</f>
        <v/>
      </c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  <c r="AA79" s="27" t="n"/>
      <c r="AB79" s="27" t="n"/>
      <c r="AC79" s="27" t="n"/>
      <c r="AD79" s="27" t="n"/>
      <c r="AE79" s="27" t="n"/>
      <c r="AF79" s="27" t="n"/>
      <c r="AG79" s="27" t="n"/>
      <c r="AH79" s="27" t="n"/>
      <c r="AI79" s="27" t="n"/>
      <c r="AJ79" s="27" t="n"/>
      <c r="AK79" s="27" t="n"/>
      <c r="AL79" s="27" t="n"/>
      <c r="AM79" s="27" t="n"/>
      <c r="AN79" s="27" t="n"/>
      <c r="AO79" s="27" t="n"/>
      <c r="AP79" s="27" t="n"/>
      <c r="AQ79" s="27" t="n"/>
      <c r="AR79" s="27" t="n"/>
      <c r="AS79" s="27" t="n"/>
      <c r="AT79" s="27" t="n"/>
      <c r="AU79" s="27" t="n"/>
      <c r="AV79" s="27" t="n"/>
      <c r="AW79" s="27" t="n"/>
      <c r="AX79" s="27" t="n"/>
      <c r="AY79" s="27" t="n"/>
      <c r="AZ79" s="27" t="n"/>
      <c r="BA79" s="27" t="n"/>
      <c r="BB79" s="27" t="n"/>
      <c r="BC79" s="27" t="n"/>
      <c r="BD79" s="27" t="n"/>
      <c r="BE79" s="27" t="n"/>
      <c r="BF79" s="27" t="n"/>
      <c r="BG79" s="27" t="n"/>
      <c r="BH79" s="27" t="n"/>
      <c r="BI79" s="29" t="n"/>
      <c r="BJ79" s="27" t="n"/>
      <c r="BK79" s="27" t="n"/>
      <c r="BL79" s="27" t="n"/>
      <c r="BM79" s="27" t="n"/>
      <c r="DN79" s="26">
        <f>IF('テスト条件'!A78="","",'テスト条件'!A78)</f>
        <v/>
      </c>
    </row>
    <row r="80">
      <c r="A80" s="27" t="n"/>
      <c r="B80" s="27" t="n"/>
      <c r="C80" s="28">
        <f>IF(A80="","",$B$2)</f>
        <v/>
      </c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27" t="n"/>
      <c r="AJ80" s="27" t="n"/>
      <c r="AK80" s="27" t="n"/>
      <c r="AL80" s="27" t="n"/>
      <c r="AM80" s="27" t="n"/>
      <c r="AN80" s="27" t="n"/>
      <c r="AO80" s="27" t="n"/>
      <c r="AP80" s="27" t="n"/>
      <c r="AQ80" s="27" t="n"/>
      <c r="AR80" s="27" t="n"/>
      <c r="AS80" s="27" t="n"/>
      <c r="AT80" s="27" t="n"/>
      <c r="AU80" s="27" t="n"/>
      <c r="AV80" s="27" t="n"/>
      <c r="AW80" s="27" t="n"/>
      <c r="AX80" s="27" t="n"/>
      <c r="AY80" s="27" t="n"/>
      <c r="AZ80" s="27" t="n"/>
      <c r="BA80" s="27" t="n"/>
      <c r="BB80" s="27" t="n"/>
      <c r="BC80" s="27" t="n"/>
      <c r="BD80" s="27" t="n"/>
      <c r="BE80" s="27" t="n"/>
      <c r="BF80" s="27" t="n"/>
      <c r="BG80" s="27" t="n"/>
      <c r="BH80" s="27" t="n"/>
      <c r="BI80" s="29" t="n"/>
      <c r="BJ80" s="27" t="n"/>
      <c r="BK80" s="27" t="n"/>
      <c r="BL80" s="27" t="n"/>
      <c r="BM80" s="27" t="n"/>
      <c r="DN80" s="26">
        <f>IF('テスト条件'!A79="","",'テスト条件'!A79)</f>
        <v/>
      </c>
    </row>
    <row r="81">
      <c r="A81" s="27" t="n"/>
      <c r="B81" s="27" t="n"/>
      <c r="C81" s="28">
        <f>IF(A81="","",$B$2)</f>
        <v/>
      </c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  <c r="AA81" s="27" t="n"/>
      <c r="AB81" s="27" t="n"/>
      <c r="AC81" s="27" t="n"/>
      <c r="AD81" s="27" t="n"/>
      <c r="AE81" s="27" t="n"/>
      <c r="AF81" s="27" t="n"/>
      <c r="AG81" s="27" t="n"/>
      <c r="AH81" s="27" t="n"/>
      <c r="AI81" s="27" t="n"/>
      <c r="AJ81" s="27" t="n"/>
      <c r="AK81" s="27" t="n"/>
      <c r="AL81" s="27" t="n"/>
      <c r="AM81" s="27" t="n"/>
      <c r="AN81" s="27" t="n"/>
      <c r="AO81" s="27" t="n"/>
      <c r="AP81" s="27" t="n"/>
      <c r="AQ81" s="27" t="n"/>
      <c r="AR81" s="27" t="n"/>
      <c r="AS81" s="27" t="n"/>
      <c r="AT81" s="27" t="n"/>
      <c r="AU81" s="27" t="n"/>
      <c r="AV81" s="27" t="n"/>
      <c r="AW81" s="27" t="n"/>
      <c r="AX81" s="27" t="n"/>
      <c r="AY81" s="27" t="n"/>
      <c r="AZ81" s="27" t="n"/>
      <c r="BA81" s="27" t="n"/>
      <c r="BB81" s="27" t="n"/>
      <c r="BC81" s="27" t="n"/>
      <c r="BD81" s="27" t="n"/>
      <c r="BE81" s="27" t="n"/>
      <c r="BF81" s="27" t="n"/>
      <c r="BG81" s="27" t="n"/>
      <c r="BH81" s="27" t="n"/>
      <c r="BI81" s="29" t="n"/>
      <c r="BJ81" s="27" t="n"/>
      <c r="BK81" s="27" t="n"/>
      <c r="BL81" s="27" t="n"/>
      <c r="BM81" s="27" t="n"/>
      <c r="DN81" s="26">
        <f>IF('テスト条件'!A80="","",'テスト条件'!A80)</f>
        <v/>
      </c>
    </row>
    <row r="82">
      <c r="A82" s="27" t="n"/>
      <c r="B82" s="27" t="n"/>
      <c r="C82" s="28">
        <f>IF(A82="","",$B$2)</f>
        <v/>
      </c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  <c r="AA82" s="27" t="n"/>
      <c r="AB82" s="27" t="n"/>
      <c r="AC82" s="27" t="n"/>
      <c r="AD82" s="27" t="n"/>
      <c r="AE82" s="27" t="n"/>
      <c r="AF82" s="27" t="n"/>
      <c r="AG82" s="27" t="n"/>
      <c r="AH82" s="27" t="n"/>
      <c r="AI82" s="27" t="n"/>
      <c r="AJ82" s="27" t="n"/>
      <c r="AK82" s="27" t="n"/>
      <c r="AL82" s="27" t="n"/>
      <c r="AM82" s="27" t="n"/>
      <c r="AN82" s="27" t="n"/>
      <c r="AO82" s="27" t="n"/>
      <c r="AP82" s="27" t="n"/>
      <c r="AQ82" s="27" t="n"/>
      <c r="AR82" s="27" t="n"/>
      <c r="AS82" s="27" t="n"/>
      <c r="AT82" s="27" t="n"/>
      <c r="AU82" s="27" t="n"/>
      <c r="AV82" s="27" t="n"/>
      <c r="AW82" s="27" t="n"/>
      <c r="AX82" s="27" t="n"/>
      <c r="AY82" s="27" t="n"/>
      <c r="AZ82" s="27" t="n"/>
      <c r="BA82" s="27" t="n"/>
      <c r="BB82" s="27" t="n"/>
      <c r="BC82" s="27" t="n"/>
      <c r="BD82" s="27" t="n"/>
      <c r="BE82" s="27" t="n"/>
      <c r="BF82" s="27" t="n"/>
      <c r="BG82" s="27" t="n"/>
      <c r="BH82" s="27" t="n"/>
      <c r="BI82" s="29" t="n"/>
      <c r="BJ82" s="27" t="n"/>
      <c r="BK82" s="27" t="n"/>
      <c r="BL82" s="27" t="n"/>
      <c r="BM82" s="27" t="n"/>
      <c r="DN82" s="26">
        <f>IF('テスト条件'!A81="","",'テスト条件'!A81)</f>
        <v/>
      </c>
    </row>
    <row r="83">
      <c r="A83" s="27" t="n"/>
      <c r="B83" s="27" t="n"/>
      <c r="C83" s="28">
        <f>IF(A83="","",$B$2)</f>
        <v/>
      </c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  <c r="AA83" s="27" t="n"/>
      <c r="AB83" s="27" t="n"/>
      <c r="AC83" s="27" t="n"/>
      <c r="AD83" s="27" t="n"/>
      <c r="AE83" s="27" t="n"/>
      <c r="AF83" s="27" t="n"/>
      <c r="AG83" s="27" t="n"/>
      <c r="AH83" s="27" t="n"/>
      <c r="AI83" s="27" t="n"/>
      <c r="AJ83" s="27" t="n"/>
      <c r="AK83" s="27" t="n"/>
      <c r="AL83" s="27" t="n"/>
      <c r="AM83" s="27" t="n"/>
      <c r="AN83" s="27" t="n"/>
      <c r="AO83" s="27" t="n"/>
      <c r="AP83" s="27" t="n"/>
      <c r="AQ83" s="27" t="n"/>
      <c r="AR83" s="27" t="n"/>
      <c r="AS83" s="27" t="n"/>
      <c r="AT83" s="27" t="n"/>
      <c r="AU83" s="27" t="n"/>
      <c r="AV83" s="27" t="n"/>
      <c r="AW83" s="27" t="n"/>
      <c r="AX83" s="27" t="n"/>
      <c r="AY83" s="27" t="n"/>
      <c r="AZ83" s="27" t="n"/>
      <c r="BA83" s="27" t="n"/>
      <c r="BB83" s="27" t="n"/>
      <c r="BC83" s="27" t="n"/>
      <c r="BD83" s="27" t="n"/>
      <c r="BE83" s="27" t="n"/>
      <c r="BF83" s="27" t="n"/>
      <c r="BG83" s="27" t="n"/>
      <c r="BH83" s="27" t="n"/>
      <c r="BI83" s="29" t="n"/>
      <c r="BJ83" s="27" t="n"/>
      <c r="BK83" s="27" t="n"/>
      <c r="BL83" s="27" t="n"/>
      <c r="BM83" s="27" t="n"/>
      <c r="DN83" s="26">
        <f>IF('テスト条件'!A82="","",'テスト条件'!A82)</f>
        <v/>
      </c>
    </row>
    <row r="84">
      <c r="A84" s="27" t="n"/>
      <c r="B84" s="27" t="n"/>
      <c r="C84" s="28">
        <f>IF(A84="","",$B$2)</f>
        <v/>
      </c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  <c r="AA84" s="27" t="n"/>
      <c r="AB84" s="27" t="n"/>
      <c r="AC84" s="27" t="n"/>
      <c r="AD84" s="27" t="n"/>
      <c r="AE84" s="27" t="n"/>
      <c r="AF84" s="27" t="n"/>
      <c r="AG84" s="27" t="n"/>
      <c r="AH84" s="27" t="n"/>
      <c r="AI84" s="27" t="n"/>
      <c r="AJ84" s="27" t="n"/>
      <c r="AK84" s="27" t="n"/>
      <c r="AL84" s="27" t="n"/>
      <c r="AM84" s="27" t="n"/>
      <c r="AN84" s="27" t="n"/>
      <c r="AO84" s="27" t="n"/>
      <c r="AP84" s="27" t="n"/>
      <c r="AQ84" s="27" t="n"/>
      <c r="AR84" s="27" t="n"/>
      <c r="AS84" s="27" t="n"/>
      <c r="AT84" s="27" t="n"/>
      <c r="AU84" s="27" t="n"/>
      <c r="AV84" s="27" t="n"/>
      <c r="AW84" s="27" t="n"/>
      <c r="AX84" s="27" t="n"/>
      <c r="AY84" s="27" t="n"/>
      <c r="AZ84" s="27" t="n"/>
      <c r="BA84" s="27" t="n"/>
      <c r="BB84" s="27" t="n"/>
      <c r="BC84" s="27" t="n"/>
      <c r="BD84" s="27" t="n"/>
      <c r="BE84" s="27" t="n"/>
      <c r="BF84" s="27" t="n"/>
      <c r="BG84" s="27" t="n"/>
      <c r="BH84" s="27" t="n"/>
      <c r="BI84" s="29" t="n"/>
      <c r="BJ84" s="27" t="n"/>
      <c r="BK84" s="27" t="n"/>
      <c r="BL84" s="27" t="n"/>
      <c r="BM84" s="27" t="n"/>
      <c r="DN84" s="26">
        <f>IF('テスト条件'!A83="","",'テスト条件'!A83)</f>
        <v/>
      </c>
    </row>
    <row r="85">
      <c r="A85" s="27" t="n"/>
      <c r="B85" s="27" t="n"/>
      <c r="C85" s="28">
        <f>IF(A85="","",$B$2)</f>
        <v/>
      </c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  <c r="AA85" s="27" t="n"/>
      <c r="AB85" s="27" t="n"/>
      <c r="AC85" s="27" t="n"/>
      <c r="AD85" s="27" t="n"/>
      <c r="AE85" s="27" t="n"/>
      <c r="AF85" s="27" t="n"/>
      <c r="AG85" s="27" t="n"/>
      <c r="AH85" s="27" t="n"/>
      <c r="AI85" s="27" t="n"/>
      <c r="AJ85" s="27" t="n"/>
      <c r="AK85" s="27" t="n"/>
      <c r="AL85" s="27" t="n"/>
      <c r="AM85" s="27" t="n"/>
      <c r="AN85" s="27" t="n"/>
      <c r="AO85" s="27" t="n"/>
      <c r="AP85" s="27" t="n"/>
      <c r="AQ85" s="27" t="n"/>
      <c r="AR85" s="27" t="n"/>
      <c r="AS85" s="27" t="n"/>
      <c r="AT85" s="27" t="n"/>
      <c r="AU85" s="27" t="n"/>
      <c r="AV85" s="27" t="n"/>
      <c r="AW85" s="27" t="n"/>
      <c r="AX85" s="27" t="n"/>
      <c r="AY85" s="27" t="n"/>
      <c r="AZ85" s="27" t="n"/>
      <c r="BA85" s="27" t="n"/>
      <c r="BB85" s="27" t="n"/>
      <c r="BC85" s="27" t="n"/>
      <c r="BD85" s="27" t="n"/>
      <c r="BE85" s="27" t="n"/>
      <c r="BF85" s="27" t="n"/>
      <c r="BG85" s="27" t="n"/>
      <c r="BH85" s="27" t="n"/>
      <c r="BI85" s="29" t="n"/>
      <c r="BJ85" s="27" t="n"/>
      <c r="BK85" s="27" t="n"/>
      <c r="BL85" s="27" t="n"/>
      <c r="BM85" s="27" t="n"/>
      <c r="DN85" s="26">
        <f>IF('テスト条件'!A84="","",'テスト条件'!A84)</f>
        <v/>
      </c>
    </row>
    <row r="86">
      <c r="A86" s="27" t="n"/>
      <c r="B86" s="27" t="n"/>
      <c r="C86" s="28">
        <f>IF(A86="","",$B$2)</f>
        <v/>
      </c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27" t="n"/>
      <c r="AJ86" s="27" t="n"/>
      <c r="AK86" s="27" t="n"/>
      <c r="AL86" s="27" t="n"/>
      <c r="AM86" s="27" t="n"/>
      <c r="AN86" s="27" t="n"/>
      <c r="AO86" s="27" t="n"/>
      <c r="AP86" s="27" t="n"/>
      <c r="AQ86" s="27" t="n"/>
      <c r="AR86" s="27" t="n"/>
      <c r="AS86" s="27" t="n"/>
      <c r="AT86" s="27" t="n"/>
      <c r="AU86" s="27" t="n"/>
      <c r="AV86" s="27" t="n"/>
      <c r="AW86" s="27" t="n"/>
      <c r="AX86" s="27" t="n"/>
      <c r="AY86" s="27" t="n"/>
      <c r="AZ86" s="27" t="n"/>
      <c r="BA86" s="27" t="n"/>
      <c r="BB86" s="27" t="n"/>
      <c r="BC86" s="27" t="n"/>
      <c r="BD86" s="27" t="n"/>
      <c r="BE86" s="27" t="n"/>
      <c r="BF86" s="27" t="n"/>
      <c r="BG86" s="27" t="n"/>
      <c r="BH86" s="27" t="n"/>
      <c r="BI86" s="29" t="n"/>
      <c r="BJ86" s="27" t="n"/>
      <c r="BK86" s="27" t="n"/>
      <c r="BL86" s="27" t="n"/>
      <c r="BM86" s="27" t="n"/>
      <c r="DN86" s="26">
        <f>IF('テスト条件'!A85="","",'テスト条件'!A85)</f>
        <v/>
      </c>
    </row>
    <row r="87">
      <c r="A87" s="27" t="n"/>
      <c r="B87" s="27" t="n"/>
      <c r="C87" s="28">
        <f>IF(A87="","",$B$2)</f>
        <v/>
      </c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  <c r="AA87" s="27" t="n"/>
      <c r="AB87" s="27" t="n"/>
      <c r="AC87" s="27" t="n"/>
      <c r="AD87" s="27" t="n"/>
      <c r="AE87" s="27" t="n"/>
      <c r="AF87" s="27" t="n"/>
      <c r="AG87" s="27" t="n"/>
      <c r="AH87" s="27" t="n"/>
      <c r="AI87" s="27" t="n"/>
      <c r="AJ87" s="27" t="n"/>
      <c r="AK87" s="27" t="n"/>
      <c r="AL87" s="27" t="n"/>
      <c r="AM87" s="27" t="n"/>
      <c r="AN87" s="27" t="n"/>
      <c r="AO87" s="27" t="n"/>
      <c r="AP87" s="27" t="n"/>
      <c r="AQ87" s="27" t="n"/>
      <c r="AR87" s="27" t="n"/>
      <c r="AS87" s="27" t="n"/>
      <c r="AT87" s="27" t="n"/>
      <c r="AU87" s="27" t="n"/>
      <c r="AV87" s="27" t="n"/>
      <c r="AW87" s="27" t="n"/>
      <c r="AX87" s="27" t="n"/>
      <c r="AY87" s="27" t="n"/>
      <c r="AZ87" s="27" t="n"/>
      <c r="BA87" s="27" t="n"/>
      <c r="BB87" s="27" t="n"/>
      <c r="BC87" s="27" t="n"/>
      <c r="BD87" s="27" t="n"/>
      <c r="BE87" s="27" t="n"/>
      <c r="BF87" s="27" t="n"/>
      <c r="BG87" s="27" t="n"/>
      <c r="BH87" s="27" t="n"/>
      <c r="BI87" s="29" t="n"/>
      <c r="BJ87" s="27" t="n"/>
      <c r="BK87" s="27" t="n"/>
      <c r="BL87" s="27" t="n"/>
      <c r="BM87" s="27" t="n"/>
      <c r="DN87" s="26">
        <f>IF('テスト条件'!A86="","",'テスト条件'!A86)</f>
        <v/>
      </c>
    </row>
    <row r="88">
      <c r="A88" s="27" t="n"/>
      <c r="B88" s="27" t="n"/>
      <c r="C88" s="28">
        <f>IF(A88="","",$B$2)</f>
        <v/>
      </c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  <c r="AA88" s="27" t="n"/>
      <c r="AB88" s="27" t="n"/>
      <c r="AC88" s="27" t="n"/>
      <c r="AD88" s="27" t="n"/>
      <c r="AE88" s="27" t="n"/>
      <c r="AF88" s="27" t="n"/>
      <c r="AG88" s="27" t="n"/>
      <c r="AH88" s="27" t="n"/>
      <c r="AI88" s="27" t="n"/>
      <c r="AJ88" s="27" t="n"/>
      <c r="AK88" s="27" t="n"/>
      <c r="AL88" s="27" t="n"/>
      <c r="AM88" s="27" t="n"/>
      <c r="AN88" s="27" t="n"/>
      <c r="AO88" s="27" t="n"/>
      <c r="AP88" s="27" t="n"/>
      <c r="AQ88" s="27" t="n"/>
      <c r="AR88" s="27" t="n"/>
      <c r="AS88" s="27" t="n"/>
      <c r="AT88" s="27" t="n"/>
      <c r="AU88" s="27" t="n"/>
      <c r="AV88" s="27" t="n"/>
      <c r="AW88" s="27" t="n"/>
      <c r="AX88" s="27" t="n"/>
      <c r="AY88" s="27" t="n"/>
      <c r="AZ88" s="27" t="n"/>
      <c r="BA88" s="27" t="n"/>
      <c r="BB88" s="27" t="n"/>
      <c r="BC88" s="27" t="n"/>
      <c r="BD88" s="27" t="n"/>
      <c r="BE88" s="27" t="n"/>
      <c r="BF88" s="27" t="n"/>
      <c r="BG88" s="27" t="n"/>
      <c r="BH88" s="27" t="n"/>
      <c r="BI88" s="29" t="n"/>
      <c r="BJ88" s="27" t="n"/>
      <c r="BK88" s="27" t="n"/>
      <c r="BL88" s="27" t="n"/>
      <c r="BM88" s="27" t="n"/>
      <c r="DN88" s="26">
        <f>IF('テスト条件'!A87="","",'テスト条件'!A87)</f>
        <v/>
      </c>
    </row>
    <row r="89">
      <c r="A89" s="27" t="n"/>
      <c r="B89" s="27" t="n"/>
      <c r="C89" s="28">
        <f>IF(A89="","",$B$2)</f>
        <v/>
      </c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27" t="n"/>
      <c r="AJ89" s="27" t="n"/>
      <c r="AK89" s="27" t="n"/>
      <c r="AL89" s="27" t="n"/>
      <c r="AM89" s="27" t="n"/>
      <c r="AN89" s="27" t="n"/>
      <c r="AO89" s="27" t="n"/>
      <c r="AP89" s="27" t="n"/>
      <c r="AQ89" s="27" t="n"/>
      <c r="AR89" s="27" t="n"/>
      <c r="AS89" s="27" t="n"/>
      <c r="AT89" s="27" t="n"/>
      <c r="AU89" s="27" t="n"/>
      <c r="AV89" s="27" t="n"/>
      <c r="AW89" s="27" t="n"/>
      <c r="AX89" s="27" t="n"/>
      <c r="AY89" s="27" t="n"/>
      <c r="AZ89" s="27" t="n"/>
      <c r="BA89" s="27" t="n"/>
      <c r="BB89" s="27" t="n"/>
      <c r="BC89" s="27" t="n"/>
      <c r="BD89" s="27" t="n"/>
      <c r="BE89" s="27" t="n"/>
      <c r="BF89" s="27" t="n"/>
      <c r="BG89" s="27" t="n"/>
      <c r="BH89" s="27" t="n"/>
      <c r="BI89" s="29" t="n"/>
      <c r="BJ89" s="27" t="n"/>
      <c r="BK89" s="27" t="n"/>
      <c r="BL89" s="27" t="n"/>
      <c r="BM89" s="27" t="n"/>
      <c r="DN89" s="26">
        <f>IF('テスト条件'!A88="","",'テスト条件'!A88)</f>
        <v/>
      </c>
    </row>
    <row r="90">
      <c r="A90" s="27" t="n"/>
      <c r="B90" s="27" t="n"/>
      <c r="C90" s="28">
        <f>IF(A90="","",$B$2)</f>
        <v/>
      </c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  <c r="AA90" s="27" t="n"/>
      <c r="AB90" s="27" t="n"/>
      <c r="AC90" s="27" t="n"/>
      <c r="AD90" s="27" t="n"/>
      <c r="AE90" s="27" t="n"/>
      <c r="AF90" s="27" t="n"/>
      <c r="AG90" s="27" t="n"/>
      <c r="AH90" s="27" t="n"/>
      <c r="AI90" s="27" t="n"/>
      <c r="AJ90" s="27" t="n"/>
      <c r="AK90" s="27" t="n"/>
      <c r="AL90" s="27" t="n"/>
      <c r="AM90" s="27" t="n"/>
      <c r="AN90" s="27" t="n"/>
      <c r="AO90" s="27" t="n"/>
      <c r="AP90" s="27" t="n"/>
      <c r="AQ90" s="27" t="n"/>
      <c r="AR90" s="27" t="n"/>
      <c r="AS90" s="27" t="n"/>
      <c r="AT90" s="27" t="n"/>
      <c r="AU90" s="27" t="n"/>
      <c r="AV90" s="27" t="n"/>
      <c r="AW90" s="27" t="n"/>
      <c r="AX90" s="27" t="n"/>
      <c r="AY90" s="27" t="n"/>
      <c r="AZ90" s="27" t="n"/>
      <c r="BA90" s="27" t="n"/>
      <c r="BB90" s="27" t="n"/>
      <c r="BC90" s="27" t="n"/>
      <c r="BD90" s="27" t="n"/>
      <c r="BE90" s="27" t="n"/>
      <c r="BF90" s="27" t="n"/>
      <c r="BG90" s="27" t="n"/>
      <c r="BH90" s="27" t="n"/>
      <c r="BI90" s="29" t="n"/>
      <c r="BJ90" s="27" t="n"/>
      <c r="BK90" s="27" t="n"/>
      <c r="BL90" s="27" t="n"/>
      <c r="BM90" s="27" t="n"/>
      <c r="DN90" s="26">
        <f>IF('テスト条件'!A89="","",'テスト条件'!A89)</f>
        <v/>
      </c>
    </row>
    <row r="91">
      <c r="A91" s="27" t="n"/>
      <c r="B91" s="27" t="n"/>
      <c r="C91" s="28">
        <f>IF(A91="","",$B$2)</f>
        <v/>
      </c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  <c r="AA91" s="27" t="n"/>
      <c r="AB91" s="27" t="n"/>
      <c r="AC91" s="27" t="n"/>
      <c r="AD91" s="27" t="n"/>
      <c r="AE91" s="27" t="n"/>
      <c r="AF91" s="27" t="n"/>
      <c r="AG91" s="27" t="n"/>
      <c r="AH91" s="27" t="n"/>
      <c r="AI91" s="27" t="n"/>
      <c r="AJ91" s="27" t="n"/>
      <c r="AK91" s="27" t="n"/>
      <c r="AL91" s="27" t="n"/>
      <c r="AM91" s="27" t="n"/>
      <c r="AN91" s="27" t="n"/>
      <c r="AO91" s="27" t="n"/>
      <c r="AP91" s="27" t="n"/>
      <c r="AQ91" s="27" t="n"/>
      <c r="AR91" s="27" t="n"/>
      <c r="AS91" s="27" t="n"/>
      <c r="AT91" s="27" t="n"/>
      <c r="AU91" s="27" t="n"/>
      <c r="AV91" s="27" t="n"/>
      <c r="AW91" s="27" t="n"/>
      <c r="AX91" s="27" t="n"/>
      <c r="AY91" s="27" t="n"/>
      <c r="AZ91" s="27" t="n"/>
      <c r="BA91" s="27" t="n"/>
      <c r="BB91" s="27" t="n"/>
      <c r="BC91" s="27" t="n"/>
      <c r="BD91" s="27" t="n"/>
      <c r="BE91" s="27" t="n"/>
      <c r="BF91" s="27" t="n"/>
      <c r="BG91" s="27" t="n"/>
      <c r="BH91" s="27" t="n"/>
      <c r="BI91" s="29" t="n"/>
      <c r="BJ91" s="27" t="n"/>
      <c r="BK91" s="27" t="n"/>
      <c r="BL91" s="27" t="n"/>
      <c r="BM91" s="27" t="n"/>
      <c r="DN91" s="26">
        <f>IF('テスト条件'!A90="","",'テスト条件'!A90)</f>
        <v/>
      </c>
    </row>
    <row r="92">
      <c r="A92" s="27" t="n"/>
      <c r="B92" s="27" t="n"/>
      <c r="C92" s="28">
        <f>IF(A92="","",$B$2)</f>
        <v/>
      </c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  <c r="AA92" s="27" t="n"/>
      <c r="AB92" s="27" t="n"/>
      <c r="AC92" s="27" t="n"/>
      <c r="AD92" s="27" t="n"/>
      <c r="AE92" s="27" t="n"/>
      <c r="AF92" s="27" t="n"/>
      <c r="AG92" s="27" t="n"/>
      <c r="AH92" s="27" t="n"/>
      <c r="AI92" s="27" t="n"/>
      <c r="AJ92" s="27" t="n"/>
      <c r="AK92" s="27" t="n"/>
      <c r="AL92" s="27" t="n"/>
      <c r="AM92" s="27" t="n"/>
      <c r="AN92" s="27" t="n"/>
      <c r="AO92" s="27" t="n"/>
      <c r="AP92" s="27" t="n"/>
      <c r="AQ92" s="27" t="n"/>
      <c r="AR92" s="27" t="n"/>
      <c r="AS92" s="27" t="n"/>
      <c r="AT92" s="27" t="n"/>
      <c r="AU92" s="27" t="n"/>
      <c r="AV92" s="27" t="n"/>
      <c r="AW92" s="27" t="n"/>
      <c r="AX92" s="27" t="n"/>
      <c r="AY92" s="27" t="n"/>
      <c r="AZ92" s="27" t="n"/>
      <c r="BA92" s="27" t="n"/>
      <c r="BB92" s="27" t="n"/>
      <c r="BC92" s="27" t="n"/>
      <c r="BD92" s="27" t="n"/>
      <c r="BE92" s="27" t="n"/>
      <c r="BF92" s="27" t="n"/>
      <c r="BG92" s="27" t="n"/>
      <c r="BH92" s="27" t="n"/>
      <c r="BI92" s="29" t="n"/>
      <c r="BJ92" s="27" t="n"/>
      <c r="BK92" s="27" t="n"/>
      <c r="BL92" s="27" t="n"/>
      <c r="BM92" s="27" t="n"/>
      <c r="DN92" s="26">
        <f>IF('テスト条件'!A91="","",'テスト条件'!A91)</f>
        <v/>
      </c>
    </row>
    <row r="93">
      <c r="A93" s="27" t="n"/>
      <c r="B93" s="27" t="n"/>
      <c r="C93" s="28">
        <f>IF(A93="","",$B$2)</f>
        <v/>
      </c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7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9" t="n"/>
      <c r="BJ93" s="27" t="n"/>
      <c r="BK93" s="27" t="n"/>
      <c r="BL93" s="27" t="n"/>
      <c r="BM93" s="27" t="n"/>
      <c r="DN93" s="26">
        <f>IF('テスト条件'!A92="","",'テスト条件'!A92)</f>
        <v/>
      </c>
    </row>
    <row r="94">
      <c r="A94" s="27" t="n"/>
      <c r="B94" s="27" t="n"/>
      <c r="C94" s="28">
        <f>IF(A94="","",$B$2)</f>
        <v/>
      </c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7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9" t="n"/>
      <c r="BJ94" s="27" t="n"/>
      <c r="BK94" s="27" t="n"/>
      <c r="BL94" s="27" t="n"/>
      <c r="BM94" s="27" t="n"/>
      <c r="DN94" s="26">
        <f>IF('テスト条件'!A93="","",'テスト条件'!A93)</f>
        <v/>
      </c>
    </row>
    <row r="95">
      <c r="A95" s="27" t="n"/>
      <c r="B95" s="27" t="n"/>
      <c r="C95" s="28">
        <f>IF(A95="","",$B$2)</f>
        <v/>
      </c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7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9" t="n"/>
      <c r="BJ95" s="27" t="n"/>
      <c r="BK95" s="27" t="n"/>
      <c r="BL95" s="27" t="n"/>
      <c r="BM95" s="27" t="n"/>
      <c r="DN95" s="26">
        <f>IF('テスト条件'!A94="","",'テスト条件'!A94)</f>
        <v/>
      </c>
    </row>
    <row r="96">
      <c r="A96" s="27" t="n"/>
      <c r="B96" s="27" t="n"/>
      <c r="C96" s="28">
        <f>IF(A96="","",$B$2)</f>
        <v/>
      </c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7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9" t="n"/>
      <c r="BJ96" s="27" t="n"/>
      <c r="BK96" s="27" t="n"/>
      <c r="BL96" s="27" t="n"/>
      <c r="BM96" s="27" t="n"/>
      <c r="DN96" s="26">
        <f>IF('テスト条件'!A95="","",'テスト条件'!A95)</f>
        <v/>
      </c>
    </row>
    <row r="97">
      <c r="A97" s="27" t="n"/>
      <c r="B97" s="27" t="n"/>
      <c r="C97" s="28">
        <f>IF(A97="","",$B$2)</f>
        <v/>
      </c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7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9" t="n"/>
      <c r="BJ97" s="27" t="n"/>
      <c r="BK97" s="27" t="n"/>
      <c r="BL97" s="27" t="n"/>
      <c r="BM97" s="27" t="n"/>
      <c r="DN97" s="26">
        <f>IF('テスト条件'!A96="","",'テスト条件'!A96)</f>
        <v/>
      </c>
    </row>
    <row r="98">
      <c r="A98" s="27" t="n"/>
      <c r="B98" s="27" t="n"/>
      <c r="C98" s="28">
        <f>IF(A98="","",$B$2)</f>
        <v/>
      </c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  <c r="AA98" s="27" t="n"/>
      <c r="AB98" s="27" t="n"/>
      <c r="AC98" s="27" t="n"/>
      <c r="AD98" s="27" t="n"/>
      <c r="AE98" s="27" t="n"/>
      <c r="AF98" s="27" t="n"/>
      <c r="AG98" s="27" t="n"/>
      <c r="AH98" s="27" t="n"/>
      <c r="AI98" s="27" t="n"/>
      <c r="AJ98" s="27" t="n"/>
      <c r="AK98" s="27" t="n"/>
      <c r="AL98" s="27" t="n"/>
      <c r="AM98" s="27" t="n"/>
      <c r="AN98" s="27" t="n"/>
      <c r="AO98" s="27" t="n"/>
      <c r="AP98" s="27" t="n"/>
      <c r="AQ98" s="27" t="n"/>
      <c r="AR98" s="27" t="n"/>
      <c r="AS98" s="27" t="n"/>
      <c r="AT98" s="27" t="n"/>
      <c r="AU98" s="27" t="n"/>
      <c r="AV98" s="27" t="n"/>
      <c r="AW98" s="27" t="n"/>
      <c r="AX98" s="27" t="n"/>
      <c r="AY98" s="27" t="n"/>
      <c r="AZ98" s="27" t="n"/>
      <c r="BA98" s="27" t="n"/>
      <c r="BB98" s="27" t="n"/>
      <c r="BC98" s="27" t="n"/>
      <c r="BD98" s="27" t="n"/>
      <c r="BE98" s="27" t="n"/>
      <c r="BF98" s="27" t="n"/>
      <c r="BG98" s="27" t="n"/>
      <c r="BH98" s="27" t="n"/>
      <c r="BI98" s="29" t="n"/>
      <c r="BJ98" s="27" t="n"/>
      <c r="BK98" s="27" t="n"/>
      <c r="BL98" s="27" t="n"/>
      <c r="BM98" s="27" t="n"/>
      <c r="DN98" s="26">
        <f>IF('テスト条件'!A97="","",'テスト条件'!A97)</f>
        <v/>
      </c>
    </row>
    <row r="99">
      <c r="A99" s="27" t="n"/>
      <c r="B99" s="27" t="n"/>
      <c r="C99" s="28">
        <f>IF(A99="","",$B$2)</f>
        <v/>
      </c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  <c r="AA99" s="27" t="n"/>
      <c r="AB99" s="27" t="n"/>
      <c r="AC99" s="27" t="n"/>
      <c r="AD99" s="27" t="n"/>
      <c r="AE99" s="27" t="n"/>
      <c r="AF99" s="27" t="n"/>
      <c r="AG99" s="27" t="n"/>
      <c r="AH99" s="27" t="n"/>
      <c r="AI99" s="27" t="n"/>
      <c r="AJ99" s="27" t="n"/>
      <c r="AK99" s="27" t="n"/>
      <c r="AL99" s="27" t="n"/>
      <c r="AM99" s="27" t="n"/>
      <c r="AN99" s="27" t="n"/>
      <c r="AO99" s="27" t="n"/>
      <c r="AP99" s="27" t="n"/>
      <c r="AQ99" s="27" t="n"/>
      <c r="AR99" s="27" t="n"/>
      <c r="AS99" s="27" t="n"/>
      <c r="AT99" s="27" t="n"/>
      <c r="AU99" s="27" t="n"/>
      <c r="AV99" s="27" t="n"/>
      <c r="AW99" s="27" t="n"/>
      <c r="AX99" s="27" t="n"/>
      <c r="AY99" s="27" t="n"/>
      <c r="AZ99" s="27" t="n"/>
      <c r="BA99" s="27" t="n"/>
      <c r="BB99" s="27" t="n"/>
      <c r="BC99" s="27" t="n"/>
      <c r="BD99" s="27" t="n"/>
      <c r="BE99" s="27" t="n"/>
      <c r="BF99" s="27" t="n"/>
      <c r="BG99" s="27" t="n"/>
      <c r="BH99" s="27" t="n"/>
      <c r="BI99" s="29" t="n"/>
      <c r="BJ99" s="27" t="n"/>
      <c r="BK99" s="27" t="n"/>
      <c r="BL99" s="27" t="n"/>
      <c r="BM99" s="27" t="n"/>
      <c r="DN99" s="26">
        <f>IF('テスト条件'!A98="","",'テスト条件'!A98)</f>
        <v/>
      </c>
    </row>
    <row r="100">
      <c r="A100" s="27" t="n"/>
      <c r="B100" s="27" t="n"/>
      <c r="C100" s="28">
        <f>IF(A100="","",$B$2)</f>
        <v/>
      </c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  <c r="AA100" s="27" t="n"/>
      <c r="AB100" s="27" t="n"/>
      <c r="AC100" s="27" t="n"/>
      <c r="AD100" s="27" t="n"/>
      <c r="AE100" s="27" t="n"/>
      <c r="AF100" s="27" t="n"/>
      <c r="AG100" s="27" t="n"/>
      <c r="AH100" s="27" t="n"/>
      <c r="AI100" s="27" t="n"/>
      <c r="AJ100" s="27" t="n"/>
      <c r="AK100" s="27" t="n"/>
      <c r="AL100" s="27" t="n"/>
      <c r="AM100" s="27" t="n"/>
      <c r="AN100" s="27" t="n"/>
      <c r="AO100" s="27" t="n"/>
      <c r="AP100" s="27" t="n"/>
      <c r="AQ100" s="27" t="n"/>
      <c r="AR100" s="27" t="n"/>
      <c r="AS100" s="27" t="n"/>
      <c r="AT100" s="27" t="n"/>
      <c r="AU100" s="27" t="n"/>
      <c r="AV100" s="27" t="n"/>
      <c r="AW100" s="27" t="n"/>
      <c r="AX100" s="27" t="n"/>
      <c r="AY100" s="27" t="n"/>
      <c r="AZ100" s="27" t="n"/>
      <c r="BA100" s="27" t="n"/>
      <c r="BB100" s="27" t="n"/>
      <c r="BC100" s="27" t="n"/>
      <c r="BD100" s="27" t="n"/>
      <c r="BE100" s="27" t="n"/>
      <c r="BF100" s="27" t="n"/>
      <c r="BG100" s="27" t="n"/>
      <c r="BH100" s="27" t="n"/>
      <c r="BI100" s="29" t="n"/>
      <c r="BJ100" s="27" t="n"/>
      <c r="BK100" s="27" t="n"/>
      <c r="BL100" s="27" t="n"/>
      <c r="BM100" s="27" t="n"/>
      <c r="DN100" s="26">
        <f>IF('テスト条件'!A99="","",'テスト条件'!A99)</f>
        <v/>
      </c>
    </row>
    <row r="101">
      <c r="A101" s="27" t="n"/>
      <c r="B101" s="27" t="n"/>
      <c r="C101" s="28">
        <f>IF(A101="","",$B$2)</f>
        <v/>
      </c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  <c r="AA101" s="27" t="n"/>
      <c r="AB101" s="27" t="n"/>
      <c r="AC101" s="27" t="n"/>
      <c r="AD101" s="27" t="n"/>
      <c r="AE101" s="27" t="n"/>
      <c r="AF101" s="27" t="n"/>
      <c r="AG101" s="27" t="n"/>
      <c r="AH101" s="27" t="n"/>
      <c r="AI101" s="27" t="n"/>
      <c r="AJ101" s="27" t="n"/>
      <c r="AK101" s="27" t="n"/>
      <c r="AL101" s="27" t="n"/>
      <c r="AM101" s="27" t="n"/>
      <c r="AN101" s="27" t="n"/>
      <c r="AO101" s="27" t="n"/>
      <c r="AP101" s="27" t="n"/>
      <c r="AQ101" s="27" t="n"/>
      <c r="AR101" s="27" t="n"/>
      <c r="AS101" s="27" t="n"/>
      <c r="AT101" s="27" t="n"/>
      <c r="AU101" s="27" t="n"/>
      <c r="AV101" s="27" t="n"/>
      <c r="AW101" s="27" t="n"/>
      <c r="AX101" s="27" t="n"/>
      <c r="AY101" s="27" t="n"/>
      <c r="AZ101" s="27" t="n"/>
      <c r="BA101" s="27" t="n"/>
      <c r="BB101" s="27" t="n"/>
      <c r="BC101" s="27" t="n"/>
      <c r="BD101" s="27" t="n"/>
      <c r="BE101" s="27" t="n"/>
      <c r="BF101" s="27" t="n"/>
      <c r="BG101" s="27" t="n"/>
      <c r="BH101" s="27" t="n"/>
      <c r="BI101" s="29" t="n"/>
      <c r="BJ101" s="27" t="n"/>
      <c r="BK101" s="27" t="n"/>
      <c r="BL101" s="27" t="n"/>
      <c r="BM101" s="27" t="n"/>
      <c r="DN101" s="26">
        <f>IF('テスト条件'!A100="","",'テスト条件'!A100)</f>
        <v/>
      </c>
    </row>
    <row r="102">
      <c r="A102" s="27" t="n"/>
      <c r="B102" s="27" t="n"/>
      <c r="C102" s="28">
        <f>IF(A102="","",$B$2)</f>
        <v/>
      </c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  <c r="AA102" s="27" t="n"/>
      <c r="AB102" s="27" t="n"/>
      <c r="AC102" s="27" t="n"/>
      <c r="AD102" s="27" t="n"/>
      <c r="AE102" s="27" t="n"/>
      <c r="AF102" s="27" t="n"/>
      <c r="AG102" s="27" t="n"/>
      <c r="AH102" s="27" t="n"/>
      <c r="AI102" s="27" t="n"/>
      <c r="AJ102" s="27" t="n"/>
      <c r="AK102" s="27" t="n"/>
      <c r="AL102" s="27" t="n"/>
      <c r="AM102" s="27" t="n"/>
      <c r="AN102" s="27" t="n"/>
      <c r="AO102" s="27" t="n"/>
      <c r="AP102" s="27" t="n"/>
      <c r="AQ102" s="27" t="n"/>
      <c r="AR102" s="27" t="n"/>
      <c r="AS102" s="27" t="n"/>
      <c r="AT102" s="27" t="n"/>
      <c r="AU102" s="27" t="n"/>
      <c r="AV102" s="27" t="n"/>
      <c r="AW102" s="27" t="n"/>
      <c r="AX102" s="27" t="n"/>
      <c r="AY102" s="27" t="n"/>
      <c r="AZ102" s="27" t="n"/>
      <c r="BA102" s="27" t="n"/>
      <c r="BB102" s="27" t="n"/>
      <c r="BC102" s="27" t="n"/>
      <c r="BD102" s="27" t="n"/>
      <c r="BE102" s="27" t="n"/>
      <c r="BF102" s="27" t="n"/>
      <c r="BG102" s="27" t="n"/>
      <c r="BH102" s="27" t="n"/>
      <c r="BI102" s="29" t="n"/>
      <c r="BJ102" s="27" t="n"/>
      <c r="BK102" s="27" t="n"/>
      <c r="BL102" s="27" t="n"/>
      <c r="BM102" s="27" t="n"/>
      <c r="DN102" s="26">
        <f>IF('テスト条件'!A101="","",'テスト条件'!A101)</f>
        <v/>
      </c>
    </row>
    <row r="103">
      <c r="A103" s="27" t="n"/>
      <c r="B103" s="27" t="n"/>
      <c r="C103" s="28">
        <f>IF(A103="","",$B$2)</f>
        <v/>
      </c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  <c r="AA103" s="27" t="n"/>
      <c r="AB103" s="27" t="n"/>
      <c r="AC103" s="27" t="n"/>
      <c r="AD103" s="27" t="n"/>
      <c r="AE103" s="27" t="n"/>
      <c r="AF103" s="27" t="n"/>
      <c r="AG103" s="27" t="n"/>
      <c r="AH103" s="27" t="n"/>
      <c r="AI103" s="27" t="n"/>
      <c r="AJ103" s="27" t="n"/>
      <c r="AK103" s="27" t="n"/>
      <c r="AL103" s="27" t="n"/>
      <c r="AM103" s="27" t="n"/>
      <c r="AN103" s="27" t="n"/>
      <c r="AO103" s="27" t="n"/>
      <c r="AP103" s="27" t="n"/>
      <c r="AQ103" s="27" t="n"/>
      <c r="AR103" s="27" t="n"/>
      <c r="AS103" s="27" t="n"/>
      <c r="AT103" s="27" t="n"/>
      <c r="AU103" s="27" t="n"/>
      <c r="AV103" s="27" t="n"/>
      <c r="AW103" s="27" t="n"/>
      <c r="AX103" s="27" t="n"/>
      <c r="AY103" s="27" t="n"/>
      <c r="AZ103" s="27" t="n"/>
      <c r="BA103" s="27" t="n"/>
      <c r="BB103" s="27" t="n"/>
      <c r="BC103" s="27" t="n"/>
      <c r="BD103" s="27" t="n"/>
      <c r="BE103" s="27" t="n"/>
      <c r="BF103" s="27" t="n"/>
      <c r="BG103" s="27" t="n"/>
      <c r="BH103" s="27" t="n"/>
      <c r="BI103" s="29" t="n"/>
      <c r="BJ103" s="27" t="n"/>
      <c r="BK103" s="27" t="n"/>
      <c r="BL103" s="27" t="n"/>
      <c r="BM103" s="27" t="n"/>
      <c r="DN103" s="26">
        <f>IF('テスト条件'!A102="","",'テスト条件'!A102)</f>
        <v/>
      </c>
    </row>
    <row r="104">
      <c r="A104" s="27" t="n"/>
      <c r="B104" s="27" t="n"/>
      <c r="C104" s="28">
        <f>IF(A104="","",$B$2)</f>
        <v/>
      </c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  <c r="AA104" s="27" t="n"/>
      <c r="AB104" s="27" t="n"/>
      <c r="AC104" s="27" t="n"/>
      <c r="AD104" s="27" t="n"/>
      <c r="AE104" s="27" t="n"/>
      <c r="AF104" s="27" t="n"/>
      <c r="AG104" s="27" t="n"/>
      <c r="AH104" s="27" t="n"/>
      <c r="AI104" s="27" t="n"/>
      <c r="AJ104" s="27" t="n"/>
      <c r="AK104" s="27" t="n"/>
      <c r="AL104" s="27" t="n"/>
      <c r="AM104" s="27" t="n"/>
      <c r="AN104" s="27" t="n"/>
      <c r="AO104" s="27" t="n"/>
      <c r="AP104" s="27" t="n"/>
      <c r="AQ104" s="27" t="n"/>
      <c r="AR104" s="27" t="n"/>
      <c r="AS104" s="27" t="n"/>
      <c r="AT104" s="27" t="n"/>
      <c r="AU104" s="27" t="n"/>
      <c r="AV104" s="27" t="n"/>
      <c r="AW104" s="27" t="n"/>
      <c r="AX104" s="27" t="n"/>
      <c r="AY104" s="27" t="n"/>
      <c r="AZ104" s="27" t="n"/>
      <c r="BA104" s="27" t="n"/>
      <c r="BB104" s="27" t="n"/>
      <c r="BC104" s="27" t="n"/>
      <c r="BD104" s="27" t="n"/>
      <c r="BE104" s="27" t="n"/>
      <c r="BF104" s="27" t="n"/>
      <c r="BG104" s="27" t="n"/>
      <c r="BH104" s="27" t="n"/>
      <c r="BI104" s="29" t="n"/>
      <c r="BJ104" s="27" t="n"/>
      <c r="BK104" s="27" t="n"/>
      <c r="BL104" s="27" t="n"/>
      <c r="BM104" s="27" t="n"/>
      <c r="DN104" s="26">
        <f>IF('テスト条件'!A103="","",'テスト条件'!A103)</f>
        <v/>
      </c>
    </row>
    <row r="105">
      <c r="A105" s="27" t="n"/>
      <c r="B105" s="27" t="n"/>
      <c r="C105" s="28">
        <f>IF(A105="","",$B$2)</f>
        <v/>
      </c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  <c r="AA105" s="27" t="n"/>
      <c r="AB105" s="27" t="n"/>
      <c r="AC105" s="27" t="n"/>
      <c r="AD105" s="27" t="n"/>
      <c r="AE105" s="27" t="n"/>
      <c r="AF105" s="27" t="n"/>
      <c r="AG105" s="27" t="n"/>
      <c r="AH105" s="27" t="n"/>
      <c r="AI105" s="27" t="n"/>
      <c r="AJ105" s="27" t="n"/>
      <c r="AK105" s="27" t="n"/>
      <c r="AL105" s="27" t="n"/>
      <c r="AM105" s="27" t="n"/>
      <c r="AN105" s="27" t="n"/>
      <c r="AO105" s="27" t="n"/>
      <c r="AP105" s="27" t="n"/>
      <c r="AQ105" s="27" t="n"/>
      <c r="AR105" s="27" t="n"/>
      <c r="AS105" s="27" t="n"/>
      <c r="AT105" s="27" t="n"/>
      <c r="AU105" s="27" t="n"/>
      <c r="AV105" s="27" t="n"/>
      <c r="AW105" s="27" t="n"/>
      <c r="AX105" s="27" t="n"/>
      <c r="AY105" s="27" t="n"/>
      <c r="AZ105" s="27" t="n"/>
      <c r="BA105" s="27" t="n"/>
      <c r="BB105" s="27" t="n"/>
      <c r="BC105" s="27" t="n"/>
      <c r="BD105" s="27" t="n"/>
      <c r="BE105" s="27" t="n"/>
      <c r="BF105" s="27" t="n"/>
      <c r="BG105" s="27" t="n"/>
      <c r="BH105" s="27" t="n"/>
      <c r="BI105" s="29" t="n"/>
      <c r="BJ105" s="27" t="n"/>
      <c r="BK105" s="27" t="n"/>
      <c r="BL105" s="27" t="n"/>
      <c r="BM105" s="27" t="n"/>
      <c r="DN105" s="26">
        <f>IF('テスト条件'!A104="","",'テスト条件'!A104)</f>
        <v/>
      </c>
    </row>
    <row r="106">
      <c r="A106" s="27" t="n"/>
      <c r="B106" s="27" t="n"/>
      <c r="C106" s="28">
        <f>IF(A106="","",$B$2)</f>
        <v/>
      </c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  <c r="AA106" s="27" t="n"/>
      <c r="AB106" s="27" t="n"/>
      <c r="AC106" s="27" t="n"/>
      <c r="AD106" s="27" t="n"/>
      <c r="AE106" s="27" t="n"/>
      <c r="AF106" s="27" t="n"/>
      <c r="AG106" s="27" t="n"/>
      <c r="AH106" s="27" t="n"/>
      <c r="AI106" s="27" t="n"/>
      <c r="AJ106" s="27" t="n"/>
      <c r="AK106" s="27" t="n"/>
      <c r="AL106" s="27" t="n"/>
      <c r="AM106" s="27" t="n"/>
      <c r="AN106" s="27" t="n"/>
      <c r="AO106" s="27" t="n"/>
      <c r="AP106" s="27" t="n"/>
      <c r="AQ106" s="27" t="n"/>
      <c r="AR106" s="27" t="n"/>
      <c r="AS106" s="27" t="n"/>
      <c r="AT106" s="27" t="n"/>
      <c r="AU106" s="27" t="n"/>
      <c r="AV106" s="27" t="n"/>
      <c r="AW106" s="27" t="n"/>
      <c r="AX106" s="27" t="n"/>
      <c r="AY106" s="27" t="n"/>
      <c r="AZ106" s="27" t="n"/>
      <c r="BA106" s="27" t="n"/>
      <c r="BB106" s="27" t="n"/>
      <c r="BC106" s="27" t="n"/>
      <c r="BD106" s="27" t="n"/>
      <c r="BE106" s="27" t="n"/>
      <c r="BF106" s="27" t="n"/>
      <c r="BG106" s="27" t="n"/>
      <c r="BH106" s="27" t="n"/>
      <c r="BI106" s="29" t="n"/>
      <c r="BJ106" s="27" t="n"/>
      <c r="BK106" s="27" t="n"/>
      <c r="BL106" s="27" t="n"/>
      <c r="BM106" s="27" t="n"/>
    </row>
    <row r="107">
      <c r="A107" s="27" t="n"/>
      <c r="B107" s="27" t="n"/>
      <c r="C107" s="28">
        <f>IF(A107="","",$B$2)</f>
        <v/>
      </c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  <c r="AA107" s="27" t="n"/>
      <c r="AB107" s="27" t="n"/>
      <c r="AC107" s="27" t="n"/>
      <c r="AD107" s="27" t="n"/>
      <c r="AE107" s="27" t="n"/>
      <c r="AF107" s="27" t="n"/>
      <c r="AG107" s="27" t="n"/>
      <c r="AH107" s="27" t="n"/>
      <c r="AI107" s="27" t="n"/>
      <c r="AJ107" s="27" t="n"/>
      <c r="AK107" s="27" t="n"/>
      <c r="AL107" s="27" t="n"/>
      <c r="AM107" s="27" t="n"/>
      <c r="AN107" s="27" t="n"/>
      <c r="AO107" s="27" t="n"/>
      <c r="AP107" s="27" t="n"/>
      <c r="AQ107" s="27" t="n"/>
      <c r="AR107" s="27" t="n"/>
      <c r="AS107" s="27" t="n"/>
      <c r="AT107" s="27" t="n"/>
      <c r="AU107" s="27" t="n"/>
      <c r="AV107" s="27" t="n"/>
      <c r="AW107" s="27" t="n"/>
      <c r="AX107" s="27" t="n"/>
      <c r="AY107" s="27" t="n"/>
      <c r="AZ107" s="27" t="n"/>
      <c r="BA107" s="27" t="n"/>
      <c r="BB107" s="27" t="n"/>
      <c r="BC107" s="27" t="n"/>
      <c r="BD107" s="27" t="n"/>
      <c r="BE107" s="27" t="n"/>
      <c r="BF107" s="27" t="n"/>
      <c r="BG107" s="27" t="n"/>
      <c r="BH107" s="27" t="n"/>
      <c r="BI107" s="29" t="n"/>
      <c r="BJ107" s="27" t="n"/>
      <c r="BK107" s="27" t="n"/>
      <c r="BL107" s="27" t="n"/>
      <c r="BM107" s="27" t="n"/>
    </row>
    <row r="108">
      <c r="A108" s="27" t="n"/>
      <c r="B108" s="27" t="n"/>
      <c r="C108" s="28">
        <f>IF(A108="","",$B$2)</f>
        <v/>
      </c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  <c r="AA108" s="27" t="n"/>
      <c r="AB108" s="27" t="n"/>
      <c r="AC108" s="27" t="n"/>
      <c r="AD108" s="27" t="n"/>
      <c r="AE108" s="27" t="n"/>
      <c r="AF108" s="27" t="n"/>
      <c r="AG108" s="27" t="n"/>
      <c r="AH108" s="27" t="n"/>
      <c r="AI108" s="27" t="n"/>
      <c r="AJ108" s="27" t="n"/>
      <c r="AK108" s="27" t="n"/>
      <c r="AL108" s="27" t="n"/>
      <c r="AM108" s="27" t="n"/>
      <c r="AN108" s="27" t="n"/>
      <c r="AO108" s="27" t="n"/>
      <c r="AP108" s="27" t="n"/>
      <c r="AQ108" s="27" t="n"/>
      <c r="AR108" s="27" t="n"/>
      <c r="AS108" s="27" t="n"/>
      <c r="AT108" s="27" t="n"/>
      <c r="AU108" s="27" t="n"/>
      <c r="AV108" s="27" t="n"/>
      <c r="AW108" s="27" t="n"/>
      <c r="AX108" s="27" t="n"/>
      <c r="AY108" s="27" t="n"/>
      <c r="AZ108" s="27" t="n"/>
      <c r="BA108" s="27" t="n"/>
      <c r="BB108" s="27" t="n"/>
      <c r="BC108" s="27" t="n"/>
      <c r="BD108" s="27" t="n"/>
      <c r="BE108" s="27" t="n"/>
      <c r="BF108" s="27" t="n"/>
      <c r="BG108" s="27" t="n"/>
      <c r="BH108" s="27" t="n"/>
      <c r="BI108" s="29" t="n"/>
      <c r="BJ108" s="27" t="n"/>
      <c r="BK108" s="27" t="n"/>
      <c r="BL108" s="27" t="n"/>
      <c r="BM108" s="27" t="n"/>
    </row>
    <row r="109">
      <c r="A109" s="27" t="n"/>
      <c r="B109" s="27" t="n"/>
      <c r="C109" s="28">
        <f>IF(A109="","",$B$2)</f>
        <v/>
      </c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  <c r="AA109" s="27" t="n"/>
      <c r="AB109" s="27" t="n"/>
      <c r="AC109" s="27" t="n"/>
      <c r="AD109" s="27" t="n"/>
      <c r="AE109" s="27" t="n"/>
      <c r="AF109" s="27" t="n"/>
      <c r="AG109" s="27" t="n"/>
      <c r="AH109" s="27" t="n"/>
      <c r="AI109" s="27" t="n"/>
      <c r="AJ109" s="27" t="n"/>
      <c r="AK109" s="27" t="n"/>
      <c r="AL109" s="27" t="n"/>
      <c r="AM109" s="27" t="n"/>
      <c r="AN109" s="27" t="n"/>
      <c r="AO109" s="27" t="n"/>
      <c r="AP109" s="27" t="n"/>
      <c r="AQ109" s="27" t="n"/>
      <c r="AR109" s="27" t="n"/>
      <c r="AS109" s="27" t="n"/>
      <c r="AT109" s="27" t="n"/>
      <c r="AU109" s="27" t="n"/>
      <c r="AV109" s="27" t="n"/>
      <c r="AW109" s="27" t="n"/>
      <c r="AX109" s="27" t="n"/>
      <c r="AY109" s="27" t="n"/>
      <c r="AZ109" s="27" t="n"/>
      <c r="BA109" s="27" t="n"/>
      <c r="BB109" s="27" t="n"/>
      <c r="BC109" s="27" t="n"/>
      <c r="BD109" s="27" t="n"/>
      <c r="BE109" s="27" t="n"/>
      <c r="BF109" s="27" t="n"/>
      <c r="BG109" s="27" t="n"/>
      <c r="BH109" s="27" t="n"/>
      <c r="BI109" s="29" t="n"/>
      <c r="BJ109" s="27" t="n"/>
      <c r="BK109" s="27" t="n"/>
      <c r="BL109" s="27" t="n"/>
      <c r="BM109" s="27" t="n"/>
    </row>
    <row r="110">
      <c r="A110" s="27" t="n"/>
      <c r="B110" s="27" t="n"/>
      <c r="C110" s="28">
        <f>IF(A110="","",$B$2)</f>
        <v/>
      </c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  <c r="AA110" s="27" t="n"/>
      <c r="AB110" s="27" t="n"/>
      <c r="AC110" s="27" t="n"/>
      <c r="AD110" s="27" t="n"/>
      <c r="AE110" s="27" t="n"/>
      <c r="AF110" s="27" t="n"/>
      <c r="AG110" s="27" t="n"/>
      <c r="AH110" s="27" t="n"/>
      <c r="AI110" s="27" t="n"/>
      <c r="AJ110" s="27" t="n"/>
      <c r="AK110" s="27" t="n"/>
      <c r="AL110" s="27" t="n"/>
      <c r="AM110" s="27" t="n"/>
      <c r="AN110" s="27" t="n"/>
      <c r="AO110" s="27" t="n"/>
      <c r="AP110" s="27" t="n"/>
      <c r="AQ110" s="27" t="n"/>
      <c r="AR110" s="27" t="n"/>
      <c r="AS110" s="27" t="n"/>
      <c r="AT110" s="27" t="n"/>
      <c r="AU110" s="27" t="n"/>
      <c r="AV110" s="27" t="n"/>
      <c r="AW110" s="27" t="n"/>
      <c r="AX110" s="27" t="n"/>
      <c r="AY110" s="27" t="n"/>
      <c r="AZ110" s="27" t="n"/>
      <c r="BA110" s="27" t="n"/>
      <c r="BB110" s="27" t="n"/>
      <c r="BC110" s="27" t="n"/>
      <c r="BD110" s="27" t="n"/>
      <c r="BE110" s="27" t="n"/>
      <c r="BF110" s="27" t="n"/>
      <c r="BG110" s="27" t="n"/>
      <c r="BH110" s="27" t="n"/>
      <c r="BI110" s="29" t="n"/>
      <c r="BJ110" s="27" t="n"/>
      <c r="BK110" s="27" t="n"/>
      <c r="BL110" s="27" t="n"/>
      <c r="BM110" s="27" t="n"/>
    </row>
    <row r="111">
      <c r="A111" s="27" t="n"/>
      <c r="B111" s="27" t="n"/>
      <c r="C111" s="28">
        <f>IF(A111="","",$B$2)</f>
        <v/>
      </c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  <c r="AA111" s="27" t="n"/>
      <c r="AB111" s="27" t="n"/>
      <c r="AC111" s="27" t="n"/>
      <c r="AD111" s="27" t="n"/>
      <c r="AE111" s="27" t="n"/>
      <c r="AF111" s="27" t="n"/>
      <c r="AG111" s="27" t="n"/>
      <c r="AH111" s="27" t="n"/>
      <c r="AI111" s="27" t="n"/>
      <c r="AJ111" s="27" t="n"/>
      <c r="AK111" s="27" t="n"/>
      <c r="AL111" s="27" t="n"/>
      <c r="AM111" s="27" t="n"/>
      <c r="AN111" s="27" t="n"/>
      <c r="AO111" s="27" t="n"/>
      <c r="AP111" s="27" t="n"/>
      <c r="AQ111" s="27" t="n"/>
      <c r="AR111" s="27" t="n"/>
      <c r="AS111" s="27" t="n"/>
      <c r="AT111" s="27" t="n"/>
      <c r="AU111" s="27" t="n"/>
      <c r="AV111" s="27" t="n"/>
      <c r="AW111" s="27" t="n"/>
      <c r="AX111" s="27" t="n"/>
      <c r="AY111" s="27" t="n"/>
      <c r="AZ111" s="27" t="n"/>
      <c r="BA111" s="27" t="n"/>
      <c r="BB111" s="27" t="n"/>
      <c r="BC111" s="27" t="n"/>
      <c r="BD111" s="27" t="n"/>
      <c r="BE111" s="27" t="n"/>
      <c r="BF111" s="27" t="n"/>
      <c r="BG111" s="27" t="n"/>
      <c r="BH111" s="27" t="n"/>
      <c r="BI111" s="29" t="n"/>
      <c r="BJ111" s="27" t="n"/>
      <c r="BK111" s="27" t="n"/>
      <c r="BL111" s="27" t="n"/>
      <c r="BM111" s="27" t="n"/>
    </row>
    <row r="112">
      <c r="A112" s="27" t="n"/>
      <c r="B112" s="27" t="n"/>
      <c r="C112" s="28">
        <f>IF(A112="","",$B$2)</f>
        <v/>
      </c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  <c r="AA112" s="27" t="n"/>
      <c r="AB112" s="27" t="n"/>
      <c r="AC112" s="27" t="n"/>
      <c r="AD112" s="27" t="n"/>
      <c r="AE112" s="27" t="n"/>
      <c r="AF112" s="27" t="n"/>
      <c r="AG112" s="27" t="n"/>
      <c r="AH112" s="27" t="n"/>
      <c r="AI112" s="27" t="n"/>
      <c r="AJ112" s="27" t="n"/>
      <c r="AK112" s="27" t="n"/>
      <c r="AL112" s="27" t="n"/>
      <c r="AM112" s="27" t="n"/>
      <c r="AN112" s="27" t="n"/>
      <c r="AO112" s="27" t="n"/>
      <c r="AP112" s="27" t="n"/>
      <c r="AQ112" s="27" t="n"/>
      <c r="AR112" s="27" t="n"/>
      <c r="AS112" s="27" t="n"/>
      <c r="AT112" s="27" t="n"/>
      <c r="AU112" s="27" t="n"/>
      <c r="AV112" s="27" t="n"/>
      <c r="AW112" s="27" t="n"/>
      <c r="AX112" s="27" t="n"/>
      <c r="AY112" s="27" t="n"/>
      <c r="AZ112" s="27" t="n"/>
      <c r="BA112" s="27" t="n"/>
      <c r="BB112" s="27" t="n"/>
      <c r="BC112" s="27" t="n"/>
      <c r="BD112" s="27" t="n"/>
      <c r="BE112" s="27" t="n"/>
      <c r="BF112" s="27" t="n"/>
      <c r="BG112" s="27" t="n"/>
      <c r="BH112" s="27" t="n"/>
      <c r="BI112" s="29" t="n"/>
      <c r="BJ112" s="27" t="n"/>
      <c r="BK112" s="27" t="n"/>
      <c r="BL112" s="27" t="n"/>
      <c r="BM112" s="27" t="n"/>
    </row>
    <row r="113">
      <c r="A113" s="27" t="n"/>
      <c r="B113" s="27" t="n"/>
      <c r="C113" s="28">
        <f>IF(A113="","",$B$2)</f>
        <v/>
      </c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  <c r="AA113" s="27" t="n"/>
      <c r="AB113" s="27" t="n"/>
      <c r="AC113" s="27" t="n"/>
      <c r="AD113" s="27" t="n"/>
      <c r="AE113" s="27" t="n"/>
      <c r="AF113" s="27" t="n"/>
      <c r="AG113" s="27" t="n"/>
      <c r="AH113" s="27" t="n"/>
      <c r="AI113" s="27" t="n"/>
      <c r="AJ113" s="27" t="n"/>
      <c r="AK113" s="27" t="n"/>
      <c r="AL113" s="27" t="n"/>
      <c r="AM113" s="27" t="n"/>
      <c r="AN113" s="27" t="n"/>
      <c r="AO113" s="27" t="n"/>
      <c r="AP113" s="27" t="n"/>
      <c r="AQ113" s="27" t="n"/>
      <c r="AR113" s="27" t="n"/>
      <c r="AS113" s="27" t="n"/>
      <c r="AT113" s="27" t="n"/>
      <c r="AU113" s="27" t="n"/>
      <c r="AV113" s="27" t="n"/>
      <c r="AW113" s="27" t="n"/>
      <c r="AX113" s="27" t="n"/>
      <c r="AY113" s="27" t="n"/>
      <c r="AZ113" s="27" t="n"/>
      <c r="BA113" s="27" t="n"/>
      <c r="BB113" s="27" t="n"/>
      <c r="BC113" s="27" t="n"/>
      <c r="BD113" s="27" t="n"/>
      <c r="BE113" s="27" t="n"/>
      <c r="BF113" s="27" t="n"/>
      <c r="BG113" s="27" t="n"/>
      <c r="BH113" s="27" t="n"/>
      <c r="BI113" s="29" t="n"/>
      <c r="BJ113" s="27" t="n"/>
      <c r="BK113" s="27" t="n"/>
      <c r="BL113" s="27" t="n"/>
      <c r="BM113" s="27" t="n"/>
    </row>
    <row r="114">
      <c r="A114" s="27" t="n"/>
      <c r="B114" s="27" t="n"/>
      <c r="C114" s="28">
        <f>IF(A114="","",$B$2)</f>
        <v/>
      </c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  <c r="AA114" s="27" t="n"/>
      <c r="AB114" s="27" t="n"/>
      <c r="AC114" s="27" t="n"/>
      <c r="AD114" s="27" t="n"/>
      <c r="AE114" s="27" t="n"/>
      <c r="AF114" s="27" t="n"/>
      <c r="AG114" s="27" t="n"/>
      <c r="AH114" s="27" t="n"/>
      <c r="AI114" s="27" t="n"/>
      <c r="AJ114" s="27" t="n"/>
      <c r="AK114" s="27" t="n"/>
      <c r="AL114" s="27" t="n"/>
      <c r="AM114" s="27" t="n"/>
      <c r="AN114" s="27" t="n"/>
      <c r="AO114" s="27" t="n"/>
      <c r="AP114" s="27" t="n"/>
      <c r="AQ114" s="27" t="n"/>
      <c r="AR114" s="27" t="n"/>
      <c r="AS114" s="27" t="n"/>
      <c r="AT114" s="27" t="n"/>
      <c r="AU114" s="27" t="n"/>
      <c r="AV114" s="27" t="n"/>
      <c r="AW114" s="27" t="n"/>
      <c r="AX114" s="27" t="n"/>
      <c r="AY114" s="27" t="n"/>
      <c r="AZ114" s="27" t="n"/>
      <c r="BA114" s="27" t="n"/>
      <c r="BB114" s="27" t="n"/>
      <c r="BC114" s="27" t="n"/>
      <c r="BD114" s="27" t="n"/>
      <c r="BE114" s="27" t="n"/>
      <c r="BF114" s="27" t="n"/>
      <c r="BG114" s="27" t="n"/>
      <c r="BH114" s="27" t="n"/>
      <c r="BI114" s="29" t="n"/>
      <c r="BJ114" s="27" t="n"/>
      <c r="BK114" s="27" t="n"/>
      <c r="BL114" s="27" t="n"/>
      <c r="BM114" s="27" t="n"/>
    </row>
    <row r="115">
      <c r="A115" s="27" t="n"/>
      <c r="B115" s="27" t="n"/>
      <c r="C115" s="28">
        <f>IF(A115="","",$B$2)</f>
        <v/>
      </c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  <c r="AA115" s="27" t="n"/>
      <c r="AB115" s="27" t="n"/>
      <c r="AC115" s="27" t="n"/>
      <c r="AD115" s="27" t="n"/>
      <c r="AE115" s="27" t="n"/>
      <c r="AF115" s="27" t="n"/>
      <c r="AG115" s="27" t="n"/>
      <c r="AH115" s="27" t="n"/>
      <c r="AI115" s="27" t="n"/>
      <c r="AJ115" s="27" t="n"/>
      <c r="AK115" s="27" t="n"/>
      <c r="AL115" s="27" t="n"/>
      <c r="AM115" s="27" t="n"/>
      <c r="AN115" s="27" t="n"/>
      <c r="AO115" s="27" t="n"/>
      <c r="AP115" s="27" t="n"/>
      <c r="AQ115" s="27" t="n"/>
      <c r="AR115" s="27" t="n"/>
      <c r="AS115" s="27" t="n"/>
      <c r="AT115" s="27" t="n"/>
      <c r="AU115" s="27" t="n"/>
      <c r="AV115" s="27" t="n"/>
      <c r="AW115" s="27" t="n"/>
      <c r="AX115" s="27" t="n"/>
      <c r="AY115" s="27" t="n"/>
      <c r="AZ115" s="27" t="n"/>
      <c r="BA115" s="27" t="n"/>
      <c r="BB115" s="27" t="n"/>
      <c r="BC115" s="27" t="n"/>
      <c r="BD115" s="27" t="n"/>
      <c r="BE115" s="27" t="n"/>
      <c r="BF115" s="27" t="n"/>
      <c r="BG115" s="27" t="n"/>
      <c r="BH115" s="27" t="n"/>
      <c r="BI115" s="29" t="n"/>
      <c r="BJ115" s="27" t="n"/>
      <c r="BK115" s="27" t="n"/>
      <c r="BL115" s="27" t="n"/>
      <c r="BM115" s="27" t="n"/>
    </row>
    <row r="116">
      <c r="A116" s="27" t="n"/>
      <c r="B116" s="27" t="n"/>
      <c r="C116" s="28">
        <f>IF(A116="","",$B$2)</f>
        <v/>
      </c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  <c r="AA116" s="27" t="n"/>
      <c r="AB116" s="27" t="n"/>
      <c r="AC116" s="27" t="n"/>
      <c r="AD116" s="27" t="n"/>
      <c r="AE116" s="27" t="n"/>
      <c r="AF116" s="27" t="n"/>
      <c r="AG116" s="27" t="n"/>
      <c r="AH116" s="27" t="n"/>
      <c r="AI116" s="27" t="n"/>
      <c r="AJ116" s="27" t="n"/>
      <c r="AK116" s="27" t="n"/>
      <c r="AL116" s="27" t="n"/>
      <c r="AM116" s="27" t="n"/>
      <c r="AN116" s="27" t="n"/>
      <c r="AO116" s="27" t="n"/>
      <c r="AP116" s="27" t="n"/>
      <c r="AQ116" s="27" t="n"/>
      <c r="AR116" s="27" t="n"/>
      <c r="AS116" s="27" t="n"/>
      <c r="AT116" s="27" t="n"/>
      <c r="AU116" s="27" t="n"/>
      <c r="AV116" s="27" t="n"/>
      <c r="AW116" s="27" t="n"/>
      <c r="AX116" s="27" t="n"/>
      <c r="AY116" s="27" t="n"/>
      <c r="AZ116" s="27" t="n"/>
      <c r="BA116" s="27" t="n"/>
      <c r="BB116" s="27" t="n"/>
      <c r="BC116" s="27" t="n"/>
      <c r="BD116" s="27" t="n"/>
      <c r="BE116" s="27" t="n"/>
      <c r="BF116" s="27" t="n"/>
      <c r="BG116" s="27" t="n"/>
      <c r="BH116" s="27" t="n"/>
      <c r="BI116" s="29" t="n"/>
      <c r="BJ116" s="27" t="n"/>
      <c r="BK116" s="27" t="n"/>
      <c r="BL116" s="27" t="n"/>
      <c r="BM116" s="27" t="n"/>
    </row>
    <row r="117">
      <c r="A117" s="27" t="n"/>
      <c r="B117" s="27" t="n"/>
      <c r="C117" s="28">
        <f>IF(A117="","",$B$2)</f>
        <v/>
      </c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  <c r="AA117" s="27" t="n"/>
      <c r="AB117" s="27" t="n"/>
      <c r="AC117" s="27" t="n"/>
      <c r="AD117" s="27" t="n"/>
      <c r="AE117" s="27" t="n"/>
      <c r="AF117" s="27" t="n"/>
      <c r="AG117" s="27" t="n"/>
      <c r="AH117" s="27" t="n"/>
      <c r="AI117" s="27" t="n"/>
      <c r="AJ117" s="27" t="n"/>
      <c r="AK117" s="27" t="n"/>
      <c r="AL117" s="27" t="n"/>
      <c r="AM117" s="27" t="n"/>
      <c r="AN117" s="27" t="n"/>
      <c r="AO117" s="27" t="n"/>
      <c r="AP117" s="27" t="n"/>
      <c r="AQ117" s="27" t="n"/>
      <c r="AR117" s="27" t="n"/>
      <c r="AS117" s="27" t="n"/>
      <c r="AT117" s="27" t="n"/>
      <c r="AU117" s="27" t="n"/>
      <c r="AV117" s="27" t="n"/>
      <c r="AW117" s="27" t="n"/>
      <c r="AX117" s="27" t="n"/>
      <c r="AY117" s="27" t="n"/>
      <c r="AZ117" s="27" t="n"/>
      <c r="BA117" s="27" t="n"/>
      <c r="BB117" s="27" t="n"/>
      <c r="BC117" s="27" t="n"/>
      <c r="BD117" s="27" t="n"/>
      <c r="BE117" s="27" t="n"/>
      <c r="BF117" s="27" t="n"/>
      <c r="BG117" s="27" t="n"/>
      <c r="BH117" s="27" t="n"/>
      <c r="BI117" s="29" t="n"/>
      <c r="BJ117" s="27" t="n"/>
      <c r="BK117" s="27" t="n"/>
      <c r="BL117" s="27" t="n"/>
      <c r="BM117" s="27" t="n"/>
    </row>
    <row r="118">
      <c r="A118" s="27" t="n"/>
      <c r="B118" s="27" t="n"/>
      <c r="C118" s="28">
        <f>IF(A118="","",$B$2)</f>
        <v/>
      </c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  <c r="AA118" s="27" t="n"/>
      <c r="AB118" s="27" t="n"/>
      <c r="AC118" s="27" t="n"/>
      <c r="AD118" s="27" t="n"/>
      <c r="AE118" s="27" t="n"/>
      <c r="AF118" s="27" t="n"/>
      <c r="AG118" s="27" t="n"/>
      <c r="AH118" s="27" t="n"/>
      <c r="AI118" s="27" t="n"/>
      <c r="AJ118" s="27" t="n"/>
      <c r="AK118" s="27" t="n"/>
      <c r="AL118" s="27" t="n"/>
      <c r="AM118" s="27" t="n"/>
      <c r="AN118" s="27" t="n"/>
      <c r="AO118" s="27" t="n"/>
      <c r="AP118" s="27" t="n"/>
      <c r="AQ118" s="27" t="n"/>
      <c r="AR118" s="27" t="n"/>
      <c r="AS118" s="27" t="n"/>
      <c r="AT118" s="27" t="n"/>
      <c r="AU118" s="27" t="n"/>
      <c r="AV118" s="27" t="n"/>
      <c r="AW118" s="27" t="n"/>
      <c r="AX118" s="27" t="n"/>
      <c r="AY118" s="27" t="n"/>
      <c r="AZ118" s="27" t="n"/>
      <c r="BA118" s="27" t="n"/>
      <c r="BB118" s="27" t="n"/>
      <c r="BC118" s="27" t="n"/>
      <c r="BD118" s="27" t="n"/>
      <c r="BE118" s="27" t="n"/>
      <c r="BF118" s="27" t="n"/>
      <c r="BG118" s="27" t="n"/>
      <c r="BH118" s="27" t="n"/>
      <c r="BI118" s="29" t="n"/>
      <c r="BJ118" s="27" t="n"/>
      <c r="BK118" s="27" t="n"/>
      <c r="BL118" s="27" t="n"/>
      <c r="BM118" s="27" t="n"/>
    </row>
    <row r="119">
      <c r="A119" s="27" t="n"/>
      <c r="B119" s="27" t="n"/>
      <c r="C119" s="28">
        <f>IF(A119="","",$B$2)</f>
        <v/>
      </c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  <c r="AA119" s="27" t="n"/>
      <c r="AB119" s="27" t="n"/>
      <c r="AC119" s="27" t="n"/>
      <c r="AD119" s="27" t="n"/>
      <c r="AE119" s="27" t="n"/>
      <c r="AF119" s="27" t="n"/>
      <c r="AG119" s="27" t="n"/>
      <c r="AH119" s="27" t="n"/>
      <c r="AI119" s="27" t="n"/>
      <c r="AJ119" s="27" t="n"/>
      <c r="AK119" s="27" t="n"/>
      <c r="AL119" s="27" t="n"/>
      <c r="AM119" s="27" t="n"/>
      <c r="AN119" s="27" t="n"/>
      <c r="AO119" s="27" t="n"/>
      <c r="AP119" s="27" t="n"/>
      <c r="AQ119" s="27" t="n"/>
      <c r="AR119" s="27" t="n"/>
      <c r="AS119" s="27" t="n"/>
      <c r="AT119" s="27" t="n"/>
      <c r="AU119" s="27" t="n"/>
      <c r="AV119" s="27" t="n"/>
      <c r="AW119" s="27" t="n"/>
      <c r="AX119" s="27" t="n"/>
      <c r="AY119" s="27" t="n"/>
      <c r="AZ119" s="27" t="n"/>
      <c r="BA119" s="27" t="n"/>
      <c r="BB119" s="27" t="n"/>
      <c r="BC119" s="27" t="n"/>
      <c r="BD119" s="27" t="n"/>
      <c r="BE119" s="27" t="n"/>
      <c r="BF119" s="27" t="n"/>
      <c r="BG119" s="27" t="n"/>
      <c r="BH119" s="27" t="n"/>
      <c r="BI119" s="29" t="n"/>
      <c r="BJ119" s="27" t="n"/>
      <c r="BK119" s="27" t="n"/>
      <c r="BL119" s="27" t="n"/>
      <c r="BM119" s="27" t="n"/>
    </row>
    <row r="120">
      <c r="A120" s="27" t="n"/>
      <c r="B120" s="27" t="n"/>
      <c r="C120" s="28">
        <f>IF(A120="","",$B$2)</f>
        <v/>
      </c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  <c r="AA120" s="27" t="n"/>
      <c r="AB120" s="27" t="n"/>
      <c r="AC120" s="27" t="n"/>
      <c r="AD120" s="27" t="n"/>
      <c r="AE120" s="27" t="n"/>
      <c r="AF120" s="27" t="n"/>
      <c r="AG120" s="27" t="n"/>
      <c r="AH120" s="27" t="n"/>
      <c r="AI120" s="27" t="n"/>
      <c r="AJ120" s="27" t="n"/>
      <c r="AK120" s="27" t="n"/>
      <c r="AL120" s="27" t="n"/>
      <c r="AM120" s="27" t="n"/>
      <c r="AN120" s="27" t="n"/>
      <c r="AO120" s="27" t="n"/>
      <c r="AP120" s="27" t="n"/>
      <c r="AQ120" s="27" t="n"/>
      <c r="AR120" s="27" t="n"/>
      <c r="AS120" s="27" t="n"/>
      <c r="AT120" s="27" t="n"/>
      <c r="AU120" s="27" t="n"/>
      <c r="AV120" s="27" t="n"/>
      <c r="AW120" s="27" t="n"/>
      <c r="AX120" s="27" t="n"/>
      <c r="AY120" s="27" t="n"/>
      <c r="AZ120" s="27" t="n"/>
      <c r="BA120" s="27" t="n"/>
      <c r="BB120" s="27" t="n"/>
      <c r="BC120" s="27" t="n"/>
      <c r="BD120" s="27" t="n"/>
      <c r="BE120" s="27" t="n"/>
      <c r="BF120" s="27" t="n"/>
      <c r="BG120" s="27" t="n"/>
      <c r="BH120" s="27" t="n"/>
      <c r="BI120" s="29" t="n"/>
      <c r="BJ120" s="27" t="n"/>
      <c r="BK120" s="27" t="n"/>
      <c r="BL120" s="27" t="n"/>
      <c r="BM120" s="27" t="n"/>
    </row>
    <row r="121">
      <c r="A121" s="27" t="n"/>
      <c r="B121" s="27" t="n"/>
      <c r="C121" s="28">
        <f>IF(A121="","",$B$2)</f>
        <v/>
      </c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  <c r="AA121" s="27" t="n"/>
      <c r="AB121" s="27" t="n"/>
      <c r="AC121" s="27" t="n"/>
      <c r="AD121" s="27" t="n"/>
      <c r="AE121" s="27" t="n"/>
      <c r="AF121" s="27" t="n"/>
      <c r="AG121" s="27" t="n"/>
      <c r="AH121" s="27" t="n"/>
      <c r="AI121" s="27" t="n"/>
      <c r="AJ121" s="27" t="n"/>
      <c r="AK121" s="27" t="n"/>
      <c r="AL121" s="27" t="n"/>
      <c r="AM121" s="27" t="n"/>
      <c r="AN121" s="27" t="n"/>
      <c r="AO121" s="27" t="n"/>
      <c r="AP121" s="27" t="n"/>
      <c r="AQ121" s="27" t="n"/>
      <c r="AR121" s="27" t="n"/>
      <c r="AS121" s="27" t="n"/>
      <c r="AT121" s="27" t="n"/>
      <c r="AU121" s="27" t="n"/>
      <c r="AV121" s="27" t="n"/>
      <c r="AW121" s="27" t="n"/>
      <c r="AX121" s="27" t="n"/>
      <c r="AY121" s="27" t="n"/>
      <c r="AZ121" s="27" t="n"/>
      <c r="BA121" s="27" t="n"/>
      <c r="BB121" s="27" t="n"/>
      <c r="BC121" s="27" t="n"/>
      <c r="BD121" s="27" t="n"/>
      <c r="BE121" s="27" t="n"/>
      <c r="BF121" s="27" t="n"/>
      <c r="BG121" s="27" t="n"/>
      <c r="BH121" s="27" t="n"/>
      <c r="BI121" s="29" t="n"/>
      <c r="BJ121" s="27" t="n"/>
      <c r="BK121" s="27" t="n"/>
      <c r="BL121" s="27" t="n"/>
      <c r="BM121" s="27" t="n"/>
    </row>
    <row r="122">
      <c r="A122" s="27" t="n"/>
      <c r="B122" s="27" t="n"/>
      <c r="C122" s="28">
        <f>IF(A122="","",$B$2)</f>
        <v/>
      </c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  <c r="AA122" s="27" t="n"/>
      <c r="AB122" s="27" t="n"/>
      <c r="AC122" s="27" t="n"/>
      <c r="AD122" s="27" t="n"/>
      <c r="AE122" s="27" t="n"/>
      <c r="AF122" s="27" t="n"/>
      <c r="AG122" s="27" t="n"/>
      <c r="AH122" s="27" t="n"/>
      <c r="AI122" s="27" t="n"/>
      <c r="AJ122" s="27" t="n"/>
      <c r="AK122" s="27" t="n"/>
      <c r="AL122" s="27" t="n"/>
      <c r="AM122" s="27" t="n"/>
      <c r="AN122" s="27" t="n"/>
      <c r="AO122" s="27" t="n"/>
      <c r="AP122" s="27" t="n"/>
      <c r="AQ122" s="27" t="n"/>
      <c r="AR122" s="27" t="n"/>
      <c r="AS122" s="27" t="n"/>
      <c r="AT122" s="27" t="n"/>
      <c r="AU122" s="27" t="n"/>
      <c r="AV122" s="27" t="n"/>
      <c r="AW122" s="27" t="n"/>
      <c r="AX122" s="27" t="n"/>
      <c r="AY122" s="27" t="n"/>
      <c r="AZ122" s="27" t="n"/>
      <c r="BA122" s="27" t="n"/>
      <c r="BB122" s="27" t="n"/>
      <c r="BC122" s="27" t="n"/>
      <c r="BD122" s="27" t="n"/>
      <c r="BE122" s="27" t="n"/>
      <c r="BF122" s="27" t="n"/>
      <c r="BG122" s="27" t="n"/>
      <c r="BH122" s="27" t="n"/>
      <c r="BI122" s="29" t="n"/>
      <c r="BJ122" s="27" t="n"/>
      <c r="BK122" s="27" t="n"/>
      <c r="BL122" s="27" t="n"/>
      <c r="BM122" s="27" t="n"/>
    </row>
    <row r="123">
      <c r="A123" s="27" t="n"/>
      <c r="B123" s="27" t="n"/>
      <c r="C123" s="28">
        <f>IF(A123="","",$B$2)</f>
        <v/>
      </c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  <c r="AA123" s="27" t="n"/>
      <c r="AB123" s="27" t="n"/>
      <c r="AC123" s="27" t="n"/>
      <c r="AD123" s="27" t="n"/>
      <c r="AE123" s="27" t="n"/>
      <c r="AF123" s="27" t="n"/>
      <c r="AG123" s="27" t="n"/>
      <c r="AH123" s="27" t="n"/>
      <c r="AI123" s="27" t="n"/>
      <c r="AJ123" s="27" t="n"/>
      <c r="AK123" s="27" t="n"/>
      <c r="AL123" s="27" t="n"/>
      <c r="AM123" s="27" t="n"/>
      <c r="AN123" s="27" t="n"/>
      <c r="AO123" s="27" t="n"/>
      <c r="AP123" s="27" t="n"/>
      <c r="AQ123" s="27" t="n"/>
      <c r="AR123" s="27" t="n"/>
      <c r="AS123" s="27" t="n"/>
      <c r="AT123" s="27" t="n"/>
      <c r="AU123" s="27" t="n"/>
      <c r="AV123" s="27" t="n"/>
      <c r="AW123" s="27" t="n"/>
      <c r="AX123" s="27" t="n"/>
      <c r="AY123" s="27" t="n"/>
      <c r="AZ123" s="27" t="n"/>
      <c r="BA123" s="27" t="n"/>
      <c r="BB123" s="27" t="n"/>
      <c r="BC123" s="27" t="n"/>
      <c r="BD123" s="27" t="n"/>
      <c r="BE123" s="27" t="n"/>
      <c r="BF123" s="27" t="n"/>
      <c r="BG123" s="27" t="n"/>
      <c r="BH123" s="27" t="n"/>
      <c r="BI123" s="29" t="n"/>
      <c r="BJ123" s="27" t="n"/>
      <c r="BK123" s="27" t="n"/>
      <c r="BL123" s="27" t="n"/>
      <c r="BM123" s="27" t="n"/>
    </row>
    <row r="124">
      <c r="A124" s="27" t="n"/>
      <c r="B124" s="27" t="n"/>
      <c r="C124" s="28">
        <f>IF(A124="","",$B$2)</f>
        <v/>
      </c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  <c r="AA124" s="27" t="n"/>
      <c r="AB124" s="27" t="n"/>
      <c r="AC124" s="27" t="n"/>
      <c r="AD124" s="27" t="n"/>
      <c r="AE124" s="27" t="n"/>
      <c r="AF124" s="27" t="n"/>
      <c r="AG124" s="27" t="n"/>
      <c r="AH124" s="27" t="n"/>
      <c r="AI124" s="27" t="n"/>
      <c r="AJ124" s="27" t="n"/>
      <c r="AK124" s="27" t="n"/>
      <c r="AL124" s="27" t="n"/>
      <c r="AM124" s="27" t="n"/>
      <c r="AN124" s="27" t="n"/>
      <c r="AO124" s="27" t="n"/>
      <c r="AP124" s="27" t="n"/>
      <c r="AQ124" s="27" t="n"/>
      <c r="AR124" s="27" t="n"/>
      <c r="AS124" s="27" t="n"/>
      <c r="AT124" s="27" t="n"/>
      <c r="AU124" s="27" t="n"/>
      <c r="AV124" s="27" t="n"/>
      <c r="AW124" s="27" t="n"/>
      <c r="AX124" s="27" t="n"/>
      <c r="AY124" s="27" t="n"/>
      <c r="AZ124" s="27" t="n"/>
      <c r="BA124" s="27" t="n"/>
      <c r="BB124" s="27" t="n"/>
      <c r="BC124" s="27" t="n"/>
      <c r="BD124" s="27" t="n"/>
      <c r="BE124" s="27" t="n"/>
      <c r="BF124" s="27" t="n"/>
      <c r="BG124" s="27" t="n"/>
      <c r="BH124" s="27" t="n"/>
      <c r="BI124" s="29" t="n"/>
      <c r="BJ124" s="27" t="n"/>
      <c r="BK124" s="27" t="n"/>
      <c r="BL124" s="27" t="n"/>
      <c r="BM124" s="27" t="n"/>
    </row>
    <row r="125">
      <c r="A125" s="27" t="n"/>
      <c r="B125" s="27" t="n"/>
      <c r="C125" s="28">
        <f>IF(A125="","",$B$2)</f>
        <v/>
      </c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  <c r="AA125" s="27" t="n"/>
      <c r="AB125" s="27" t="n"/>
      <c r="AC125" s="27" t="n"/>
      <c r="AD125" s="27" t="n"/>
      <c r="AE125" s="27" t="n"/>
      <c r="AF125" s="27" t="n"/>
      <c r="AG125" s="27" t="n"/>
      <c r="AH125" s="27" t="n"/>
      <c r="AI125" s="27" t="n"/>
      <c r="AJ125" s="27" t="n"/>
      <c r="AK125" s="27" t="n"/>
      <c r="AL125" s="27" t="n"/>
      <c r="AM125" s="27" t="n"/>
      <c r="AN125" s="27" t="n"/>
      <c r="AO125" s="27" t="n"/>
      <c r="AP125" s="27" t="n"/>
      <c r="AQ125" s="27" t="n"/>
      <c r="AR125" s="27" t="n"/>
      <c r="AS125" s="27" t="n"/>
      <c r="AT125" s="27" t="n"/>
      <c r="AU125" s="27" t="n"/>
      <c r="AV125" s="27" t="n"/>
      <c r="AW125" s="27" t="n"/>
      <c r="AX125" s="27" t="n"/>
      <c r="AY125" s="27" t="n"/>
      <c r="AZ125" s="27" t="n"/>
      <c r="BA125" s="27" t="n"/>
      <c r="BB125" s="27" t="n"/>
      <c r="BC125" s="27" t="n"/>
      <c r="BD125" s="27" t="n"/>
      <c r="BE125" s="27" t="n"/>
      <c r="BF125" s="27" t="n"/>
      <c r="BG125" s="27" t="n"/>
      <c r="BH125" s="27" t="n"/>
      <c r="BI125" s="29" t="n"/>
      <c r="BJ125" s="27" t="n"/>
      <c r="BK125" s="27" t="n"/>
      <c r="BL125" s="27" t="n"/>
      <c r="BM125" s="27" t="n"/>
    </row>
    <row r="126">
      <c r="A126" s="27" t="n"/>
      <c r="B126" s="27" t="n"/>
      <c r="C126" s="28">
        <f>IF(A126="","",$B$2)</f>
        <v/>
      </c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  <c r="AA126" s="27" t="n"/>
      <c r="AB126" s="27" t="n"/>
      <c r="AC126" s="27" t="n"/>
      <c r="AD126" s="27" t="n"/>
      <c r="AE126" s="27" t="n"/>
      <c r="AF126" s="27" t="n"/>
      <c r="AG126" s="27" t="n"/>
      <c r="AH126" s="27" t="n"/>
      <c r="AI126" s="27" t="n"/>
      <c r="AJ126" s="27" t="n"/>
      <c r="AK126" s="27" t="n"/>
      <c r="AL126" s="27" t="n"/>
      <c r="AM126" s="27" t="n"/>
      <c r="AN126" s="27" t="n"/>
      <c r="AO126" s="27" t="n"/>
      <c r="AP126" s="27" t="n"/>
      <c r="AQ126" s="27" t="n"/>
      <c r="AR126" s="27" t="n"/>
      <c r="AS126" s="27" t="n"/>
      <c r="AT126" s="27" t="n"/>
      <c r="AU126" s="27" t="n"/>
      <c r="AV126" s="27" t="n"/>
      <c r="AW126" s="27" t="n"/>
      <c r="AX126" s="27" t="n"/>
      <c r="AY126" s="27" t="n"/>
      <c r="AZ126" s="27" t="n"/>
      <c r="BA126" s="27" t="n"/>
      <c r="BB126" s="27" t="n"/>
      <c r="BC126" s="27" t="n"/>
      <c r="BD126" s="27" t="n"/>
      <c r="BE126" s="27" t="n"/>
      <c r="BF126" s="27" t="n"/>
      <c r="BG126" s="27" t="n"/>
      <c r="BH126" s="27" t="n"/>
      <c r="BI126" s="29" t="n"/>
      <c r="BJ126" s="27" t="n"/>
      <c r="BK126" s="27" t="n"/>
      <c r="BL126" s="27" t="n"/>
      <c r="BM126" s="27" t="n"/>
    </row>
    <row r="127">
      <c r="A127" s="27" t="n"/>
      <c r="B127" s="27" t="n"/>
      <c r="C127" s="28">
        <f>IF(A127="","",$B$2)</f>
        <v/>
      </c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  <c r="AA127" s="27" t="n"/>
      <c r="AB127" s="27" t="n"/>
      <c r="AC127" s="27" t="n"/>
      <c r="AD127" s="27" t="n"/>
      <c r="AE127" s="27" t="n"/>
      <c r="AF127" s="27" t="n"/>
      <c r="AG127" s="27" t="n"/>
      <c r="AH127" s="27" t="n"/>
      <c r="AI127" s="27" t="n"/>
      <c r="AJ127" s="27" t="n"/>
      <c r="AK127" s="27" t="n"/>
      <c r="AL127" s="27" t="n"/>
      <c r="AM127" s="27" t="n"/>
      <c r="AN127" s="27" t="n"/>
      <c r="AO127" s="27" t="n"/>
      <c r="AP127" s="27" t="n"/>
      <c r="AQ127" s="27" t="n"/>
      <c r="AR127" s="27" t="n"/>
      <c r="AS127" s="27" t="n"/>
      <c r="AT127" s="27" t="n"/>
      <c r="AU127" s="27" t="n"/>
      <c r="AV127" s="27" t="n"/>
      <c r="AW127" s="27" t="n"/>
      <c r="AX127" s="27" t="n"/>
      <c r="AY127" s="27" t="n"/>
      <c r="AZ127" s="27" t="n"/>
      <c r="BA127" s="27" t="n"/>
      <c r="BB127" s="27" t="n"/>
      <c r="BC127" s="27" t="n"/>
      <c r="BD127" s="27" t="n"/>
      <c r="BE127" s="27" t="n"/>
      <c r="BF127" s="27" t="n"/>
      <c r="BG127" s="27" t="n"/>
      <c r="BH127" s="27" t="n"/>
      <c r="BI127" s="29" t="n"/>
      <c r="BJ127" s="27" t="n"/>
      <c r="BK127" s="27" t="n"/>
      <c r="BL127" s="27" t="n"/>
      <c r="BM127" s="27" t="n"/>
    </row>
    <row r="128">
      <c r="A128" s="27" t="n"/>
      <c r="B128" s="27" t="n"/>
      <c r="C128" s="28">
        <f>IF(A128="","",$B$2)</f>
        <v/>
      </c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  <c r="AA128" s="27" t="n"/>
      <c r="AB128" s="27" t="n"/>
      <c r="AC128" s="27" t="n"/>
      <c r="AD128" s="27" t="n"/>
      <c r="AE128" s="27" t="n"/>
      <c r="AF128" s="27" t="n"/>
      <c r="AG128" s="27" t="n"/>
      <c r="AH128" s="27" t="n"/>
      <c r="AI128" s="27" t="n"/>
      <c r="AJ128" s="27" t="n"/>
      <c r="AK128" s="27" t="n"/>
      <c r="AL128" s="27" t="n"/>
      <c r="AM128" s="27" t="n"/>
      <c r="AN128" s="27" t="n"/>
      <c r="AO128" s="27" t="n"/>
      <c r="AP128" s="27" t="n"/>
      <c r="AQ128" s="27" t="n"/>
      <c r="AR128" s="27" t="n"/>
      <c r="AS128" s="27" t="n"/>
      <c r="AT128" s="27" t="n"/>
      <c r="AU128" s="27" t="n"/>
      <c r="AV128" s="27" t="n"/>
      <c r="AW128" s="27" t="n"/>
      <c r="AX128" s="27" t="n"/>
      <c r="AY128" s="27" t="n"/>
      <c r="AZ128" s="27" t="n"/>
      <c r="BA128" s="27" t="n"/>
      <c r="BB128" s="27" t="n"/>
      <c r="BC128" s="27" t="n"/>
      <c r="BD128" s="27" t="n"/>
      <c r="BE128" s="27" t="n"/>
      <c r="BF128" s="27" t="n"/>
      <c r="BG128" s="27" t="n"/>
      <c r="BH128" s="27" t="n"/>
      <c r="BI128" s="29" t="n"/>
      <c r="BJ128" s="27" t="n"/>
      <c r="BK128" s="27" t="n"/>
      <c r="BL128" s="27" t="n"/>
      <c r="BM128" s="27" t="n"/>
    </row>
    <row r="129">
      <c r="A129" s="27" t="n"/>
      <c r="B129" s="27" t="n"/>
      <c r="C129" s="28">
        <f>IF(A129="","",$B$2)</f>
        <v/>
      </c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  <c r="AA129" s="27" t="n"/>
      <c r="AB129" s="27" t="n"/>
      <c r="AC129" s="27" t="n"/>
      <c r="AD129" s="27" t="n"/>
      <c r="AE129" s="27" t="n"/>
      <c r="AF129" s="27" t="n"/>
      <c r="AG129" s="27" t="n"/>
      <c r="AH129" s="27" t="n"/>
      <c r="AI129" s="27" t="n"/>
      <c r="AJ129" s="27" t="n"/>
      <c r="AK129" s="27" t="n"/>
      <c r="AL129" s="27" t="n"/>
      <c r="AM129" s="27" t="n"/>
      <c r="AN129" s="27" t="n"/>
      <c r="AO129" s="27" t="n"/>
      <c r="AP129" s="27" t="n"/>
      <c r="AQ129" s="27" t="n"/>
      <c r="AR129" s="27" t="n"/>
      <c r="AS129" s="27" t="n"/>
      <c r="AT129" s="27" t="n"/>
      <c r="AU129" s="27" t="n"/>
      <c r="AV129" s="27" t="n"/>
      <c r="AW129" s="27" t="n"/>
      <c r="AX129" s="27" t="n"/>
      <c r="AY129" s="27" t="n"/>
      <c r="AZ129" s="27" t="n"/>
      <c r="BA129" s="27" t="n"/>
      <c r="BB129" s="27" t="n"/>
      <c r="BC129" s="27" t="n"/>
      <c r="BD129" s="27" t="n"/>
      <c r="BE129" s="27" t="n"/>
      <c r="BF129" s="27" t="n"/>
      <c r="BG129" s="27" t="n"/>
      <c r="BH129" s="27" t="n"/>
      <c r="BI129" s="29" t="n"/>
      <c r="BJ129" s="27" t="n"/>
      <c r="BK129" s="27" t="n"/>
      <c r="BL129" s="27" t="n"/>
      <c r="BM129" s="27" t="n"/>
    </row>
    <row r="130">
      <c r="A130" s="27" t="n"/>
      <c r="B130" s="27" t="n"/>
      <c r="C130" s="28">
        <f>IF(A130="","",$B$2)</f>
        <v/>
      </c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  <c r="AA130" s="27" t="n"/>
      <c r="AB130" s="27" t="n"/>
      <c r="AC130" s="27" t="n"/>
      <c r="AD130" s="27" t="n"/>
      <c r="AE130" s="27" t="n"/>
      <c r="AF130" s="27" t="n"/>
      <c r="AG130" s="27" t="n"/>
      <c r="AH130" s="27" t="n"/>
      <c r="AI130" s="27" t="n"/>
      <c r="AJ130" s="27" t="n"/>
      <c r="AK130" s="27" t="n"/>
      <c r="AL130" s="27" t="n"/>
      <c r="AM130" s="27" t="n"/>
      <c r="AN130" s="27" t="n"/>
      <c r="AO130" s="27" t="n"/>
      <c r="AP130" s="27" t="n"/>
      <c r="AQ130" s="27" t="n"/>
      <c r="AR130" s="27" t="n"/>
      <c r="AS130" s="27" t="n"/>
      <c r="AT130" s="27" t="n"/>
      <c r="AU130" s="27" t="n"/>
      <c r="AV130" s="27" t="n"/>
      <c r="AW130" s="27" t="n"/>
      <c r="AX130" s="27" t="n"/>
      <c r="AY130" s="27" t="n"/>
      <c r="AZ130" s="27" t="n"/>
      <c r="BA130" s="27" t="n"/>
      <c r="BB130" s="27" t="n"/>
      <c r="BC130" s="27" t="n"/>
      <c r="BD130" s="27" t="n"/>
      <c r="BE130" s="27" t="n"/>
      <c r="BF130" s="27" t="n"/>
      <c r="BG130" s="27" t="n"/>
      <c r="BH130" s="27" t="n"/>
      <c r="BI130" s="29" t="n"/>
      <c r="BJ130" s="27" t="n"/>
      <c r="BK130" s="27" t="n"/>
      <c r="BL130" s="27" t="n"/>
      <c r="BM130" s="27" t="n"/>
    </row>
    <row r="131">
      <c r="A131" s="27" t="n"/>
      <c r="B131" s="27" t="n"/>
      <c r="C131" s="28">
        <f>IF(A131="","",$B$2)</f>
        <v/>
      </c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  <c r="AA131" s="27" t="n"/>
      <c r="AB131" s="27" t="n"/>
      <c r="AC131" s="27" t="n"/>
      <c r="AD131" s="27" t="n"/>
      <c r="AE131" s="27" t="n"/>
      <c r="AF131" s="27" t="n"/>
      <c r="AG131" s="27" t="n"/>
      <c r="AH131" s="27" t="n"/>
      <c r="AI131" s="27" t="n"/>
      <c r="AJ131" s="27" t="n"/>
      <c r="AK131" s="27" t="n"/>
      <c r="AL131" s="27" t="n"/>
      <c r="AM131" s="27" t="n"/>
      <c r="AN131" s="27" t="n"/>
      <c r="AO131" s="27" t="n"/>
      <c r="AP131" s="27" t="n"/>
      <c r="AQ131" s="27" t="n"/>
      <c r="AR131" s="27" t="n"/>
      <c r="AS131" s="27" t="n"/>
      <c r="AT131" s="27" t="n"/>
      <c r="AU131" s="27" t="n"/>
      <c r="AV131" s="27" t="n"/>
      <c r="AW131" s="27" t="n"/>
      <c r="AX131" s="27" t="n"/>
      <c r="AY131" s="27" t="n"/>
      <c r="AZ131" s="27" t="n"/>
      <c r="BA131" s="27" t="n"/>
      <c r="BB131" s="27" t="n"/>
      <c r="BC131" s="27" t="n"/>
      <c r="BD131" s="27" t="n"/>
      <c r="BE131" s="27" t="n"/>
      <c r="BF131" s="27" t="n"/>
      <c r="BG131" s="27" t="n"/>
      <c r="BH131" s="27" t="n"/>
      <c r="BI131" s="29" t="n"/>
      <c r="BJ131" s="27" t="n"/>
      <c r="BK131" s="27" t="n"/>
      <c r="BL131" s="27" t="n"/>
      <c r="BM131" s="27" t="n"/>
    </row>
    <row r="132">
      <c r="A132" s="27" t="n"/>
      <c r="B132" s="27" t="n"/>
      <c r="C132" s="28">
        <f>IF(A132="","",$B$2)</f>
        <v/>
      </c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  <c r="AA132" s="27" t="n"/>
      <c r="AB132" s="27" t="n"/>
      <c r="AC132" s="27" t="n"/>
      <c r="AD132" s="27" t="n"/>
      <c r="AE132" s="27" t="n"/>
      <c r="AF132" s="27" t="n"/>
      <c r="AG132" s="27" t="n"/>
      <c r="AH132" s="27" t="n"/>
      <c r="AI132" s="27" t="n"/>
      <c r="AJ132" s="27" t="n"/>
      <c r="AK132" s="27" t="n"/>
      <c r="AL132" s="27" t="n"/>
      <c r="AM132" s="27" t="n"/>
      <c r="AN132" s="27" t="n"/>
      <c r="AO132" s="27" t="n"/>
      <c r="AP132" s="27" t="n"/>
      <c r="AQ132" s="27" t="n"/>
      <c r="AR132" s="27" t="n"/>
      <c r="AS132" s="27" t="n"/>
      <c r="AT132" s="27" t="n"/>
      <c r="AU132" s="27" t="n"/>
      <c r="AV132" s="27" t="n"/>
      <c r="AW132" s="27" t="n"/>
      <c r="AX132" s="27" t="n"/>
      <c r="AY132" s="27" t="n"/>
      <c r="AZ132" s="27" t="n"/>
      <c r="BA132" s="27" t="n"/>
      <c r="BB132" s="27" t="n"/>
      <c r="BC132" s="27" t="n"/>
      <c r="BD132" s="27" t="n"/>
      <c r="BE132" s="27" t="n"/>
      <c r="BF132" s="27" t="n"/>
      <c r="BG132" s="27" t="n"/>
      <c r="BH132" s="27" t="n"/>
      <c r="BI132" s="29" t="n"/>
      <c r="BJ132" s="27" t="n"/>
      <c r="BK132" s="27" t="n"/>
      <c r="BL132" s="27" t="n"/>
      <c r="BM132" s="27" t="n"/>
    </row>
    <row r="133">
      <c r="A133" s="27" t="n"/>
      <c r="B133" s="27" t="n"/>
      <c r="C133" s="28">
        <f>IF(A133="","",$B$2)</f>
        <v/>
      </c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  <c r="AA133" s="27" t="n"/>
      <c r="AB133" s="27" t="n"/>
      <c r="AC133" s="27" t="n"/>
      <c r="AD133" s="27" t="n"/>
      <c r="AE133" s="27" t="n"/>
      <c r="AF133" s="27" t="n"/>
      <c r="AG133" s="27" t="n"/>
      <c r="AH133" s="27" t="n"/>
      <c r="AI133" s="27" t="n"/>
      <c r="AJ133" s="27" t="n"/>
      <c r="AK133" s="27" t="n"/>
      <c r="AL133" s="27" t="n"/>
      <c r="AM133" s="27" t="n"/>
      <c r="AN133" s="27" t="n"/>
      <c r="AO133" s="27" t="n"/>
      <c r="AP133" s="27" t="n"/>
      <c r="AQ133" s="27" t="n"/>
      <c r="AR133" s="27" t="n"/>
      <c r="AS133" s="27" t="n"/>
      <c r="AT133" s="27" t="n"/>
      <c r="AU133" s="27" t="n"/>
      <c r="AV133" s="27" t="n"/>
      <c r="AW133" s="27" t="n"/>
      <c r="AX133" s="27" t="n"/>
      <c r="AY133" s="27" t="n"/>
      <c r="AZ133" s="27" t="n"/>
      <c r="BA133" s="27" t="n"/>
      <c r="BB133" s="27" t="n"/>
      <c r="BC133" s="27" t="n"/>
      <c r="BD133" s="27" t="n"/>
      <c r="BE133" s="27" t="n"/>
      <c r="BF133" s="27" t="n"/>
      <c r="BG133" s="27" t="n"/>
      <c r="BH133" s="27" t="n"/>
      <c r="BI133" s="29" t="n"/>
      <c r="BJ133" s="27" t="n"/>
      <c r="BK133" s="27" t="n"/>
      <c r="BL133" s="27" t="n"/>
      <c r="BM133" s="27" t="n"/>
    </row>
    <row r="134">
      <c r="A134" s="27" t="n"/>
      <c r="B134" s="27" t="n"/>
      <c r="C134" s="28">
        <f>IF(A134="","",$B$2)</f>
        <v/>
      </c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  <c r="AA134" s="27" t="n"/>
      <c r="AB134" s="27" t="n"/>
      <c r="AC134" s="27" t="n"/>
      <c r="AD134" s="27" t="n"/>
      <c r="AE134" s="27" t="n"/>
      <c r="AF134" s="27" t="n"/>
      <c r="AG134" s="27" t="n"/>
      <c r="AH134" s="27" t="n"/>
      <c r="AI134" s="27" t="n"/>
      <c r="AJ134" s="27" t="n"/>
      <c r="AK134" s="27" t="n"/>
      <c r="AL134" s="27" t="n"/>
      <c r="AM134" s="27" t="n"/>
      <c r="AN134" s="27" t="n"/>
      <c r="AO134" s="27" t="n"/>
      <c r="AP134" s="27" t="n"/>
      <c r="AQ134" s="27" t="n"/>
      <c r="AR134" s="27" t="n"/>
      <c r="AS134" s="27" t="n"/>
      <c r="AT134" s="27" t="n"/>
      <c r="AU134" s="27" t="n"/>
      <c r="AV134" s="27" t="n"/>
      <c r="AW134" s="27" t="n"/>
      <c r="AX134" s="27" t="n"/>
      <c r="AY134" s="27" t="n"/>
      <c r="AZ134" s="27" t="n"/>
      <c r="BA134" s="27" t="n"/>
      <c r="BB134" s="27" t="n"/>
      <c r="BC134" s="27" t="n"/>
      <c r="BD134" s="27" t="n"/>
      <c r="BE134" s="27" t="n"/>
      <c r="BF134" s="27" t="n"/>
      <c r="BG134" s="27" t="n"/>
      <c r="BH134" s="27" t="n"/>
      <c r="BI134" s="29" t="n"/>
      <c r="BJ134" s="27" t="n"/>
      <c r="BK134" s="27" t="n"/>
      <c r="BL134" s="27" t="n"/>
      <c r="BM134" s="27" t="n"/>
    </row>
    <row r="135">
      <c r="A135" s="27" t="n"/>
      <c r="B135" s="27" t="n"/>
      <c r="C135" s="28">
        <f>IF(A135="","",$B$2)</f>
        <v/>
      </c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  <c r="AA135" s="27" t="n"/>
      <c r="AB135" s="27" t="n"/>
      <c r="AC135" s="27" t="n"/>
      <c r="AD135" s="27" t="n"/>
      <c r="AE135" s="27" t="n"/>
      <c r="AF135" s="27" t="n"/>
      <c r="AG135" s="27" t="n"/>
      <c r="AH135" s="27" t="n"/>
      <c r="AI135" s="27" t="n"/>
      <c r="AJ135" s="27" t="n"/>
      <c r="AK135" s="27" t="n"/>
      <c r="AL135" s="27" t="n"/>
      <c r="AM135" s="27" t="n"/>
      <c r="AN135" s="27" t="n"/>
      <c r="AO135" s="27" t="n"/>
      <c r="AP135" s="27" t="n"/>
      <c r="AQ135" s="27" t="n"/>
      <c r="AR135" s="27" t="n"/>
      <c r="AS135" s="27" t="n"/>
      <c r="AT135" s="27" t="n"/>
      <c r="AU135" s="27" t="n"/>
      <c r="AV135" s="27" t="n"/>
      <c r="AW135" s="27" t="n"/>
      <c r="AX135" s="27" t="n"/>
      <c r="AY135" s="27" t="n"/>
      <c r="AZ135" s="27" t="n"/>
      <c r="BA135" s="27" t="n"/>
      <c r="BB135" s="27" t="n"/>
      <c r="BC135" s="27" t="n"/>
      <c r="BD135" s="27" t="n"/>
      <c r="BE135" s="27" t="n"/>
      <c r="BF135" s="27" t="n"/>
      <c r="BG135" s="27" t="n"/>
      <c r="BH135" s="27" t="n"/>
      <c r="BI135" s="29" t="n"/>
      <c r="BJ135" s="27" t="n"/>
      <c r="BK135" s="27" t="n"/>
      <c r="BL135" s="27" t="n"/>
      <c r="BM135" s="27" t="n"/>
    </row>
    <row r="136">
      <c r="A136" s="27" t="n"/>
      <c r="B136" s="27" t="n"/>
      <c r="C136" s="28">
        <f>IF(A136="","",$B$2)</f>
        <v/>
      </c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  <c r="AA136" s="27" t="n"/>
      <c r="AB136" s="27" t="n"/>
      <c r="AC136" s="27" t="n"/>
      <c r="AD136" s="27" t="n"/>
      <c r="AE136" s="27" t="n"/>
      <c r="AF136" s="27" t="n"/>
      <c r="AG136" s="27" t="n"/>
      <c r="AH136" s="27" t="n"/>
      <c r="AI136" s="27" t="n"/>
      <c r="AJ136" s="27" t="n"/>
      <c r="AK136" s="27" t="n"/>
      <c r="AL136" s="27" t="n"/>
      <c r="AM136" s="27" t="n"/>
      <c r="AN136" s="27" t="n"/>
      <c r="AO136" s="27" t="n"/>
      <c r="AP136" s="27" t="n"/>
      <c r="AQ136" s="27" t="n"/>
      <c r="AR136" s="27" t="n"/>
      <c r="AS136" s="27" t="n"/>
      <c r="AT136" s="27" t="n"/>
      <c r="AU136" s="27" t="n"/>
      <c r="AV136" s="27" t="n"/>
      <c r="AW136" s="27" t="n"/>
      <c r="AX136" s="27" t="n"/>
      <c r="AY136" s="27" t="n"/>
      <c r="AZ136" s="27" t="n"/>
      <c r="BA136" s="27" t="n"/>
      <c r="BB136" s="27" t="n"/>
      <c r="BC136" s="27" t="n"/>
      <c r="BD136" s="27" t="n"/>
      <c r="BE136" s="27" t="n"/>
      <c r="BF136" s="27" t="n"/>
      <c r="BG136" s="27" t="n"/>
      <c r="BH136" s="27" t="n"/>
      <c r="BI136" s="29" t="n"/>
      <c r="BJ136" s="27" t="n"/>
      <c r="BK136" s="27" t="n"/>
      <c r="BL136" s="27" t="n"/>
      <c r="BM136" s="27" t="n"/>
    </row>
    <row r="137">
      <c r="A137" s="27" t="n"/>
      <c r="B137" s="27" t="n"/>
      <c r="C137" s="28">
        <f>IF(A137="","",$B$2)</f>
        <v/>
      </c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  <c r="AA137" s="27" t="n"/>
      <c r="AB137" s="27" t="n"/>
      <c r="AC137" s="27" t="n"/>
      <c r="AD137" s="27" t="n"/>
      <c r="AE137" s="27" t="n"/>
      <c r="AF137" s="27" t="n"/>
      <c r="AG137" s="27" t="n"/>
      <c r="AH137" s="27" t="n"/>
      <c r="AI137" s="27" t="n"/>
      <c r="AJ137" s="27" t="n"/>
      <c r="AK137" s="27" t="n"/>
      <c r="AL137" s="27" t="n"/>
      <c r="AM137" s="27" t="n"/>
      <c r="AN137" s="27" t="n"/>
      <c r="AO137" s="27" t="n"/>
      <c r="AP137" s="27" t="n"/>
      <c r="AQ137" s="27" t="n"/>
      <c r="AR137" s="27" t="n"/>
      <c r="AS137" s="27" t="n"/>
      <c r="AT137" s="27" t="n"/>
      <c r="AU137" s="27" t="n"/>
      <c r="AV137" s="27" t="n"/>
      <c r="AW137" s="27" t="n"/>
      <c r="AX137" s="27" t="n"/>
      <c r="AY137" s="27" t="n"/>
      <c r="AZ137" s="27" t="n"/>
      <c r="BA137" s="27" t="n"/>
      <c r="BB137" s="27" t="n"/>
      <c r="BC137" s="27" t="n"/>
      <c r="BD137" s="27" t="n"/>
      <c r="BE137" s="27" t="n"/>
      <c r="BF137" s="27" t="n"/>
      <c r="BG137" s="27" t="n"/>
      <c r="BH137" s="27" t="n"/>
      <c r="BI137" s="29" t="n"/>
      <c r="BJ137" s="27" t="n"/>
      <c r="BK137" s="27" t="n"/>
      <c r="BL137" s="27" t="n"/>
      <c r="BM137" s="27" t="n"/>
    </row>
    <row r="138">
      <c r="A138" s="27" t="n"/>
      <c r="B138" s="27" t="n"/>
      <c r="C138" s="28">
        <f>IF(A138="","",$B$2)</f>
        <v/>
      </c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  <c r="AA138" s="27" t="n"/>
      <c r="AB138" s="27" t="n"/>
      <c r="AC138" s="27" t="n"/>
      <c r="AD138" s="27" t="n"/>
      <c r="AE138" s="27" t="n"/>
      <c r="AF138" s="27" t="n"/>
      <c r="AG138" s="27" t="n"/>
      <c r="AH138" s="27" t="n"/>
      <c r="AI138" s="27" t="n"/>
      <c r="AJ138" s="27" t="n"/>
      <c r="AK138" s="27" t="n"/>
      <c r="AL138" s="27" t="n"/>
      <c r="AM138" s="27" t="n"/>
      <c r="AN138" s="27" t="n"/>
      <c r="AO138" s="27" t="n"/>
      <c r="AP138" s="27" t="n"/>
      <c r="AQ138" s="27" t="n"/>
      <c r="AR138" s="27" t="n"/>
      <c r="AS138" s="27" t="n"/>
      <c r="AT138" s="27" t="n"/>
      <c r="AU138" s="27" t="n"/>
      <c r="AV138" s="27" t="n"/>
      <c r="AW138" s="27" t="n"/>
      <c r="AX138" s="27" t="n"/>
      <c r="AY138" s="27" t="n"/>
      <c r="AZ138" s="27" t="n"/>
      <c r="BA138" s="27" t="n"/>
      <c r="BB138" s="27" t="n"/>
      <c r="BC138" s="27" t="n"/>
      <c r="BD138" s="27" t="n"/>
      <c r="BE138" s="27" t="n"/>
      <c r="BF138" s="27" t="n"/>
      <c r="BG138" s="27" t="n"/>
      <c r="BH138" s="27" t="n"/>
      <c r="BI138" s="29" t="n"/>
      <c r="BJ138" s="27" t="n"/>
      <c r="BK138" s="27" t="n"/>
      <c r="BL138" s="27" t="n"/>
      <c r="BM138" s="27" t="n"/>
    </row>
    <row r="139">
      <c r="A139" s="27" t="n"/>
      <c r="B139" s="27" t="n"/>
      <c r="C139" s="28">
        <f>IF(A139="","",$B$2)</f>
        <v/>
      </c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  <c r="AA139" s="27" t="n"/>
      <c r="AB139" s="27" t="n"/>
      <c r="AC139" s="27" t="n"/>
      <c r="AD139" s="27" t="n"/>
      <c r="AE139" s="27" t="n"/>
      <c r="AF139" s="27" t="n"/>
      <c r="AG139" s="27" t="n"/>
      <c r="AH139" s="27" t="n"/>
      <c r="AI139" s="27" t="n"/>
      <c r="AJ139" s="27" t="n"/>
      <c r="AK139" s="27" t="n"/>
      <c r="AL139" s="27" t="n"/>
      <c r="AM139" s="27" t="n"/>
      <c r="AN139" s="27" t="n"/>
      <c r="AO139" s="27" t="n"/>
      <c r="AP139" s="27" t="n"/>
      <c r="AQ139" s="27" t="n"/>
      <c r="AR139" s="27" t="n"/>
      <c r="AS139" s="27" t="n"/>
      <c r="AT139" s="27" t="n"/>
      <c r="AU139" s="27" t="n"/>
      <c r="AV139" s="27" t="n"/>
      <c r="AW139" s="27" t="n"/>
      <c r="AX139" s="27" t="n"/>
      <c r="AY139" s="27" t="n"/>
      <c r="AZ139" s="27" t="n"/>
      <c r="BA139" s="27" t="n"/>
      <c r="BB139" s="27" t="n"/>
      <c r="BC139" s="27" t="n"/>
      <c r="BD139" s="27" t="n"/>
      <c r="BE139" s="27" t="n"/>
      <c r="BF139" s="27" t="n"/>
      <c r="BG139" s="27" t="n"/>
      <c r="BH139" s="27" t="n"/>
      <c r="BI139" s="29" t="n"/>
      <c r="BJ139" s="27" t="n"/>
      <c r="BK139" s="27" t="n"/>
      <c r="BL139" s="27" t="n"/>
      <c r="BM139" s="27" t="n"/>
    </row>
    <row r="140">
      <c r="A140" s="27" t="n"/>
      <c r="B140" s="27" t="n"/>
      <c r="C140" s="28">
        <f>IF(A140="","",$B$2)</f>
        <v/>
      </c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  <c r="AA140" s="27" t="n"/>
      <c r="AB140" s="27" t="n"/>
      <c r="AC140" s="27" t="n"/>
      <c r="AD140" s="27" t="n"/>
      <c r="AE140" s="27" t="n"/>
      <c r="AF140" s="27" t="n"/>
      <c r="AG140" s="27" t="n"/>
      <c r="AH140" s="27" t="n"/>
      <c r="AI140" s="27" t="n"/>
      <c r="AJ140" s="27" t="n"/>
      <c r="AK140" s="27" t="n"/>
      <c r="AL140" s="27" t="n"/>
      <c r="AM140" s="27" t="n"/>
      <c r="AN140" s="27" t="n"/>
      <c r="AO140" s="27" t="n"/>
      <c r="AP140" s="27" t="n"/>
      <c r="AQ140" s="27" t="n"/>
      <c r="AR140" s="27" t="n"/>
      <c r="AS140" s="27" t="n"/>
      <c r="AT140" s="27" t="n"/>
      <c r="AU140" s="27" t="n"/>
      <c r="AV140" s="27" t="n"/>
      <c r="AW140" s="27" t="n"/>
      <c r="AX140" s="27" t="n"/>
      <c r="AY140" s="27" t="n"/>
      <c r="AZ140" s="27" t="n"/>
      <c r="BA140" s="27" t="n"/>
      <c r="BB140" s="27" t="n"/>
      <c r="BC140" s="27" t="n"/>
      <c r="BD140" s="27" t="n"/>
      <c r="BE140" s="27" t="n"/>
      <c r="BF140" s="27" t="n"/>
      <c r="BG140" s="27" t="n"/>
      <c r="BH140" s="27" t="n"/>
      <c r="BI140" s="29" t="n"/>
      <c r="BJ140" s="27" t="n"/>
      <c r="BK140" s="27" t="n"/>
      <c r="BL140" s="27" t="n"/>
      <c r="BM140" s="27" t="n"/>
    </row>
    <row r="141">
      <c r="A141" s="27" t="n"/>
      <c r="B141" s="27" t="n"/>
      <c r="C141" s="28">
        <f>IF(A141="","",$B$2)</f>
        <v/>
      </c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  <c r="AA141" s="27" t="n"/>
      <c r="AB141" s="27" t="n"/>
      <c r="AC141" s="27" t="n"/>
      <c r="AD141" s="27" t="n"/>
      <c r="AE141" s="27" t="n"/>
      <c r="AF141" s="27" t="n"/>
      <c r="AG141" s="27" t="n"/>
      <c r="AH141" s="27" t="n"/>
      <c r="AI141" s="27" t="n"/>
      <c r="AJ141" s="27" t="n"/>
      <c r="AK141" s="27" t="n"/>
      <c r="AL141" s="27" t="n"/>
      <c r="AM141" s="27" t="n"/>
      <c r="AN141" s="27" t="n"/>
      <c r="AO141" s="27" t="n"/>
      <c r="AP141" s="27" t="n"/>
      <c r="AQ141" s="27" t="n"/>
      <c r="AR141" s="27" t="n"/>
      <c r="AS141" s="27" t="n"/>
      <c r="AT141" s="27" t="n"/>
      <c r="AU141" s="27" t="n"/>
      <c r="AV141" s="27" t="n"/>
      <c r="AW141" s="27" t="n"/>
      <c r="AX141" s="27" t="n"/>
      <c r="AY141" s="27" t="n"/>
      <c r="AZ141" s="27" t="n"/>
      <c r="BA141" s="27" t="n"/>
      <c r="BB141" s="27" t="n"/>
      <c r="BC141" s="27" t="n"/>
      <c r="BD141" s="27" t="n"/>
      <c r="BE141" s="27" t="n"/>
      <c r="BF141" s="27" t="n"/>
      <c r="BG141" s="27" t="n"/>
      <c r="BH141" s="27" t="n"/>
      <c r="BI141" s="29" t="n"/>
      <c r="BJ141" s="27" t="n"/>
      <c r="BK141" s="27" t="n"/>
      <c r="BL141" s="27" t="n"/>
      <c r="BM141" s="27" t="n"/>
    </row>
    <row r="142">
      <c r="A142" s="27" t="n"/>
      <c r="B142" s="27" t="n"/>
      <c r="C142" s="28">
        <f>IF(A142="","",$B$2)</f>
        <v/>
      </c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  <c r="AA142" s="27" t="n"/>
      <c r="AB142" s="27" t="n"/>
      <c r="AC142" s="27" t="n"/>
      <c r="AD142" s="27" t="n"/>
      <c r="AE142" s="27" t="n"/>
      <c r="AF142" s="27" t="n"/>
      <c r="AG142" s="27" t="n"/>
      <c r="AH142" s="27" t="n"/>
      <c r="AI142" s="27" t="n"/>
      <c r="AJ142" s="27" t="n"/>
      <c r="AK142" s="27" t="n"/>
      <c r="AL142" s="27" t="n"/>
      <c r="AM142" s="27" t="n"/>
      <c r="AN142" s="27" t="n"/>
      <c r="AO142" s="27" t="n"/>
      <c r="AP142" s="27" t="n"/>
      <c r="AQ142" s="27" t="n"/>
      <c r="AR142" s="27" t="n"/>
      <c r="AS142" s="27" t="n"/>
      <c r="AT142" s="27" t="n"/>
      <c r="AU142" s="27" t="n"/>
      <c r="AV142" s="27" t="n"/>
      <c r="AW142" s="27" t="n"/>
      <c r="AX142" s="27" t="n"/>
      <c r="AY142" s="27" t="n"/>
      <c r="AZ142" s="27" t="n"/>
      <c r="BA142" s="27" t="n"/>
      <c r="BB142" s="27" t="n"/>
      <c r="BC142" s="27" t="n"/>
      <c r="BD142" s="27" t="n"/>
      <c r="BE142" s="27" t="n"/>
      <c r="BF142" s="27" t="n"/>
      <c r="BG142" s="27" t="n"/>
      <c r="BH142" s="27" t="n"/>
      <c r="BI142" s="29" t="n"/>
      <c r="BJ142" s="27" t="n"/>
      <c r="BK142" s="27" t="n"/>
      <c r="BL142" s="27" t="n"/>
      <c r="BM142" s="27" t="n"/>
    </row>
    <row r="143">
      <c r="A143" s="27" t="n"/>
      <c r="B143" s="27" t="n"/>
      <c r="C143" s="28">
        <f>IF(A143="","",$B$2)</f>
        <v/>
      </c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  <c r="AA143" s="27" t="n"/>
      <c r="AB143" s="27" t="n"/>
      <c r="AC143" s="27" t="n"/>
      <c r="AD143" s="27" t="n"/>
      <c r="AE143" s="27" t="n"/>
      <c r="AF143" s="27" t="n"/>
      <c r="AG143" s="27" t="n"/>
      <c r="AH143" s="27" t="n"/>
      <c r="AI143" s="27" t="n"/>
      <c r="AJ143" s="27" t="n"/>
      <c r="AK143" s="27" t="n"/>
      <c r="AL143" s="27" t="n"/>
      <c r="AM143" s="27" t="n"/>
      <c r="AN143" s="27" t="n"/>
      <c r="AO143" s="27" t="n"/>
      <c r="AP143" s="27" t="n"/>
      <c r="AQ143" s="27" t="n"/>
      <c r="AR143" s="27" t="n"/>
      <c r="AS143" s="27" t="n"/>
      <c r="AT143" s="27" t="n"/>
      <c r="AU143" s="27" t="n"/>
      <c r="AV143" s="27" t="n"/>
      <c r="AW143" s="27" t="n"/>
      <c r="AX143" s="27" t="n"/>
      <c r="AY143" s="27" t="n"/>
      <c r="AZ143" s="27" t="n"/>
      <c r="BA143" s="27" t="n"/>
      <c r="BB143" s="27" t="n"/>
      <c r="BC143" s="27" t="n"/>
      <c r="BD143" s="27" t="n"/>
      <c r="BE143" s="27" t="n"/>
      <c r="BF143" s="27" t="n"/>
      <c r="BG143" s="27" t="n"/>
      <c r="BH143" s="27" t="n"/>
      <c r="BI143" s="29" t="n"/>
      <c r="BJ143" s="27" t="n"/>
      <c r="BK143" s="27" t="n"/>
      <c r="BL143" s="27" t="n"/>
      <c r="BM143" s="27" t="n"/>
    </row>
    <row r="144">
      <c r="A144" s="27" t="n"/>
      <c r="B144" s="27" t="n"/>
      <c r="C144" s="28">
        <f>IF(A144="","",$B$2)</f>
        <v/>
      </c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  <c r="AA144" s="27" t="n"/>
      <c r="AB144" s="27" t="n"/>
      <c r="AC144" s="27" t="n"/>
      <c r="AD144" s="27" t="n"/>
      <c r="AE144" s="27" t="n"/>
      <c r="AF144" s="27" t="n"/>
      <c r="AG144" s="27" t="n"/>
      <c r="AH144" s="27" t="n"/>
      <c r="AI144" s="27" t="n"/>
      <c r="AJ144" s="27" t="n"/>
      <c r="AK144" s="27" t="n"/>
      <c r="AL144" s="27" t="n"/>
      <c r="AM144" s="27" t="n"/>
      <c r="AN144" s="27" t="n"/>
      <c r="AO144" s="27" t="n"/>
      <c r="AP144" s="27" t="n"/>
      <c r="AQ144" s="27" t="n"/>
      <c r="AR144" s="27" t="n"/>
      <c r="AS144" s="27" t="n"/>
      <c r="AT144" s="27" t="n"/>
      <c r="AU144" s="27" t="n"/>
      <c r="AV144" s="27" t="n"/>
      <c r="AW144" s="27" t="n"/>
      <c r="AX144" s="27" t="n"/>
      <c r="AY144" s="27" t="n"/>
      <c r="AZ144" s="27" t="n"/>
      <c r="BA144" s="27" t="n"/>
      <c r="BB144" s="27" t="n"/>
      <c r="BC144" s="27" t="n"/>
      <c r="BD144" s="27" t="n"/>
      <c r="BE144" s="27" t="n"/>
      <c r="BF144" s="27" t="n"/>
      <c r="BG144" s="27" t="n"/>
      <c r="BH144" s="27" t="n"/>
      <c r="BI144" s="29" t="n"/>
      <c r="BJ144" s="27" t="n"/>
      <c r="BK144" s="27" t="n"/>
      <c r="BL144" s="27" t="n"/>
      <c r="BM144" s="27" t="n"/>
    </row>
    <row r="145">
      <c r="A145" s="27" t="n"/>
      <c r="B145" s="27" t="n"/>
      <c r="C145" s="28">
        <f>IF(A145="","",$B$2)</f>
        <v/>
      </c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  <c r="AA145" s="27" t="n"/>
      <c r="AB145" s="27" t="n"/>
      <c r="AC145" s="27" t="n"/>
      <c r="AD145" s="27" t="n"/>
      <c r="AE145" s="27" t="n"/>
      <c r="AF145" s="27" t="n"/>
      <c r="AG145" s="27" t="n"/>
      <c r="AH145" s="27" t="n"/>
      <c r="AI145" s="27" t="n"/>
      <c r="AJ145" s="27" t="n"/>
      <c r="AK145" s="27" t="n"/>
      <c r="AL145" s="27" t="n"/>
      <c r="AM145" s="27" t="n"/>
      <c r="AN145" s="27" t="n"/>
      <c r="AO145" s="27" t="n"/>
      <c r="AP145" s="27" t="n"/>
      <c r="AQ145" s="27" t="n"/>
      <c r="AR145" s="27" t="n"/>
      <c r="AS145" s="27" t="n"/>
      <c r="AT145" s="27" t="n"/>
      <c r="AU145" s="27" t="n"/>
      <c r="AV145" s="27" t="n"/>
      <c r="AW145" s="27" t="n"/>
      <c r="AX145" s="27" t="n"/>
      <c r="AY145" s="27" t="n"/>
      <c r="AZ145" s="27" t="n"/>
      <c r="BA145" s="27" t="n"/>
      <c r="BB145" s="27" t="n"/>
      <c r="BC145" s="27" t="n"/>
      <c r="BD145" s="27" t="n"/>
      <c r="BE145" s="27" t="n"/>
      <c r="BF145" s="27" t="n"/>
      <c r="BG145" s="27" t="n"/>
      <c r="BH145" s="27" t="n"/>
      <c r="BI145" s="29" t="n"/>
      <c r="BJ145" s="27" t="n"/>
      <c r="BK145" s="27" t="n"/>
      <c r="BL145" s="27" t="n"/>
      <c r="BM145" s="27" t="n"/>
    </row>
    <row r="146">
      <c r="A146" s="27" t="n"/>
      <c r="B146" s="27" t="n"/>
      <c r="C146" s="28">
        <f>IF(A146="","",$B$2)</f>
        <v/>
      </c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  <c r="AA146" s="27" t="n"/>
      <c r="AB146" s="27" t="n"/>
      <c r="AC146" s="27" t="n"/>
      <c r="AD146" s="27" t="n"/>
      <c r="AE146" s="27" t="n"/>
      <c r="AF146" s="27" t="n"/>
      <c r="AG146" s="27" t="n"/>
      <c r="AH146" s="27" t="n"/>
      <c r="AI146" s="27" t="n"/>
      <c r="AJ146" s="27" t="n"/>
      <c r="AK146" s="27" t="n"/>
      <c r="AL146" s="27" t="n"/>
      <c r="AM146" s="27" t="n"/>
      <c r="AN146" s="27" t="n"/>
      <c r="AO146" s="27" t="n"/>
      <c r="AP146" s="27" t="n"/>
      <c r="AQ146" s="27" t="n"/>
      <c r="AR146" s="27" t="n"/>
      <c r="AS146" s="27" t="n"/>
      <c r="AT146" s="27" t="n"/>
      <c r="AU146" s="27" t="n"/>
      <c r="AV146" s="27" t="n"/>
      <c r="AW146" s="27" t="n"/>
      <c r="AX146" s="27" t="n"/>
      <c r="AY146" s="27" t="n"/>
      <c r="AZ146" s="27" t="n"/>
      <c r="BA146" s="27" t="n"/>
      <c r="BB146" s="27" t="n"/>
      <c r="BC146" s="27" t="n"/>
      <c r="BD146" s="27" t="n"/>
      <c r="BE146" s="27" t="n"/>
      <c r="BF146" s="27" t="n"/>
      <c r="BG146" s="27" t="n"/>
      <c r="BH146" s="27" t="n"/>
      <c r="BI146" s="29" t="n"/>
      <c r="BJ146" s="27" t="n"/>
      <c r="BK146" s="27" t="n"/>
      <c r="BL146" s="27" t="n"/>
      <c r="BM146" s="27" t="n"/>
    </row>
    <row r="147">
      <c r="A147" s="27" t="n"/>
      <c r="B147" s="27" t="n"/>
      <c r="C147" s="28">
        <f>IF(A147="","",$B$2)</f>
        <v/>
      </c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  <c r="AA147" s="27" t="n"/>
      <c r="AB147" s="27" t="n"/>
      <c r="AC147" s="27" t="n"/>
      <c r="AD147" s="27" t="n"/>
      <c r="AE147" s="27" t="n"/>
      <c r="AF147" s="27" t="n"/>
      <c r="AG147" s="27" t="n"/>
      <c r="AH147" s="27" t="n"/>
      <c r="AI147" s="27" t="n"/>
      <c r="AJ147" s="27" t="n"/>
      <c r="AK147" s="27" t="n"/>
      <c r="AL147" s="27" t="n"/>
      <c r="AM147" s="27" t="n"/>
      <c r="AN147" s="27" t="n"/>
      <c r="AO147" s="27" t="n"/>
      <c r="AP147" s="27" t="n"/>
      <c r="AQ147" s="27" t="n"/>
      <c r="AR147" s="27" t="n"/>
      <c r="AS147" s="27" t="n"/>
      <c r="AT147" s="27" t="n"/>
      <c r="AU147" s="27" t="n"/>
      <c r="AV147" s="27" t="n"/>
      <c r="AW147" s="27" t="n"/>
      <c r="AX147" s="27" t="n"/>
      <c r="AY147" s="27" t="n"/>
      <c r="AZ147" s="27" t="n"/>
      <c r="BA147" s="27" t="n"/>
      <c r="BB147" s="27" t="n"/>
      <c r="BC147" s="27" t="n"/>
      <c r="BD147" s="27" t="n"/>
      <c r="BE147" s="27" t="n"/>
      <c r="BF147" s="27" t="n"/>
      <c r="BG147" s="27" t="n"/>
      <c r="BH147" s="27" t="n"/>
      <c r="BI147" s="29" t="n"/>
      <c r="BJ147" s="27" t="n"/>
      <c r="BK147" s="27" t="n"/>
      <c r="BL147" s="27" t="n"/>
      <c r="BM147" s="27" t="n"/>
    </row>
    <row r="148">
      <c r="A148" s="27" t="n"/>
      <c r="B148" s="27" t="n"/>
      <c r="C148" s="28">
        <f>IF(A148="","",$B$2)</f>
        <v/>
      </c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  <c r="AA148" s="27" t="n"/>
      <c r="AB148" s="27" t="n"/>
      <c r="AC148" s="27" t="n"/>
      <c r="AD148" s="27" t="n"/>
      <c r="AE148" s="27" t="n"/>
      <c r="AF148" s="27" t="n"/>
      <c r="AG148" s="27" t="n"/>
      <c r="AH148" s="27" t="n"/>
      <c r="AI148" s="27" t="n"/>
      <c r="AJ148" s="27" t="n"/>
      <c r="AK148" s="27" t="n"/>
      <c r="AL148" s="27" t="n"/>
      <c r="AM148" s="27" t="n"/>
      <c r="AN148" s="27" t="n"/>
      <c r="AO148" s="27" t="n"/>
      <c r="AP148" s="27" t="n"/>
      <c r="AQ148" s="27" t="n"/>
      <c r="AR148" s="27" t="n"/>
      <c r="AS148" s="27" t="n"/>
      <c r="AT148" s="27" t="n"/>
      <c r="AU148" s="27" t="n"/>
      <c r="AV148" s="27" t="n"/>
      <c r="AW148" s="27" t="n"/>
      <c r="AX148" s="27" t="n"/>
      <c r="AY148" s="27" t="n"/>
      <c r="AZ148" s="27" t="n"/>
      <c r="BA148" s="27" t="n"/>
      <c r="BB148" s="27" t="n"/>
      <c r="BC148" s="27" t="n"/>
      <c r="BD148" s="27" t="n"/>
      <c r="BE148" s="27" t="n"/>
      <c r="BF148" s="27" t="n"/>
      <c r="BG148" s="27" t="n"/>
      <c r="BH148" s="27" t="n"/>
      <c r="BI148" s="29" t="n"/>
      <c r="BJ148" s="27" t="n"/>
      <c r="BK148" s="27" t="n"/>
      <c r="BL148" s="27" t="n"/>
      <c r="BM148" s="27" t="n"/>
    </row>
    <row r="149">
      <c r="A149" s="27" t="n"/>
      <c r="B149" s="27" t="n"/>
      <c r="C149" s="28">
        <f>IF(A149="","",$B$2)</f>
        <v/>
      </c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  <c r="AA149" s="27" t="n"/>
      <c r="AB149" s="27" t="n"/>
      <c r="AC149" s="27" t="n"/>
      <c r="AD149" s="27" t="n"/>
      <c r="AE149" s="27" t="n"/>
      <c r="AF149" s="27" t="n"/>
      <c r="AG149" s="27" t="n"/>
      <c r="AH149" s="27" t="n"/>
      <c r="AI149" s="27" t="n"/>
      <c r="AJ149" s="27" t="n"/>
      <c r="AK149" s="27" t="n"/>
      <c r="AL149" s="27" t="n"/>
      <c r="AM149" s="27" t="n"/>
      <c r="AN149" s="27" t="n"/>
      <c r="AO149" s="27" t="n"/>
      <c r="AP149" s="27" t="n"/>
      <c r="AQ149" s="27" t="n"/>
      <c r="AR149" s="27" t="n"/>
      <c r="AS149" s="27" t="n"/>
      <c r="AT149" s="27" t="n"/>
      <c r="AU149" s="27" t="n"/>
      <c r="AV149" s="27" t="n"/>
      <c r="AW149" s="27" t="n"/>
      <c r="AX149" s="27" t="n"/>
      <c r="AY149" s="27" t="n"/>
      <c r="AZ149" s="27" t="n"/>
      <c r="BA149" s="27" t="n"/>
      <c r="BB149" s="27" t="n"/>
      <c r="BC149" s="27" t="n"/>
      <c r="BD149" s="27" t="n"/>
      <c r="BE149" s="27" t="n"/>
      <c r="BF149" s="27" t="n"/>
      <c r="BG149" s="27" t="n"/>
      <c r="BH149" s="27" t="n"/>
      <c r="BI149" s="29" t="n"/>
      <c r="BJ149" s="27" t="n"/>
      <c r="BK149" s="27" t="n"/>
      <c r="BL149" s="27" t="n"/>
      <c r="BM149" s="27" t="n"/>
    </row>
    <row r="150">
      <c r="A150" s="27" t="n"/>
      <c r="B150" s="27" t="n"/>
      <c r="C150" s="28">
        <f>IF(A150="","",$B$2)</f>
        <v/>
      </c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  <c r="AA150" s="27" t="n"/>
      <c r="AB150" s="27" t="n"/>
      <c r="AC150" s="27" t="n"/>
      <c r="AD150" s="27" t="n"/>
      <c r="AE150" s="27" t="n"/>
      <c r="AF150" s="27" t="n"/>
      <c r="AG150" s="27" t="n"/>
      <c r="AH150" s="27" t="n"/>
      <c r="AI150" s="27" t="n"/>
      <c r="AJ150" s="27" t="n"/>
      <c r="AK150" s="27" t="n"/>
      <c r="AL150" s="27" t="n"/>
      <c r="AM150" s="27" t="n"/>
      <c r="AN150" s="27" t="n"/>
      <c r="AO150" s="27" t="n"/>
      <c r="AP150" s="27" t="n"/>
      <c r="AQ150" s="27" t="n"/>
      <c r="AR150" s="27" t="n"/>
      <c r="AS150" s="27" t="n"/>
      <c r="AT150" s="27" t="n"/>
      <c r="AU150" s="27" t="n"/>
      <c r="AV150" s="27" t="n"/>
      <c r="AW150" s="27" t="n"/>
      <c r="AX150" s="27" t="n"/>
      <c r="AY150" s="27" t="n"/>
      <c r="AZ150" s="27" t="n"/>
      <c r="BA150" s="27" t="n"/>
      <c r="BB150" s="27" t="n"/>
      <c r="BC150" s="27" t="n"/>
      <c r="BD150" s="27" t="n"/>
      <c r="BE150" s="27" t="n"/>
      <c r="BF150" s="27" t="n"/>
      <c r="BG150" s="27" t="n"/>
      <c r="BH150" s="27" t="n"/>
      <c r="BI150" s="29" t="n"/>
      <c r="BJ150" s="27" t="n"/>
      <c r="BK150" s="27" t="n"/>
      <c r="BL150" s="27" t="n"/>
      <c r="BM150" s="27" t="n"/>
    </row>
    <row r="151">
      <c r="A151" s="27" t="n"/>
      <c r="B151" s="27" t="n"/>
      <c r="C151" s="28">
        <f>IF(A151="","",$B$2)</f>
        <v/>
      </c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  <c r="AA151" s="27" t="n"/>
      <c r="AB151" s="27" t="n"/>
      <c r="AC151" s="27" t="n"/>
      <c r="AD151" s="27" t="n"/>
      <c r="AE151" s="27" t="n"/>
      <c r="AF151" s="27" t="n"/>
      <c r="AG151" s="27" t="n"/>
      <c r="AH151" s="27" t="n"/>
      <c r="AI151" s="27" t="n"/>
      <c r="AJ151" s="27" t="n"/>
      <c r="AK151" s="27" t="n"/>
      <c r="AL151" s="27" t="n"/>
      <c r="AM151" s="27" t="n"/>
      <c r="AN151" s="27" t="n"/>
      <c r="AO151" s="27" t="n"/>
      <c r="AP151" s="27" t="n"/>
      <c r="AQ151" s="27" t="n"/>
      <c r="AR151" s="27" t="n"/>
      <c r="AS151" s="27" t="n"/>
      <c r="AT151" s="27" t="n"/>
      <c r="AU151" s="27" t="n"/>
      <c r="AV151" s="27" t="n"/>
      <c r="AW151" s="27" t="n"/>
      <c r="AX151" s="27" t="n"/>
      <c r="AY151" s="27" t="n"/>
      <c r="AZ151" s="27" t="n"/>
      <c r="BA151" s="27" t="n"/>
      <c r="BB151" s="27" t="n"/>
      <c r="BC151" s="27" t="n"/>
      <c r="BD151" s="27" t="n"/>
      <c r="BE151" s="27" t="n"/>
      <c r="BF151" s="27" t="n"/>
      <c r="BG151" s="27" t="n"/>
      <c r="BH151" s="27" t="n"/>
      <c r="BI151" s="29" t="n"/>
      <c r="BJ151" s="27" t="n"/>
      <c r="BK151" s="27" t="n"/>
      <c r="BL151" s="27" t="n"/>
      <c r="BM151" s="27" t="n"/>
    </row>
    <row r="152">
      <c r="A152" s="27" t="n"/>
      <c r="B152" s="27" t="n"/>
      <c r="C152" s="28">
        <f>IF(A152="","",$B$2)</f>
        <v/>
      </c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  <c r="AA152" s="27" t="n"/>
      <c r="AB152" s="27" t="n"/>
      <c r="AC152" s="27" t="n"/>
      <c r="AD152" s="27" t="n"/>
      <c r="AE152" s="27" t="n"/>
      <c r="AF152" s="27" t="n"/>
      <c r="AG152" s="27" t="n"/>
      <c r="AH152" s="27" t="n"/>
      <c r="AI152" s="27" t="n"/>
      <c r="AJ152" s="27" t="n"/>
      <c r="AK152" s="27" t="n"/>
      <c r="AL152" s="27" t="n"/>
      <c r="AM152" s="27" t="n"/>
      <c r="AN152" s="27" t="n"/>
      <c r="AO152" s="27" t="n"/>
      <c r="AP152" s="27" t="n"/>
      <c r="AQ152" s="27" t="n"/>
      <c r="AR152" s="27" t="n"/>
      <c r="AS152" s="27" t="n"/>
      <c r="AT152" s="27" t="n"/>
      <c r="AU152" s="27" t="n"/>
      <c r="AV152" s="27" t="n"/>
      <c r="AW152" s="27" t="n"/>
      <c r="AX152" s="27" t="n"/>
      <c r="AY152" s="27" t="n"/>
      <c r="AZ152" s="27" t="n"/>
      <c r="BA152" s="27" t="n"/>
      <c r="BB152" s="27" t="n"/>
      <c r="BC152" s="27" t="n"/>
      <c r="BD152" s="27" t="n"/>
      <c r="BE152" s="27" t="n"/>
      <c r="BF152" s="27" t="n"/>
      <c r="BG152" s="27" t="n"/>
      <c r="BH152" s="27" t="n"/>
      <c r="BI152" s="29" t="n"/>
      <c r="BJ152" s="27" t="n"/>
      <c r="BK152" s="27" t="n"/>
      <c r="BL152" s="27" t="n"/>
      <c r="BM152" s="27" t="n"/>
    </row>
    <row r="153">
      <c r="A153" s="27" t="n"/>
      <c r="B153" s="27" t="n"/>
      <c r="C153" s="28">
        <f>IF(A153="","",$B$2)</f>
        <v/>
      </c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  <c r="AA153" s="27" t="n"/>
      <c r="AB153" s="27" t="n"/>
      <c r="AC153" s="27" t="n"/>
      <c r="AD153" s="27" t="n"/>
      <c r="AE153" s="27" t="n"/>
      <c r="AF153" s="27" t="n"/>
      <c r="AG153" s="27" t="n"/>
      <c r="AH153" s="27" t="n"/>
      <c r="AI153" s="27" t="n"/>
      <c r="AJ153" s="27" t="n"/>
      <c r="AK153" s="27" t="n"/>
      <c r="AL153" s="27" t="n"/>
      <c r="AM153" s="27" t="n"/>
      <c r="AN153" s="27" t="n"/>
      <c r="AO153" s="27" t="n"/>
      <c r="AP153" s="27" t="n"/>
      <c r="AQ153" s="27" t="n"/>
      <c r="AR153" s="27" t="n"/>
      <c r="AS153" s="27" t="n"/>
      <c r="AT153" s="27" t="n"/>
      <c r="AU153" s="27" t="n"/>
      <c r="AV153" s="27" t="n"/>
      <c r="AW153" s="27" t="n"/>
      <c r="AX153" s="27" t="n"/>
      <c r="AY153" s="27" t="n"/>
      <c r="AZ153" s="27" t="n"/>
      <c r="BA153" s="27" t="n"/>
      <c r="BB153" s="27" t="n"/>
      <c r="BC153" s="27" t="n"/>
      <c r="BD153" s="27" t="n"/>
      <c r="BE153" s="27" t="n"/>
      <c r="BF153" s="27" t="n"/>
      <c r="BG153" s="27" t="n"/>
      <c r="BH153" s="27" t="n"/>
      <c r="BI153" s="29" t="n"/>
      <c r="BJ153" s="27" t="n"/>
      <c r="BK153" s="27" t="n"/>
      <c r="BL153" s="27" t="n"/>
      <c r="BM153" s="27" t="n"/>
    </row>
    <row r="154">
      <c r="A154" s="27" t="n"/>
      <c r="B154" s="27" t="n"/>
      <c r="C154" s="28">
        <f>IF(A154="","",$B$2)</f>
        <v/>
      </c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  <c r="AA154" s="27" t="n"/>
      <c r="AB154" s="27" t="n"/>
      <c r="AC154" s="27" t="n"/>
      <c r="AD154" s="27" t="n"/>
      <c r="AE154" s="27" t="n"/>
      <c r="AF154" s="27" t="n"/>
      <c r="AG154" s="27" t="n"/>
      <c r="AH154" s="27" t="n"/>
      <c r="AI154" s="27" t="n"/>
      <c r="AJ154" s="27" t="n"/>
      <c r="AK154" s="27" t="n"/>
      <c r="AL154" s="27" t="n"/>
      <c r="AM154" s="27" t="n"/>
      <c r="AN154" s="27" t="n"/>
      <c r="AO154" s="27" t="n"/>
      <c r="AP154" s="27" t="n"/>
      <c r="AQ154" s="27" t="n"/>
      <c r="AR154" s="27" t="n"/>
      <c r="AS154" s="27" t="n"/>
      <c r="AT154" s="27" t="n"/>
      <c r="AU154" s="27" t="n"/>
      <c r="AV154" s="27" t="n"/>
      <c r="AW154" s="27" t="n"/>
      <c r="AX154" s="27" t="n"/>
      <c r="AY154" s="27" t="n"/>
      <c r="AZ154" s="27" t="n"/>
      <c r="BA154" s="27" t="n"/>
      <c r="BB154" s="27" t="n"/>
      <c r="BC154" s="27" t="n"/>
      <c r="BD154" s="27" t="n"/>
      <c r="BE154" s="27" t="n"/>
      <c r="BF154" s="27" t="n"/>
      <c r="BG154" s="27" t="n"/>
      <c r="BH154" s="27" t="n"/>
      <c r="BI154" s="29" t="n"/>
      <c r="BJ154" s="27" t="n"/>
      <c r="BK154" s="27" t="n"/>
      <c r="BL154" s="27" t="n"/>
      <c r="BM154" s="27" t="n"/>
    </row>
    <row r="155">
      <c r="A155" s="27" t="n"/>
      <c r="B155" s="27" t="n"/>
      <c r="C155" s="28">
        <f>IF(A155="","",$B$2)</f>
        <v/>
      </c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  <c r="AA155" s="27" t="n"/>
      <c r="AB155" s="27" t="n"/>
      <c r="AC155" s="27" t="n"/>
      <c r="AD155" s="27" t="n"/>
      <c r="AE155" s="27" t="n"/>
      <c r="AF155" s="27" t="n"/>
      <c r="AG155" s="27" t="n"/>
      <c r="AH155" s="27" t="n"/>
      <c r="AI155" s="27" t="n"/>
      <c r="AJ155" s="27" t="n"/>
      <c r="AK155" s="27" t="n"/>
      <c r="AL155" s="27" t="n"/>
      <c r="AM155" s="27" t="n"/>
      <c r="AN155" s="27" t="n"/>
      <c r="AO155" s="27" t="n"/>
      <c r="AP155" s="27" t="n"/>
      <c r="AQ155" s="27" t="n"/>
      <c r="AR155" s="27" t="n"/>
      <c r="AS155" s="27" t="n"/>
      <c r="AT155" s="27" t="n"/>
      <c r="AU155" s="27" t="n"/>
      <c r="AV155" s="27" t="n"/>
      <c r="AW155" s="27" t="n"/>
      <c r="AX155" s="27" t="n"/>
      <c r="AY155" s="27" t="n"/>
      <c r="AZ155" s="27" t="n"/>
      <c r="BA155" s="27" t="n"/>
      <c r="BB155" s="27" t="n"/>
      <c r="BC155" s="27" t="n"/>
      <c r="BD155" s="27" t="n"/>
      <c r="BE155" s="27" t="n"/>
      <c r="BF155" s="27" t="n"/>
      <c r="BG155" s="27" t="n"/>
      <c r="BH155" s="27" t="n"/>
      <c r="BI155" s="29" t="n"/>
      <c r="BJ155" s="27" t="n"/>
      <c r="BK155" s="27" t="n"/>
      <c r="BL155" s="27" t="n"/>
      <c r="BM155" s="27" t="n"/>
    </row>
    <row r="156">
      <c r="A156" s="27" t="n"/>
      <c r="B156" s="27" t="n"/>
      <c r="C156" s="28">
        <f>IF(A156="","",$B$2)</f>
        <v/>
      </c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  <c r="AA156" s="27" t="n"/>
      <c r="AB156" s="27" t="n"/>
      <c r="AC156" s="27" t="n"/>
      <c r="AD156" s="27" t="n"/>
      <c r="AE156" s="27" t="n"/>
      <c r="AF156" s="27" t="n"/>
      <c r="AG156" s="27" t="n"/>
      <c r="AH156" s="27" t="n"/>
      <c r="AI156" s="27" t="n"/>
      <c r="AJ156" s="27" t="n"/>
      <c r="AK156" s="27" t="n"/>
      <c r="AL156" s="27" t="n"/>
      <c r="AM156" s="27" t="n"/>
      <c r="AN156" s="27" t="n"/>
      <c r="AO156" s="27" t="n"/>
      <c r="AP156" s="27" t="n"/>
      <c r="AQ156" s="27" t="n"/>
      <c r="AR156" s="27" t="n"/>
      <c r="AS156" s="27" t="n"/>
      <c r="AT156" s="27" t="n"/>
      <c r="AU156" s="27" t="n"/>
      <c r="AV156" s="27" t="n"/>
      <c r="AW156" s="27" t="n"/>
      <c r="AX156" s="27" t="n"/>
      <c r="AY156" s="27" t="n"/>
      <c r="AZ156" s="27" t="n"/>
      <c r="BA156" s="27" t="n"/>
      <c r="BB156" s="27" t="n"/>
      <c r="BC156" s="27" t="n"/>
      <c r="BD156" s="27" t="n"/>
      <c r="BE156" s="27" t="n"/>
      <c r="BF156" s="27" t="n"/>
      <c r="BG156" s="27" t="n"/>
      <c r="BH156" s="27" t="n"/>
      <c r="BI156" s="29" t="n"/>
      <c r="BJ156" s="27" t="n"/>
      <c r="BK156" s="27" t="n"/>
      <c r="BL156" s="27" t="n"/>
      <c r="BM156" s="27" t="n"/>
    </row>
    <row r="157">
      <c r="A157" s="27" t="n"/>
      <c r="B157" s="27" t="n"/>
      <c r="C157" s="28">
        <f>IF(A157="","",$B$2)</f>
        <v/>
      </c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  <c r="AA157" s="27" t="n"/>
      <c r="AB157" s="27" t="n"/>
      <c r="AC157" s="27" t="n"/>
      <c r="AD157" s="27" t="n"/>
      <c r="AE157" s="27" t="n"/>
      <c r="AF157" s="27" t="n"/>
      <c r="AG157" s="27" t="n"/>
      <c r="AH157" s="27" t="n"/>
      <c r="AI157" s="27" t="n"/>
      <c r="AJ157" s="27" t="n"/>
      <c r="AK157" s="27" t="n"/>
      <c r="AL157" s="27" t="n"/>
      <c r="AM157" s="27" t="n"/>
      <c r="AN157" s="27" t="n"/>
      <c r="AO157" s="27" t="n"/>
      <c r="AP157" s="27" t="n"/>
      <c r="AQ157" s="27" t="n"/>
      <c r="AR157" s="27" t="n"/>
      <c r="AS157" s="27" t="n"/>
      <c r="AT157" s="27" t="n"/>
      <c r="AU157" s="27" t="n"/>
      <c r="AV157" s="27" t="n"/>
      <c r="AW157" s="27" t="n"/>
      <c r="AX157" s="27" t="n"/>
      <c r="AY157" s="27" t="n"/>
      <c r="AZ157" s="27" t="n"/>
      <c r="BA157" s="27" t="n"/>
      <c r="BB157" s="27" t="n"/>
      <c r="BC157" s="27" t="n"/>
      <c r="BD157" s="27" t="n"/>
      <c r="BE157" s="27" t="n"/>
      <c r="BF157" s="27" t="n"/>
      <c r="BG157" s="27" t="n"/>
      <c r="BH157" s="27" t="n"/>
      <c r="BI157" s="29" t="n"/>
      <c r="BJ157" s="27" t="n"/>
      <c r="BK157" s="27" t="n"/>
      <c r="BL157" s="27" t="n"/>
      <c r="BM157" s="27" t="n"/>
    </row>
    <row r="158">
      <c r="A158" s="27" t="n"/>
      <c r="B158" s="27" t="n"/>
      <c r="C158" s="28">
        <f>IF(A158="","",$B$2)</f>
        <v/>
      </c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  <c r="AA158" s="27" t="n"/>
      <c r="AB158" s="27" t="n"/>
      <c r="AC158" s="27" t="n"/>
      <c r="AD158" s="27" t="n"/>
      <c r="AE158" s="27" t="n"/>
      <c r="AF158" s="27" t="n"/>
      <c r="AG158" s="27" t="n"/>
      <c r="AH158" s="27" t="n"/>
      <c r="AI158" s="27" t="n"/>
      <c r="AJ158" s="27" t="n"/>
      <c r="AK158" s="27" t="n"/>
      <c r="AL158" s="27" t="n"/>
      <c r="AM158" s="27" t="n"/>
      <c r="AN158" s="27" t="n"/>
      <c r="AO158" s="27" t="n"/>
      <c r="AP158" s="27" t="n"/>
      <c r="AQ158" s="27" t="n"/>
      <c r="AR158" s="27" t="n"/>
      <c r="AS158" s="27" t="n"/>
      <c r="AT158" s="27" t="n"/>
      <c r="AU158" s="27" t="n"/>
      <c r="AV158" s="27" t="n"/>
      <c r="AW158" s="27" t="n"/>
      <c r="AX158" s="27" t="n"/>
      <c r="AY158" s="27" t="n"/>
      <c r="AZ158" s="27" t="n"/>
      <c r="BA158" s="27" t="n"/>
      <c r="BB158" s="27" t="n"/>
      <c r="BC158" s="27" t="n"/>
      <c r="BD158" s="27" t="n"/>
      <c r="BE158" s="27" t="n"/>
      <c r="BF158" s="27" t="n"/>
      <c r="BG158" s="27" t="n"/>
      <c r="BH158" s="27" t="n"/>
      <c r="BI158" s="29" t="n"/>
      <c r="BJ158" s="27" t="n"/>
      <c r="BK158" s="27" t="n"/>
      <c r="BL158" s="27" t="n"/>
      <c r="BM158" s="27" t="n"/>
    </row>
    <row r="159">
      <c r="A159" s="27" t="n"/>
      <c r="B159" s="27" t="n"/>
      <c r="C159" s="28">
        <f>IF(A159="","",$B$2)</f>
        <v/>
      </c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  <c r="AA159" s="27" t="n"/>
      <c r="AB159" s="27" t="n"/>
      <c r="AC159" s="27" t="n"/>
      <c r="AD159" s="27" t="n"/>
      <c r="AE159" s="27" t="n"/>
      <c r="AF159" s="27" t="n"/>
      <c r="AG159" s="27" t="n"/>
      <c r="AH159" s="27" t="n"/>
      <c r="AI159" s="27" t="n"/>
      <c r="AJ159" s="27" t="n"/>
      <c r="AK159" s="27" t="n"/>
      <c r="AL159" s="27" t="n"/>
      <c r="AM159" s="27" t="n"/>
      <c r="AN159" s="27" t="n"/>
      <c r="AO159" s="27" t="n"/>
      <c r="AP159" s="27" t="n"/>
      <c r="AQ159" s="27" t="n"/>
      <c r="AR159" s="27" t="n"/>
      <c r="AS159" s="27" t="n"/>
      <c r="AT159" s="27" t="n"/>
      <c r="AU159" s="27" t="n"/>
      <c r="AV159" s="27" t="n"/>
      <c r="AW159" s="27" t="n"/>
      <c r="AX159" s="27" t="n"/>
      <c r="AY159" s="27" t="n"/>
      <c r="AZ159" s="27" t="n"/>
      <c r="BA159" s="27" t="n"/>
      <c r="BB159" s="27" t="n"/>
      <c r="BC159" s="27" t="n"/>
      <c r="BD159" s="27" t="n"/>
      <c r="BE159" s="27" t="n"/>
      <c r="BF159" s="27" t="n"/>
      <c r="BG159" s="27" t="n"/>
      <c r="BH159" s="27" t="n"/>
      <c r="BI159" s="29" t="n"/>
      <c r="BJ159" s="27" t="n"/>
      <c r="BK159" s="27" t="n"/>
      <c r="BL159" s="27" t="n"/>
      <c r="BM159" s="27" t="n"/>
    </row>
    <row r="160">
      <c r="A160" s="27" t="n"/>
      <c r="B160" s="27" t="n"/>
      <c r="C160" s="28">
        <f>IF(A160="","",$B$2)</f>
        <v/>
      </c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  <c r="AA160" s="27" t="n"/>
      <c r="AB160" s="27" t="n"/>
      <c r="AC160" s="27" t="n"/>
      <c r="AD160" s="27" t="n"/>
      <c r="AE160" s="27" t="n"/>
      <c r="AF160" s="27" t="n"/>
      <c r="AG160" s="27" t="n"/>
      <c r="AH160" s="27" t="n"/>
      <c r="AI160" s="27" t="n"/>
      <c r="AJ160" s="27" t="n"/>
      <c r="AK160" s="27" t="n"/>
      <c r="AL160" s="27" t="n"/>
      <c r="AM160" s="27" t="n"/>
      <c r="AN160" s="27" t="n"/>
      <c r="AO160" s="27" t="n"/>
      <c r="AP160" s="27" t="n"/>
      <c r="AQ160" s="27" t="n"/>
      <c r="AR160" s="27" t="n"/>
      <c r="AS160" s="27" t="n"/>
      <c r="AT160" s="27" t="n"/>
      <c r="AU160" s="27" t="n"/>
      <c r="AV160" s="27" t="n"/>
      <c r="AW160" s="27" t="n"/>
      <c r="AX160" s="27" t="n"/>
      <c r="AY160" s="27" t="n"/>
      <c r="AZ160" s="27" t="n"/>
      <c r="BA160" s="27" t="n"/>
      <c r="BB160" s="27" t="n"/>
      <c r="BC160" s="27" t="n"/>
      <c r="BD160" s="27" t="n"/>
      <c r="BE160" s="27" t="n"/>
      <c r="BF160" s="27" t="n"/>
      <c r="BG160" s="27" t="n"/>
      <c r="BH160" s="27" t="n"/>
      <c r="BI160" s="29" t="n"/>
      <c r="BJ160" s="27" t="n"/>
      <c r="BK160" s="27" t="n"/>
      <c r="BL160" s="27" t="n"/>
      <c r="BM160" s="27" t="n"/>
    </row>
    <row r="161">
      <c r="A161" s="27" t="n"/>
      <c r="B161" s="27" t="n"/>
      <c r="C161" s="28">
        <f>IF(A161="","",$B$2)</f>
        <v/>
      </c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  <c r="AA161" s="27" t="n"/>
      <c r="AB161" s="27" t="n"/>
      <c r="AC161" s="27" t="n"/>
      <c r="AD161" s="27" t="n"/>
      <c r="AE161" s="27" t="n"/>
      <c r="AF161" s="27" t="n"/>
      <c r="AG161" s="27" t="n"/>
      <c r="AH161" s="27" t="n"/>
      <c r="AI161" s="27" t="n"/>
      <c r="AJ161" s="27" t="n"/>
      <c r="AK161" s="27" t="n"/>
      <c r="AL161" s="27" t="n"/>
      <c r="AM161" s="27" t="n"/>
      <c r="AN161" s="27" t="n"/>
      <c r="AO161" s="27" t="n"/>
      <c r="AP161" s="27" t="n"/>
      <c r="AQ161" s="27" t="n"/>
      <c r="AR161" s="27" t="n"/>
      <c r="AS161" s="27" t="n"/>
      <c r="AT161" s="27" t="n"/>
      <c r="AU161" s="27" t="n"/>
      <c r="AV161" s="27" t="n"/>
      <c r="AW161" s="27" t="n"/>
      <c r="AX161" s="27" t="n"/>
      <c r="AY161" s="27" t="n"/>
      <c r="AZ161" s="27" t="n"/>
      <c r="BA161" s="27" t="n"/>
      <c r="BB161" s="27" t="n"/>
      <c r="BC161" s="27" t="n"/>
      <c r="BD161" s="27" t="n"/>
      <c r="BE161" s="27" t="n"/>
      <c r="BF161" s="27" t="n"/>
      <c r="BG161" s="27" t="n"/>
      <c r="BH161" s="27" t="n"/>
      <c r="BI161" s="29" t="n"/>
      <c r="BJ161" s="27" t="n"/>
      <c r="BK161" s="27" t="n"/>
      <c r="BL161" s="27" t="n"/>
      <c r="BM161" s="27" t="n"/>
    </row>
    <row r="162">
      <c r="A162" s="27" t="n"/>
      <c r="B162" s="27" t="n"/>
      <c r="C162" s="28">
        <f>IF(A162="","",$B$2)</f>
        <v/>
      </c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  <c r="AA162" s="27" t="n"/>
      <c r="AB162" s="27" t="n"/>
      <c r="AC162" s="27" t="n"/>
      <c r="AD162" s="27" t="n"/>
      <c r="AE162" s="27" t="n"/>
      <c r="AF162" s="27" t="n"/>
      <c r="AG162" s="27" t="n"/>
      <c r="AH162" s="27" t="n"/>
      <c r="AI162" s="27" t="n"/>
      <c r="AJ162" s="27" t="n"/>
      <c r="AK162" s="27" t="n"/>
      <c r="AL162" s="27" t="n"/>
      <c r="AM162" s="27" t="n"/>
      <c r="AN162" s="27" t="n"/>
      <c r="AO162" s="27" t="n"/>
      <c r="AP162" s="27" t="n"/>
      <c r="AQ162" s="27" t="n"/>
      <c r="AR162" s="27" t="n"/>
      <c r="AS162" s="27" t="n"/>
      <c r="AT162" s="27" t="n"/>
      <c r="AU162" s="27" t="n"/>
      <c r="AV162" s="27" t="n"/>
      <c r="AW162" s="27" t="n"/>
      <c r="AX162" s="27" t="n"/>
      <c r="AY162" s="27" t="n"/>
      <c r="AZ162" s="27" t="n"/>
      <c r="BA162" s="27" t="n"/>
      <c r="BB162" s="27" t="n"/>
      <c r="BC162" s="27" t="n"/>
      <c r="BD162" s="27" t="n"/>
      <c r="BE162" s="27" t="n"/>
      <c r="BF162" s="27" t="n"/>
      <c r="BG162" s="27" t="n"/>
      <c r="BH162" s="27" t="n"/>
      <c r="BI162" s="29" t="n"/>
      <c r="BJ162" s="27" t="n"/>
      <c r="BK162" s="27" t="n"/>
      <c r="BL162" s="27" t="n"/>
      <c r="BM162" s="27" t="n"/>
    </row>
    <row r="163">
      <c r="A163" s="27" t="n"/>
      <c r="B163" s="27" t="n"/>
      <c r="C163" s="28">
        <f>IF(A163="","",$B$2)</f>
        <v/>
      </c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  <c r="AA163" s="27" t="n"/>
      <c r="AB163" s="27" t="n"/>
      <c r="AC163" s="27" t="n"/>
      <c r="AD163" s="27" t="n"/>
      <c r="AE163" s="27" t="n"/>
      <c r="AF163" s="27" t="n"/>
      <c r="AG163" s="27" t="n"/>
      <c r="AH163" s="27" t="n"/>
      <c r="AI163" s="27" t="n"/>
      <c r="AJ163" s="27" t="n"/>
      <c r="AK163" s="27" t="n"/>
      <c r="AL163" s="27" t="n"/>
      <c r="AM163" s="27" t="n"/>
      <c r="AN163" s="27" t="n"/>
      <c r="AO163" s="27" t="n"/>
      <c r="AP163" s="27" t="n"/>
      <c r="AQ163" s="27" t="n"/>
      <c r="AR163" s="27" t="n"/>
      <c r="AS163" s="27" t="n"/>
      <c r="AT163" s="27" t="n"/>
      <c r="AU163" s="27" t="n"/>
      <c r="AV163" s="27" t="n"/>
      <c r="AW163" s="27" t="n"/>
      <c r="AX163" s="27" t="n"/>
      <c r="AY163" s="27" t="n"/>
      <c r="AZ163" s="27" t="n"/>
      <c r="BA163" s="27" t="n"/>
      <c r="BB163" s="27" t="n"/>
      <c r="BC163" s="27" t="n"/>
      <c r="BD163" s="27" t="n"/>
      <c r="BE163" s="27" t="n"/>
      <c r="BF163" s="27" t="n"/>
      <c r="BG163" s="27" t="n"/>
      <c r="BH163" s="27" t="n"/>
      <c r="BI163" s="29" t="n"/>
      <c r="BJ163" s="27" t="n"/>
      <c r="BK163" s="27" t="n"/>
      <c r="BL163" s="27" t="n"/>
      <c r="BM163" s="27" t="n"/>
    </row>
    <row r="164">
      <c r="A164" s="27" t="n"/>
      <c r="B164" s="27" t="n"/>
      <c r="C164" s="28">
        <f>IF(A164="","",$B$2)</f>
        <v/>
      </c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  <c r="AA164" s="27" t="n"/>
      <c r="AB164" s="27" t="n"/>
      <c r="AC164" s="27" t="n"/>
      <c r="AD164" s="27" t="n"/>
      <c r="AE164" s="27" t="n"/>
      <c r="AF164" s="27" t="n"/>
      <c r="AG164" s="27" t="n"/>
      <c r="AH164" s="27" t="n"/>
      <c r="AI164" s="27" t="n"/>
      <c r="AJ164" s="27" t="n"/>
      <c r="AK164" s="27" t="n"/>
      <c r="AL164" s="27" t="n"/>
      <c r="AM164" s="27" t="n"/>
      <c r="AN164" s="27" t="n"/>
      <c r="AO164" s="27" t="n"/>
      <c r="AP164" s="27" t="n"/>
      <c r="AQ164" s="27" t="n"/>
      <c r="AR164" s="27" t="n"/>
      <c r="AS164" s="27" t="n"/>
      <c r="AT164" s="27" t="n"/>
      <c r="AU164" s="27" t="n"/>
      <c r="AV164" s="27" t="n"/>
      <c r="AW164" s="27" t="n"/>
      <c r="AX164" s="27" t="n"/>
      <c r="AY164" s="27" t="n"/>
      <c r="AZ164" s="27" t="n"/>
      <c r="BA164" s="27" t="n"/>
      <c r="BB164" s="27" t="n"/>
      <c r="BC164" s="27" t="n"/>
      <c r="BD164" s="27" t="n"/>
      <c r="BE164" s="27" t="n"/>
      <c r="BF164" s="27" t="n"/>
      <c r="BG164" s="27" t="n"/>
      <c r="BH164" s="27" t="n"/>
      <c r="BI164" s="29" t="n"/>
      <c r="BJ164" s="27" t="n"/>
      <c r="BK164" s="27" t="n"/>
      <c r="BL164" s="27" t="n"/>
      <c r="BM164" s="27" t="n"/>
    </row>
    <row r="165">
      <c r="A165" s="27" t="n"/>
      <c r="B165" s="27" t="n"/>
      <c r="C165" s="28">
        <f>IF(A165="","",$B$2)</f>
        <v/>
      </c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  <c r="AA165" s="27" t="n"/>
      <c r="AB165" s="27" t="n"/>
      <c r="AC165" s="27" t="n"/>
      <c r="AD165" s="27" t="n"/>
      <c r="AE165" s="27" t="n"/>
      <c r="AF165" s="27" t="n"/>
      <c r="AG165" s="27" t="n"/>
      <c r="AH165" s="27" t="n"/>
      <c r="AI165" s="27" t="n"/>
      <c r="AJ165" s="27" t="n"/>
      <c r="AK165" s="27" t="n"/>
      <c r="AL165" s="27" t="n"/>
      <c r="AM165" s="27" t="n"/>
      <c r="AN165" s="27" t="n"/>
      <c r="AO165" s="27" t="n"/>
      <c r="AP165" s="27" t="n"/>
      <c r="AQ165" s="27" t="n"/>
      <c r="AR165" s="27" t="n"/>
      <c r="AS165" s="27" t="n"/>
      <c r="AT165" s="27" t="n"/>
      <c r="AU165" s="27" t="n"/>
      <c r="AV165" s="27" t="n"/>
      <c r="AW165" s="27" t="n"/>
      <c r="AX165" s="27" t="n"/>
      <c r="AY165" s="27" t="n"/>
      <c r="AZ165" s="27" t="n"/>
      <c r="BA165" s="27" t="n"/>
      <c r="BB165" s="27" t="n"/>
      <c r="BC165" s="27" t="n"/>
      <c r="BD165" s="27" t="n"/>
      <c r="BE165" s="27" t="n"/>
      <c r="BF165" s="27" t="n"/>
      <c r="BG165" s="27" t="n"/>
      <c r="BH165" s="27" t="n"/>
      <c r="BI165" s="29" t="n"/>
      <c r="BJ165" s="27" t="n"/>
      <c r="BK165" s="27" t="n"/>
      <c r="BL165" s="27" t="n"/>
      <c r="BM165" s="27" t="n"/>
    </row>
    <row r="166">
      <c r="A166" s="27" t="n"/>
      <c r="B166" s="27" t="n"/>
      <c r="C166" s="28">
        <f>IF(A166="","",$B$2)</f>
        <v/>
      </c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  <c r="AA166" s="27" t="n"/>
      <c r="AB166" s="27" t="n"/>
      <c r="AC166" s="27" t="n"/>
      <c r="AD166" s="27" t="n"/>
      <c r="AE166" s="27" t="n"/>
      <c r="AF166" s="27" t="n"/>
      <c r="AG166" s="27" t="n"/>
      <c r="AH166" s="27" t="n"/>
      <c r="AI166" s="27" t="n"/>
      <c r="AJ166" s="27" t="n"/>
      <c r="AK166" s="27" t="n"/>
      <c r="AL166" s="27" t="n"/>
      <c r="AM166" s="27" t="n"/>
      <c r="AN166" s="27" t="n"/>
      <c r="AO166" s="27" t="n"/>
      <c r="AP166" s="27" t="n"/>
      <c r="AQ166" s="27" t="n"/>
      <c r="AR166" s="27" t="n"/>
      <c r="AS166" s="27" t="n"/>
      <c r="AT166" s="27" t="n"/>
      <c r="AU166" s="27" t="n"/>
      <c r="AV166" s="27" t="n"/>
      <c r="AW166" s="27" t="n"/>
      <c r="AX166" s="27" t="n"/>
      <c r="AY166" s="27" t="n"/>
      <c r="AZ166" s="27" t="n"/>
      <c r="BA166" s="27" t="n"/>
      <c r="BB166" s="27" t="n"/>
      <c r="BC166" s="27" t="n"/>
      <c r="BD166" s="27" t="n"/>
      <c r="BE166" s="27" t="n"/>
      <c r="BF166" s="27" t="n"/>
      <c r="BG166" s="27" t="n"/>
      <c r="BH166" s="27" t="n"/>
      <c r="BI166" s="29" t="n"/>
      <c r="BJ166" s="27" t="n"/>
      <c r="BK166" s="27" t="n"/>
      <c r="BL166" s="27" t="n"/>
      <c r="BM166" s="27" t="n"/>
    </row>
    <row r="167">
      <c r="A167" s="27" t="n"/>
      <c r="B167" s="27" t="n"/>
      <c r="C167" s="28">
        <f>IF(A167="","",$B$2)</f>
        <v/>
      </c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  <c r="AA167" s="27" t="n"/>
      <c r="AB167" s="27" t="n"/>
      <c r="AC167" s="27" t="n"/>
      <c r="AD167" s="27" t="n"/>
      <c r="AE167" s="27" t="n"/>
      <c r="AF167" s="27" t="n"/>
      <c r="AG167" s="27" t="n"/>
      <c r="AH167" s="27" t="n"/>
      <c r="AI167" s="27" t="n"/>
      <c r="AJ167" s="27" t="n"/>
      <c r="AK167" s="27" t="n"/>
      <c r="AL167" s="27" t="n"/>
      <c r="AM167" s="27" t="n"/>
      <c r="AN167" s="27" t="n"/>
      <c r="AO167" s="27" t="n"/>
      <c r="AP167" s="27" t="n"/>
      <c r="AQ167" s="27" t="n"/>
      <c r="AR167" s="27" t="n"/>
      <c r="AS167" s="27" t="n"/>
      <c r="AT167" s="27" t="n"/>
      <c r="AU167" s="27" t="n"/>
      <c r="AV167" s="27" t="n"/>
      <c r="AW167" s="27" t="n"/>
      <c r="AX167" s="27" t="n"/>
      <c r="AY167" s="27" t="n"/>
      <c r="AZ167" s="27" t="n"/>
      <c r="BA167" s="27" t="n"/>
      <c r="BB167" s="27" t="n"/>
      <c r="BC167" s="27" t="n"/>
      <c r="BD167" s="27" t="n"/>
      <c r="BE167" s="27" t="n"/>
      <c r="BF167" s="27" t="n"/>
      <c r="BG167" s="27" t="n"/>
      <c r="BH167" s="27" t="n"/>
      <c r="BI167" s="29" t="n"/>
      <c r="BJ167" s="27" t="n"/>
      <c r="BK167" s="27" t="n"/>
      <c r="BL167" s="27" t="n"/>
      <c r="BM167" s="27" t="n"/>
    </row>
    <row r="168">
      <c r="A168" s="27" t="n"/>
      <c r="B168" s="27" t="n"/>
      <c r="C168" s="28">
        <f>IF(A168="","",$B$2)</f>
        <v/>
      </c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  <c r="AA168" s="27" t="n"/>
      <c r="AB168" s="27" t="n"/>
      <c r="AC168" s="27" t="n"/>
      <c r="AD168" s="27" t="n"/>
      <c r="AE168" s="27" t="n"/>
      <c r="AF168" s="27" t="n"/>
      <c r="AG168" s="27" t="n"/>
      <c r="AH168" s="27" t="n"/>
      <c r="AI168" s="27" t="n"/>
      <c r="AJ168" s="27" t="n"/>
      <c r="AK168" s="27" t="n"/>
      <c r="AL168" s="27" t="n"/>
      <c r="AM168" s="27" t="n"/>
      <c r="AN168" s="27" t="n"/>
      <c r="AO168" s="27" t="n"/>
      <c r="AP168" s="27" t="n"/>
      <c r="AQ168" s="27" t="n"/>
      <c r="AR168" s="27" t="n"/>
      <c r="AS168" s="27" t="n"/>
      <c r="AT168" s="27" t="n"/>
      <c r="AU168" s="27" t="n"/>
      <c r="AV168" s="27" t="n"/>
      <c r="AW168" s="27" t="n"/>
      <c r="AX168" s="27" t="n"/>
      <c r="AY168" s="27" t="n"/>
      <c r="AZ168" s="27" t="n"/>
      <c r="BA168" s="27" t="n"/>
      <c r="BB168" s="27" t="n"/>
      <c r="BC168" s="27" t="n"/>
      <c r="BD168" s="27" t="n"/>
      <c r="BE168" s="27" t="n"/>
      <c r="BF168" s="27" t="n"/>
      <c r="BG168" s="27" t="n"/>
      <c r="BH168" s="27" t="n"/>
      <c r="BI168" s="29" t="n"/>
      <c r="BJ168" s="27" t="n"/>
      <c r="BK168" s="27" t="n"/>
      <c r="BL168" s="27" t="n"/>
      <c r="BM168" s="27" t="n"/>
    </row>
    <row r="169">
      <c r="A169" s="27" t="n"/>
      <c r="B169" s="27" t="n"/>
      <c r="C169" s="28">
        <f>IF(A169="","",$B$2)</f>
        <v/>
      </c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  <c r="AA169" s="27" t="n"/>
      <c r="AB169" s="27" t="n"/>
      <c r="AC169" s="27" t="n"/>
      <c r="AD169" s="27" t="n"/>
      <c r="AE169" s="27" t="n"/>
      <c r="AF169" s="27" t="n"/>
      <c r="AG169" s="27" t="n"/>
      <c r="AH169" s="27" t="n"/>
      <c r="AI169" s="27" t="n"/>
      <c r="AJ169" s="27" t="n"/>
      <c r="AK169" s="27" t="n"/>
      <c r="AL169" s="27" t="n"/>
      <c r="AM169" s="27" t="n"/>
      <c r="AN169" s="27" t="n"/>
      <c r="AO169" s="27" t="n"/>
      <c r="AP169" s="27" t="n"/>
      <c r="AQ169" s="27" t="n"/>
      <c r="AR169" s="27" t="n"/>
      <c r="AS169" s="27" t="n"/>
      <c r="AT169" s="27" t="n"/>
      <c r="AU169" s="27" t="n"/>
      <c r="AV169" s="27" t="n"/>
      <c r="AW169" s="27" t="n"/>
      <c r="AX169" s="27" t="n"/>
      <c r="AY169" s="27" t="n"/>
      <c r="AZ169" s="27" t="n"/>
      <c r="BA169" s="27" t="n"/>
      <c r="BB169" s="27" t="n"/>
      <c r="BC169" s="27" t="n"/>
      <c r="BD169" s="27" t="n"/>
      <c r="BE169" s="27" t="n"/>
      <c r="BF169" s="27" t="n"/>
      <c r="BG169" s="27" t="n"/>
      <c r="BH169" s="27" t="n"/>
      <c r="BI169" s="29" t="n"/>
      <c r="BJ169" s="27" t="n"/>
      <c r="BK169" s="27" t="n"/>
      <c r="BL169" s="27" t="n"/>
      <c r="BM169" s="27" t="n"/>
    </row>
    <row r="170">
      <c r="A170" s="27" t="n"/>
      <c r="B170" s="27" t="n"/>
      <c r="C170" s="28">
        <f>IF(A170="","",$B$2)</f>
        <v/>
      </c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  <c r="AA170" s="27" t="n"/>
      <c r="AB170" s="27" t="n"/>
      <c r="AC170" s="27" t="n"/>
      <c r="AD170" s="27" t="n"/>
      <c r="AE170" s="27" t="n"/>
      <c r="AF170" s="27" t="n"/>
      <c r="AG170" s="27" t="n"/>
      <c r="AH170" s="27" t="n"/>
      <c r="AI170" s="27" t="n"/>
      <c r="AJ170" s="27" t="n"/>
      <c r="AK170" s="27" t="n"/>
      <c r="AL170" s="27" t="n"/>
      <c r="AM170" s="27" t="n"/>
      <c r="AN170" s="27" t="n"/>
      <c r="AO170" s="27" t="n"/>
      <c r="AP170" s="27" t="n"/>
      <c r="AQ170" s="27" t="n"/>
      <c r="AR170" s="27" t="n"/>
      <c r="AS170" s="27" t="n"/>
      <c r="AT170" s="27" t="n"/>
      <c r="AU170" s="27" t="n"/>
      <c r="AV170" s="27" t="n"/>
      <c r="AW170" s="27" t="n"/>
      <c r="AX170" s="27" t="n"/>
      <c r="AY170" s="27" t="n"/>
      <c r="AZ170" s="27" t="n"/>
      <c r="BA170" s="27" t="n"/>
      <c r="BB170" s="27" t="n"/>
      <c r="BC170" s="27" t="n"/>
      <c r="BD170" s="27" t="n"/>
      <c r="BE170" s="27" t="n"/>
      <c r="BF170" s="27" t="n"/>
      <c r="BG170" s="27" t="n"/>
      <c r="BH170" s="27" t="n"/>
      <c r="BI170" s="29" t="n"/>
      <c r="BJ170" s="27" t="n"/>
      <c r="BK170" s="27" t="n"/>
      <c r="BL170" s="27" t="n"/>
      <c r="BM170" s="27" t="n"/>
    </row>
    <row r="171">
      <c r="A171" s="27" t="n"/>
      <c r="B171" s="27" t="n"/>
      <c r="C171" s="28">
        <f>IF(A171="","",$B$2)</f>
        <v/>
      </c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  <c r="AA171" s="27" t="n"/>
      <c r="AB171" s="27" t="n"/>
      <c r="AC171" s="27" t="n"/>
      <c r="AD171" s="27" t="n"/>
      <c r="AE171" s="27" t="n"/>
      <c r="AF171" s="27" t="n"/>
      <c r="AG171" s="27" t="n"/>
      <c r="AH171" s="27" t="n"/>
      <c r="AI171" s="27" t="n"/>
      <c r="AJ171" s="27" t="n"/>
      <c r="AK171" s="27" t="n"/>
      <c r="AL171" s="27" t="n"/>
      <c r="AM171" s="27" t="n"/>
      <c r="AN171" s="27" t="n"/>
      <c r="AO171" s="27" t="n"/>
      <c r="AP171" s="27" t="n"/>
      <c r="AQ171" s="27" t="n"/>
      <c r="AR171" s="27" t="n"/>
      <c r="AS171" s="27" t="n"/>
      <c r="AT171" s="27" t="n"/>
      <c r="AU171" s="27" t="n"/>
      <c r="AV171" s="27" t="n"/>
      <c r="AW171" s="27" t="n"/>
      <c r="AX171" s="27" t="n"/>
      <c r="AY171" s="27" t="n"/>
      <c r="AZ171" s="27" t="n"/>
      <c r="BA171" s="27" t="n"/>
      <c r="BB171" s="27" t="n"/>
      <c r="BC171" s="27" t="n"/>
      <c r="BD171" s="27" t="n"/>
      <c r="BE171" s="27" t="n"/>
      <c r="BF171" s="27" t="n"/>
      <c r="BG171" s="27" t="n"/>
      <c r="BH171" s="27" t="n"/>
      <c r="BI171" s="29" t="n"/>
      <c r="BJ171" s="27" t="n"/>
      <c r="BK171" s="27" t="n"/>
      <c r="BL171" s="27" t="n"/>
      <c r="BM171" s="27" t="n"/>
    </row>
    <row r="172">
      <c r="A172" s="27" t="n"/>
      <c r="B172" s="27" t="n"/>
      <c r="C172" s="28">
        <f>IF(A172="","",$B$2)</f>
        <v/>
      </c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  <c r="AA172" s="27" t="n"/>
      <c r="AB172" s="27" t="n"/>
      <c r="AC172" s="27" t="n"/>
      <c r="AD172" s="27" t="n"/>
      <c r="AE172" s="27" t="n"/>
      <c r="AF172" s="27" t="n"/>
      <c r="AG172" s="27" t="n"/>
      <c r="AH172" s="27" t="n"/>
      <c r="AI172" s="27" t="n"/>
      <c r="AJ172" s="27" t="n"/>
      <c r="AK172" s="27" t="n"/>
      <c r="AL172" s="27" t="n"/>
      <c r="AM172" s="27" t="n"/>
      <c r="AN172" s="27" t="n"/>
      <c r="AO172" s="27" t="n"/>
      <c r="AP172" s="27" t="n"/>
      <c r="AQ172" s="27" t="n"/>
      <c r="AR172" s="27" t="n"/>
      <c r="AS172" s="27" t="n"/>
      <c r="AT172" s="27" t="n"/>
      <c r="AU172" s="27" t="n"/>
      <c r="AV172" s="27" t="n"/>
      <c r="AW172" s="27" t="n"/>
      <c r="AX172" s="27" t="n"/>
      <c r="AY172" s="27" t="n"/>
      <c r="AZ172" s="27" t="n"/>
      <c r="BA172" s="27" t="n"/>
      <c r="BB172" s="27" t="n"/>
      <c r="BC172" s="27" t="n"/>
      <c r="BD172" s="27" t="n"/>
      <c r="BE172" s="27" t="n"/>
      <c r="BF172" s="27" t="n"/>
      <c r="BG172" s="27" t="n"/>
      <c r="BH172" s="27" t="n"/>
      <c r="BI172" s="29" t="n"/>
      <c r="BJ172" s="27" t="n"/>
      <c r="BK172" s="27" t="n"/>
      <c r="BL172" s="27" t="n"/>
      <c r="BM172" s="27" t="n"/>
    </row>
    <row r="173">
      <c r="A173" s="27" t="n"/>
      <c r="B173" s="27" t="n"/>
      <c r="C173" s="28">
        <f>IF(A173="","",$B$2)</f>
        <v/>
      </c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  <c r="AA173" s="27" t="n"/>
      <c r="AB173" s="27" t="n"/>
      <c r="AC173" s="27" t="n"/>
      <c r="AD173" s="27" t="n"/>
      <c r="AE173" s="27" t="n"/>
      <c r="AF173" s="27" t="n"/>
      <c r="AG173" s="27" t="n"/>
      <c r="AH173" s="27" t="n"/>
      <c r="AI173" s="27" t="n"/>
      <c r="AJ173" s="27" t="n"/>
      <c r="AK173" s="27" t="n"/>
      <c r="AL173" s="27" t="n"/>
      <c r="AM173" s="27" t="n"/>
      <c r="AN173" s="27" t="n"/>
      <c r="AO173" s="27" t="n"/>
      <c r="AP173" s="27" t="n"/>
      <c r="AQ173" s="27" t="n"/>
      <c r="AR173" s="27" t="n"/>
      <c r="AS173" s="27" t="n"/>
      <c r="AT173" s="27" t="n"/>
      <c r="AU173" s="27" t="n"/>
      <c r="AV173" s="27" t="n"/>
      <c r="AW173" s="27" t="n"/>
      <c r="AX173" s="27" t="n"/>
      <c r="AY173" s="27" t="n"/>
      <c r="AZ173" s="27" t="n"/>
      <c r="BA173" s="27" t="n"/>
      <c r="BB173" s="27" t="n"/>
      <c r="BC173" s="27" t="n"/>
      <c r="BD173" s="27" t="n"/>
      <c r="BE173" s="27" t="n"/>
      <c r="BF173" s="27" t="n"/>
      <c r="BG173" s="27" t="n"/>
      <c r="BH173" s="27" t="n"/>
      <c r="BI173" s="29" t="n"/>
      <c r="BJ173" s="27" t="n"/>
      <c r="BK173" s="27" t="n"/>
      <c r="BL173" s="27" t="n"/>
      <c r="BM173" s="27" t="n"/>
    </row>
    <row r="174">
      <c r="A174" s="27" t="n"/>
      <c r="B174" s="27" t="n"/>
      <c r="C174" s="28">
        <f>IF(A174="","",$B$2)</f>
        <v/>
      </c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  <c r="AA174" s="27" t="n"/>
      <c r="AB174" s="27" t="n"/>
      <c r="AC174" s="27" t="n"/>
      <c r="AD174" s="27" t="n"/>
      <c r="AE174" s="27" t="n"/>
      <c r="AF174" s="27" t="n"/>
      <c r="AG174" s="27" t="n"/>
      <c r="AH174" s="27" t="n"/>
      <c r="AI174" s="27" t="n"/>
      <c r="AJ174" s="27" t="n"/>
      <c r="AK174" s="27" t="n"/>
      <c r="AL174" s="27" t="n"/>
      <c r="AM174" s="27" t="n"/>
      <c r="AN174" s="27" t="n"/>
      <c r="AO174" s="27" t="n"/>
      <c r="AP174" s="27" t="n"/>
      <c r="AQ174" s="27" t="n"/>
      <c r="AR174" s="27" t="n"/>
      <c r="AS174" s="27" t="n"/>
      <c r="AT174" s="27" t="n"/>
      <c r="AU174" s="27" t="n"/>
      <c r="AV174" s="27" t="n"/>
      <c r="AW174" s="27" t="n"/>
      <c r="AX174" s="27" t="n"/>
      <c r="AY174" s="27" t="n"/>
      <c r="AZ174" s="27" t="n"/>
      <c r="BA174" s="27" t="n"/>
      <c r="BB174" s="27" t="n"/>
      <c r="BC174" s="27" t="n"/>
      <c r="BD174" s="27" t="n"/>
      <c r="BE174" s="27" t="n"/>
      <c r="BF174" s="27" t="n"/>
      <c r="BG174" s="27" t="n"/>
      <c r="BH174" s="27" t="n"/>
      <c r="BI174" s="29" t="n"/>
      <c r="BJ174" s="27" t="n"/>
      <c r="BK174" s="27" t="n"/>
      <c r="BL174" s="27" t="n"/>
      <c r="BM174" s="27" t="n"/>
    </row>
    <row r="175">
      <c r="A175" s="27" t="n"/>
      <c r="B175" s="27" t="n"/>
      <c r="C175" s="28">
        <f>IF(A175="","",$B$2)</f>
        <v/>
      </c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  <c r="AA175" s="27" t="n"/>
      <c r="AB175" s="27" t="n"/>
      <c r="AC175" s="27" t="n"/>
      <c r="AD175" s="27" t="n"/>
      <c r="AE175" s="27" t="n"/>
      <c r="AF175" s="27" t="n"/>
      <c r="AG175" s="27" t="n"/>
      <c r="AH175" s="27" t="n"/>
      <c r="AI175" s="27" t="n"/>
      <c r="AJ175" s="27" t="n"/>
      <c r="AK175" s="27" t="n"/>
      <c r="AL175" s="27" t="n"/>
      <c r="AM175" s="27" t="n"/>
      <c r="AN175" s="27" t="n"/>
      <c r="AO175" s="27" t="n"/>
      <c r="AP175" s="27" t="n"/>
      <c r="AQ175" s="27" t="n"/>
      <c r="AR175" s="27" t="n"/>
      <c r="AS175" s="27" t="n"/>
      <c r="AT175" s="27" t="n"/>
      <c r="AU175" s="27" t="n"/>
      <c r="AV175" s="27" t="n"/>
      <c r="AW175" s="27" t="n"/>
      <c r="AX175" s="27" t="n"/>
      <c r="AY175" s="27" t="n"/>
      <c r="AZ175" s="27" t="n"/>
      <c r="BA175" s="27" t="n"/>
      <c r="BB175" s="27" t="n"/>
      <c r="BC175" s="27" t="n"/>
      <c r="BD175" s="27" t="n"/>
      <c r="BE175" s="27" t="n"/>
      <c r="BF175" s="27" t="n"/>
      <c r="BG175" s="27" t="n"/>
      <c r="BH175" s="27" t="n"/>
      <c r="BI175" s="29" t="n"/>
      <c r="BJ175" s="27" t="n"/>
      <c r="BK175" s="27" t="n"/>
      <c r="BL175" s="27" t="n"/>
      <c r="BM175" s="27" t="n"/>
    </row>
    <row r="176">
      <c r="A176" s="27" t="n"/>
      <c r="B176" s="27" t="n"/>
      <c r="C176" s="28">
        <f>IF(A176="","",$B$2)</f>
        <v/>
      </c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  <c r="AA176" s="27" t="n"/>
      <c r="AB176" s="27" t="n"/>
      <c r="AC176" s="27" t="n"/>
      <c r="AD176" s="27" t="n"/>
      <c r="AE176" s="27" t="n"/>
      <c r="AF176" s="27" t="n"/>
      <c r="AG176" s="27" t="n"/>
      <c r="AH176" s="27" t="n"/>
      <c r="AI176" s="27" t="n"/>
      <c r="AJ176" s="27" t="n"/>
      <c r="AK176" s="27" t="n"/>
      <c r="AL176" s="27" t="n"/>
      <c r="AM176" s="27" t="n"/>
      <c r="AN176" s="27" t="n"/>
      <c r="AO176" s="27" t="n"/>
      <c r="AP176" s="27" t="n"/>
      <c r="AQ176" s="27" t="n"/>
      <c r="AR176" s="27" t="n"/>
      <c r="AS176" s="27" t="n"/>
      <c r="AT176" s="27" t="n"/>
      <c r="AU176" s="27" t="n"/>
      <c r="AV176" s="27" t="n"/>
      <c r="AW176" s="27" t="n"/>
      <c r="AX176" s="27" t="n"/>
      <c r="AY176" s="27" t="n"/>
      <c r="AZ176" s="27" t="n"/>
      <c r="BA176" s="27" t="n"/>
      <c r="BB176" s="27" t="n"/>
      <c r="BC176" s="27" t="n"/>
      <c r="BD176" s="27" t="n"/>
      <c r="BE176" s="27" t="n"/>
      <c r="BF176" s="27" t="n"/>
      <c r="BG176" s="27" t="n"/>
      <c r="BH176" s="27" t="n"/>
      <c r="BI176" s="29" t="n"/>
      <c r="BJ176" s="27" t="n"/>
      <c r="BK176" s="27" t="n"/>
      <c r="BL176" s="27" t="n"/>
      <c r="BM176" s="27" t="n"/>
    </row>
    <row r="177">
      <c r="A177" s="27" t="n"/>
      <c r="B177" s="27" t="n"/>
      <c r="C177" s="28">
        <f>IF(A177="","",$B$2)</f>
        <v/>
      </c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  <c r="AA177" s="27" t="n"/>
      <c r="AB177" s="27" t="n"/>
      <c r="AC177" s="27" t="n"/>
      <c r="AD177" s="27" t="n"/>
      <c r="AE177" s="27" t="n"/>
      <c r="AF177" s="27" t="n"/>
      <c r="AG177" s="27" t="n"/>
      <c r="AH177" s="27" t="n"/>
      <c r="AI177" s="27" t="n"/>
      <c r="AJ177" s="27" t="n"/>
      <c r="AK177" s="27" t="n"/>
      <c r="AL177" s="27" t="n"/>
      <c r="AM177" s="27" t="n"/>
      <c r="AN177" s="27" t="n"/>
      <c r="AO177" s="27" t="n"/>
      <c r="AP177" s="27" t="n"/>
      <c r="AQ177" s="27" t="n"/>
      <c r="AR177" s="27" t="n"/>
      <c r="AS177" s="27" t="n"/>
      <c r="AT177" s="27" t="n"/>
      <c r="AU177" s="27" t="n"/>
      <c r="AV177" s="27" t="n"/>
      <c r="AW177" s="27" t="n"/>
      <c r="AX177" s="27" t="n"/>
      <c r="AY177" s="27" t="n"/>
      <c r="AZ177" s="27" t="n"/>
      <c r="BA177" s="27" t="n"/>
      <c r="BB177" s="27" t="n"/>
      <c r="BC177" s="27" t="n"/>
      <c r="BD177" s="27" t="n"/>
      <c r="BE177" s="27" t="n"/>
      <c r="BF177" s="27" t="n"/>
      <c r="BG177" s="27" t="n"/>
      <c r="BH177" s="27" t="n"/>
      <c r="BI177" s="29" t="n"/>
      <c r="BJ177" s="27" t="n"/>
      <c r="BK177" s="27" t="n"/>
      <c r="BL177" s="27" t="n"/>
      <c r="BM177" s="27" t="n"/>
    </row>
    <row r="178">
      <c r="A178" s="27" t="n"/>
      <c r="B178" s="27" t="n"/>
      <c r="C178" s="28">
        <f>IF(A178="","",$B$2)</f>
        <v/>
      </c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  <c r="AA178" s="27" t="n"/>
      <c r="AB178" s="27" t="n"/>
      <c r="AC178" s="27" t="n"/>
      <c r="AD178" s="27" t="n"/>
      <c r="AE178" s="27" t="n"/>
      <c r="AF178" s="27" t="n"/>
      <c r="AG178" s="27" t="n"/>
      <c r="AH178" s="27" t="n"/>
      <c r="AI178" s="27" t="n"/>
      <c r="AJ178" s="27" t="n"/>
      <c r="AK178" s="27" t="n"/>
      <c r="AL178" s="27" t="n"/>
      <c r="AM178" s="27" t="n"/>
      <c r="AN178" s="27" t="n"/>
      <c r="AO178" s="27" t="n"/>
      <c r="AP178" s="27" t="n"/>
      <c r="AQ178" s="27" t="n"/>
      <c r="AR178" s="27" t="n"/>
      <c r="AS178" s="27" t="n"/>
      <c r="AT178" s="27" t="n"/>
      <c r="AU178" s="27" t="n"/>
      <c r="AV178" s="27" t="n"/>
      <c r="AW178" s="27" t="n"/>
      <c r="AX178" s="27" t="n"/>
      <c r="AY178" s="27" t="n"/>
      <c r="AZ178" s="27" t="n"/>
      <c r="BA178" s="27" t="n"/>
      <c r="BB178" s="27" t="n"/>
      <c r="BC178" s="27" t="n"/>
      <c r="BD178" s="27" t="n"/>
      <c r="BE178" s="27" t="n"/>
      <c r="BF178" s="27" t="n"/>
      <c r="BG178" s="27" t="n"/>
      <c r="BH178" s="27" t="n"/>
      <c r="BI178" s="29" t="n"/>
      <c r="BJ178" s="27" t="n"/>
      <c r="BK178" s="27" t="n"/>
      <c r="BL178" s="27" t="n"/>
      <c r="BM178" s="27" t="n"/>
    </row>
    <row r="179">
      <c r="A179" s="27" t="n"/>
      <c r="B179" s="27" t="n"/>
      <c r="C179" s="28">
        <f>IF(A179="","",$B$2)</f>
        <v/>
      </c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  <c r="AA179" s="27" t="n"/>
      <c r="AB179" s="27" t="n"/>
      <c r="AC179" s="27" t="n"/>
      <c r="AD179" s="27" t="n"/>
      <c r="AE179" s="27" t="n"/>
      <c r="AF179" s="27" t="n"/>
      <c r="AG179" s="27" t="n"/>
      <c r="AH179" s="27" t="n"/>
      <c r="AI179" s="27" t="n"/>
      <c r="AJ179" s="27" t="n"/>
      <c r="AK179" s="27" t="n"/>
      <c r="AL179" s="27" t="n"/>
      <c r="AM179" s="27" t="n"/>
      <c r="AN179" s="27" t="n"/>
      <c r="AO179" s="27" t="n"/>
      <c r="AP179" s="27" t="n"/>
      <c r="AQ179" s="27" t="n"/>
      <c r="AR179" s="27" t="n"/>
      <c r="AS179" s="27" t="n"/>
      <c r="AT179" s="27" t="n"/>
      <c r="AU179" s="27" t="n"/>
      <c r="AV179" s="27" t="n"/>
      <c r="AW179" s="27" t="n"/>
      <c r="AX179" s="27" t="n"/>
      <c r="AY179" s="27" t="n"/>
      <c r="AZ179" s="27" t="n"/>
      <c r="BA179" s="27" t="n"/>
      <c r="BB179" s="27" t="n"/>
      <c r="BC179" s="27" t="n"/>
      <c r="BD179" s="27" t="n"/>
      <c r="BE179" s="27" t="n"/>
      <c r="BF179" s="27" t="n"/>
      <c r="BG179" s="27" t="n"/>
      <c r="BH179" s="27" t="n"/>
      <c r="BI179" s="29" t="n"/>
      <c r="BJ179" s="27" t="n"/>
      <c r="BK179" s="27" t="n"/>
      <c r="BL179" s="27" t="n"/>
      <c r="BM179" s="27" t="n"/>
    </row>
    <row r="180">
      <c r="A180" s="27" t="n"/>
      <c r="B180" s="27" t="n"/>
      <c r="C180" s="28">
        <f>IF(A180="","",$B$2)</f>
        <v/>
      </c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  <c r="AA180" s="27" t="n"/>
      <c r="AB180" s="27" t="n"/>
      <c r="AC180" s="27" t="n"/>
      <c r="AD180" s="27" t="n"/>
      <c r="AE180" s="27" t="n"/>
      <c r="AF180" s="27" t="n"/>
      <c r="AG180" s="27" t="n"/>
      <c r="AH180" s="27" t="n"/>
      <c r="AI180" s="27" t="n"/>
      <c r="AJ180" s="27" t="n"/>
      <c r="AK180" s="27" t="n"/>
      <c r="AL180" s="27" t="n"/>
      <c r="AM180" s="27" t="n"/>
      <c r="AN180" s="27" t="n"/>
      <c r="AO180" s="27" t="n"/>
      <c r="AP180" s="27" t="n"/>
      <c r="AQ180" s="27" t="n"/>
      <c r="AR180" s="27" t="n"/>
      <c r="AS180" s="27" t="n"/>
      <c r="AT180" s="27" t="n"/>
      <c r="AU180" s="27" t="n"/>
      <c r="AV180" s="27" t="n"/>
      <c r="AW180" s="27" t="n"/>
      <c r="AX180" s="27" t="n"/>
      <c r="AY180" s="27" t="n"/>
      <c r="AZ180" s="27" t="n"/>
      <c r="BA180" s="27" t="n"/>
      <c r="BB180" s="27" t="n"/>
      <c r="BC180" s="27" t="n"/>
      <c r="BD180" s="27" t="n"/>
      <c r="BE180" s="27" t="n"/>
      <c r="BF180" s="27" t="n"/>
      <c r="BG180" s="27" t="n"/>
      <c r="BH180" s="27" t="n"/>
      <c r="BI180" s="29" t="n"/>
      <c r="BJ180" s="27" t="n"/>
      <c r="BK180" s="27" t="n"/>
      <c r="BL180" s="27" t="n"/>
      <c r="BM180" s="27" t="n"/>
    </row>
    <row r="181">
      <c r="A181" s="27" t="n"/>
      <c r="B181" s="27" t="n"/>
      <c r="C181" s="28">
        <f>IF(A181="","",$B$2)</f>
        <v/>
      </c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  <c r="AA181" s="27" t="n"/>
      <c r="AB181" s="27" t="n"/>
      <c r="AC181" s="27" t="n"/>
      <c r="AD181" s="27" t="n"/>
      <c r="AE181" s="27" t="n"/>
      <c r="AF181" s="27" t="n"/>
      <c r="AG181" s="27" t="n"/>
      <c r="AH181" s="27" t="n"/>
      <c r="AI181" s="27" t="n"/>
      <c r="AJ181" s="27" t="n"/>
      <c r="AK181" s="27" t="n"/>
      <c r="AL181" s="27" t="n"/>
      <c r="AM181" s="27" t="n"/>
      <c r="AN181" s="27" t="n"/>
      <c r="AO181" s="27" t="n"/>
      <c r="AP181" s="27" t="n"/>
      <c r="AQ181" s="27" t="n"/>
      <c r="AR181" s="27" t="n"/>
      <c r="AS181" s="27" t="n"/>
      <c r="AT181" s="27" t="n"/>
      <c r="AU181" s="27" t="n"/>
      <c r="AV181" s="27" t="n"/>
      <c r="AW181" s="27" t="n"/>
      <c r="AX181" s="27" t="n"/>
      <c r="AY181" s="27" t="n"/>
      <c r="AZ181" s="27" t="n"/>
      <c r="BA181" s="27" t="n"/>
      <c r="BB181" s="27" t="n"/>
      <c r="BC181" s="27" t="n"/>
      <c r="BD181" s="27" t="n"/>
      <c r="BE181" s="27" t="n"/>
      <c r="BF181" s="27" t="n"/>
      <c r="BG181" s="27" t="n"/>
      <c r="BH181" s="27" t="n"/>
      <c r="BI181" s="29" t="n"/>
      <c r="BJ181" s="27" t="n"/>
      <c r="BK181" s="27" t="n"/>
      <c r="BL181" s="27" t="n"/>
      <c r="BM181" s="27" t="n"/>
    </row>
    <row r="182">
      <c r="A182" s="27" t="n"/>
      <c r="B182" s="27" t="n"/>
      <c r="C182" s="28">
        <f>IF(A182="","",$B$2)</f>
        <v/>
      </c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  <c r="AA182" s="27" t="n"/>
      <c r="AB182" s="27" t="n"/>
      <c r="AC182" s="27" t="n"/>
      <c r="AD182" s="27" t="n"/>
      <c r="AE182" s="27" t="n"/>
      <c r="AF182" s="27" t="n"/>
      <c r="AG182" s="27" t="n"/>
      <c r="AH182" s="27" t="n"/>
      <c r="AI182" s="27" t="n"/>
      <c r="AJ182" s="27" t="n"/>
      <c r="AK182" s="27" t="n"/>
      <c r="AL182" s="27" t="n"/>
      <c r="AM182" s="27" t="n"/>
      <c r="AN182" s="27" t="n"/>
      <c r="AO182" s="27" t="n"/>
      <c r="AP182" s="27" t="n"/>
      <c r="AQ182" s="27" t="n"/>
      <c r="AR182" s="27" t="n"/>
      <c r="AS182" s="27" t="n"/>
      <c r="AT182" s="27" t="n"/>
      <c r="AU182" s="27" t="n"/>
      <c r="AV182" s="27" t="n"/>
      <c r="AW182" s="27" t="n"/>
      <c r="AX182" s="27" t="n"/>
      <c r="AY182" s="27" t="n"/>
      <c r="AZ182" s="27" t="n"/>
      <c r="BA182" s="27" t="n"/>
      <c r="BB182" s="27" t="n"/>
      <c r="BC182" s="27" t="n"/>
      <c r="BD182" s="27" t="n"/>
      <c r="BE182" s="27" t="n"/>
      <c r="BF182" s="27" t="n"/>
      <c r="BG182" s="27" t="n"/>
      <c r="BH182" s="27" t="n"/>
      <c r="BI182" s="29" t="n"/>
      <c r="BJ182" s="27" t="n"/>
      <c r="BK182" s="27" t="n"/>
      <c r="BL182" s="27" t="n"/>
      <c r="BM182" s="27" t="n"/>
    </row>
    <row r="183">
      <c r="A183" s="27" t="n"/>
      <c r="B183" s="27" t="n"/>
      <c r="C183" s="28">
        <f>IF(A183="","",$B$2)</f>
        <v/>
      </c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  <c r="AA183" s="27" t="n"/>
      <c r="AB183" s="27" t="n"/>
      <c r="AC183" s="27" t="n"/>
      <c r="AD183" s="27" t="n"/>
      <c r="AE183" s="27" t="n"/>
      <c r="AF183" s="27" t="n"/>
      <c r="AG183" s="27" t="n"/>
      <c r="AH183" s="27" t="n"/>
      <c r="AI183" s="27" t="n"/>
      <c r="AJ183" s="27" t="n"/>
      <c r="AK183" s="27" t="n"/>
      <c r="AL183" s="27" t="n"/>
      <c r="AM183" s="27" t="n"/>
      <c r="AN183" s="27" t="n"/>
      <c r="AO183" s="27" t="n"/>
      <c r="AP183" s="27" t="n"/>
      <c r="AQ183" s="27" t="n"/>
      <c r="AR183" s="27" t="n"/>
      <c r="AS183" s="27" t="n"/>
      <c r="AT183" s="27" t="n"/>
      <c r="AU183" s="27" t="n"/>
      <c r="AV183" s="27" t="n"/>
      <c r="AW183" s="27" t="n"/>
      <c r="AX183" s="27" t="n"/>
      <c r="AY183" s="27" t="n"/>
      <c r="AZ183" s="27" t="n"/>
      <c r="BA183" s="27" t="n"/>
      <c r="BB183" s="27" t="n"/>
      <c r="BC183" s="27" t="n"/>
      <c r="BD183" s="27" t="n"/>
      <c r="BE183" s="27" t="n"/>
      <c r="BF183" s="27" t="n"/>
      <c r="BG183" s="27" t="n"/>
      <c r="BH183" s="27" t="n"/>
      <c r="BI183" s="29" t="n"/>
      <c r="BJ183" s="27" t="n"/>
      <c r="BK183" s="27" t="n"/>
      <c r="BL183" s="27" t="n"/>
      <c r="BM183" s="27" t="n"/>
    </row>
    <row r="184">
      <c r="A184" s="27" t="n"/>
      <c r="B184" s="27" t="n"/>
      <c r="C184" s="28">
        <f>IF(A184="","",$B$2)</f>
        <v/>
      </c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  <c r="AA184" s="27" t="n"/>
      <c r="AB184" s="27" t="n"/>
      <c r="AC184" s="27" t="n"/>
      <c r="AD184" s="27" t="n"/>
      <c r="AE184" s="27" t="n"/>
      <c r="AF184" s="27" t="n"/>
      <c r="AG184" s="27" t="n"/>
      <c r="AH184" s="27" t="n"/>
      <c r="AI184" s="27" t="n"/>
      <c r="AJ184" s="27" t="n"/>
      <c r="AK184" s="27" t="n"/>
      <c r="AL184" s="27" t="n"/>
      <c r="AM184" s="27" t="n"/>
      <c r="AN184" s="27" t="n"/>
      <c r="AO184" s="27" t="n"/>
      <c r="AP184" s="27" t="n"/>
      <c r="AQ184" s="27" t="n"/>
      <c r="AR184" s="27" t="n"/>
      <c r="AS184" s="27" t="n"/>
      <c r="AT184" s="27" t="n"/>
      <c r="AU184" s="27" t="n"/>
      <c r="AV184" s="27" t="n"/>
      <c r="AW184" s="27" t="n"/>
      <c r="AX184" s="27" t="n"/>
      <c r="AY184" s="27" t="n"/>
      <c r="AZ184" s="27" t="n"/>
      <c r="BA184" s="27" t="n"/>
      <c r="BB184" s="27" t="n"/>
      <c r="BC184" s="27" t="n"/>
      <c r="BD184" s="27" t="n"/>
      <c r="BE184" s="27" t="n"/>
      <c r="BF184" s="27" t="n"/>
      <c r="BG184" s="27" t="n"/>
      <c r="BH184" s="27" t="n"/>
      <c r="BI184" s="29" t="n"/>
      <c r="BJ184" s="27" t="n"/>
      <c r="BK184" s="27" t="n"/>
      <c r="BL184" s="27" t="n"/>
      <c r="BM184" s="27" t="n"/>
    </row>
    <row r="185">
      <c r="A185" s="27" t="n"/>
      <c r="B185" s="27" t="n"/>
      <c r="C185" s="28">
        <f>IF(A185="","",$B$2)</f>
        <v/>
      </c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  <c r="AA185" s="27" t="n"/>
      <c r="AB185" s="27" t="n"/>
      <c r="AC185" s="27" t="n"/>
      <c r="AD185" s="27" t="n"/>
      <c r="AE185" s="27" t="n"/>
      <c r="AF185" s="27" t="n"/>
      <c r="AG185" s="27" t="n"/>
      <c r="AH185" s="27" t="n"/>
      <c r="AI185" s="27" t="n"/>
      <c r="AJ185" s="27" t="n"/>
      <c r="AK185" s="27" t="n"/>
      <c r="AL185" s="27" t="n"/>
      <c r="AM185" s="27" t="n"/>
      <c r="AN185" s="27" t="n"/>
      <c r="AO185" s="27" t="n"/>
      <c r="AP185" s="27" t="n"/>
      <c r="AQ185" s="27" t="n"/>
      <c r="AR185" s="27" t="n"/>
      <c r="AS185" s="27" t="n"/>
      <c r="AT185" s="27" t="n"/>
      <c r="AU185" s="27" t="n"/>
      <c r="AV185" s="27" t="n"/>
      <c r="AW185" s="27" t="n"/>
      <c r="AX185" s="27" t="n"/>
      <c r="AY185" s="27" t="n"/>
      <c r="AZ185" s="27" t="n"/>
      <c r="BA185" s="27" t="n"/>
      <c r="BB185" s="27" t="n"/>
      <c r="BC185" s="27" t="n"/>
      <c r="BD185" s="27" t="n"/>
      <c r="BE185" s="27" t="n"/>
      <c r="BF185" s="27" t="n"/>
      <c r="BG185" s="27" t="n"/>
      <c r="BH185" s="27" t="n"/>
      <c r="BI185" s="29" t="n"/>
      <c r="BJ185" s="27" t="n"/>
      <c r="BK185" s="27" t="n"/>
      <c r="BL185" s="27" t="n"/>
      <c r="BM185" s="27" t="n"/>
    </row>
    <row r="186">
      <c r="A186" s="27" t="n"/>
      <c r="B186" s="27" t="n"/>
      <c r="C186" s="28">
        <f>IF(A186="","",$B$2)</f>
        <v/>
      </c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  <c r="AA186" s="27" t="n"/>
      <c r="AB186" s="27" t="n"/>
      <c r="AC186" s="27" t="n"/>
      <c r="AD186" s="27" t="n"/>
      <c r="AE186" s="27" t="n"/>
      <c r="AF186" s="27" t="n"/>
      <c r="AG186" s="27" t="n"/>
      <c r="AH186" s="27" t="n"/>
      <c r="AI186" s="27" t="n"/>
      <c r="AJ186" s="27" t="n"/>
      <c r="AK186" s="27" t="n"/>
      <c r="AL186" s="27" t="n"/>
      <c r="AM186" s="27" t="n"/>
      <c r="AN186" s="27" t="n"/>
      <c r="AO186" s="27" t="n"/>
      <c r="AP186" s="27" t="n"/>
      <c r="AQ186" s="27" t="n"/>
      <c r="AR186" s="27" t="n"/>
      <c r="AS186" s="27" t="n"/>
      <c r="AT186" s="27" t="n"/>
      <c r="AU186" s="27" t="n"/>
      <c r="AV186" s="27" t="n"/>
      <c r="AW186" s="27" t="n"/>
      <c r="AX186" s="27" t="n"/>
      <c r="AY186" s="27" t="n"/>
      <c r="AZ186" s="27" t="n"/>
      <c r="BA186" s="27" t="n"/>
      <c r="BB186" s="27" t="n"/>
      <c r="BC186" s="27" t="n"/>
      <c r="BD186" s="27" t="n"/>
      <c r="BE186" s="27" t="n"/>
      <c r="BF186" s="27" t="n"/>
      <c r="BG186" s="27" t="n"/>
      <c r="BH186" s="27" t="n"/>
      <c r="BI186" s="29" t="n"/>
      <c r="BJ186" s="27" t="n"/>
      <c r="BK186" s="27" t="n"/>
      <c r="BL186" s="27" t="n"/>
      <c r="BM186" s="27" t="n"/>
    </row>
    <row r="187">
      <c r="A187" s="27" t="n"/>
      <c r="B187" s="27" t="n"/>
      <c r="C187" s="28">
        <f>IF(A187="","",$B$2)</f>
        <v/>
      </c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  <c r="AA187" s="27" t="n"/>
      <c r="AB187" s="27" t="n"/>
      <c r="AC187" s="27" t="n"/>
      <c r="AD187" s="27" t="n"/>
      <c r="AE187" s="27" t="n"/>
      <c r="AF187" s="27" t="n"/>
      <c r="AG187" s="27" t="n"/>
      <c r="AH187" s="27" t="n"/>
      <c r="AI187" s="27" t="n"/>
      <c r="AJ187" s="27" t="n"/>
      <c r="AK187" s="27" t="n"/>
      <c r="AL187" s="27" t="n"/>
      <c r="AM187" s="27" t="n"/>
      <c r="AN187" s="27" t="n"/>
      <c r="AO187" s="27" t="n"/>
      <c r="AP187" s="27" t="n"/>
      <c r="AQ187" s="27" t="n"/>
      <c r="AR187" s="27" t="n"/>
      <c r="AS187" s="27" t="n"/>
      <c r="AT187" s="27" t="n"/>
      <c r="AU187" s="27" t="n"/>
      <c r="AV187" s="27" t="n"/>
      <c r="AW187" s="27" t="n"/>
      <c r="AX187" s="27" t="n"/>
      <c r="AY187" s="27" t="n"/>
      <c r="AZ187" s="27" t="n"/>
      <c r="BA187" s="27" t="n"/>
      <c r="BB187" s="27" t="n"/>
      <c r="BC187" s="27" t="n"/>
      <c r="BD187" s="27" t="n"/>
      <c r="BE187" s="27" t="n"/>
      <c r="BF187" s="27" t="n"/>
      <c r="BG187" s="27" t="n"/>
      <c r="BH187" s="27" t="n"/>
      <c r="BI187" s="29" t="n"/>
      <c r="BJ187" s="27" t="n"/>
      <c r="BK187" s="27" t="n"/>
      <c r="BL187" s="27" t="n"/>
      <c r="BM187" s="27" t="n"/>
    </row>
    <row r="188">
      <c r="A188" s="27" t="n"/>
      <c r="B188" s="27" t="n"/>
      <c r="C188" s="28">
        <f>IF(A188="","",$B$2)</f>
        <v/>
      </c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  <c r="AA188" s="27" t="n"/>
      <c r="AB188" s="27" t="n"/>
      <c r="AC188" s="27" t="n"/>
      <c r="AD188" s="27" t="n"/>
      <c r="AE188" s="27" t="n"/>
      <c r="AF188" s="27" t="n"/>
      <c r="AG188" s="27" t="n"/>
      <c r="AH188" s="27" t="n"/>
      <c r="AI188" s="27" t="n"/>
      <c r="AJ188" s="27" t="n"/>
      <c r="AK188" s="27" t="n"/>
      <c r="AL188" s="27" t="n"/>
      <c r="AM188" s="27" t="n"/>
      <c r="AN188" s="27" t="n"/>
      <c r="AO188" s="27" t="n"/>
      <c r="AP188" s="27" t="n"/>
      <c r="AQ188" s="27" t="n"/>
      <c r="AR188" s="27" t="n"/>
      <c r="AS188" s="27" t="n"/>
      <c r="AT188" s="27" t="n"/>
      <c r="AU188" s="27" t="n"/>
      <c r="AV188" s="27" t="n"/>
      <c r="AW188" s="27" t="n"/>
      <c r="AX188" s="27" t="n"/>
      <c r="AY188" s="27" t="n"/>
      <c r="AZ188" s="27" t="n"/>
      <c r="BA188" s="27" t="n"/>
      <c r="BB188" s="27" t="n"/>
      <c r="BC188" s="27" t="n"/>
      <c r="BD188" s="27" t="n"/>
      <c r="BE188" s="27" t="n"/>
      <c r="BF188" s="27" t="n"/>
      <c r="BG188" s="27" t="n"/>
      <c r="BH188" s="27" t="n"/>
      <c r="BI188" s="29" t="n"/>
      <c r="BJ188" s="27" t="n"/>
      <c r="BK188" s="27" t="n"/>
      <c r="BL188" s="27" t="n"/>
      <c r="BM188" s="27" t="n"/>
    </row>
    <row r="189">
      <c r="A189" s="27" t="n"/>
      <c r="B189" s="27" t="n"/>
      <c r="C189" s="28">
        <f>IF(A189="","",$B$2)</f>
        <v/>
      </c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  <c r="AA189" s="27" t="n"/>
      <c r="AB189" s="27" t="n"/>
      <c r="AC189" s="27" t="n"/>
      <c r="AD189" s="27" t="n"/>
      <c r="AE189" s="27" t="n"/>
      <c r="AF189" s="27" t="n"/>
      <c r="AG189" s="27" t="n"/>
      <c r="AH189" s="27" t="n"/>
      <c r="AI189" s="27" t="n"/>
      <c r="AJ189" s="27" t="n"/>
      <c r="AK189" s="27" t="n"/>
      <c r="AL189" s="27" t="n"/>
      <c r="AM189" s="27" t="n"/>
      <c r="AN189" s="27" t="n"/>
      <c r="AO189" s="27" t="n"/>
      <c r="AP189" s="27" t="n"/>
      <c r="AQ189" s="27" t="n"/>
      <c r="AR189" s="27" t="n"/>
      <c r="AS189" s="27" t="n"/>
      <c r="AT189" s="27" t="n"/>
      <c r="AU189" s="27" t="n"/>
      <c r="AV189" s="27" t="n"/>
      <c r="AW189" s="27" t="n"/>
      <c r="AX189" s="27" t="n"/>
      <c r="AY189" s="27" t="n"/>
      <c r="AZ189" s="27" t="n"/>
      <c r="BA189" s="27" t="n"/>
      <c r="BB189" s="27" t="n"/>
      <c r="BC189" s="27" t="n"/>
      <c r="BD189" s="27" t="n"/>
      <c r="BE189" s="27" t="n"/>
      <c r="BF189" s="27" t="n"/>
      <c r="BG189" s="27" t="n"/>
      <c r="BH189" s="27" t="n"/>
      <c r="BI189" s="29" t="n"/>
      <c r="BJ189" s="27" t="n"/>
      <c r="BK189" s="27" t="n"/>
      <c r="BL189" s="27" t="n"/>
      <c r="BM189" s="27" t="n"/>
    </row>
    <row r="190">
      <c r="A190" s="27" t="n"/>
      <c r="B190" s="27" t="n"/>
      <c r="C190" s="28">
        <f>IF(A190="","",$B$2)</f>
        <v/>
      </c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  <c r="AA190" s="27" t="n"/>
      <c r="AB190" s="27" t="n"/>
      <c r="AC190" s="27" t="n"/>
      <c r="AD190" s="27" t="n"/>
      <c r="AE190" s="27" t="n"/>
      <c r="AF190" s="27" t="n"/>
      <c r="AG190" s="27" t="n"/>
      <c r="AH190" s="27" t="n"/>
      <c r="AI190" s="27" t="n"/>
      <c r="AJ190" s="27" t="n"/>
      <c r="AK190" s="27" t="n"/>
      <c r="AL190" s="27" t="n"/>
      <c r="AM190" s="27" t="n"/>
      <c r="AN190" s="27" t="n"/>
      <c r="AO190" s="27" t="n"/>
      <c r="AP190" s="27" t="n"/>
      <c r="AQ190" s="27" t="n"/>
      <c r="AR190" s="27" t="n"/>
      <c r="AS190" s="27" t="n"/>
      <c r="AT190" s="27" t="n"/>
      <c r="AU190" s="27" t="n"/>
      <c r="AV190" s="27" t="n"/>
      <c r="AW190" s="27" t="n"/>
      <c r="AX190" s="27" t="n"/>
      <c r="AY190" s="27" t="n"/>
      <c r="AZ190" s="27" t="n"/>
      <c r="BA190" s="27" t="n"/>
      <c r="BB190" s="27" t="n"/>
      <c r="BC190" s="27" t="n"/>
      <c r="BD190" s="27" t="n"/>
      <c r="BE190" s="27" t="n"/>
      <c r="BF190" s="27" t="n"/>
      <c r="BG190" s="27" t="n"/>
      <c r="BH190" s="27" t="n"/>
      <c r="BI190" s="29" t="n"/>
      <c r="BJ190" s="27" t="n"/>
      <c r="BK190" s="27" t="n"/>
      <c r="BL190" s="27" t="n"/>
      <c r="BM190" s="27" t="n"/>
    </row>
    <row r="191">
      <c r="A191" s="27" t="n"/>
      <c r="B191" s="27" t="n"/>
      <c r="C191" s="28">
        <f>IF(A191="","",$B$2)</f>
        <v/>
      </c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  <c r="AA191" s="27" t="n"/>
      <c r="AB191" s="27" t="n"/>
      <c r="AC191" s="27" t="n"/>
      <c r="AD191" s="27" t="n"/>
      <c r="AE191" s="27" t="n"/>
      <c r="AF191" s="27" t="n"/>
      <c r="AG191" s="27" t="n"/>
      <c r="AH191" s="27" t="n"/>
      <c r="AI191" s="27" t="n"/>
      <c r="AJ191" s="27" t="n"/>
      <c r="AK191" s="27" t="n"/>
      <c r="AL191" s="27" t="n"/>
      <c r="AM191" s="27" t="n"/>
      <c r="AN191" s="27" t="n"/>
      <c r="AO191" s="27" t="n"/>
      <c r="AP191" s="27" t="n"/>
      <c r="AQ191" s="27" t="n"/>
      <c r="AR191" s="27" t="n"/>
      <c r="AS191" s="27" t="n"/>
      <c r="AT191" s="27" t="n"/>
      <c r="AU191" s="27" t="n"/>
      <c r="AV191" s="27" t="n"/>
      <c r="AW191" s="27" t="n"/>
      <c r="AX191" s="27" t="n"/>
      <c r="AY191" s="27" t="n"/>
      <c r="AZ191" s="27" t="n"/>
      <c r="BA191" s="27" t="n"/>
      <c r="BB191" s="27" t="n"/>
      <c r="BC191" s="27" t="n"/>
      <c r="BD191" s="27" t="n"/>
      <c r="BE191" s="27" t="n"/>
      <c r="BF191" s="27" t="n"/>
      <c r="BG191" s="27" t="n"/>
      <c r="BH191" s="27" t="n"/>
      <c r="BI191" s="29" t="n"/>
      <c r="BJ191" s="27" t="n"/>
      <c r="BK191" s="27" t="n"/>
      <c r="BL191" s="27" t="n"/>
      <c r="BM191" s="27" t="n"/>
    </row>
    <row r="192">
      <c r="A192" s="27" t="n"/>
      <c r="B192" s="27" t="n"/>
      <c r="C192" s="28">
        <f>IF(A192="","",$B$2)</f>
        <v/>
      </c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  <c r="AA192" s="27" t="n"/>
      <c r="AB192" s="27" t="n"/>
      <c r="AC192" s="27" t="n"/>
      <c r="AD192" s="27" t="n"/>
      <c r="AE192" s="27" t="n"/>
      <c r="AF192" s="27" t="n"/>
      <c r="AG192" s="27" t="n"/>
      <c r="AH192" s="27" t="n"/>
      <c r="AI192" s="27" t="n"/>
      <c r="AJ192" s="27" t="n"/>
      <c r="AK192" s="27" t="n"/>
      <c r="AL192" s="27" t="n"/>
      <c r="AM192" s="27" t="n"/>
      <c r="AN192" s="27" t="n"/>
      <c r="AO192" s="27" t="n"/>
      <c r="AP192" s="27" t="n"/>
      <c r="AQ192" s="27" t="n"/>
      <c r="AR192" s="27" t="n"/>
      <c r="AS192" s="27" t="n"/>
      <c r="AT192" s="27" t="n"/>
      <c r="AU192" s="27" t="n"/>
      <c r="AV192" s="27" t="n"/>
      <c r="AW192" s="27" t="n"/>
      <c r="AX192" s="27" t="n"/>
      <c r="AY192" s="27" t="n"/>
      <c r="AZ192" s="27" t="n"/>
      <c r="BA192" s="27" t="n"/>
      <c r="BB192" s="27" t="n"/>
      <c r="BC192" s="27" t="n"/>
      <c r="BD192" s="27" t="n"/>
      <c r="BE192" s="27" t="n"/>
      <c r="BF192" s="27" t="n"/>
      <c r="BG192" s="27" t="n"/>
      <c r="BH192" s="27" t="n"/>
      <c r="BI192" s="29" t="n"/>
      <c r="BJ192" s="27" t="n"/>
      <c r="BK192" s="27" t="n"/>
      <c r="BL192" s="27" t="n"/>
      <c r="BM192" s="27" t="n"/>
    </row>
    <row r="193">
      <c r="A193" s="27" t="n"/>
      <c r="B193" s="27" t="n"/>
      <c r="C193" s="28">
        <f>IF(A193="","",$B$2)</f>
        <v/>
      </c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  <c r="AA193" s="27" t="n"/>
      <c r="AB193" s="27" t="n"/>
      <c r="AC193" s="27" t="n"/>
      <c r="AD193" s="27" t="n"/>
      <c r="AE193" s="27" t="n"/>
      <c r="AF193" s="27" t="n"/>
      <c r="AG193" s="27" t="n"/>
      <c r="AH193" s="27" t="n"/>
      <c r="AI193" s="27" t="n"/>
      <c r="AJ193" s="27" t="n"/>
      <c r="AK193" s="27" t="n"/>
      <c r="AL193" s="27" t="n"/>
      <c r="AM193" s="27" t="n"/>
      <c r="AN193" s="27" t="n"/>
      <c r="AO193" s="27" t="n"/>
      <c r="AP193" s="27" t="n"/>
      <c r="AQ193" s="27" t="n"/>
      <c r="AR193" s="27" t="n"/>
      <c r="AS193" s="27" t="n"/>
      <c r="AT193" s="27" t="n"/>
      <c r="AU193" s="27" t="n"/>
      <c r="AV193" s="27" t="n"/>
      <c r="AW193" s="27" t="n"/>
      <c r="AX193" s="27" t="n"/>
      <c r="AY193" s="27" t="n"/>
      <c r="AZ193" s="27" t="n"/>
      <c r="BA193" s="27" t="n"/>
      <c r="BB193" s="27" t="n"/>
      <c r="BC193" s="27" t="n"/>
      <c r="BD193" s="27" t="n"/>
      <c r="BE193" s="27" t="n"/>
      <c r="BF193" s="27" t="n"/>
      <c r="BG193" s="27" t="n"/>
      <c r="BH193" s="27" t="n"/>
      <c r="BI193" s="29" t="n"/>
      <c r="BJ193" s="27" t="n"/>
      <c r="BK193" s="27" t="n"/>
      <c r="BL193" s="27" t="n"/>
      <c r="BM193" s="27" t="n"/>
    </row>
    <row r="194">
      <c r="A194" s="27" t="n"/>
      <c r="B194" s="27" t="n"/>
      <c r="C194" s="28">
        <f>IF(A194="","",$B$2)</f>
        <v/>
      </c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  <c r="AA194" s="27" t="n"/>
      <c r="AB194" s="27" t="n"/>
      <c r="AC194" s="27" t="n"/>
      <c r="AD194" s="27" t="n"/>
      <c r="AE194" s="27" t="n"/>
      <c r="AF194" s="27" t="n"/>
      <c r="AG194" s="27" t="n"/>
      <c r="AH194" s="27" t="n"/>
      <c r="AI194" s="27" t="n"/>
      <c r="AJ194" s="27" t="n"/>
      <c r="AK194" s="27" t="n"/>
      <c r="AL194" s="27" t="n"/>
      <c r="AM194" s="27" t="n"/>
      <c r="AN194" s="27" t="n"/>
      <c r="AO194" s="27" t="n"/>
      <c r="AP194" s="27" t="n"/>
      <c r="AQ194" s="27" t="n"/>
      <c r="AR194" s="27" t="n"/>
      <c r="AS194" s="27" t="n"/>
      <c r="AT194" s="27" t="n"/>
      <c r="AU194" s="27" t="n"/>
      <c r="AV194" s="27" t="n"/>
      <c r="AW194" s="27" t="n"/>
      <c r="AX194" s="27" t="n"/>
      <c r="AY194" s="27" t="n"/>
      <c r="AZ194" s="27" t="n"/>
      <c r="BA194" s="27" t="n"/>
      <c r="BB194" s="27" t="n"/>
      <c r="BC194" s="27" t="n"/>
      <c r="BD194" s="27" t="n"/>
      <c r="BE194" s="27" t="n"/>
      <c r="BF194" s="27" t="n"/>
      <c r="BG194" s="27" t="n"/>
      <c r="BH194" s="27" t="n"/>
      <c r="BI194" s="29" t="n"/>
      <c r="BJ194" s="27" t="n"/>
      <c r="BK194" s="27" t="n"/>
      <c r="BL194" s="27" t="n"/>
      <c r="BM194" s="27" t="n"/>
    </row>
    <row r="195">
      <c r="A195" s="27" t="n"/>
      <c r="B195" s="27" t="n"/>
      <c r="C195" s="28">
        <f>IF(A195="","",$B$2)</f>
        <v/>
      </c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  <c r="AA195" s="27" t="n"/>
      <c r="AB195" s="27" t="n"/>
      <c r="AC195" s="27" t="n"/>
      <c r="AD195" s="27" t="n"/>
      <c r="AE195" s="27" t="n"/>
      <c r="AF195" s="27" t="n"/>
      <c r="AG195" s="27" t="n"/>
      <c r="AH195" s="27" t="n"/>
      <c r="AI195" s="27" t="n"/>
      <c r="AJ195" s="27" t="n"/>
      <c r="AK195" s="27" t="n"/>
      <c r="AL195" s="27" t="n"/>
      <c r="AM195" s="27" t="n"/>
      <c r="AN195" s="27" t="n"/>
      <c r="AO195" s="27" t="n"/>
      <c r="AP195" s="27" t="n"/>
      <c r="AQ195" s="27" t="n"/>
      <c r="AR195" s="27" t="n"/>
      <c r="AS195" s="27" t="n"/>
      <c r="AT195" s="27" t="n"/>
      <c r="AU195" s="27" t="n"/>
      <c r="AV195" s="27" t="n"/>
      <c r="AW195" s="27" t="n"/>
      <c r="AX195" s="27" t="n"/>
      <c r="AY195" s="27" t="n"/>
      <c r="AZ195" s="27" t="n"/>
      <c r="BA195" s="27" t="n"/>
      <c r="BB195" s="27" t="n"/>
      <c r="BC195" s="27" t="n"/>
      <c r="BD195" s="27" t="n"/>
      <c r="BE195" s="27" t="n"/>
      <c r="BF195" s="27" t="n"/>
      <c r="BG195" s="27" t="n"/>
      <c r="BH195" s="27" t="n"/>
      <c r="BI195" s="29" t="n"/>
      <c r="BJ195" s="27" t="n"/>
      <c r="BK195" s="27" t="n"/>
      <c r="BL195" s="27" t="n"/>
      <c r="BM195" s="27" t="n"/>
    </row>
    <row r="196">
      <c r="A196" s="27" t="n"/>
      <c r="B196" s="27" t="n"/>
      <c r="C196" s="28">
        <f>IF(A196="","",$B$2)</f>
        <v/>
      </c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  <c r="AA196" s="27" t="n"/>
      <c r="AB196" s="27" t="n"/>
      <c r="AC196" s="27" t="n"/>
      <c r="AD196" s="27" t="n"/>
      <c r="AE196" s="27" t="n"/>
      <c r="AF196" s="27" t="n"/>
      <c r="AG196" s="27" t="n"/>
      <c r="AH196" s="27" t="n"/>
      <c r="AI196" s="27" t="n"/>
      <c r="AJ196" s="27" t="n"/>
      <c r="AK196" s="27" t="n"/>
      <c r="AL196" s="27" t="n"/>
      <c r="AM196" s="27" t="n"/>
      <c r="AN196" s="27" t="n"/>
      <c r="AO196" s="27" t="n"/>
      <c r="AP196" s="27" t="n"/>
      <c r="AQ196" s="27" t="n"/>
      <c r="AR196" s="27" t="n"/>
      <c r="AS196" s="27" t="n"/>
      <c r="AT196" s="27" t="n"/>
      <c r="AU196" s="27" t="n"/>
      <c r="AV196" s="27" t="n"/>
      <c r="AW196" s="27" t="n"/>
      <c r="AX196" s="27" t="n"/>
      <c r="AY196" s="27" t="n"/>
      <c r="AZ196" s="27" t="n"/>
      <c r="BA196" s="27" t="n"/>
      <c r="BB196" s="27" t="n"/>
      <c r="BC196" s="27" t="n"/>
      <c r="BD196" s="27" t="n"/>
      <c r="BE196" s="27" t="n"/>
      <c r="BF196" s="27" t="n"/>
      <c r="BG196" s="27" t="n"/>
      <c r="BH196" s="27" t="n"/>
      <c r="BI196" s="29" t="n"/>
      <c r="BJ196" s="27" t="n"/>
      <c r="BK196" s="27" t="n"/>
      <c r="BL196" s="27" t="n"/>
      <c r="BM196" s="27" t="n"/>
    </row>
    <row r="197">
      <c r="A197" s="27" t="n"/>
      <c r="B197" s="27" t="n"/>
      <c r="C197" s="28">
        <f>IF(A197="","",$B$2)</f>
        <v/>
      </c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  <c r="AA197" s="27" t="n"/>
      <c r="AB197" s="27" t="n"/>
      <c r="AC197" s="27" t="n"/>
      <c r="AD197" s="27" t="n"/>
      <c r="AE197" s="27" t="n"/>
      <c r="AF197" s="27" t="n"/>
      <c r="AG197" s="27" t="n"/>
      <c r="AH197" s="27" t="n"/>
      <c r="AI197" s="27" t="n"/>
      <c r="AJ197" s="27" t="n"/>
      <c r="AK197" s="27" t="n"/>
      <c r="AL197" s="27" t="n"/>
      <c r="AM197" s="27" t="n"/>
      <c r="AN197" s="27" t="n"/>
      <c r="AO197" s="27" t="n"/>
      <c r="AP197" s="27" t="n"/>
      <c r="AQ197" s="27" t="n"/>
      <c r="AR197" s="27" t="n"/>
      <c r="AS197" s="27" t="n"/>
      <c r="AT197" s="27" t="n"/>
      <c r="AU197" s="27" t="n"/>
      <c r="AV197" s="27" t="n"/>
      <c r="AW197" s="27" t="n"/>
      <c r="AX197" s="27" t="n"/>
      <c r="AY197" s="27" t="n"/>
      <c r="AZ197" s="27" t="n"/>
      <c r="BA197" s="27" t="n"/>
      <c r="BB197" s="27" t="n"/>
      <c r="BC197" s="27" t="n"/>
      <c r="BD197" s="27" t="n"/>
      <c r="BE197" s="27" t="n"/>
      <c r="BF197" s="27" t="n"/>
      <c r="BG197" s="27" t="n"/>
      <c r="BH197" s="27" t="n"/>
      <c r="BI197" s="29" t="n"/>
      <c r="BJ197" s="27" t="n"/>
      <c r="BK197" s="27" t="n"/>
      <c r="BL197" s="27" t="n"/>
      <c r="BM197" s="27" t="n"/>
    </row>
    <row r="198">
      <c r="A198" s="27" t="n"/>
      <c r="B198" s="27" t="n"/>
      <c r="C198" s="28">
        <f>IF(A198="","",$B$2)</f>
        <v/>
      </c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  <c r="AA198" s="27" t="n"/>
      <c r="AB198" s="27" t="n"/>
      <c r="AC198" s="27" t="n"/>
      <c r="AD198" s="27" t="n"/>
      <c r="AE198" s="27" t="n"/>
      <c r="AF198" s="27" t="n"/>
      <c r="AG198" s="27" t="n"/>
      <c r="AH198" s="27" t="n"/>
      <c r="AI198" s="27" t="n"/>
      <c r="AJ198" s="27" t="n"/>
      <c r="AK198" s="27" t="n"/>
      <c r="AL198" s="27" t="n"/>
      <c r="AM198" s="27" t="n"/>
      <c r="AN198" s="27" t="n"/>
      <c r="AO198" s="27" t="n"/>
      <c r="AP198" s="27" t="n"/>
      <c r="AQ198" s="27" t="n"/>
      <c r="AR198" s="27" t="n"/>
      <c r="AS198" s="27" t="n"/>
      <c r="AT198" s="27" t="n"/>
      <c r="AU198" s="27" t="n"/>
      <c r="AV198" s="27" t="n"/>
      <c r="AW198" s="27" t="n"/>
      <c r="AX198" s="27" t="n"/>
      <c r="AY198" s="27" t="n"/>
      <c r="AZ198" s="27" t="n"/>
      <c r="BA198" s="27" t="n"/>
      <c r="BB198" s="27" t="n"/>
      <c r="BC198" s="27" t="n"/>
      <c r="BD198" s="27" t="n"/>
      <c r="BE198" s="27" t="n"/>
      <c r="BF198" s="27" t="n"/>
      <c r="BG198" s="27" t="n"/>
      <c r="BH198" s="27" t="n"/>
      <c r="BI198" s="29" t="n"/>
      <c r="BJ198" s="27" t="n"/>
      <c r="BK198" s="27" t="n"/>
      <c r="BL198" s="27" t="n"/>
      <c r="BM198" s="27" t="n"/>
    </row>
    <row r="199">
      <c r="A199" s="27" t="n"/>
      <c r="B199" s="27" t="n"/>
      <c r="C199" s="28">
        <f>IF(A199="","",$B$2)</f>
        <v/>
      </c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  <c r="AA199" s="27" t="n"/>
      <c r="AB199" s="27" t="n"/>
      <c r="AC199" s="27" t="n"/>
      <c r="AD199" s="27" t="n"/>
      <c r="AE199" s="27" t="n"/>
      <c r="AF199" s="27" t="n"/>
      <c r="AG199" s="27" t="n"/>
      <c r="AH199" s="27" t="n"/>
      <c r="AI199" s="27" t="n"/>
      <c r="AJ199" s="27" t="n"/>
      <c r="AK199" s="27" t="n"/>
      <c r="AL199" s="27" t="n"/>
      <c r="AM199" s="27" t="n"/>
      <c r="AN199" s="27" t="n"/>
      <c r="AO199" s="27" t="n"/>
      <c r="AP199" s="27" t="n"/>
      <c r="AQ199" s="27" t="n"/>
      <c r="AR199" s="27" t="n"/>
      <c r="AS199" s="27" t="n"/>
      <c r="AT199" s="27" t="n"/>
      <c r="AU199" s="27" t="n"/>
      <c r="AV199" s="27" t="n"/>
      <c r="AW199" s="27" t="n"/>
      <c r="AX199" s="27" t="n"/>
      <c r="AY199" s="27" t="n"/>
      <c r="AZ199" s="27" t="n"/>
      <c r="BA199" s="27" t="n"/>
      <c r="BB199" s="27" t="n"/>
      <c r="BC199" s="27" t="n"/>
      <c r="BD199" s="27" t="n"/>
      <c r="BE199" s="27" t="n"/>
      <c r="BF199" s="27" t="n"/>
      <c r="BG199" s="27" t="n"/>
      <c r="BH199" s="27" t="n"/>
      <c r="BI199" s="29" t="n"/>
      <c r="BJ199" s="27" t="n"/>
      <c r="BK199" s="27" t="n"/>
      <c r="BL199" s="27" t="n"/>
      <c r="BM199" s="27" t="n"/>
    </row>
    <row r="200">
      <c r="A200" s="27" t="n"/>
      <c r="B200" s="27" t="n"/>
      <c r="C200" s="28">
        <f>IF(A200="","",$B$2)</f>
        <v/>
      </c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  <c r="AA200" s="27" t="n"/>
      <c r="AB200" s="27" t="n"/>
      <c r="AC200" s="27" t="n"/>
      <c r="AD200" s="27" t="n"/>
      <c r="AE200" s="27" t="n"/>
      <c r="AF200" s="27" t="n"/>
      <c r="AG200" s="27" t="n"/>
      <c r="AH200" s="27" t="n"/>
      <c r="AI200" s="27" t="n"/>
      <c r="AJ200" s="27" t="n"/>
      <c r="AK200" s="27" t="n"/>
      <c r="AL200" s="27" t="n"/>
      <c r="AM200" s="27" t="n"/>
      <c r="AN200" s="27" t="n"/>
      <c r="AO200" s="27" t="n"/>
      <c r="AP200" s="27" t="n"/>
      <c r="AQ200" s="27" t="n"/>
      <c r="AR200" s="27" t="n"/>
      <c r="AS200" s="27" t="n"/>
      <c r="AT200" s="27" t="n"/>
      <c r="AU200" s="27" t="n"/>
      <c r="AV200" s="27" t="n"/>
      <c r="AW200" s="27" t="n"/>
      <c r="AX200" s="27" t="n"/>
      <c r="AY200" s="27" t="n"/>
      <c r="AZ200" s="27" t="n"/>
      <c r="BA200" s="27" t="n"/>
      <c r="BB200" s="27" t="n"/>
      <c r="BC200" s="27" t="n"/>
      <c r="BD200" s="27" t="n"/>
      <c r="BE200" s="27" t="n"/>
      <c r="BF200" s="27" t="n"/>
      <c r="BG200" s="27" t="n"/>
      <c r="BH200" s="27" t="n"/>
      <c r="BI200" s="29" t="n"/>
      <c r="BJ200" s="27" t="n"/>
      <c r="BK200" s="27" t="n"/>
      <c r="BL200" s="27" t="n"/>
      <c r="BM200" s="27" t="n"/>
    </row>
    <row r="201">
      <c r="A201" s="27" t="n"/>
      <c r="B201" s="27" t="n"/>
      <c r="C201" s="28">
        <f>IF(A201="","",$B$2)</f>
        <v/>
      </c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  <c r="AA201" s="27" t="n"/>
      <c r="AB201" s="27" t="n"/>
      <c r="AC201" s="27" t="n"/>
      <c r="AD201" s="27" t="n"/>
      <c r="AE201" s="27" t="n"/>
      <c r="AF201" s="27" t="n"/>
      <c r="AG201" s="27" t="n"/>
      <c r="AH201" s="27" t="n"/>
      <c r="AI201" s="27" t="n"/>
      <c r="AJ201" s="27" t="n"/>
      <c r="AK201" s="27" t="n"/>
      <c r="AL201" s="27" t="n"/>
      <c r="AM201" s="27" t="n"/>
      <c r="AN201" s="27" t="n"/>
      <c r="AO201" s="27" t="n"/>
      <c r="AP201" s="27" t="n"/>
      <c r="AQ201" s="27" t="n"/>
      <c r="AR201" s="27" t="n"/>
      <c r="AS201" s="27" t="n"/>
      <c r="AT201" s="27" t="n"/>
      <c r="AU201" s="27" t="n"/>
      <c r="AV201" s="27" t="n"/>
      <c r="AW201" s="27" t="n"/>
      <c r="AX201" s="27" t="n"/>
      <c r="AY201" s="27" t="n"/>
      <c r="AZ201" s="27" t="n"/>
      <c r="BA201" s="27" t="n"/>
      <c r="BB201" s="27" t="n"/>
      <c r="BC201" s="27" t="n"/>
      <c r="BD201" s="27" t="n"/>
      <c r="BE201" s="27" t="n"/>
      <c r="BF201" s="27" t="n"/>
      <c r="BG201" s="27" t="n"/>
      <c r="BH201" s="27" t="n"/>
      <c r="BI201" s="29" t="n"/>
      <c r="BJ201" s="27" t="n"/>
      <c r="BK201" s="27" t="n"/>
      <c r="BL201" s="27" t="n"/>
      <c r="BM201" s="27" t="n"/>
    </row>
    <row r="202">
      <c r="A202" s="27" t="n"/>
      <c r="B202" s="27" t="n"/>
      <c r="C202" s="28">
        <f>IF(A202="","",$B$2)</f>
        <v/>
      </c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  <c r="AA202" s="27" t="n"/>
      <c r="AB202" s="27" t="n"/>
      <c r="AC202" s="27" t="n"/>
      <c r="AD202" s="27" t="n"/>
      <c r="AE202" s="27" t="n"/>
      <c r="AF202" s="27" t="n"/>
      <c r="AG202" s="27" t="n"/>
      <c r="AH202" s="27" t="n"/>
      <c r="AI202" s="27" t="n"/>
      <c r="AJ202" s="27" t="n"/>
      <c r="AK202" s="27" t="n"/>
      <c r="AL202" s="27" t="n"/>
      <c r="AM202" s="27" t="n"/>
      <c r="AN202" s="27" t="n"/>
      <c r="AO202" s="27" t="n"/>
      <c r="AP202" s="27" t="n"/>
      <c r="AQ202" s="27" t="n"/>
      <c r="AR202" s="27" t="n"/>
      <c r="AS202" s="27" t="n"/>
      <c r="AT202" s="27" t="n"/>
      <c r="AU202" s="27" t="n"/>
      <c r="AV202" s="27" t="n"/>
      <c r="AW202" s="27" t="n"/>
      <c r="AX202" s="27" t="n"/>
      <c r="AY202" s="27" t="n"/>
      <c r="AZ202" s="27" t="n"/>
      <c r="BA202" s="27" t="n"/>
      <c r="BB202" s="27" t="n"/>
      <c r="BC202" s="27" t="n"/>
      <c r="BD202" s="27" t="n"/>
      <c r="BE202" s="27" t="n"/>
      <c r="BF202" s="27" t="n"/>
      <c r="BG202" s="27" t="n"/>
      <c r="BH202" s="27" t="n"/>
      <c r="BI202" s="29" t="n"/>
      <c r="BJ202" s="27" t="n"/>
      <c r="BK202" s="27" t="n"/>
      <c r="BL202" s="27" t="n"/>
      <c r="BM202" s="27" t="n"/>
    </row>
    <row r="203">
      <c r="A203" s="27" t="n"/>
      <c r="B203" s="27" t="n"/>
      <c r="C203" s="28">
        <f>IF(A203="","",$B$2)</f>
        <v/>
      </c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  <c r="AA203" s="27" t="n"/>
      <c r="AB203" s="27" t="n"/>
      <c r="AC203" s="27" t="n"/>
      <c r="AD203" s="27" t="n"/>
      <c r="AE203" s="27" t="n"/>
      <c r="AF203" s="27" t="n"/>
      <c r="AG203" s="27" t="n"/>
      <c r="AH203" s="27" t="n"/>
      <c r="AI203" s="27" t="n"/>
      <c r="AJ203" s="27" t="n"/>
      <c r="AK203" s="27" t="n"/>
      <c r="AL203" s="27" t="n"/>
      <c r="AM203" s="27" t="n"/>
      <c r="AN203" s="27" t="n"/>
      <c r="AO203" s="27" t="n"/>
      <c r="AP203" s="27" t="n"/>
      <c r="AQ203" s="27" t="n"/>
      <c r="AR203" s="27" t="n"/>
      <c r="AS203" s="27" t="n"/>
      <c r="AT203" s="27" t="n"/>
      <c r="AU203" s="27" t="n"/>
      <c r="AV203" s="27" t="n"/>
      <c r="AW203" s="27" t="n"/>
      <c r="AX203" s="27" t="n"/>
      <c r="AY203" s="27" t="n"/>
      <c r="AZ203" s="27" t="n"/>
      <c r="BA203" s="27" t="n"/>
      <c r="BB203" s="27" t="n"/>
      <c r="BC203" s="27" t="n"/>
      <c r="BD203" s="27" t="n"/>
      <c r="BE203" s="27" t="n"/>
      <c r="BF203" s="27" t="n"/>
      <c r="BG203" s="27" t="n"/>
      <c r="BH203" s="27" t="n"/>
      <c r="BI203" s="29" t="n"/>
      <c r="BJ203" s="27" t="n"/>
      <c r="BK203" s="27" t="n"/>
      <c r="BL203" s="27" t="n"/>
      <c r="BM203" s="27" t="n"/>
    </row>
    <row r="204">
      <c r="A204" s="27" t="n"/>
      <c r="B204" s="27" t="n"/>
      <c r="C204" s="28">
        <f>IF(A204="","",$B$2)</f>
        <v/>
      </c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  <c r="AA204" s="27" t="n"/>
      <c r="AB204" s="27" t="n"/>
      <c r="AC204" s="27" t="n"/>
      <c r="AD204" s="27" t="n"/>
      <c r="AE204" s="27" t="n"/>
      <c r="AF204" s="27" t="n"/>
      <c r="AG204" s="27" t="n"/>
      <c r="AH204" s="27" t="n"/>
      <c r="AI204" s="27" t="n"/>
      <c r="AJ204" s="27" t="n"/>
      <c r="AK204" s="27" t="n"/>
      <c r="AL204" s="27" t="n"/>
      <c r="AM204" s="27" t="n"/>
      <c r="AN204" s="27" t="n"/>
      <c r="AO204" s="27" t="n"/>
      <c r="AP204" s="27" t="n"/>
      <c r="AQ204" s="27" t="n"/>
      <c r="AR204" s="27" t="n"/>
      <c r="AS204" s="27" t="n"/>
      <c r="AT204" s="27" t="n"/>
      <c r="AU204" s="27" t="n"/>
      <c r="AV204" s="27" t="n"/>
      <c r="AW204" s="27" t="n"/>
      <c r="AX204" s="27" t="n"/>
      <c r="AY204" s="27" t="n"/>
      <c r="AZ204" s="27" t="n"/>
      <c r="BA204" s="27" t="n"/>
      <c r="BB204" s="27" t="n"/>
      <c r="BC204" s="27" t="n"/>
      <c r="BD204" s="27" t="n"/>
      <c r="BE204" s="27" t="n"/>
      <c r="BF204" s="27" t="n"/>
      <c r="BG204" s="27" t="n"/>
      <c r="BH204" s="27" t="n"/>
      <c r="BI204" s="29" t="n"/>
      <c r="BJ204" s="27" t="n"/>
      <c r="BK204" s="27" t="n"/>
      <c r="BL204" s="27" t="n"/>
      <c r="BM204" s="27" t="n"/>
    </row>
    <row r="205">
      <c r="A205" s="27" t="n"/>
      <c r="B205" s="27" t="n"/>
      <c r="C205" s="28">
        <f>IF(A205="","",$B$2)</f>
        <v/>
      </c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  <c r="AA205" s="27" t="n"/>
      <c r="AB205" s="27" t="n"/>
      <c r="AC205" s="27" t="n"/>
      <c r="AD205" s="27" t="n"/>
      <c r="AE205" s="27" t="n"/>
      <c r="AF205" s="27" t="n"/>
      <c r="AG205" s="27" t="n"/>
      <c r="AH205" s="27" t="n"/>
      <c r="AI205" s="27" t="n"/>
      <c r="AJ205" s="27" t="n"/>
      <c r="AK205" s="27" t="n"/>
      <c r="AL205" s="27" t="n"/>
      <c r="AM205" s="27" t="n"/>
      <c r="AN205" s="27" t="n"/>
      <c r="AO205" s="27" t="n"/>
      <c r="AP205" s="27" t="n"/>
      <c r="AQ205" s="27" t="n"/>
      <c r="AR205" s="27" t="n"/>
      <c r="AS205" s="27" t="n"/>
      <c r="AT205" s="27" t="n"/>
      <c r="AU205" s="27" t="n"/>
      <c r="AV205" s="27" t="n"/>
      <c r="AW205" s="27" t="n"/>
      <c r="AX205" s="27" t="n"/>
      <c r="AY205" s="27" t="n"/>
      <c r="AZ205" s="27" t="n"/>
      <c r="BA205" s="27" t="n"/>
      <c r="BB205" s="27" t="n"/>
      <c r="BC205" s="27" t="n"/>
      <c r="BD205" s="27" t="n"/>
      <c r="BE205" s="27" t="n"/>
      <c r="BF205" s="27" t="n"/>
      <c r="BG205" s="27" t="n"/>
      <c r="BH205" s="27" t="n"/>
      <c r="BI205" s="29" t="n"/>
      <c r="BJ205" s="27" t="n"/>
      <c r="BK205" s="27" t="n"/>
      <c r="BL205" s="27" t="n"/>
      <c r="BM205" s="27" t="n"/>
    </row>
  </sheetData>
  <autoFilter ref="A5:BM205"/>
  <mergeCells count="21">
    <mergeCell ref="BH4:BH5"/>
    <mergeCell ref="C4:C5"/>
    <mergeCell ref="E4:E5"/>
    <mergeCell ref="BE4:BE5"/>
    <mergeCell ref="BG4:BG5"/>
    <mergeCell ref="BK4:BK5"/>
    <mergeCell ref="A3:F3"/>
    <mergeCell ref="D4:D5"/>
    <mergeCell ref="BE3:BH3"/>
    <mergeCell ref="BF4:BF5"/>
    <mergeCell ref="BL4:BL5"/>
    <mergeCell ref="BI3:BM3"/>
    <mergeCell ref="A4:A5"/>
    <mergeCell ref="BO4:DN4"/>
    <mergeCell ref="BI4:BI5"/>
    <mergeCell ref="BM4:BM5"/>
    <mergeCell ref="G3:BD3"/>
    <mergeCell ref="B4:B5"/>
    <mergeCell ref="F4:F5"/>
    <mergeCell ref="BJ4:BJ5"/>
    <mergeCell ref="B2:D2"/>
  </mergeCells>
  <dataValidations count="56">
    <dataValidation sqref="G6:G205" showDropDown="0" showInputMessage="0" showErrorMessage="0" allowBlank="1" type="list">
      <formula1>'テストケース8'!$BO$6:$BO$15</formula1>
    </dataValidation>
    <dataValidation sqref="H6:H205" showDropDown="0" showInputMessage="0" showErrorMessage="0" allowBlank="1" type="list">
      <formula1>'テストケース8'!$BP$6:$BP$15</formula1>
    </dataValidation>
    <dataValidation sqref="I6:I205" showDropDown="0" showInputMessage="0" showErrorMessage="0" allowBlank="1" type="list">
      <formula1>'テストケース8'!$BQ$6:$BQ$15</formula1>
    </dataValidation>
    <dataValidation sqref="J6:J205" showDropDown="0" showInputMessage="0" showErrorMessage="0" allowBlank="1" type="list">
      <formula1>'テストケース8'!$BR$6:$BR$15</formula1>
    </dataValidation>
    <dataValidation sqref="K6:K205" showDropDown="0" showInputMessage="0" showErrorMessage="0" allowBlank="1" type="list">
      <formula1>'テストケース8'!$BS$6:$BS$15</formula1>
    </dataValidation>
    <dataValidation sqref="L6:L205" showDropDown="0" showInputMessage="0" showErrorMessage="0" allowBlank="1" type="list">
      <formula1>'テストケース8'!$BT$6:$BT$15</formula1>
    </dataValidation>
    <dataValidation sqref="M6:M205" showDropDown="0" showInputMessage="0" showErrorMessage="0" allowBlank="1" type="list">
      <formula1>'テストケース8'!$BU$6:$BU$15</formula1>
    </dataValidation>
    <dataValidation sqref="N6:N205" showDropDown="0" showInputMessage="0" showErrorMessage="0" allowBlank="1" type="list">
      <formula1>'テストケース8'!$BV$6:$BV$15</formula1>
    </dataValidation>
    <dataValidation sqref="O6:O205" showDropDown="0" showInputMessage="0" showErrorMessage="0" allowBlank="1" type="list">
      <formula1>'テストケース8'!$BW$6:$BW$15</formula1>
    </dataValidation>
    <dataValidation sqref="P6:P205" showDropDown="0" showInputMessage="0" showErrorMessage="0" allowBlank="1" type="list">
      <formula1>'テストケース8'!$BX$6:$BX$15</formula1>
    </dataValidation>
    <dataValidation sqref="Q6:Q205" showDropDown="0" showInputMessage="0" showErrorMessage="0" allowBlank="1" type="list">
      <formula1>'テストケース8'!$BY$6:$BY$15</formula1>
    </dataValidation>
    <dataValidation sqref="R6:R205" showDropDown="0" showInputMessage="0" showErrorMessage="0" allowBlank="1" type="list">
      <formula1>'テストケース8'!$BZ$6:$BZ$15</formula1>
    </dataValidation>
    <dataValidation sqref="S6:S205" showDropDown="0" showInputMessage="0" showErrorMessage="0" allowBlank="1" type="list">
      <formula1>'テストケース8'!$CA$6:$CA$15</formula1>
    </dataValidation>
    <dataValidation sqref="T6:T205" showDropDown="0" showInputMessage="0" showErrorMessage="0" allowBlank="1" type="list">
      <formula1>'テストケース8'!$CB$6:$CB$15</formula1>
    </dataValidation>
    <dataValidation sqref="U6:U205" showDropDown="0" showInputMessage="0" showErrorMessage="0" allowBlank="1" type="list">
      <formula1>'テストケース8'!$CC$6:$CC$15</formula1>
    </dataValidation>
    <dataValidation sqref="V6:V205" showDropDown="0" showInputMessage="0" showErrorMessage="0" allowBlank="1" type="list">
      <formula1>'テストケース8'!$CD$6:$CD$15</formula1>
    </dataValidation>
    <dataValidation sqref="W6:W205" showDropDown="0" showInputMessage="0" showErrorMessage="0" allowBlank="1" type="list">
      <formula1>'テストケース8'!$CE$6:$CE$15</formula1>
    </dataValidation>
    <dataValidation sqref="X6:X205" showDropDown="0" showInputMessage="0" showErrorMessage="0" allowBlank="1" type="list">
      <formula1>'テストケース8'!$CF$6:$CF$15</formula1>
    </dataValidation>
    <dataValidation sqref="Y6:Y205" showDropDown="0" showInputMessage="0" showErrorMessage="0" allowBlank="1" type="list">
      <formula1>'テストケース8'!$CG$6:$CG$15</formula1>
    </dataValidation>
    <dataValidation sqref="Z6:Z205" showDropDown="0" showInputMessage="0" showErrorMessage="0" allowBlank="1" type="list">
      <formula1>'テストケース8'!$CH$6:$CH$15</formula1>
    </dataValidation>
    <dataValidation sqref="AA6:AA205" showDropDown="0" showInputMessage="0" showErrorMessage="0" allowBlank="1" type="list">
      <formula1>'テストケース8'!$CI$6:$CI$15</formula1>
    </dataValidation>
    <dataValidation sqref="AB6:AB205" showDropDown="0" showInputMessage="0" showErrorMessage="0" allowBlank="1" type="list">
      <formula1>'テストケース8'!$CJ$6:$CJ$15</formula1>
    </dataValidation>
    <dataValidation sqref="AC6:AC205" showDropDown="0" showInputMessage="0" showErrorMessage="0" allowBlank="1" type="list">
      <formula1>'テストケース8'!$CK$6:$CK$15</formula1>
    </dataValidation>
    <dataValidation sqref="AD6:AD205" showDropDown="0" showInputMessage="0" showErrorMessage="0" allowBlank="1" type="list">
      <formula1>'テストケース8'!$CL$6:$CL$15</formula1>
    </dataValidation>
    <dataValidation sqref="AE6:AE205" showDropDown="0" showInputMessage="0" showErrorMessage="0" allowBlank="1" type="list">
      <formula1>'テストケース8'!$CM$6:$CM$15</formula1>
    </dataValidation>
    <dataValidation sqref="AF6:AF205" showDropDown="0" showInputMessage="0" showErrorMessage="0" allowBlank="1" type="list">
      <formula1>'テストケース8'!$CN$6:$CN$15</formula1>
    </dataValidation>
    <dataValidation sqref="AG6:AG205" showDropDown="0" showInputMessage="0" showErrorMessage="0" allowBlank="1" type="list">
      <formula1>'テストケース8'!$CO$6:$CO$15</formula1>
    </dataValidation>
    <dataValidation sqref="AH6:AH205" showDropDown="0" showInputMessage="0" showErrorMessage="0" allowBlank="1" type="list">
      <formula1>'テストケース8'!$CP$6:$CP$15</formula1>
    </dataValidation>
    <dataValidation sqref="AI6:AI205" showDropDown="0" showInputMessage="0" showErrorMessage="0" allowBlank="1" type="list">
      <formula1>'テストケース8'!$CQ$6:$CQ$15</formula1>
    </dataValidation>
    <dataValidation sqref="AJ6:AJ205" showDropDown="0" showInputMessage="0" showErrorMessage="0" allowBlank="1" type="list">
      <formula1>'テストケース8'!$CR$6:$CR$15</formula1>
    </dataValidation>
    <dataValidation sqref="AK6:AK205" showDropDown="0" showInputMessage="0" showErrorMessage="0" allowBlank="1" type="list">
      <formula1>'テストケース8'!$CS$6:$CS$15</formula1>
    </dataValidation>
    <dataValidation sqref="AL6:AL205" showDropDown="0" showInputMessage="0" showErrorMessage="0" allowBlank="1" type="list">
      <formula1>'テストケース8'!$CT$6:$CT$15</formula1>
    </dataValidation>
    <dataValidation sqref="AM6:AM205" showDropDown="0" showInputMessage="0" showErrorMessage="0" allowBlank="1" type="list">
      <formula1>'テストケース8'!$CU$6:$CU$15</formula1>
    </dataValidation>
    <dataValidation sqref="AN6:AN205" showDropDown="0" showInputMessage="0" showErrorMessage="0" allowBlank="1" type="list">
      <formula1>'テストケース8'!$CV$6:$CV$15</formula1>
    </dataValidation>
    <dataValidation sqref="AO6:AO205" showDropDown="0" showInputMessage="0" showErrorMessage="0" allowBlank="1" type="list">
      <formula1>'テストケース8'!$CW$6:$CW$15</formula1>
    </dataValidation>
    <dataValidation sqref="AP6:AP205" showDropDown="0" showInputMessage="0" showErrorMessage="0" allowBlank="1" type="list">
      <formula1>'テストケース8'!$CX$6:$CX$15</formula1>
    </dataValidation>
    <dataValidation sqref="AQ6:AQ205" showDropDown="0" showInputMessage="0" showErrorMessage="0" allowBlank="1" type="list">
      <formula1>'テストケース8'!$CY$6:$CY$15</formula1>
    </dataValidation>
    <dataValidation sqref="AR6:AR205" showDropDown="0" showInputMessage="0" showErrorMessage="0" allowBlank="1" type="list">
      <formula1>'テストケース8'!$CZ$6:$CZ$15</formula1>
    </dataValidation>
    <dataValidation sqref="AS6:AS205" showDropDown="0" showInputMessage="0" showErrorMessage="0" allowBlank="1" type="list">
      <formula1>'テストケース8'!$DA$6:$DA$15</formula1>
    </dataValidation>
    <dataValidation sqref="AT6:AT205" showDropDown="0" showInputMessage="0" showErrorMessage="0" allowBlank="1" type="list">
      <formula1>'テストケース8'!$DB$6:$DB$15</formula1>
    </dataValidation>
    <dataValidation sqref="AU6:AU205" showDropDown="0" showInputMessage="0" showErrorMessage="0" allowBlank="1" type="list">
      <formula1>'テストケース8'!$DC$6:$DC$15</formula1>
    </dataValidation>
    <dataValidation sqref="AV6:AV205" showDropDown="0" showInputMessage="0" showErrorMessage="0" allowBlank="1" type="list">
      <formula1>'テストケース8'!$DD$6:$DD$15</formula1>
    </dataValidation>
    <dataValidation sqref="AW6:AW205" showDropDown="0" showInputMessage="0" showErrorMessage="0" allowBlank="1" type="list">
      <formula1>'テストケース8'!$DE$6:$DE$15</formula1>
    </dataValidation>
    <dataValidation sqref="AX6:AX205" showDropDown="0" showInputMessage="0" showErrorMessage="0" allowBlank="1" type="list">
      <formula1>'テストケース8'!$DF$6:$DF$15</formula1>
    </dataValidation>
    <dataValidation sqref="AY6:AY205" showDropDown="0" showInputMessage="0" showErrorMessage="0" allowBlank="1" type="list">
      <formula1>'テストケース8'!$DG$6:$DG$15</formula1>
    </dataValidation>
    <dataValidation sqref="AZ6:AZ205" showDropDown="0" showInputMessage="0" showErrorMessage="0" allowBlank="1" type="list">
      <formula1>'テストケース8'!$DH$6:$DH$15</formula1>
    </dataValidation>
    <dataValidation sqref="BA6:BA205" showDropDown="0" showInputMessage="0" showErrorMessage="0" allowBlank="1" type="list">
      <formula1>'テストケース8'!$DI$6:$DI$15</formula1>
    </dataValidation>
    <dataValidation sqref="BB6:BB205" showDropDown="0" showInputMessage="0" showErrorMessage="0" allowBlank="1" type="list">
      <formula1>'テストケース8'!$DJ$6:$DJ$15</formula1>
    </dataValidation>
    <dataValidation sqref="BC6:BC205" showDropDown="0" showInputMessage="0" showErrorMessage="0" allowBlank="1" type="list">
      <formula1>'テストケース8'!$DK$6:$DK$15</formula1>
    </dataValidation>
    <dataValidation sqref="BD6:BD205" showDropDown="0" showInputMessage="0" showErrorMessage="0" allowBlank="1" type="list">
      <formula1>'テストケース8'!$DL$6:$DL$15</formula1>
    </dataValidation>
    <dataValidation sqref="C6:C205" showDropDown="0" showInputMessage="0" showErrorMessage="0" allowBlank="1" type="list">
      <formula1>'テストケース8'!$DM$6:$DM$35</formula1>
    </dataValidation>
    <dataValidation sqref="B2" showDropDown="0" showInputMessage="0" showErrorMessage="0" allowBlank="1" type="list">
      <formula1>'テストケース8'!$DM$6:$DM$35</formula1>
    </dataValidation>
    <dataValidation sqref="B6:B205" showDropDown="0" showInputMessage="0" showErrorMessage="0" allowBlank="1" type="list">
      <formula1>'テストケース8'!$DN$6:$DN$105</formula1>
    </dataValidation>
    <dataValidation sqref="E6:E205" showDropDown="0" showInputMessage="0" showErrorMessage="0" allowBlank="1" type="list">
      <formula1>"高,中,低"</formula1>
    </dataValidation>
    <dataValidation sqref="BH6:BH205" showDropDown="0" showInputMessage="0" showErrorMessage="0" allowBlank="1" type="list">
      <formula1>"要,否,済"</formula1>
    </dataValidation>
    <dataValidation sqref="BK6:BK205" showDropDown="0" showInputMessage="0" showErrorMessage="0" allowBlank="1" type="list">
      <formula1>"OK,NG,保留,対象外"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N20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8" customWidth="1" min="4" max="4"/>
    <col width="7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30" customWidth="1" min="57" max="57"/>
    <col width="34" customWidth="1" min="58" max="58"/>
    <col width="14" customWidth="1" min="59" max="59"/>
    <col width="9" customWidth="1" min="60" max="60"/>
    <col width="11" customWidth="1" min="61" max="61"/>
    <col width="10" customWidth="1" min="62" max="62"/>
    <col width="9" customWidth="1" min="63" max="63"/>
    <col width="10" customWidth="1" min="64" max="64"/>
    <col width="24" customWidth="1" min="65" max="65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</cols>
  <sheetData>
    <row r="1">
      <c r="A1" s="1" t="inlineStr">
        <is>
          <t>テストケース</t>
        </is>
      </c>
      <c r="E1" s="2" t="inlineStr">
        <is>
          <t>2 行目でカテゴリを選ぶと、そのカテゴリの因子が左から自動で入ります。セルは水準のプルダウンから選べます。</t>
        </is>
      </c>
    </row>
    <row r="2">
      <c r="A2" s="11" t="inlineStr">
        <is>
          <t>カテゴリ</t>
        </is>
      </c>
      <c r="B2" s="8" t="n"/>
      <c r="C2" s="9" t="n"/>
      <c r="D2" s="10" t="n"/>
      <c r="E2" s="18">
        <f>IF($B$2="","",COUNTIF('因子水準表'!$B$5:$KO$5,$B$2)&amp;" 因子")</f>
        <v/>
      </c>
    </row>
    <row r="3">
      <c r="A3" s="21" t="inlineStr">
        <is>
          <t>テストケース</t>
        </is>
      </c>
      <c r="B3" s="9" t="n"/>
      <c r="C3" s="9" t="n"/>
      <c r="D3" s="9" t="n"/>
      <c r="E3" s="9" t="n"/>
      <c r="F3" s="10" t="n"/>
      <c r="G3" s="21" t="inlineStr">
        <is>
          <t>因子の水準（シートのカテゴリの因子が自動で入る）</t>
        </is>
      </c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  <c r="AQ3" s="9" t="n"/>
      <c r="AR3" s="9" t="n"/>
      <c r="AS3" s="9" t="n"/>
      <c r="AT3" s="9" t="n"/>
      <c r="AU3" s="9" t="n"/>
      <c r="AV3" s="9" t="n"/>
      <c r="AW3" s="9" t="n"/>
      <c r="AX3" s="9" t="n"/>
      <c r="AY3" s="9" t="n"/>
      <c r="AZ3" s="9" t="n"/>
      <c r="BA3" s="9" t="n"/>
      <c r="BB3" s="9" t="n"/>
      <c r="BC3" s="9" t="n"/>
      <c r="BD3" s="10" t="n"/>
      <c r="BE3" s="21" t="inlineStr">
        <is>
          <t>内容</t>
        </is>
      </c>
      <c r="BF3" s="9" t="n"/>
      <c r="BG3" s="9" t="n"/>
      <c r="BH3" s="10" t="n"/>
      <c r="BI3" s="21" t="inlineStr">
        <is>
          <t>実行結果</t>
        </is>
      </c>
      <c r="BJ3" s="9" t="n"/>
      <c r="BK3" s="9" t="n"/>
      <c r="BL3" s="9" t="n"/>
      <c r="BM3" s="10" t="n"/>
    </row>
    <row r="4">
      <c r="A4" s="12" t="inlineStr">
        <is>
          <t>ID</t>
        </is>
      </c>
      <c r="B4" s="12" t="inlineStr">
        <is>
          <t>条件ID</t>
        </is>
      </c>
      <c r="C4" s="12" t="inlineStr">
        <is>
          <t>カテゴリ</t>
        </is>
      </c>
      <c r="D4" s="12" t="inlineStr">
        <is>
          <t>テスト観点（目的）</t>
        </is>
      </c>
      <c r="E4" s="12" t="inlineStr">
        <is>
          <t>優先度</t>
        </is>
      </c>
      <c r="F4" s="12" t="inlineStr">
        <is>
          <t>事前条件</t>
        </is>
      </c>
      <c r="G4" s="22">
        <f>IF($B$2="","",IFERROR(INDEX('因子水準表'!$B$4:$KO$4,MATCH($B$2&amp;"|1",'因子水準表'!$B$20:$KO$20,0)),""))</f>
        <v/>
      </c>
      <c r="H4" s="22">
        <f>IF($B$2="","",IFERROR(INDEX('因子水準表'!$B$4:$KO$4,MATCH($B$2&amp;"|2",'因子水準表'!$B$20:$KO$20,0)),""))</f>
        <v/>
      </c>
      <c r="I4" s="22">
        <f>IF($B$2="","",IFERROR(INDEX('因子水準表'!$B$4:$KO$4,MATCH($B$2&amp;"|3",'因子水準表'!$B$20:$KO$20,0)),""))</f>
        <v/>
      </c>
      <c r="J4" s="22">
        <f>IF($B$2="","",IFERROR(INDEX('因子水準表'!$B$4:$KO$4,MATCH($B$2&amp;"|4",'因子水準表'!$B$20:$KO$20,0)),""))</f>
        <v/>
      </c>
      <c r="K4" s="22">
        <f>IF($B$2="","",IFERROR(INDEX('因子水準表'!$B$4:$KO$4,MATCH($B$2&amp;"|5",'因子水準表'!$B$20:$KO$20,0)),""))</f>
        <v/>
      </c>
      <c r="L4" s="22">
        <f>IF($B$2="","",IFERROR(INDEX('因子水準表'!$B$4:$KO$4,MATCH($B$2&amp;"|6",'因子水準表'!$B$20:$KO$20,0)),""))</f>
        <v/>
      </c>
      <c r="M4" s="22">
        <f>IF($B$2="","",IFERROR(INDEX('因子水準表'!$B$4:$KO$4,MATCH($B$2&amp;"|7",'因子水準表'!$B$20:$KO$20,0)),""))</f>
        <v/>
      </c>
      <c r="N4" s="22">
        <f>IF($B$2="","",IFERROR(INDEX('因子水準表'!$B$4:$KO$4,MATCH($B$2&amp;"|8",'因子水準表'!$B$20:$KO$20,0)),""))</f>
        <v/>
      </c>
      <c r="O4" s="22">
        <f>IF($B$2="","",IFERROR(INDEX('因子水準表'!$B$4:$KO$4,MATCH($B$2&amp;"|9",'因子水準表'!$B$20:$KO$20,0)),""))</f>
        <v/>
      </c>
      <c r="P4" s="22">
        <f>IF($B$2="","",IFERROR(INDEX('因子水準表'!$B$4:$KO$4,MATCH($B$2&amp;"|10",'因子水準表'!$B$20:$KO$20,0)),""))</f>
        <v/>
      </c>
      <c r="Q4" s="22">
        <f>IF($B$2="","",IFERROR(INDEX('因子水準表'!$B$4:$KO$4,MATCH($B$2&amp;"|11",'因子水準表'!$B$20:$KO$20,0)),""))</f>
        <v/>
      </c>
      <c r="R4" s="22">
        <f>IF($B$2="","",IFERROR(INDEX('因子水準表'!$B$4:$KO$4,MATCH($B$2&amp;"|12",'因子水準表'!$B$20:$KO$20,0)),""))</f>
        <v/>
      </c>
      <c r="S4" s="22">
        <f>IF($B$2="","",IFERROR(INDEX('因子水準表'!$B$4:$KO$4,MATCH($B$2&amp;"|13",'因子水準表'!$B$20:$KO$20,0)),""))</f>
        <v/>
      </c>
      <c r="T4" s="22">
        <f>IF($B$2="","",IFERROR(INDEX('因子水準表'!$B$4:$KO$4,MATCH($B$2&amp;"|14",'因子水準表'!$B$20:$KO$20,0)),""))</f>
        <v/>
      </c>
      <c r="U4" s="22">
        <f>IF($B$2="","",IFERROR(INDEX('因子水準表'!$B$4:$KO$4,MATCH($B$2&amp;"|15",'因子水準表'!$B$20:$KO$20,0)),""))</f>
        <v/>
      </c>
      <c r="V4" s="22">
        <f>IF($B$2="","",IFERROR(INDEX('因子水準表'!$B$4:$KO$4,MATCH($B$2&amp;"|16",'因子水準表'!$B$20:$KO$20,0)),""))</f>
        <v/>
      </c>
      <c r="W4" s="22">
        <f>IF($B$2="","",IFERROR(INDEX('因子水準表'!$B$4:$KO$4,MATCH($B$2&amp;"|17",'因子水準表'!$B$20:$KO$20,0)),""))</f>
        <v/>
      </c>
      <c r="X4" s="22">
        <f>IF($B$2="","",IFERROR(INDEX('因子水準表'!$B$4:$KO$4,MATCH($B$2&amp;"|18",'因子水準表'!$B$20:$KO$20,0)),""))</f>
        <v/>
      </c>
      <c r="Y4" s="22">
        <f>IF($B$2="","",IFERROR(INDEX('因子水準表'!$B$4:$KO$4,MATCH($B$2&amp;"|19",'因子水準表'!$B$20:$KO$20,0)),""))</f>
        <v/>
      </c>
      <c r="Z4" s="22">
        <f>IF($B$2="","",IFERROR(INDEX('因子水準表'!$B$4:$KO$4,MATCH($B$2&amp;"|20",'因子水準表'!$B$20:$KO$20,0)),""))</f>
        <v/>
      </c>
      <c r="AA4" s="22">
        <f>IF($B$2="","",IFERROR(INDEX('因子水準表'!$B$4:$KO$4,MATCH($B$2&amp;"|21",'因子水準表'!$B$20:$KO$20,0)),""))</f>
        <v/>
      </c>
      <c r="AB4" s="22">
        <f>IF($B$2="","",IFERROR(INDEX('因子水準表'!$B$4:$KO$4,MATCH($B$2&amp;"|22",'因子水準表'!$B$20:$KO$20,0)),""))</f>
        <v/>
      </c>
      <c r="AC4" s="22">
        <f>IF($B$2="","",IFERROR(INDEX('因子水準表'!$B$4:$KO$4,MATCH($B$2&amp;"|23",'因子水準表'!$B$20:$KO$20,0)),""))</f>
        <v/>
      </c>
      <c r="AD4" s="22">
        <f>IF($B$2="","",IFERROR(INDEX('因子水準表'!$B$4:$KO$4,MATCH($B$2&amp;"|24",'因子水準表'!$B$20:$KO$20,0)),""))</f>
        <v/>
      </c>
      <c r="AE4" s="22">
        <f>IF($B$2="","",IFERROR(INDEX('因子水準表'!$B$4:$KO$4,MATCH($B$2&amp;"|25",'因子水準表'!$B$20:$KO$20,0)),""))</f>
        <v/>
      </c>
      <c r="AF4" s="22">
        <f>IF($B$2="","",IFERROR(INDEX('因子水準表'!$B$4:$KO$4,MATCH($B$2&amp;"|26",'因子水準表'!$B$20:$KO$20,0)),""))</f>
        <v/>
      </c>
      <c r="AG4" s="22">
        <f>IF($B$2="","",IFERROR(INDEX('因子水準表'!$B$4:$KO$4,MATCH($B$2&amp;"|27",'因子水準表'!$B$20:$KO$20,0)),""))</f>
        <v/>
      </c>
      <c r="AH4" s="22">
        <f>IF($B$2="","",IFERROR(INDEX('因子水準表'!$B$4:$KO$4,MATCH($B$2&amp;"|28",'因子水準表'!$B$20:$KO$20,0)),""))</f>
        <v/>
      </c>
      <c r="AI4" s="22">
        <f>IF($B$2="","",IFERROR(INDEX('因子水準表'!$B$4:$KO$4,MATCH($B$2&amp;"|29",'因子水準表'!$B$20:$KO$20,0)),""))</f>
        <v/>
      </c>
      <c r="AJ4" s="22">
        <f>IF($B$2="","",IFERROR(INDEX('因子水準表'!$B$4:$KO$4,MATCH($B$2&amp;"|30",'因子水準表'!$B$20:$KO$20,0)),""))</f>
        <v/>
      </c>
      <c r="AK4" s="22">
        <f>IF($B$2="","",IFERROR(INDEX('因子水準表'!$B$4:$KO$4,MATCH($B$2&amp;"|31",'因子水準表'!$B$20:$KO$20,0)),""))</f>
        <v/>
      </c>
      <c r="AL4" s="22">
        <f>IF($B$2="","",IFERROR(INDEX('因子水準表'!$B$4:$KO$4,MATCH($B$2&amp;"|32",'因子水準表'!$B$20:$KO$20,0)),""))</f>
        <v/>
      </c>
      <c r="AM4" s="22">
        <f>IF($B$2="","",IFERROR(INDEX('因子水準表'!$B$4:$KO$4,MATCH($B$2&amp;"|33",'因子水準表'!$B$20:$KO$20,0)),""))</f>
        <v/>
      </c>
      <c r="AN4" s="22">
        <f>IF($B$2="","",IFERROR(INDEX('因子水準表'!$B$4:$KO$4,MATCH($B$2&amp;"|34",'因子水準表'!$B$20:$KO$20,0)),""))</f>
        <v/>
      </c>
      <c r="AO4" s="22">
        <f>IF($B$2="","",IFERROR(INDEX('因子水準表'!$B$4:$KO$4,MATCH($B$2&amp;"|35",'因子水準表'!$B$20:$KO$20,0)),""))</f>
        <v/>
      </c>
      <c r="AP4" s="22">
        <f>IF($B$2="","",IFERROR(INDEX('因子水準表'!$B$4:$KO$4,MATCH($B$2&amp;"|36",'因子水準表'!$B$20:$KO$20,0)),""))</f>
        <v/>
      </c>
      <c r="AQ4" s="22">
        <f>IF($B$2="","",IFERROR(INDEX('因子水準表'!$B$4:$KO$4,MATCH($B$2&amp;"|37",'因子水準表'!$B$20:$KO$20,0)),""))</f>
        <v/>
      </c>
      <c r="AR4" s="22">
        <f>IF($B$2="","",IFERROR(INDEX('因子水準表'!$B$4:$KO$4,MATCH($B$2&amp;"|38",'因子水準表'!$B$20:$KO$20,0)),""))</f>
        <v/>
      </c>
      <c r="AS4" s="22">
        <f>IF($B$2="","",IFERROR(INDEX('因子水準表'!$B$4:$KO$4,MATCH($B$2&amp;"|39",'因子水準表'!$B$20:$KO$20,0)),""))</f>
        <v/>
      </c>
      <c r="AT4" s="22">
        <f>IF($B$2="","",IFERROR(INDEX('因子水準表'!$B$4:$KO$4,MATCH($B$2&amp;"|40",'因子水準表'!$B$20:$KO$20,0)),""))</f>
        <v/>
      </c>
      <c r="AU4" s="22">
        <f>IF($B$2="","",IFERROR(INDEX('因子水準表'!$B$4:$KO$4,MATCH($B$2&amp;"|41",'因子水準表'!$B$20:$KO$20,0)),""))</f>
        <v/>
      </c>
      <c r="AV4" s="22">
        <f>IF($B$2="","",IFERROR(INDEX('因子水準表'!$B$4:$KO$4,MATCH($B$2&amp;"|42",'因子水準表'!$B$20:$KO$20,0)),""))</f>
        <v/>
      </c>
      <c r="AW4" s="22">
        <f>IF($B$2="","",IFERROR(INDEX('因子水準表'!$B$4:$KO$4,MATCH($B$2&amp;"|43",'因子水準表'!$B$20:$KO$20,0)),""))</f>
        <v/>
      </c>
      <c r="AX4" s="22">
        <f>IF($B$2="","",IFERROR(INDEX('因子水準表'!$B$4:$KO$4,MATCH($B$2&amp;"|44",'因子水準表'!$B$20:$KO$20,0)),""))</f>
        <v/>
      </c>
      <c r="AY4" s="22">
        <f>IF($B$2="","",IFERROR(INDEX('因子水準表'!$B$4:$KO$4,MATCH($B$2&amp;"|45",'因子水準表'!$B$20:$KO$20,0)),""))</f>
        <v/>
      </c>
      <c r="AZ4" s="22">
        <f>IF($B$2="","",IFERROR(INDEX('因子水準表'!$B$4:$KO$4,MATCH($B$2&amp;"|46",'因子水準表'!$B$20:$KO$20,0)),""))</f>
        <v/>
      </c>
      <c r="BA4" s="22">
        <f>IF($B$2="","",IFERROR(INDEX('因子水準表'!$B$4:$KO$4,MATCH($B$2&amp;"|47",'因子水準表'!$B$20:$KO$20,0)),""))</f>
        <v/>
      </c>
      <c r="BB4" s="22">
        <f>IF($B$2="","",IFERROR(INDEX('因子水準表'!$B$4:$KO$4,MATCH($B$2&amp;"|48",'因子水準表'!$B$20:$KO$20,0)),""))</f>
        <v/>
      </c>
      <c r="BC4" s="22">
        <f>IF($B$2="","",IFERROR(INDEX('因子水準表'!$B$4:$KO$4,MATCH($B$2&amp;"|49",'因子水準表'!$B$20:$KO$20,0)),""))</f>
        <v/>
      </c>
      <c r="BD4" s="22">
        <f>IF($B$2="","",IFERROR(INDEX('因子水準表'!$B$4:$KO$4,MATCH($B$2&amp;"|50",'因子水準表'!$B$20:$KO$20,0)),""))</f>
        <v/>
      </c>
      <c r="BE4" s="12" t="inlineStr">
        <is>
          <t>手順</t>
        </is>
      </c>
      <c r="BF4" s="12" t="inlineStr">
        <is>
          <t>期待結果</t>
        </is>
      </c>
      <c r="BG4" s="12" t="inlineStr">
        <is>
          <t>技法</t>
        </is>
      </c>
      <c r="BH4" s="12" t="inlineStr">
        <is>
          <t>自動化</t>
        </is>
      </c>
      <c r="BI4" s="12" t="inlineStr">
        <is>
          <t>実行日</t>
        </is>
      </c>
      <c r="BJ4" s="12" t="inlineStr">
        <is>
          <t>実行者</t>
        </is>
      </c>
      <c r="BK4" s="12" t="inlineStr">
        <is>
          <t>結果</t>
        </is>
      </c>
      <c r="BL4" s="12" t="inlineStr">
        <is>
          <t>欠陥ID</t>
        </is>
      </c>
      <c r="BM4" s="12" t="inlineStr">
        <is>
          <t>備考</t>
        </is>
      </c>
      <c r="BO4" s="21" t="inlineStr">
        <is>
          <t>プルダウン用（非表示・編集しない）</t>
        </is>
      </c>
      <c r="BP4" s="9" t="n"/>
      <c r="BQ4" s="9" t="n"/>
      <c r="BR4" s="9" t="n"/>
      <c r="BS4" s="9" t="n"/>
      <c r="BT4" s="9" t="n"/>
      <c r="BU4" s="9" t="n"/>
      <c r="BV4" s="9" t="n"/>
      <c r="BW4" s="9" t="n"/>
      <c r="BX4" s="9" t="n"/>
      <c r="BY4" s="9" t="n"/>
      <c r="BZ4" s="9" t="n"/>
      <c r="CA4" s="9" t="n"/>
      <c r="CB4" s="9" t="n"/>
      <c r="CC4" s="9" t="n"/>
      <c r="CD4" s="9" t="n"/>
      <c r="CE4" s="9" t="n"/>
      <c r="CF4" s="9" t="n"/>
      <c r="CG4" s="9" t="n"/>
      <c r="CH4" s="9" t="n"/>
      <c r="CI4" s="9" t="n"/>
      <c r="CJ4" s="9" t="n"/>
      <c r="CK4" s="9" t="n"/>
      <c r="CL4" s="9" t="n"/>
      <c r="CM4" s="9" t="n"/>
      <c r="CN4" s="9" t="n"/>
      <c r="CO4" s="9" t="n"/>
      <c r="CP4" s="9" t="n"/>
      <c r="CQ4" s="9" t="n"/>
      <c r="CR4" s="9" t="n"/>
      <c r="CS4" s="9" t="n"/>
      <c r="CT4" s="9" t="n"/>
      <c r="CU4" s="9" t="n"/>
      <c r="CV4" s="9" t="n"/>
      <c r="CW4" s="9" t="n"/>
      <c r="CX4" s="9" t="n"/>
      <c r="CY4" s="9" t="n"/>
      <c r="CZ4" s="9" t="n"/>
      <c r="DA4" s="9" t="n"/>
      <c r="DB4" s="9" t="n"/>
      <c r="DC4" s="9" t="n"/>
      <c r="DD4" s="9" t="n"/>
      <c r="DE4" s="9" t="n"/>
      <c r="DF4" s="9" t="n"/>
      <c r="DG4" s="9" t="n"/>
      <c r="DH4" s="9" t="n"/>
      <c r="DI4" s="9" t="n"/>
      <c r="DJ4" s="9" t="n"/>
      <c r="DK4" s="9" t="n"/>
      <c r="DL4" s="9" t="n"/>
      <c r="DM4" s="9" t="n"/>
      <c r="DN4" s="10" t="n"/>
    </row>
    <row r="5">
      <c r="A5" s="23" t="n"/>
      <c r="B5" s="23" t="n"/>
      <c r="C5" s="23" t="n"/>
      <c r="D5" s="23" t="n"/>
      <c r="E5" s="23" t="n"/>
      <c r="F5" s="23" t="n"/>
      <c r="G5" s="12">
        <f>IF(G4="","（未使用）",IFERROR(INDEX('因子水準表'!$B$6:$KO$6,MATCH(G4,'因子水準表'!$B$4:$KO$4,0)),"（ID不明）"))</f>
        <v/>
      </c>
      <c r="H5" s="12">
        <f>IF(H4="","（未使用）",IFERROR(INDEX('因子水準表'!$B$6:$KO$6,MATCH(H4,'因子水準表'!$B$4:$KO$4,0)),"（ID不明）"))</f>
        <v/>
      </c>
      <c r="I5" s="12">
        <f>IF(I4="","（未使用）",IFERROR(INDEX('因子水準表'!$B$6:$KO$6,MATCH(I4,'因子水準表'!$B$4:$KO$4,0)),"（ID不明）"))</f>
        <v/>
      </c>
      <c r="J5" s="12">
        <f>IF(J4="","（未使用）",IFERROR(INDEX('因子水準表'!$B$6:$KO$6,MATCH(J4,'因子水準表'!$B$4:$KO$4,0)),"（ID不明）"))</f>
        <v/>
      </c>
      <c r="K5" s="12">
        <f>IF(K4="","（未使用）",IFERROR(INDEX('因子水準表'!$B$6:$KO$6,MATCH(K4,'因子水準表'!$B$4:$KO$4,0)),"（ID不明）"))</f>
        <v/>
      </c>
      <c r="L5" s="12">
        <f>IF(L4="","（未使用）",IFERROR(INDEX('因子水準表'!$B$6:$KO$6,MATCH(L4,'因子水準表'!$B$4:$KO$4,0)),"（ID不明）"))</f>
        <v/>
      </c>
      <c r="M5" s="12">
        <f>IF(M4="","（未使用）",IFERROR(INDEX('因子水準表'!$B$6:$KO$6,MATCH(M4,'因子水準表'!$B$4:$KO$4,0)),"（ID不明）"))</f>
        <v/>
      </c>
      <c r="N5" s="12">
        <f>IF(N4="","（未使用）",IFERROR(INDEX('因子水準表'!$B$6:$KO$6,MATCH(N4,'因子水準表'!$B$4:$KO$4,0)),"（ID不明）"))</f>
        <v/>
      </c>
      <c r="O5" s="12">
        <f>IF(O4="","（未使用）",IFERROR(INDEX('因子水準表'!$B$6:$KO$6,MATCH(O4,'因子水準表'!$B$4:$KO$4,0)),"（ID不明）"))</f>
        <v/>
      </c>
      <c r="P5" s="12">
        <f>IF(P4="","（未使用）",IFERROR(INDEX('因子水準表'!$B$6:$KO$6,MATCH(P4,'因子水準表'!$B$4:$KO$4,0)),"（ID不明）"))</f>
        <v/>
      </c>
      <c r="Q5" s="12">
        <f>IF(Q4="","（未使用）",IFERROR(INDEX('因子水準表'!$B$6:$KO$6,MATCH(Q4,'因子水準表'!$B$4:$KO$4,0)),"（ID不明）"))</f>
        <v/>
      </c>
      <c r="R5" s="12">
        <f>IF(R4="","（未使用）",IFERROR(INDEX('因子水準表'!$B$6:$KO$6,MATCH(R4,'因子水準表'!$B$4:$KO$4,0)),"（ID不明）"))</f>
        <v/>
      </c>
      <c r="S5" s="12">
        <f>IF(S4="","（未使用）",IFERROR(INDEX('因子水準表'!$B$6:$KO$6,MATCH(S4,'因子水準表'!$B$4:$KO$4,0)),"（ID不明）"))</f>
        <v/>
      </c>
      <c r="T5" s="12">
        <f>IF(T4="","（未使用）",IFERROR(INDEX('因子水準表'!$B$6:$KO$6,MATCH(T4,'因子水準表'!$B$4:$KO$4,0)),"（ID不明）"))</f>
        <v/>
      </c>
      <c r="U5" s="12">
        <f>IF(U4="","（未使用）",IFERROR(INDEX('因子水準表'!$B$6:$KO$6,MATCH(U4,'因子水準表'!$B$4:$KO$4,0)),"（ID不明）"))</f>
        <v/>
      </c>
      <c r="V5" s="12">
        <f>IF(V4="","（未使用）",IFERROR(INDEX('因子水準表'!$B$6:$KO$6,MATCH(V4,'因子水準表'!$B$4:$KO$4,0)),"（ID不明）"))</f>
        <v/>
      </c>
      <c r="W5" s="12">
        <f>IF(W4="","（未使用）",IFERROR(INDEX('因子水準表'!$B$6:$KO$6,MATCH(W4,'因子水準表'!$B$4:$KO$4,0)),"（ID不明）"))</f>
        <v/>
      </c>
      <c r="X5" s="12">
        <f>IF(X4="","（未使用）",IFERROR(INDEX('因子水準表'!$B$6:$KO$6,MATCH(X4,'因子水準表'!$B$4:$KO$4,0)),"（ID不明）"))</f>
        <v/>
      </c>
      <c r="Y5" s="12">
        <f>IF(Y4="","（未使用）",IFERROR(INDEX('因子水準表'!$B$6:$KO$6,MATCH(Y4,'因子水準表'!$B$4:$KO$4,0)),"（ID不明）"))</f>
        <v/>
      </c>
      <c r="Z5" s="12">
        <f>IF(Z4="","（未使用）",IFERROR(INDEX('因子水準表'!$B$6:$KO$6,MATCH(Z4,'因子水準表'!$B$4:$KO$4,0)),"（ID不明）"))</f>
        <v/>
      </c>
      <c r="AA5" s="12">
        <f>IF(AA4="","（未使用）",IFERROR(INDEX('因子水準表'!$B$6:$KO$6,MATCH(AA4,'因子水準表'!$B$4:$KO$4,0)),"（ID不明）"))</f>
        <v/>
      </c>
      <c r="AB5" s="12">
        <f>IF(AB4="","（未使用）",IFERROR(INDEX('因子水準表'!$B$6:$KO$6,MATCH(AB4,'因子水準表'!$B$4:$KO$4,0)),"（ID不明）"))</f>
        <v/>
      </c>
      <c r="AC5" s="12">
        <f>IF(AC4="","（未使用）",IFERROR(INDEX('因子水準表'!$B$6:$KO$6,MATCH(AC4,'因子水準表'!$B$4:$KO$4,0)),"（ID不明）"))</f>
        <v/>
      </c>
      <c r="AD5" s="12">
        <f>IF(AD4="","（未使用）",IFERROR(INDEX('因子水準表'!$B$6:$KO$6,MATCH(AD4,'因子水準表'!$B$4:$KO$4,0)),"（ID不明）"))</f>
        <v/>
      </c>
      <c r="AE5" s="12">
        <f>IF(AE4="","（未使用）",IFERROR(INDEX('因子水準表'!$B$6:$KO$6,MATCH(AE4,'因子水準表'!$B$4:$KO$4,0)),"（ID不明）"))</f>
        <v/>
      </c>
      <c r="AF5" s="12">
        <f>IF(AF4="","（未使用）",IFERROR(INDEX('因子水準表'!$B$6:$KO$6,MATCH(AF4,'因子水準表'!$B$4:$KO$4,0)),"（ID不明）"))</f>
        <v/>
      </c>
      <c r="AG5" s="12">
        <f>IF(AG4="","（未使用）",IFERROR(INDEX('因子水準表'!$B$6:$KO$6,MATCH(AG4,'因子水準表'!$B$4:$KO$4,0)),"（ID不明）"))</f>
        <v/>
      </c>
      <c r="AH5" s="12">
        <f>IF(AH4="","（未使用）",IFERROR(INDEX('因子水準表'!$B$6:$KO$6,MATCH(AH4,'因子水準表'!$B$4:$KO$4,0)),"（ID不明）"))</f>
        <v/>
      </c>
      <c r="AI5" s="12">
        <f>IF(AI4="","（未使用）",IFERROR(INDEX('因子水準表'!$B$6:$KO$6,MATCH(AI4,'因子水準表'!$B$4:$KO$4,0)),"（ID不明）"))</f>
        <v/>
      </c>
      <c r="AJ5" s="12">
        <f>IF(AJ4="","（未使用）",IFERROR(INDEX('因子水準表'!$B$6:$KO$6,MATCH(AJ4,'因子水準表'!$B$4:$KO$4,0)),"（ID不明）"))</f>
        <v/>
      </c>
      <c r="AK5" s="12">
        <f>IF(AK4="","（未使用）",IFERROR(INDEX('因子水準表'!$B$6:$KO$6,MATCH(AK4,'因子水準表'!$B$4:$KO$4,0)),"（ID不明）"))</f>
        <v/>
      </c>
      <c r="AL5" s="12">
        <f>IF(AL4="","（未使用）",IFERROR(INDEX('因子水準表'!$B$6:$KO$6,MATCH(AL4,'因子水準表'!$B$4:$KO$4,0)),"（ID不明）"))</f>
        <v/>
      </c>
      <c r="AM5" s="12">
        <f>IF(AM4="","（未使用）",IFERROR(INDEX('因子水準表'!$B$6:$KO$6,MATCH(AM4,'因子水準表'!$B$4:$KO$4,0)),"（ID不明）"))</f>
        <v/>
      </c>
      <c r="AN5" s="12">
        <f>IF(AN4="","（未使用）",IFERROR(INDEX('因子水準表'!$B$6:$KO$6,MATCH(AN4,'因子水準表'!$B$4:$KO$4,0)),"（ID不明）"))</f>
        <v/>
      </c>
      <c r="AO5" s="12">
        <f>IF(AO4="","（未使用）",IFERROR(INDEX('因子水準表'!$B$6:$KO$6,MATCH(AO4,'因子水準表'!$B$4:$KO$4,0)),"（ID不明）"))</f>
        <v/>
      </c>
      <c r="AP5" s="12">
        <f>IF(AP4="","（未使用）",IFERROR(INDEX('因子水準表'!$B$6:$KO$6,MATCH(AP4,'因子水準表'!$B$4:$KO$4,0)),"（ID不明）"))</f>
        <v/>
      </c>
      <c r="AQ5" s="12">
        <f>IF(AQ4="","（未使用）",IFERROR(INDEX('因子水準表'!$B$6:$KO$6,MATCH(AQ4,'因子水準表'!$B$4:$KO$4,0)),"（ID不明）"))</f>
        <v/>
      </c>
      <c r="AR5" s="12">
        <f>IF(AR4="","（未使用）",IFERROR(INDEX('因子水準表'!$B$6:$KO$6,MATCH(AR4,'因子水準表'!$B$4:$KO$4,0)),"（ID不明）"))</f>
        <v/>
      </c>
      <c r="AS5" s="12">
        <f>IF(AS4="","（未使用）",IFERROR(INDEX('因子水準表'!$B$6:$KO$6,MATCH(AS4,'因子水準表'!$B$4:$KO$4,0)),"（ID不明）"))</f>
        <v/>
      </c>
      <c r="AT5" s="12">
        <f>IF(AT4="","（未使用）",IFERROR(INDEX('因子水準表'!$B$6:$KO$6,MATCH(AT4,'因子水準表'!$B$4:$KO$4,0)),"（ID不明）"))</f>
        <v/>
      </c>
      <c r="AU5" s="12">
        <f>IF(AU4="","（未使用）",IFERROR(INDEX('因子水準表'!$B$6:$KO$6,MATCH(AU4,'因子水準表'!$B$4:$KO$4,0)),"（ID不明）"))</f>
        <v/>
      </c>
      <c r="AV5" s="12">
        <f>IF(AV4="","（未使用）",IFERROR(INDEX('因子水準表'!$B$6:$KO$6,MATCH(AV4,'因子水準表'!$B$4:$KO$4,0)),"（ID不明）"))</f>
        <v/>
      </c>
      <c r="AW5" s="12">
        <f>IF(AW4="","（未使用）",IFERROR(INDEX('因子水準表'!$B$6:$KO$6,MATCH(AW4,'因子水準表'!$B$4:$KO$4,0)),"（ID不明）"))</f>
        <v/>
      </c>
      <c r="AX5" s="12">
        <f>IF(AX4="","（未使用）",IFERROR(INDEX('因子水準表'!$B$6:$KO$6,MATCH(AX4,'因子水準表'!$B$4:$KO$4,0)),"（ID不明）"))</f>
        <v/>
      </c>
      <c r="AY5" s="12">
        <f>IF(AY4="","（未使用）",IFERROR(INDEX('因子水準表'!$B$6:$KO$6,MATCH(AY4,'因子水準表'!$B$4:$KO$4,0)),"（ID不明）"))</f>
        <v/>
      </c>
      <c r="AZ5" s="12">
        <f>IF(AZ4="","（未使用）",IFERROR(INDEX('因子水準表'!$B$6:$KO$6,MATCH(AZ4,'因子水準表'!$B$4:$KO$4,0)),"（ID不明）"))</f>
        <v/>
      </c>
      <c r="BA5" s="12">
        <f>IF(BA4="","（未使用）",IFERROR(INDEX('因子水準表'!$B$6:$KO$6,MATCH(BA4,'因子水準表'!$B$4:$KO$4,0)),"（ID不明）"))</f>
        <v/>
      </c>
      <c r="BB5" s="12">
        <f>IF(BB4="","（未使用）",IFERROR(INDEX('因子水準表'!$B$6:$KO$6,MATCH(BB4,'因子水準表'!$B$4:$KO$4,0)),"（ID不明）"))</f>
        <v/>
      </c>
      <c r="BC5" s="12">
        <f>IF(BC4="","（未使用）",IFERROR(INDEX('因子水準表'!$B$6:$KO$6,MATCH(BC4,'因子水準表'!$B$4:$KO$4,0)),"（ID不明）"))</f>
        <v/>
      </c>
      <c r="BD5" s="12">
        <f>IF(BD4="","（未使用）",IFERROR(INDEX('因子水準表'!$B$6:$KO$6,MATCH(BD4,'因子水準表'!$B$4:$KO$4,0)),"（ID不明）"))</f>
        <v/>
      </c>
      <c r="BE5" s="23" t="n"/>
      <c r="BF5" s="23" t="n"/>
      <c r="BG5" s="23" t="n"/>
      <c r="BH5" s="23" t="n"/>
      <c r="BI5" s="23" t="n"/>
      <c r="BJ5" s="23" t="n"/>
      <c r="BK5" s="23" t="n"/>
      <c r="BL5" s="23" t="n"/>
      <c r="BM5" s="23" t="n"/>
      <c r="BO5" s="12" t="inlineStr">
        <is>
          <t>1列目の水準</t>
        </is>
      </c>
      <c r="BP5" s="12" t="inlineStr">
        <is>
          <t>2列目の水準</t>
        </is>
      </c>
      <c r="BQ5" s="12" t="inlineStr">
        <is>
          <t>3列目の水準</t>
        </is>
      </c>
      <c r="BR5" s="12" t="inlineStr">
        <is>
          <t>4列目の水準</t>
        </is>
      </c>
      <c r="BS5" s="12" t="inlineStr">
        <is>
          <t>5列目の水準</t>
        </is>
      </c>
      <c r="BT5" s="12" t="inlineStr">
        <is>
          <t>6列目の水準</t>
        </is>
      </c>
      <c r="BU5" s="12" t="inlineStr">
        <is>
          <t>7列目の水準</t>
        </is>
      </c>
      <c r="BV5" s="12" t="inlineStr">
        <is>
          <t>8列目の水準</t>
        </is>
      </c>
      <c r="BW5" s="12" t="inlineStr">
        <is>
          <t>9列目の水準</t>
        </is>
      </c>
      <c r="BX5" s="12" t="inlineStr">
        <is>
          <t>10列目の水準</t>
        </is>
      </c>
      <c r="BY5" s="12" t="inlineStr">
        <is>
          <t>11列目の水準</t>
        </is>
      </c>
      <c r="BZ5" s="12" t="inlineStr">
        <is>
          <t>12列目の水準</t>
        </is>
      </c>
      <c r="CA5" s="12" t="inlineStr">
        <is>
          <t>13列目の水準</t>
        </is>
      </c>
      <c r="CB5" s="12" t="inlineStr">
        <is>
          <t>14列目の水準</t>
        </is>
      </c>
      <c r="CC5" s="12" t="inlineStr">
        <is>
          <t>15列目の水準</t>
        </is>
      </c>
      <c r="CD5" s="12" t="inlineStr">
        <is>
          <t>16列目の水準</t>
        </is>
      </c>
      <c r="CE5" s="12" t="inlineStr">
        <is>
          <t>17列目の水準</t>
        </is>
      </c>
      <c r="CF5" s="12" t="inlineStr">
        <is>
          <t>18列目の水準</t>
        </is>
      </c>
      <c r="CG5" s="12" t="inlineStr">
        <is>
          <t>19列目の水準</t>
        </is>
      </c>
      <c r="CH5" s="12" t="inlineStr">
        <is>
          <t>20列目の水準</t>
        </is>
      </c>
      <c r="CI5" s="12" t="inlineStr">
        <is>
          <t>21列目の水準</t>
        </is>
      </c>
      <c r="CJ5" s="12" t="inlineStr">
        <is>
          <t>22列目の水準</t>
        </is>
      </c>
      <c r="CK5" s="12" t="inlineStr">
        <is>
          <t>23列目の水準</t>
        </is>
      </c>
      <c r="CL5" s="12" t="inlineStr">
        <is>
          <t>24列目の水準</t>
        </is>
      </c>
      <c r="CM5" s="12" t="inlineStr">
        <is>
          <t>25列目の水準</t>
        </is>
      </c>
      <c r="CN5" s="12" t="inlineStr">
        <is>
          <t>26列目の水準</t>
        </is>
      </c>
      <c r="CO5" s="12" t="inlineStr">
        <is>
          <t>27列目の水準</t>
        </is>
      </c>
      <c r="CP5" s="12" t="inlineStr">
        <is>
          <t>28列目の水準</t>
        </is>
      </c>
      <c r="CQ5" s="12" t="inlineStr">
        <is>
          <t>29列目の水準</t>
        </is>
      </c>
      <c r="CR5" s="12" t="inlineStr">
        <is>
          <t>30列目の水準</t>
        </is>
      </c>
      <c r="CS5" s="12" t="inlineStr">
        <is>
          <t>31列目の水準</t>
        </is>
      </c>
      <c r="CT5" s="12" t="inlineStr">
        <is>
          <t>32列目の水準</t>
        </is>
      </c>
      <c r="CU5" s="12" t="inlineStr">
        <is>
          <t>33列目の水準</t>
        </is>
      </c>
      <c r="CV5" s="12" t="inlineStr">
        <is>
          <t>34列目の水準</t>
        </is>
      </c>
      <c r="CW5" s="12" t="inlineStr">
        <is>
          <t>35列目の水準</t>
        </is>
      </c>
      <c r="CX5" s="12" t="inlineStr">
        <is>
          <t>36列目の水準</t>
        </is>
      </c>
      <c r="CY5" s="12" t="inlineStr">
        <is>
          <t>37列目の水準</t>
        </is>
      </c>
      <c r="CZ5" s="12" t="inlineStr">
        <is>
          <t>38列目の水準</t>
        </is>
      </c>
      <c r="DA5" s="12" t="inlineStr">
        <is>
          <t>39列目の水準</t>
        </is>
      </c>
      <c r="DB5" s="12" t="inlineStr">
        <is>
          <t>40列目の水準</t>
        </is>
      </c>
      <c r="DC5" s="12" t="inlineStr">
        <is>
          <t>41列目の水準</t>
        </is>
      </c>
      <c r="DD5" s="12" t="inlineStr">
        <is>
          <t>42列目の水準</t>
        </is>
      </c>
      <c r="DE5" s="12" t="inlineStr">
        <is>
          <t>43列目の水準</t>
        </is>
      </c>
      <c r="DF5" s="12" t="inlineStr">
        <is>
          <t>44列目の水準</t>
        </is>
      </c>
      <c r="DG5" s="12" t="inlineStr">
        <is>
          <t>45列目の水準</t>
        </is>
      </c>
      <c r="DH5" s="12" t="inlineStr">
        <is>
          <t>46列目の水準</t>
        </is>
      </c>
      <c r="DI5" s="12" t="inlineStr">
        <is>
          <t>47列目の水準</t>
        </is>
      </c>
      <c r="DJ5" s="12" t="inlineStr">
        <is>
          <t>48列目の水準</t>
        </is>
      </c>
      <c r="DK5" s="12" t="inlineStr">
        <is>
          <t>49列目の水準</t>
        </is>
      </c>
      <c r="DL5" s="12" t="inlineStr">
        <is>
          <t>50列目の水準</t>
        </is>
      </c>
      <c r="DM5" s="12" t="inlineStr">
        <is>
          <t>カテゴリ</t>
        </is>
      </c>
      <c r="DN5" s="12" t="inlineStr">
        <is>
          <t>条件ID</t>
        </is>
      </c>
    </row>
    <row r="6">
      <c r="A6" s="27" t="n"/>
      <c r="B6" s="27" t="n"/>
      <c r="C6" s="28">
        <f>IF(A6="","",$B$2)</f>
        <v/>
      </c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  <c r="AI6" s="27" t="n"/>
      <c r="AJ6" s="27" t="n"/>
      <c r="AK6" s="27" t="n"/>
      <c r="AL6" s="27" t="n"/>
      <c r="AM6" s="27" t="n"/>
      <c r="AN6" s="27" t="n"/>
      <c r="AO6" s="27" t="n"/>
      <c r="AP6" s="27" t="n"/>
      <c r="AQ6" s="27" t="n"/>
      <c r="AR6" s="27" t="n"/>
      <c r="AS6" s="27" t="n"/>
      <c r="AT6" s="27" t="n"/>
      <c r="AU6" s="27" t="n"/>
      <c r="AV6" s="27" t="n"/>
      <c r="AW6" s="27" t="n"/>
      <c r="AX6" s="27" t="n"/>
      <c r="AY6" s="27" t="n"/>
      <c r="AZ6" s="27" t="n"/>
      <c r="BA6" s="27" t="n"/>
      <c r="BB6" s="27" t="n"/>
      <c r="BC6" s="27" t="n"/>
      <c r="BD6" s="27" t="n"/>
      <c r="BE6" s="27" t="n"/>
      <c r="BF6" s="27" t="n"/>
      <c r="BG6" s="27" t="n"/>
      <c r="BH6" s="27" t="n"/>
      <c r="BI6" s="29" t="n"/>
      <c r="BJ6" s="27" t="n"/>
      <c r="BK6" s="27" t="n"/>
      <c r="BL6" s="27" t="n"/>
      <c r="BM6" s="27" t="n"/>
      <c r="BO6" s="26">
        <f>IF(G$4="","",IFERROR(INDEX('因子水準表'!$B$9:$KO$18,1,MATCH(G$4,'因子水準表'!$B$4:$KO$4,0))&amp;"",""))</f>
        <v/>
      </c>
      <c r="BP6" s="26">
        <f>IF(H$4="","",IFERROR(INDEX('因子水準表'!$B$9:$KO$18,1,MATCH(H$4,'因子水準表'!$B$4:$KO$4,0))&amp;"",""))</f>
        <v/>
      </c>
      <c r="BQ6" s="26">
        <f>IF(I$4="","",IFERROR(INDEX('因子水準表'!$B$9:$KO$18,1,MATCH(I$4,'因子水準表'!$B$4:$KO$4,0))&amp;"",""))</f>
        <v/>
      </c>
      <c r="BR6" s="26">
        <f>IF(J$4="","",IFERROR(INDEX('因子水準表'!$B$9:$KO$18,1,MATCH(J$4,'因子水準表'!$B$4:$KO$4,0))&amp;"",""))</f>
        <v/>
      </c>
      <c r="BS6" s="26">
        <f>IF(K$4="","",IFERROR(INDEX('因子水準表'!$B$9:$KO$18,1,MATCH(K$4,'因子水準表'!$B$4:$KO$4,0))&amp;"",""))</f>
        <v/>
      </c>
      <c r="BT6" s="26">
        <f>IF(L$4="","",IFERROR(INDEX('因子水準表'!$B$9:$KO$18,1,MATCH(L$4,'因子水準表'!$B$4:$KO$4,0))&amp;"",""))</f>
        <v/>
      </c>
      <c r="BU6" s="26">
        <f>IF(M$4="","",IFERROR(INDEX('因子水準表'!$B$9:$KO$18,1,MATCH(M$4,'因子水準表'!$B$4:$KO$4,0))&amp;"",""))</f>
        <v/>
      </c>
      <c r="BV6" s="26">
        <f>IF(N$4="","",IFERROR(INDEX('因子水準表'!$B$9:$KO$18,1,MATCH(N$4,'因子水準表'!$B$4:$KO$4,0))&amp;"",""))</f>
        <v/>
      </c>
      <c r="BW6" s="26">
        <f>IF(O$4="","",IFERROR(INDEX('因子水準表'!$B$9:$KO$18,1,MATCH(O$4,'因子水準表'!$B$4:$KO$4,0))&amp;"",""))</f>
        <v/>
      </c>
      <c r="BX6" s="26">
        <f>IF(P$4="","",IFERROR(INDEX('因子水準表'!$B$9:$KO$18,1,MATCH(P$4,'因子水準表'!$B$4:$KO$4,0))&amp;"",""))</f>
        <v/>
      </c>
      <c r="BY6" s="26">
        <f>IF(Q$4="","",IFERROR(INDEX('因子水準表'!$B$9:$KO$18,1,MATCH(Q$4,'因子水準表'!$B$4:$KO$4,0))&amp;"",""))</f>
        <v/>
      </c>
      <c r="BZ6" s="26">
        <f>IF(R$4="","",IFERROR(INDEX('因子水準表'!$B$9:$KO$18,1,MATCH(R$4,'因子水準表'!$B$4:$KO$4,0))&amp;"",""))</f>
        <v/>
      </c>
      <c r="CA6" s="26">
        <f>IF(S$4="","",IFERROR(INDEX('因子水準表'!$B$9:$KO$18,1,MATCH(S$4,'因子水準表'!$B$4:$KO$4,0))&amp;"",""))</f>
        <v/>
      </c>
      <c r="CB6" s="26">
        <f>IF(T$4="","",IFERROR(INDEX('因子水準表'!$B$9:$KO$18,1,MATCH(T$4,'因子水準表'!$B$4:$KO$4,0))&amp;"",""))</f>
        <v/>
      </c>
      <c r="CC6" s="26">
        <f>IF(U$4="","",IFERROR(INDEX('因子水準表'!$B$9:$KO$18,1,MATCH(U$4,'因子水準表'!$B$4:$KO$4,0))&amp;"",""))</f>
        <v/>
      </c>
      <c r="CD6" s="26">
        <f>IF(V$4="","",IFERROR(INDEX('因子水準表'!$B$9:$KO$18,1,MATCH(V$4,'因子水準表'!$B$4:$KO$4,0))&amp;"",""))</f>
        <v/>
      </c>
      <c r="CE6" s="26">
        <f>IF(W$4="","",IFERROR(INDEX('因子水準表'!$B$9:$KO$18,1,MATCH(W$4,'因子水準表'!$B$4:$KO$4,0))&amp;"",""))</f>
        <v/>
      </c>
      <c r="CF6" s="26">
        <f>IF(X$4="","",IFERROR(INDEX('因子水準表'!$B$9:$KO$18,1,MATCH(X$4,'因子水準表'!$B$4:$KO$4,0))&amp;"",""))</f>
        <v/>
      </c>
      <c r="CG6" s="26">
        <f>IF(Y$4="","",IFERROR(INDEX('因子水準表'!$B$9:$KO$18,1,MATCH(Y$4,'因子水準表'!$B$4:$KO$4,0))&amp;"",""))</f>
        <v/>
      </c>
      <c r="CH6" s="26">
        <f>IF(Z$4="","",IFERROR(INDEX('因子水準表'!$B$9:$KO$18,1,MATCH(Z$4,'因子水準表'!$B$4:$KO$4,0))&amp;"",""))</f>
        <v/>
      </c>
      <c r="CI6" s="26">
        <f>IF(AA$4="","",IFERROR(INDEX('因子水準表'!$B$9:$KO$18,1,MATCH(AA$4,'因子水準表'!$B$4:$KO$4,0))&amp;"",""))</f>
        <v/>
      </c>
      <c r="CJ6" s="26">
        <f>IF(AB$4="","",IFERROR(INDEX('因子水準表'!$B$9:$KO$18,1,MATCH(AB$4,'因子水準表'!$B$4:$KO$4,0))&amp;"",""))</f>
        <v/>
      </c>
      <c r="CK6" s="26">
        <f>IF(AC$4="","",IFERROR(INDEX('因子水準表'!$B$9:$KO$18,1,MATCH(AC$4,'因子水準表'!$B$4:$KO$4,0))&amp;"",""))</f>
        <v/>
      </c>
      <c r="CL6" s="26">
        <f>IF(AD$4="","",IFERROR(INDEX('因子水準表'!$B$9:$KO$18,1,MATCH(AD$4,'因子水準表'!$B$4:$KO$4,0))&amp;"",""))</f>
        <v/>
      </c>
      <c r="CM6" s="26">
        <f>IF(AE$4="","",IFERROR(INDEX('因子水準表'!$B$9:$KO$18,1,MATCH(AE$4,'因子水準表'!$B$4:$KO$4,0))&amp;"",""))</f>
        <v/>
      </c>
      <c r="CN6" s="26">
        <f>IF(AF$4="","",IFERROR(INDEX('因子水準表'!$B$9:$KO$18,1,MATCH(AF$4,'因子水準表'!$B$4:$KO$4,0))&amp;"",""))</f>
        <v/>
      </c>
      <c r="CO6" s="26">
        <f>IF(AG$4="","",IFERROR(INDEX('因子水準表'!$B$9:$KO$18,1,MATCH(AG$4,'因子水準表'!$B$4:$KO$4,0))&amp;"",""))</f>
        <v/>
      </c>
      <c r="CP6" s="26">
        <f>IF(AH$4="","",IFERROR(INDEX('因子水準表'!$B$9:$KO$18,1,MATCH(AH$4,'因子水準表'!$B$4:$KO$4,0))&amp;"",""))</f>
        <v/>
      </c>
      <c r="CQ6" s="26">
        <f>IF(AI$4="","",IFERROR(INDEX('因子水準表'!$B$9:$KO$18,1,MATCH(AI$4,'因子水準表'!$B$4:$KO$4,0))&amp;"",""))</f>
        <v/>
      </c>
      <c r="CR6" s="26">
        <f>IF(AJ$4="","",IFERROR(INDEX('因子水準表'!$B$9:$KO$18,1,MATCH(AJ$4,'因子水準表'!$B$4:$KO$4,0))&amp;"",""))</f>
        <v/>
      </c>
      <c r="CS6" s="26">
        <f>IF(AK$4="","",IFERROR(INDEX('因子水準表'!$B$9:$KO$18,1,MATCH(AK$4,'因子水準表'!$B$4:$KO$4,0))&amp;"",""))</f>
        <v/>
      </c>
      <c r="CT6" s="26">
        <f>IF(AL$4="","",IFERROR(INDEX('因子水準表'!$B$9:$KO$18,1,MATCH(AL$4,'因子水準表'!$B$4:$KO$4,0))&amp;"",""))</f>
        <v/>
      </c>
      <c r="CU6" s="26">
        <f>IF(AM$4="","",IFERROR(INDEX('因子水準表'!$B$9:$KO$18,1,MATCH(AM$4,'因子水準表'!$B$4:$KO$4,0))&amp;"",""))</f>
        <v/>
      </c>
      <c r="CV6" s="26">
        <f>IF(AN$4="","",IFERROR(INDEX('因子水準表'!$B$9:$KO$18,1,MATCH(AN$4,'因子水準表'!$B$4:$KO$4,0))&amp;"",""))</f>
        <v/>
      </c>
      <c r="CW6" s="26">
        <f>IF(AO$4="","",IFERROR(INDEX('因子水準表'!$B$9:$KO$18,1,MATCH(AO$4,'因子水準表'!$B$4:$KO$4,0))&amp;"",""))</f>
        <v/>
      </c>
      <c r="CX6" s="26">
        <f>IF(AP$4="","",IFERROR(INDEX('因子水準表'!$B$9:$KO$18,1,MATCH(AP$4,'因子水準表'!$B$4:$KO$4,0))&amp;"",""))</f>
        <v/>
      </c>
      <c r="CY6" s="26">
        <f>IF(AQ$4="","",IFERROR(INDEX('因子水準表'!$B$9:$KO$18,1,MATCH(AQ$4,'因子水準表'!$B$4:$KO$4,0))&amp;"",""))</f>
        <v/>
      </c>
      <c r="CZ6" s="26">
        <f>IF(AR$4="","",IFERROR(INDEX('因子水準表'!$B$9:$KO$18,1,MATCH(AR$4,'因子水準表'!$B$4:$KO$4,0))&amp;"",""))</f>
        <v/>
      </c>
      <c r="DA6" s="26">
        <f>IF(AS$4="","",IFERROR(INDEX('因子水準表'!$B$9:$KO$18,1,MATCH(AS$4,'因子水準表'!$B$4:$KO$4,0))&amp;"",""))</f>
        <v/>
      </c>
      <c r="DB6" s="26">
        <f>IF(AT$4="","",IFERROR(INDEX('因子水準表'!$B$9:$KO$18,1,MATCH(AT$4,'因子水準表'!$B$4:$KO$4,0))&amp;"",""))</f>
        <v/>
      </c>
      <c r="DC6" s="26">
        <f>IF(AU$4="","",IFERROR(INDEX('因子水準表'!$B$9:$KO$18,1,MATCH(AU$4,'因子水準表'!$B$4:$KO$4,0))&amp;"",""))</f>
        <v/>
      </c>
      <c r="DD6" s="26">
        <f>IF(AV$4="","",IFERROR(INDEX('因子水準表'!$B$9:$KO$18,1,MATCH(AV$4,'因子水準表'!$B$4:$KO$4,0))&amp;"",""))</f>
        <v/>
      </c>
      <c r="DE6" s="26">
        <f>IF(AW$4="","",IFERROR(INDEX('因子水準表'!$B$9:$KO$18,1,MATCH(AW$4,'因子水準表'!$B$4:$KO$4,0))&amp;"",""))</f>
        <v/>
      </c>
      <c r="DF6" s="26">
        <f>IF(AX$4="","",IFERROR(INDEX('因子水準表'!$B$9:$KO$18,1,MATCH(AX$4,'因子水準表'!$B$4:$KO$4,0))&amp;"",""))</f>
        <v/>
      </c>
      <c r="DG6" s="26">
        <f>IF(AY$4="","",IFERROR(INDEX('因子水準表'!$B$9:$KO$18,1,MATCH(AY$4,'因子水準表'!$B$4:$KO$4,0))&amp;"",""))</f>
        <v/>
      </c>
      <c r="DH6" s="26">
        <f>IF(AZ$4="","",IFERROR(INDEX('因子水準表'!$B$9:$KO$18,1,MATCH(AZ$4,'因子水準表'!$B$4:$KO$4,0))&amp;"",""))</f>
        <v/>
      </c>
      <c r="DI6" s="26">
        <f>IF(BA$4="","",IFERROR(INDEX('因子水準表'!$B$9:$KO$18,1,MATCH(BA$4,'因子水準表'!$B$4:$KO$4,0))&amp;"",""))</f>
        <v/>
      </c>
      <c r="DJ6" s="26">
        <f>IF(BB$4="","",IFERROR(INDEX('因子水準表'!$B$9:$KO$18,1,MATCH(BB$4,'因子水準表'!$B$4:$KO$4,0))&amp;"",""))</f>
        <v/>
      </c>
      <c r="DK6" s="26">
        <f>IF(BC$4="","",IFERROR(INDEX('因子水準表'!$B$9:$KO$18,1,MATCH(BC$4,'因子水準表'!$B$4:$KO$4,0))&amp;"",""))</f>
        <v/>
      </c>
      <c r="DL6" s="26">
        <f>IF(BD$4="","",IFERROR(INDEX('因子水準表'!$B$9:$KO$18,1,MATCH(BD$4,'因子水準表'!$B$4:$KO$4,0))&amp;"",""))</f>
        <v/>
      </c>
      <c r="DM6" s="26">
        <f>IF('因子水準表'!B29="","",'因子水準表'!B29)</f>
        <v/>
      </c>
      <c r="DN6" s="26">
        <f>IF('テスト条件'!A5="","",'テスト条件'!A5)</f>
        <v/>
      </c>
    </row>
    <row r="7">
      <c r="A7" s="27" t="n"/>
      <c r="B7" s="27" t="n"/>
      <c r="C7" s="28">
        <f>IF(A7="","",$B$2)</f>
        <v/>
      </c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7" t="n"/>
      <c r="BE7" s="27" t="n"/>
      <c r="BF7" s="27" t="n"/>
      <c r="BG7" s="27" t="n"/>
      <c r="BH7" s="27" t="n"/>
      <c r="BI7" s="29" t="n"/>
      <c r="BJ7" s="27" t="n"/>
      <c r="BK7" s="27" t="n"/>
      <c r="BL7" s="27" t="n"/>
      <c r="BM7" s="27" t="n"/>
      <c r="BO7" s="26">
        <f>IF(G$4="","",IFERROR(INDEX('因子水準表'!$B$9:$KO$18,2,MATCH(G$4,'因子水準表'!$B$4:$KO$4,0))&amp;"",""))</f>
        <v/>
      </c>
      <c r="BP7" s="26">
        <f>IF(H$4="","",IFERROR(INDEX('因子水準表'!$B$9:$KO$18,2,MATCH(H$4,'因子水準表'!$B$4:$KO$4,0))&amp;"",""))</f>
        <v/>
      </c>
      <c r="BQ7" s="26">
        <f>IF(I$4="","",IFERROR(INDEX('因子水準表'!$B$9:$KO$18,2,MATCH(I$4,'因子水準表'!$B$4:$KO$4,0))&amp;"",""))</f>
        <v/>
      </c>
      <c r="BR7" s="26">
        <f>IF(J$4="","",IFERROR(INDEX('因子水準表'!$B$9:$KO$18,2,MATCH(J$4,'因子水準表'!$B$4:$KO$4,0))&amp;"",""))</f>
        <v/>
      </c>
      <c r="BS7" s="26">
        <f>IF(K$4="","",IFERROR(INDEX('因子水準表'!$B$9:$KO$18,2,MATCH(K$4,'因子水準表'!$B$4:$KO$4,0))&amp;"",""))</f>
        <v/>
      </c>
      <c r="BT7" s="26">
        <f>IF(L$4="","",IFERROR(INDEX('因子水準表'!$B$9:$KO$18,2,MATCH(L$4,'因子水準表'!$B$4:$KO$4,0))&amp;"",""))</f>
        <v/>
      </c>
      <c r="BU7" s="26">
        <f>IF(M$4="","",IFERROR(INDEX('因子水準表'!$B$9:$KO$18,2,MATCH(M$4,'因子水準表'!$B$4:$KO$4,0))&amp;"",""))</f>
        <v/>
      </c>
      <c r="BV7" s="26">
        <f>IF(N$4="","",IFERROR(INDEX('因子水準表'!$B$9:$KO$18,2,MATCH(N$4,'因子水準表'!$B$4:$KO$4,0))&amp;"",""))</f>
        <v/>
      </c>
      <c r="BW7" s="26">
        <f>IF(O$4="","",IFERROR(INDEX('因子水準表'!$B$9:$KO$18,2,MATCH(O$4,'因子水準表'!$B$4:$KO$4,0))&amp;"",""))</f>
        <v/>
      </c>
      <c r="BX7" s="26">
        <f>IF(P$4="","",IFERROR(INDEX('因子水準表'!$B$9:$KO$18,2,MATCH(P$4,'因子水準表'!$B$4:$KO$4,0))&amp;"",""))</f>
        <v/>
      </c>
      <c r="BY7" s="26">
        <f>IF(Q$4="","",IFERROR(INDEX('因子水準表'!$B$9:$KO$18,2,MATCH(Q$4,'因子水準表'!$B$4:$KO$4,0))&amp;"",""))</f>
        <v/>
      </c>
      <c r="BZ7" s="26">
        <f>IF(R$4="","",IFERROR(INDEX('因子水準表'!$B$9:$KO$18,2,MATCH(R$4,'因子水準表'!$B$4:$KO$4,0))&amp;"",""))</f>
        <v/>
      </c>
      <c r="CA7" s="26">
        <f>IF(S$4="","",IFERROR(INDEX('因子水準表'!$B$9:$KO$18,2,MATCH(S$4,'因子水準表'!$B$4:$KO$4,0))&amp;"",""))</f>
        <v/>
      </c>
      <c r="CB7" s="26">
        <f>IF(T$4="","",IFERROR(INDEX('因子水準表'!$B$9:$KO$18,2,MATCH(T$4,'因子水準表'!$B$4:$KO$4,0))&amp;"",""))</f>
        <v/>
      </c>
      <c r="CC7" s="26">
        <f>IF(U$4="","",IFERROR(INDEX('因子水準表'!$B$9:$KO$18,2,MATCH(U$4,'因子水準表'!$B$4:$KO$4,0))&amp;"",""))</f>
        <v/>
      </c>
      <c r="CD7" s="26">
        <f>IF(V$4="","",IFERROR(INDEX('因子水準表'!$B$9:$KO$18,2,MATCH(V$4,'因子水準表'!$B$4:$KO$4,0))&amp;"",""))</f>
        <v/>
      </c>
      <c r="CE7" s="26">
        <f>IF(W$4="","",IFERROR(INDEX('因子水準表'!$B$9:$KO$18,2,MATCH(W$4,'因子水準表'!$B$4:$KO$4,0))&amp;"",""))</f>
        <v/>
      </c>
      <c r="CF7" s="26">
        <f>IF(X$4="","",IFERROR(INDEX('因子水準表'!$B$9:$KO$18,2,MATCH(X$4,'因子水準表'!$B$4:$KO$4,0))&amp;"",""))</f>
        <v/>
      </c>
      <c r="CG7" s="26">
        <f>IF(Y$4="","",IFERROR(INDEX('因子水準表'!$B$9:$KO$18,2,MATCH(Y$4,'因子水準表'!$B$4:$KO$4,0))&amp;"",""))</f>
        <v/>
      </c>
      <c r="CH7" s="26">
        <f>IF(Z$4="","",IFERROR(INDEX('因子水準表'!$B$9:$KO$18,2,MATCH(Z$4,'因子水準表'!$B$4:$KO$4,0))&amp;"",""))</f>
        <v/>
      </c>
      <c r="CI7" s="26">
        <f>IF(AA$4="","",IFERROR(INDEX('因子水準表'!$B$9:$KO$18,2,MATCH(AA$4,'因子水準表'!$B$4:$KO$4,0))&amp;"",""))</f>
        <v/>
      </c>
      <c r="CJ7" s="26">
        <f>IF(AB$4="","",IFERROR(INDEX('因子水準表'!$B$9:$KO$18,2,MATCH(AB$4,'因子水準表'!$B$4:$KO$4,0))&amp;"",""))</f>
        <v/>
      </c>
      <c r="CK7" s="26">
        <f>IF(AC$4="","",IFERROR(INDEX('因子水準表'!$B$9:$KO$18,2,MATCH(AC$4,'因子水準表'!$B$4:$KO$4,0))&amp;"",""))</f>
        <v/>
      </c>
      <c r="CL7" s="26">
        <f>IF(AD$4="","",IFERROR(INDEX('因子水準表'!$B$9:$KO$18,2,MATCH(AD$4,'因子水準表'!$B$4:$KO$4,0))&amp;"",""))</f>
        <v/>
      </c>
      <c r="CM7" s="26">
        <f>IF(AE$4="","",IFERROR(INDEX('因子水準表'!$B$9:$KO$18,2,MATCH(AE$4,'因子水準表'!$B$4:$KO$4,0))&amp;"",""))</f>
        <v/>
      </c>
      <c r="CN7" s="26">
        <f>IF(AF$4="","",IFERROR(INDEX('因子水準表'!$B$9:$KO$18,2,MATCH(AF$4,'因子水準表'!$B$4:$KO$4,0))&amp;"",""))</f>
        <v/>
      </c>
      <c r="CO7" s="26">
        <f>IF(AG$4="","",IFERROR(INDEX('因子水準表'!$B$9:$KO$18,2,MATCH(AG$4,'因子水準表'!$B$4:$KO$4,0))&amp;"",""))</f>
        <v/>
      </c>
      <c r="CP7" s="26">
        <f>IF(AH$4="","",IFERROR(INDEX('因子水準表'!$B$9:$KO$18,2,MATCH(AH$4,'因子水準表'!$B$4:$KO$4,0))&amp;"",""))</f>
        <v/>
      </c>
      <c r="CQ7" s="26">
        <f>IF(AI$4="","",IFERROR(INDEX('因子水準表'!$B$9:$KO$18,2,MATCH(AI$4,'因子水準表'!$B$4:$KO$4,0))&amp;"",""))</f>
        <v/>
      </c>
      <c r="CR7" s="26">
        <f>IF(AJ$4="","",IFERROR(INDEX('因子水準表'!$B$9:$KO$18,2,MATCH(AJ$4,'因子水準表'!$B$4:$KO$4,0))&amp;"",""))</f>
        <v/>
      </c>
      <c r="CS7" s="26">
        <f>IF(AK$4="","",IFERROR(INDEX('因子水準表'!$B$9:$KO$18,2,MATCH(AK$4,'因子水準表'!$B$4:$KO$4,0))&amp;"",""))</f>
        <v/>
      </c>
      <c r="CT7" s="26">
        <f>IF(AL$4="","",IFERROR(INDEX('因子水準表'!$B$9:$KO$18,2,MATCH(AL$4,'因子水準表'!$B$4:$KO$4,0))&amp;"",""))</f>
        <v/>
      </c>
      <c r="CU7" s="26">
        <f>IF(AM$4="","",IFERROR(INDEX('因子水準表'!$B$9:$KO$18,2,MATCH(AM$4,'因子水準表'!$B$4:$KO$4,0))&amp;"",""))</f>
        <v/>
      </c>
      <c r="CV7" s="26">
        <f>IF(AN$4="","",IFERROR(INDEX('因子水準表'!$B$9:$KO$18,2,MATCH(AN$4,'因子水準表'!$B$4:$KO$4,0))&amp;"",""))</f>
        <v/>
      </c>
      <c r="CW7" s="26">
        <f>IF(AO$4="","",IFERROR(INDEX('因子水準表'!$B$9:$KO$18,2,MATCH(AO$4,'因子水準表'!$B$4:$KO$4,0))&amp;"",""))</f>
        <v/>
      </c>
      <c r="CX7" s="26">
        <f>IF(AP$4="","",IFERROR(INDEX('因子水準表'!$B$9:$KO$18,2,MATCH(AP$4,'因子水準表'!$B$4:$KO$4,0))&amp;"",""))</f>
        <v/>
      </c>
      <c r="CY7" s="26">
        <f>IF(AQ$4="","",IFERROR(INDEX('因子水準表'!$B$9:$KO$18,2,MATCH(AQ$4,'因子水準表'!$B$4:$KO$4,0))&amp;"",""))</f>
        <v/>
      </c>
      <c r="CZ7" s="26">
        <f>IF(AR$4="","",IFERROR(INDEX('因子水準表'!$B$9:$KO$18,2,MATCH(AR$4,'因子水準表'!$B$4:$KO$4,0))&amp;"",""))</f>
        <v/>
      </c>
      <c r="DA7" s="26">
        <f>IF(AS$4="","",IFERROR(INDEX('因子水準表'!$B$9:$KO$18,2,MATCH(AS$4,'因子水準表'!$B$4:$KO$4,0))&amp;"",""))</f>
        <v/>
      </c>
      <c r="DB7" s="26">
        <f>IF(AT$4="","",IFERROR(INDEX('因子水準表'!$B$9:$KO$18,2,MATCH(AT$4,'因子水準表'!$B$4:$KO$4,0))&amp;"",""))</f>
        <v/>
      </c>
      <c r="DC7" s="26">
        <f>IF(AU$4="","",IFERROR(INDEX('因子水準表'!$B$9:$KO$18,2,MATCH(AU$4,'因子水準表'!$B$4:$KO$4,0))&amp;"",""))</f>
        <v/>
      </c>
      <c r="DD7" s="26">
        <f>IF(AV$4="","",IFERROR(INDEX('因子水準表'!$B$9:$KO$18,2,MATCH(AV$4,'因子水準表'!$B$4:$KO$4,0))&amp;"",""))</f>
        <v/>
      </c>
      <c r="DE7" s="26">
        <f>IF(AW$4="","",IFERROR(INDEX('因子水準表'!$B$9:$KO$18,2,MATCH(AW$4,'因子水準表'!$B$4:$KO$4,0))&amp;"",""))</f>
        <v/>
      </c>
      <c r="DF7" s="26">
        <f>IF(AX$4="","",IFERROR(INDEX('因子水準表'!$B$9:$KO$18,2,MATCH(AX$4,'因子水準表'!$B$4:$KO$4,0))&amp;"",""))</f>
        <v/>
      </c>
      <c r="DG7" s="26">
        <f>IF(AY$4="","",IFERROR(INDEX('因子水準表'!$B$9:$KO$18,2,MATCH(AY$4,'因子水準表'!$B$4:$KO$4,0))&amp;"",""))</f>
        <v/>
      </c>
      <c r="DH7" s="26">
        <f>IF(AZ$4="","",IFERROR(INDEX('因子水準表'!$B$9:$KO$18,2,MATCH(AZ$4,'因子水準表'!$B$4:$KO$4,0))&amp;"",""))</f>
        <v/>
      </c>
      <c r="DI7" s="26">
        <f>IF(BA$4="","",IFERROR(INDEX('因子水準表'!$B$9:$KO$18,2,MATCH(BA$4,'因子水準表'!$B$4:$KO$4,0))&amp;"",""))</f>
        <v/>
      </c>
      <c r="DJ7" s="26">
        <f>IF(BB$4="","",IFERROR(INDEX('因子水準表'!$B$9:$KO$18,2,MATCH(BB$4,'因子水準表'!$B$4:$KO$4,0))&amp;"",""))</f>
        <v/>
      </c>
      <c r="DK7" s="26">
        <f>IF(BC$4="","",IFERROR(INDEX('因子水準表'!$B$9:$KO$18,2,MATCH(BC$4,'因子水準表'!$B$4:$KO$4,0))&amp;"",""))</f>
        <v/>
      </c>
      <c r="DL7" s="26">
        <f>IF(BD$4="","",IFERROR(INDEX('因子水準表'!$B$9:$KO$18,2,MATCH(BD$4,'因子水準表'!$B$4:$KO$4,0))&amp;"",""))</f>
        <v/>
      </c>
      <c r="DM7" s="26">
        <f>IF('因子水準表'!B30="","",'因子水準表'!B30)</f>
        <v/>
      </c>
      <c r="DN7" s="26">
        <f>IF('テスト条件'!A6="","",'テスト条件'!A6)</f>
        <v/>
      </c>
    </row>
    <row r="8">
      <c r="A8" s="27" t="n"/>
      <c r="B8" s="27" t="n"/>
      <c r="C8" s="28">
        <f>IF(A8="","",$B$2)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  <c r="AJ8" s="27" t="n"/>
      <c r="AK8" s="27" t="n"/>
      <c r="AL8" s="27" t="n"/>
      <c r="AM8" s="27" t="n"/>
      <c r="AN8" s="27" t="n"/>
      <c r="AO8" s="27" t="n"/>
      <c r="AP8" s="27" t="n"/>
      <c r="AQ8" s="27" t="n"/>
      <c r="AR8" s="27" t="n"/>
      <c r="AS8" s="27" t="n"/>
      <c r="AT8" s="27" t="n"/>
      <c r="AU8" s="27" t="n"/>
      <c r="AV8" s="27" t="n"/>
      <c r="AW8" s="27" t="n"/>
      <c r="AX8" s="27" t="n"/>
      <c r="AY8" s="27" t="n"/>
      <c r="AZ8" s="27" t="n"/>
      <c r="BA8" s="27" t="n"/>
      <c r="BB8" s="27" t="n"/>
      <c r="BC8" s="27" t="n"/>
      <c r="BD8" s="27" t="n"/>
      <c r="BE8" s="27" t="n"/>
      <c r="BF8" s="27" t="n"/>
      <c r="BG8" s="27" t="n"/>
      <c r="BH8" s="27" t="n"/>
      <c r="BI8" s="29" t="n"/>
      <c r="BJ8" s="27" t="n"/>
      <c r="BK8" s="27" t="n"/>
      <c r="BL8" s="27" t="n"/>
      <c r="BM8" s="27" t="n"/>
      <c r="BO8" s="26">
        <f>IF(G$4="","",IFERROR(INDEX('因子水準表'!$B$9:$KO$18,3,MATCH(G$4,'因子水準表'!$B$4:$KO$4,0))&amp;"",""))</f>
        <v/>
      </c>
      <c r="BP8" s="26">
        <f>IF(H$4="","",IFERROR(INDEX('因子水準表'!$B$9:$KO$18,3,MATCH(H$4,'因子水準表'!$B$4:$KO$4,0))&amp;"",""))</f>
        <v/>
      </c>
      <c r="BQ8" s="26">
        <f>IF(I$4="","",IFERROR(INDEX('因子水準表'!$B$9:$KO$18,3,MATCH(I$4,'因子水準表'!$B$4:$KO$4,0))&amp;"",""))</f>
        <v/>
      </c>
      <c r="BR8" s="26">
        <f>IF(J$4="","",IFERROR(INDEX('因子水準表'!$B$9:$KO$18,3,MATCH(J$4,'因子水準表'!$B$4:$KO$4,0))&amp;"",""))</f>
        <v/>
      </c>
      <c r="BS8" s="26">
        <f>IF(K$4="","",IFERROR(INDEX('因子水準表'!$B$9:$KO$18,3,MATCH(K$4,'因子水準表'!$B$4:$KO$4,0))&amp;"",""))</f>
        <v/>
      </c>
      <c r="BT8" s="26">
        <f>IF(L$4="","",IFERROR(INDEX('因子水準表'!$B$9:$KO$18,3,MATCH(L$4,'因子水準表'!$B$4:$KO$4,0))&amp;"",""))</f>
        <v/>
      </c>
      <c r="BU8" s="26">
        <f>IF(M$4="","",IFERROR(INDEX('因子水準表'!$B$9:$KO$18,3,MATCH(M$4,'因子水準表'!$B$4:$KO$4,0))&amp;"",""))</f>
        <v/>
      </c>
      <c r="BV8" s="26">
        <f>IF(N$4="","",IFERROR(INDEX('因子水準表'!$B$9:$KO$18,3,MATCH(N$4,'因子水準表'!$B$4:$KO$4,0))&amp;"",""))</f>
        <v/>
      </c>
      <c r="BW8" s="26">
        <f>IF(O$4="","",IFERROR(INDEX('因子水準表'!$B$9:$KO$18,3,MATCH(O$4,'因子水準表'!$B$4:$KO$4,0))&amp;"",""))</f>
        <v/>
      </c>
      <c r="BX8" s="26">
        <f>IF(P$4="","",IFERROR(INDEX('因子水準表'!$B$9:$KO$18,3,MATCH(P$4,'因子水準表'!$B$4:$KO$4,0))&amp;"",""))</f>
        <v/>
      </c>
      <c r="BY8" s="26">
        <f>IF(Q$4="","",IFERROR(INDEX('因子水準表'!$B$9:$KO$18,3,MATCH(Q$4,'因子水準表'!$B$4:$KO$4,0))&amp;"",""))</f>
        <v/>
      </c>
      <c r="BZ8" s="26">
        <f>IF(R$4="","",IFERROR(INDEX('因子水準表'!$B$9:$KO$18,3,MATCH(R$4,'因子水準表'!$B$4:$KO$4,0))&amp;"",""))</f>
        <v/>
      </c>
      <c r="CA8" s="26">
        <f>IF(S$4="","",IFERROR(INDEX('因子水準表'!$B$9:$KO$18,3,MATCH(S$4,'因子水準表'!$B$4:$KO$4,0))&amp;"",""))</f>
        <v/>
      </c>
      <c r="CB8" s="26">
        <f>IF(T$4="","",IFERROR(INDEX('因子水準表'!$B$9:$KO$18,3,MATCH(T$4,'因子水準表'!$B$4:$KO$4,0))&amp;"",""))</f>
        <v/>
      </c>
      <c r="CC8" s="26">
        <f>IF(U$4="","",IFERROR(INDEX('因子水準表'!$B$9:$KO$18,3,MATCH(U$4,'因子水準表'!$B$4:$KO$4,0))&amp;"",""))</f>
        <v/>
      </c>
      <c r="CD8" s="26">
        <f>IF(V$4="","",IFERROR(INDEX('因子水準表'!$B$9:$KO$18,3,MATCH(V$4,'因子水準表'!$B$4:$KO$4,0))&amp;"",""))</f>
        <v/>
      </c>
      <c r="CE8" s="26">
        <f>IF(W$4="","",IFERROR(INDEX('因子水準表'!$B$9:$KO$18,3,MATCH(W$4,'因子水準表'!$B$4:$KO$4,0))&amp;"",""))</f>
        <v/>
      </c>
      <c r="CF8" s="26">
        <f>IF(X$4="","",IFERROR(INDEX('因子水準表'!$B$9:$KO$18,3,MATCH(X$4,'因子水準表'!$B$4:$KO$4,0))&amp;"",""))</f>
        <v/>
      </c>
      <c r="CG8" s="26">
        <f>IF(Y$4="","",IFERROR(INDEX('因子水準表'!$B$9:$KO$18,3,MATCH(Y$4,'因子水準表'!$B$4:$KO$4,0))&amp;"",""))</f>
        <v/>
      </c>
      <c r="CH8" s="26">
        <f>IF(Z$4="","",IFERROR(INDEX('因子水準表'!$B$9:$KO$18,3,MATCH(Z$4,'因子水準表'!$B$4:$KO$4,0))&amp;"",""))</f>
        <v/>
      </c>
      <c r="CI8" s="26">
        <f>IF(AA$4="","",IFERROR(INDEX('因子水準表'!$B$9:$KO$18,3,MATCH(AA$4,'因子水準表'!$B$4:$KO$4,0))&amp;"",""))</f>
        <v/>
      </c>
      <c r="CJ8" s="26">
        <f>IF(AB$4="","",IFERROR(INDEX('因子水準表'!$B$9:$KO$18,3,MATCH(AB$4,'因子水準表'!$B$4:$KO$4,0))&amp;"",""))</f>
        <v/>
      </c>
      <c r="CK8" s="26">
        <f>IF(AC$4="","",IFERROR(INDEX('因子水準表'!$B$9:$KO$18,3,MATCH(AC$4,'因子水準表'!$B$4:$KO$4,0))&amp;"",""))</f>
        <v/>
      </c>
      <c r="CL8" s="26">
        <f>IF(AD$4="","",IFERROR(INDEX('因子水準表'!$B$9:$KO$18,3,MATCH(AD$4,'因子水準表'!$B$4:$KO$4,0))&amp;"",""))</f>
        <v/>
      </c>
      <c r="CM8" s="26">
        <f>IF(AE$4="","",IFERROR(INDEX('因子水準表'!$B$9:$KO$18,3,MATCH(AE$4,'因子水準表'!$B$4:$KO$4,0))&amp;"",""))</f>
        <v/>
      </c>
      <c r="CN8" s="26">
        <f>IF(AF$4="","",IFERROR(INDEX('因子水準表'!$B$9:$KO$18,3,MATCH(AF$4,'因子水準表'!$B$4:$KO$4,0))&amp;"",""))</f>
        <v/>
      </c>
      <c r="CO8" s="26">
        <f>IF(AG$4="","",IFERROR(INDEX('因子水準表'!$B$9:$KO$18,3,MATCH(AG$4,'因子水準表'!$B$4:$KO$4,0))&amp;"",""))</f>
        <v/>
      </c>
      <c r="CP8" s="26">
        <f>IF(AH$4="","",IFERROR(INDEX('因子水準表'!$B$9:$KO$18,3,MATCH(AH$4,'因子水準表'!$B$4:$KO$4,0))&amp;"",""))</f>
        <v/>
      </c>
      <c r="CQ8" s="26">
        <f>IF(AI$4="","",IFERROR(INDEX('因子水準表'!$B$9:$KO$18,3,MATCH(AI$4,'因子水準表'!$B$4:$KO$4,0))&amp;"",""))</f>
        <v/>
      </c>
      <c r="CR8" s="26">
        <f>IF(AJ$4="","",IFERROR(INDEX('因子水準表'!$B$9:$KO$18,3,MATCH(AJ$4,'因子水準表'!$B$4:$KO$4,0))&amp;"",""))</f>
        <v/>
      </c>
      <c r="CS8" s="26">
        <f>IF(AK$4="","",IFERROR(INDEX('因子水準表'!$B$9:$KO$18,3,MATCH(AK$4,'因子水準表'!$B$4:$KO$4,0))&amp;"",""))</f>
        <v/>
      </c>
      <c r="CT8" s="26">
        <f>IF(AL$4="","",IFERROR(INDEX('因子水準表'!$B$9:$KO$18,3,MATCH(AL$4,'因子水準表'!$B$4:$KO$4,0))&amp;"",""))</f>
        <v/>
      </c>
      <c r="CU8" s="26">
        <f>IF(AM$4="","",IFERROR(INDEX('因子水準表'!$B$9:$KO$18,3,MATCH(AM$4,'因子水準表'!$B$4:$KO$4,0))&amp;"",""))</f>
        <v/>
      </c>
      <c r="CV8" s="26">
        <f>IF(AN$4="","",IFERROR(INDEX('因子水準表'!$B$9:$KO$18,3,MATCH(AN$4,'因子水準表'!$B$4:$KO$4,0))&amp;"",""))</f>
        <v/>
      </c>
      <c r="CW8" s="26">
        <f>IF(AO$4="","",IFERROR(INDEX('因子水準表'!$B$9:$KO$18,3,MATCH(AO$4,'因子水準表'!$B$4:$KO$4,0))&amp;"",""))</f>
        <v/>
      </c>
      <c r="CX8" s="26">
        <f>IF(AP$4="","",IFERROR(INDEX('因子水準表'!$B$9:$KO$18,3,MATCH(AP$4,'因子水準表'!$B$4:$KO$4,0))&amp;"",""))</f>
        <v/>
      </c>
      <c r="CY8" s="26">
        <f>IF(AQ$4="","",IFERROR(INDEX('因子水準表'!$B$9:$KO$18,3,MATCH(AQ$4,'因子水準表'!$B$4:$KO$4,0))&amp;"",""))</f>
        <v/>
      </c>
      <c r="CZ8" s="26">
        <f>IF(AR$4="","",IFERROR(INDEX('因子水準表'!$B$9:$KO$18,3,MATCH(AR$4,'因子水準表'!$B$4:$KO$4,0))&amp;"",""))</f>
        <v/>
      </c>
      <c r="DA8" s="26">
        <f>IF(AS$4="","",IFERROR(INDEX('因子水準表'!$B$9:$KO$18,3,MATCH(AS$4,'因子水準表'!$B$4:$KO$4,0))&amp;"",""))</f>
        <v/>
      </c>
      <c r="DB8" s="26">
        <f>IF(AT$4="","",IFERROR(INDEX('因子水準表'!$B$9:$KO$18,3,MATCH(AT$4,'因子水準表'!$B$4:$KO$4,0))&amp;"",""))</f>
        <v/>
      </c>
      <c r="DC8" s="26">
        <f>IF(AU$4="","",IFERROR(INDEX('因子水準表'!$B$9:$KO$18,3,MATCH(AU$4,'因子水準表'!$B$4:$KO$4,0))&amp;"",""))</f>
        <v/>
      </c>
      <c r="DD8" s="26">
        <f>IF(AV$4="","",IFERROR(INDEX('因子水準表'!$B$9:$KO$18,3,MATCH(AV$4,'因子水準表'!$B$4:$KO$4,0))&amp;"",""))</f>
        <v/>
      </c>
      <c r="DE8" s="26">
        <f>IF(AW$4="","",IFERROR(INDEX('因子水準表'!$B$9:$KO$18,3,MATCH(AW$4,'因子水準表'!$B$4:$KO$4,0))&amp;"",""))</f>
        <v/>
      </c>
      <c r="DF8" s="26">
        <f>IF(AX$4="","",IFERROR(INDEX('因子水準表'!$B$9:$KO$18,3,MATCH(AX$4,'因子水準表'!$B$4:$KO$4,0))&amp;"",""))</f>
        <v/>
      </c>
      <c r="DG8" s="26">
        <f>IF(AY$4="","",IFERROR(INDEX('因子水準表'!$B$9:$KO$18,3,MATCH(AY$4,'因子水準表'!$B$4:$KO$4,0))&amp;"",""))</f>
        <v/>
      </c>
      <c r="DH8" s="26">
        <f>IF(AZ$4="","",IFERROR(INDEX('因子水準表'!$B$9:$KO$18,3,MATCH(AZ$4,'因子水準表'!$B$4:$KO$4,0))&amp;"",""))</f>
        <v/>
      </c>
      <c r="DI8" s="26">
        <f>IF(BA$4="","",IFERROR(INDEX('因子水準表'!$B$9:$KO$18,3,MATCH(BA$4,'因子水準表'!$B$4:$KO$4,0))&amp;"",""))</f>
        <v/>
      </c>
      <c r="DJ8" s="26">
        <f>IF(BB$4="","",IFERROR(INDEX('因子水準表'!$B$9:$KO$18,3,MATCH(BB$4,'因子水準表'!$B$4:$KO$4,0))&amp;"",""))</f>
        <v/>
      </c>
      <c r="DK8" s="26">
        <f>IF(BC$4="","",IFERROR(INDEX('因子水準表'!$B$9:$KO$18,3,MATCH(BC$4,'因子水準表'!$B$4:$KO$4,0))&amp;"",""))</f>
        <v/>
      </c>
      <c r="DL8" s="26">
        <f>IF(BD$4="","",IFERROR(INDEX('因子水準表'!$B$9:$KO$18,3,MATCH(BD$4,'因子水準表'!$B$4:$KO$4,0))&amp;"",""))</f>
        <v/>
      </c>
      <c r="DM8" s="26">
        <f>IF('因子水準表'!B31="","",'因子水準表'!B31)</f>
        <v/>
      </c>
      <c r="DN8" s="26">
        <f>IF('テスト条件'!A7="","",'テスト条件'!A7)</f>
        <v/>
      </c>
    </row>
    <row r="9">
      <c r="A9" s="27" t="n"/>
      <c r="B9" s="27" t="n"/>
      <c r="C9" s="28">
        <f>IF(A9="","",$B$2)</f>
        <v/>
      </c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  <c r="AA9" s="27" t="n"/>
      <c r="AB9" s="27" t="n"/>
      <c r="AC9" s="27" t="n"/>
      <c r="AD9" s="27" t="n"/>
      <c r="AE9" s="27" t="n"/>
      <c r="AF9" s="27" t="n"/>
      <c r="AG9" s="27" t="n"/>
      <c r="AH9" s="27" t="n"/>
      <c r="AI9" s="27" t="n"/>
      <c r="AJ9" s="27" t="n"/>
      <c r="AK9" s="27" t="n"/>
      <c r="AL9" s="27" t="n"/>
      <c r="AM9" s="27" t="n"/>
      <c r="AN9" s="27" t="n"/>
      <c r="AO9" s="27" t="n"/>
      <c r="AP9" s="27" t="n"/>
      <c r="AQ9" s="27" t="n"/>
      <c r="AR9" s="27" t="n"/>
      <c r="AS9" s="27" t="n"/>
      <c r="AT9" s="27" t="n"/>
      <c r="AU9" s="27" t="n"/>
      <c r="AV9" s="27" t="n"/>
      <c r="AW9" s="27" t="n"/>
      <c r="AX9" s="27" t="n"/>
      <c r="AY9" s="27" t="n"/>
      <c r="AZ9" s="27" t="n"/>
      <c r="BA9" s="27" t="n"/>
      <c r="BB9" s="27" t="n"/>
      <c r="BC9" s="27" t="n"/>
      <c r="BD9" s="27" t="n"/>
      <c r="BE9" s="27" t="n"/>
      <c r="BF9" s="27" t="n"/>
      <c r="BG9" s="27" t="n"/>
      <c r="BH9" s="27" t="n"/>
      <c r="BI9" s="29" t="n"/>
      <c r="BJ9" s="27" t="n"/>
      <c r="BK9" s="27" t="n"/>
      <c r="BL9" s="27" t="n"/>
      <c r="BM9" s="27" t="n"/>
      <c r="BO9" s="26">
        <f>IF(G$4="","",IFERROR(INDEX('因子水準表'!$B$9:$KO$18,4,MATCH(G$4,'因子水準表'!$B$4:$KO$4,0))&amp;"",""))</f>
        <v/>
      </c>
      <c r="BP9" s="26">
        <f>IF(H$4="","",IFERROR(INDEX('因子水準表'!$B$9:$KO$18,4,MATCH(H$4,'因子水準表'!$B$4:$KO$4,0))&amp;"",""))</f>
        <v/>
      </c>
      <c r="BQ9" s="26">
        <f>IF(I$4="","",IFERROR(INDEX('因子水準表'!$B$9:$KO$18,4,MATCH(I$4,'因子水準表'!$B$4:$KO$4,0))&amp;"",""))</f>
        <v/>
      </c>
      <c r="BR9" s="26">
        <f>IF(J$4="","",IFERROR(INDEX('因子水準表'!$B$9:$KO$18,4,MATCH(J$4,'因子水準表'!$B$4:$KO$4,0))&amp;"",""))</f>
        <v/>
      </c>
      <c r="BS9" s="26">
        <f>IF(K$4="","",IFERROR(INDEX('因子水準表'!$B$9:$KO$18,4,MATCH(K$4,'因子水準表'!$B$4:$KO$4,0))&amp;"",""))</f>
        <v/>
      </c>
      <c r="BT9" s="26">
        <f>IF(L$4="","",IFERROR(INDEX('因子水準表'!$B$9:$KO$18,4,MATCH(L$4,'因子水準表'!$B$4:$KO$4,0))&amp;"",""))</f>
        <v/>
      </c>
      <c r="BU9" s="26">
        <f>IF(M$4="","",IFERROR(INDEX('因子水準表'!$B$9:$KO$18,4,MATCH(M$4,'因子水準表'!$B$4:$KO$4,0))&amp;"",""))</f>
        <v/>
      </c>
      <c r="BV9" s="26">
        <f>IF(N$4="","",IFERROR(INDEX('因子水準表'!$B$9:$KO$18,4,MATCH(N$4,'因子水準表'!$B$4:$KO$4,0))&amp;"",""))</f>
        <v/>
      </c>
      <c r="BW9" s="26">
        <f>IF(O$4="","",IFERROR(INDEX('因子水準表'!$B$9:$KO$18,4,MATCH(O$4,'因子水準表'!$B$4:$KO$4,0))&amp;"",""))</f>
        <v/>
      </c>
      <c r="BX9" s="26">
        <f>IF(P$4="","",IFERROR(INDEX('因子水準表'!$B$9:$KO$18,4,MATCH(P$4,'因子水準表'!$B$4:$KO$4,0))&amp;"",""))</f>
        <v/>
      </c>
      <c r="BY9" s="26">
        <f>IF(Q$4="","",IFERROR(INDEX('因子水準表'!$B$9:$KO$18,4,MATCH(Q$4,'因子水準表'!$B$4:$KO$4,0))&amp;"",""))</f>
        <v/>
      </c>
      <c r="BZ9" s="26">
        <f>IF(R$4="","",IFERROR(INDEX('因子水準表'!$B$9:$KO$18,4,MATCH(R$4,'因子水準表'!$B$4:$KO$4,0))&amp;"",""))</f>
        <v/>
      </c>
      <c r="CA9" s="26">
        <f>IF(S$4="","",IFERROR(INDEX('因子水準表'!$B$9:$KO$18,4,MATCH(S$4,'因子水準表'!$B$4:$KO$4,0))&amp;"",""))</f>
        <v/>
      </c>
      <c r="CB9" s="26">
        <f>IF(T$4="","",IFERROR(INDEX('因子水準表'!$B$9:$KO$18,4,MATCH(T$4,'因子水準表'!$B$4:$KO$4,0))&amp;"",""))</f>
        <v/>
      </c>
      <c r="CC9" s="26">
        <f>IF(U$4="","",IFERROR(INDEX('因子水準表'!$B$9:$KO$18,4,MATCH(U$4,'因子水準表'!$B$4:$KO$4,0))&amp;"",""))</f>
        <v/>
      </c>
      <c r="CD9" s="26">
        <f>IF(V$4="","",IFERROR(INDEX('因子水準表'!$B$9:$KO$18,4,MATCH(V$4,'因子水準表'!$B$4:$KO$4,0))&amp;"",""))</f>
        <v/>
      </c>
      <c r="CE9" s="26">
        <f>IF(W$4="","",IFERROR(INDEX('因子水準表'!$B$9:$KO$18,4,MATCH(W$4,'因子水準表'!$B$4:$KO$4,0))&amp;"",""))</f>
        <v/>
      </c>
      <c r="CF9" s="26">
        <f>IF(X$4="","",IFERROR(INDEX('因子水準表'!$B$9:$KO$18,4,MATCH(X$4,'因子水準表'!$B$4:$KO$4,0))&amp;"",""))</f>
        <v/>
      </c>
      <c r="CG9" s="26">
        <f>IF(Y$4="","",IFERROR(INDEX('因子水準表'!$B$9:$KO$18,4,MATCH(Y$4,'因子水準表'!$B$4:$KO$4,0))&amp;"",""))</f>
        <v/>
      </c>
      <c r="CH9" s="26">
        <f>IF(Z$4="","",IFERROR(INDEX('因子水準表'!$B$9:$KO$18,4,MATCH(Z$4,'因子水準表'!$B$4:$KO$4,0))&amp;"",""))</f>
        <v/>
      </c>
      <c r="CI9" s="26">
        <f>IF(AA$4="","",IFERROR(INDEX('因子水準表'!$B$9:$KO$18,4,MATCH(AA$4,'因子水準表'!$B$4:$KO$4,0))&amp;"",""))</f>
        <v/>
      </c>
      <c r="CJ9" s="26">
        <f>IF(AB$4="","",IFERROR(INDEX('因子水準表'!$B$9:$KO$18,4,MATCH(AB$4,'因子水準表'!$B$4:$KO$4,0))&amp;"",""))</f>
        <v/>
      </c>
      <c r="CK9" s="26">
        <f>IF(AC$4="","",IFERROR(INDEX('因子水準表'!$B$9:$KO$18,4,MATCH(AC$4,'因子水準表'!$B$4:$KO$4,0))&amp;"",""))</f>
        <v/>
      </c>
      <c r="CL9" s="26">
        <f>IF(AD$4="","",IFERROR(INDEX('因子水準表'!$B$9:$KO$18,4,MATCH(AD$4,'因子水準表'!$B$4:$KO$4,0))&amp;"",""))</f>
        <v/>
      </c>
      <c r="CM9" s="26">
        <f>IF(AE$4="","",IFERROR(INDEX('因子水準表'!$B$9:$KO$18,4,MATCH(AE$4,'因子水準表'!$B$4:$KO$4,0))&amp;"",""))</f>
        <v/>
      </c>
      <c r="CN9" s="26">
        <f>IF(AF$4="","",IFERROR(INDEX('因子水準表'!$B$9:$KO$18,4,MATCH(AF$4,'因子水準表'!$B$4:$KO$4,0))&amp;"",""))</f>
        <v/>
      </c>
      <c r="CO9" s="26">
        <f>IF(AG$4="","",IFERROR(INDEX('因子水準表'!$B$9:$KO$18,4,MATCH(AG$4,'因子水準表'!$B$4:$KO$4,0))&amp;"",""))</f>
        <v/>
      </c>
      <c r="CP9" s="26">
        <f>IF(AH$4="","",IFERROR(INDEX('因子水準表'!$B$9:$KO$18,4,MATCH(AH$4,'因子水準表'!$B$4:$KO$4,0))&amp;"",""))</f>
        <v/>
      </c>
      <c r="CQ9" s="26">
        <f>IF(AI$4="","",IFERROR(INDEX('因子水準表'!$B$9:$KO$18,4,MATCH(AI$4,'因子水準表'!$B$4:$KO$4,0))&amp;"",""))</f>
        <v/>
      </c>
      <c r="CR9" s="26">
        <f>IF(AJ$4="","",IFERROR(INDEX('因子水準表'!$B$9:$KO$18,4,MATCH(AJ$4,'因子水準表'!$B$4:$KO$4,0))&amp;"",""))</f>
        <v/>
      </c>
      <c r="CS9" s="26">
        <f>IF(AK$4="","",IFERROR(INDEX('因子水準表'!$B$9:$KO$18,4,MATCH(AK$4,'因子水準表'!$B$4:$KO$4,0))&amp;"",""))</f>
        <v/>
      </c>
      <c r="CT9" s="26">
        <f>IF(AL$4="","",IFERROR(INDEX('因子水準表'!$B$9:$KO$18,4,MATCH(AL$4,'因子水準表'!$B$4:$KO$4,0))&amp;"",""))</f>
        <v/>
      </c>
      <c r="CU9" s="26">
        <f>IF(AM$4="","",IFERROR(INDEX('因子水準表'!$B$9:$KO$18,4,MATCH(AM$4,'因子水準表'!$B$4:$KO$4,0))&amp;"",""))</f>
        <v/>
      </c>
      <c r="CV9" s="26">
        <f>IF(AN$4="","",IFERROR(INDEX('因子水準表'!$B$9:$KO$18,4,MATCH(AN$4,'因子水準表'!$B$4:$KO$4,0))&amp;"",""))</f>
        <v/>
      </c>
      <c r="CW9" s="26">
        <f>IF(AO$4="","",IFERROR(INDEX('因子水準表'!$B$9:$KO$18,4,MATCH(AO$4,'因子水準表'!$B$4:$KO$4,0))&amp;"",""))</f>
        <v/>
      </c>
      <c r="CX9" s="26">
        <f>IF(AP$4="","",IFERROR(INDEX('因子水準表'!$B$9:$KO$18,4,MATCH(AP$4,'因子水準表'!$B$4:$KO$4,0))&amp;"",""))</f>
        <v/>
      </c>
      <c r="CY9" s="26">
        <f>IF(AQ$4="","",IFERROR(INDEX('因子水準表'!$B$9:$KO$18,4,MATCH(AQ$4,'因子水準表'!$B$4:$KO$4,0))&amp;"",""))</f>
        <v/>
      </c>
      <c r="CZ9" s="26">
        <f>IF(AR$4="","",IFERROR(INDEX('因子水準表'!$B$9:$KO$18,4,MATCH(AR$4,'因子水準表'!$B$4:$KO$4,0))&amp;"",""))</f>
        <v/>
      </c>
      <c r="DA9" s="26">
        <f>IF(AS$4="","",IFERROR(INDEX('因子水準表'!$B$9:$KO$18,4,MATCH(AS$4,'因子水準表'!$B$4:$KO$4,0))&amp;"",""))</f>
        <v/>
      </c>
      <c r="DB9" s="26">
        <f>IF(AT$4="","",IFERROR(INDEX('因子水準表'!$B$9:$KO$18,4,MATCH(AT$4,'因子水準表'!$B$4:$KO$4,0))&amp;"",""))</f>
        <v/>
      </c>
      <c r="DC9" s="26">
        <f>IF(AU$4="","",IFERROR(INDEX('因子水準表'!$B$9:$KO$18,4,MATCH(AU$4,'因子水準表'!$B$4:$KO$4,0))&amp;"",""))</f>
        <v/>
      </c>
      <c r="DD9" s="26">
        <f>IF(AV$4="","",IFERROR(INDEX('因子水準表'!$B$9:$KO$18,4,MATCH(AV$4,'因子水準表'!$B$4:$KO$4,0))&amp;"",""))</f>
        <v/>
      </c>
      <c r="DE9" s="26">
        <f>IF(AW$4="","",IFERROR(INDEX('因子水準表'!$B$9:$KO$18,4,MATCH(AW$4,'因子水準表'!$B$4:$KO$4,0))&amp;"",""))</f>
        <v/>
      </c>
      <c r="DF9" s="26">
        <f>IF(AX$4="","",IFERROR(INDEX('因子水準表'!$B$9:$KO$18,4,MATCH(AX$4,'因子水準表'!$B$4:$KO$4,0))&amp;"",""))</f>
        <v/>
      </c>
      <c r="DG9" s="26">
        <f>IF(AY$4="","",IFERROR(INDEX('因子水準表'!$B$9:$KO$18,4,MATCH(AY$4,'因子水準表'!$B$4:$KO$4,0))&amp;"",""))</f>
        <v/>
      </c>
      <c r="DH9" s="26">
        <f>IF(AZ$4="","",IFERROR(INDEX('因子水準表'!$B$9:$KO$18,4,MATCH(AZ$4,'因子水準表'!$B$4:$KO$4,0))&amp;"",""))</f>
        <v/>
      </c>
      <c r="DI9" s="26">
        <f>IF(BA$4="","",IFERROR(INDEX('因子水準表'!$B$9:$KO$18,4,MATCH(BA$4,'因子水準表'!$B$4:$KO$4,0))&amp;"",""))</f>
        <v/>
      </c>
      <c r="DJ9" s="26">
        <f>IF(BB$4="","",IFERROR(INDEX('因子水準表'!$B$9:$KO$18,4,MATCH(BB$4,'因子水準表'!$B$4:$KO$4,0))&amp;"",""))</f>
        <v/>
      </c>
      <c r="DK9" s="26">
        <f>IF(BC$4="","",IFERROR(INDEX('因子水準表'!$B$9:$KO$18,4,MATCH(BC$4,'因子水準表'!$B$4:$KO$4,0))&amp;"",""))</f>
        <v/>
      </c>
      <c r="DL9" s="26">
        <f>IF(BD$4="","",IFERROR(INDEX('因子水準表'!$B$9:$KO$18,4,MATCH(BD$4,'因子水準表'!$B$4:$KO$4,0))&amp;"",""))</f>
        <v/>
      </c>
      <c r="DM9" s="26">
        <f>IF('因子水準表'!B32="","",'因子水準表'!B32)</f>
        <v/>
      </c>
      <c r="DN9" s="26">
        <f>IF('テスト条件'!A8="","",'テスト条件'!A8)</f>
        <v/>
      </c>
    </row>
    <row r="10">
      <c r="A10" s="27" t="n"/>
      <c r="B10" s="27" t="n"/>
      <c r="C10" s="28">
        <f>IF(A10="","",$B$2)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  <c r="AI10" s="27" t="n"/>
      <c r="AJ10" s="27" t="n"/>
      <c r="AK10" s="27" t="n"/>
      <c r="AL10" s="27" t="n"/>
      <c r="AM10" s="27" t="n"/>
      <c r="AN10" s="27" t="n"/>
      <c r="AO10" s="27" t="n"/>
      <c r="AP10" s="27" t="n"/>
      <c r="AQ10" s="27" t="n"/>
      <c r="AR10" s="27" t="n"/>
      <c r="AS10" s="27" t="n"/>
      <c r="AT10" s="27" t="n"/>
      <c r="AU10" s="27" t="n"/>
      <c r="AV10" s="27" t="n"/>
      <c r="AW10" s="27" t="n"/>
      <c r="AX10" s="27" t="n"/>
      <c r="AY10" s="27" t="n"/>
      <c r="AZ10" s="27" t="n"/>
      <c r="BA10" s="27" t="n"/>
      <c r="BB10" s="27" t="n"/>
      <c r="BC10" s="27" t="n"/>
      <c r="BD10" s="27" t="n"/>
      <c r="BE10" s="27" t="n"/>
      <c r="BF10" s="27" t="n"/>
      <c r="BG10" s="27" t="n"/>
      <c r="BH10" s="27" t="n"/>
      <c r="BI10" s="29" t="n"/>
      <c r="BJ10" s="27" t="n"/>
      <c r="BK10" s="27" t="n"/>
      <c r="BL10" s="27" t="n"/>
      <c r="BM10" s="27" t="n"/>
      <c r="BO10" s="26">
        <f>IF(G$4="","",IFERROR(INDEX('因子水準表'!$B$9:$KO$18,5,MATCH(G$4,'因子水準表'!$B$4:$KO$4,0))&amp;"",""))</f>
        <v/>
      </c>
      <c r="BP10" s="26">
        <f>IF(H$4="","",IFERROR(INDEX('因子水準表'!$B$9:$KO$18,5,MATCH(H$4,'因子水準表'!$B$4:$KO$4,0))&amp;"",""))</f>
        <v/>
      </c>
      <c r="BQ10" s="26">
        <f>IF(I$4="","",IFERROR(INDEX('因子水準表'!$B$9:$KO$18,5,MATCH(I$4,'因子水準表'!$B$4:$KO$4,0))&amp;"",""))</f>
        <v/>
      </c>
      <c r="BR10" s="26">
        <f>IF(J$4="","",IFERROR(INDEX('因子水準表'!$B$9:$KO$18,5,MATCH(J$4,'因子水準表'!$B$4:$KO$4,0))&amp;"",""))</f>
        <v/>
      </c>
      <c r="BS10" s="26">
        <f>IF(K$4="","",IFERROR(INDEX('因子水準表'!$B$9:$KO$18,5,MATCH(K$4,'因子水準表'!$B$4:$KO$4,0))&amp;"",""))</f>
        <v/>
      </c>
      <c r="BT10" s="26">
        <f>IF(L$4="","",IFERROR(INDEX('因子水準表'!$B$9:$KO$18,5,MATCH(L$4,'因子水準表'!$B$4:$KO$4,0))&amp;"",""))</f>
        <v/>
      </c>
      <c r="BU10" s="26">
        <f>IF(M$4="","",IFERROR(INDEX('因子水準表'!$B$9:$KO$18,5,MATCH(M$4,'因子水準表'!$B$4:$KO$4,0))&amp;"",""))</f>
        <v/>
      </c>
      <c r="BV10" s="26">
        <f>IF(N$4="","",IFERROR(INDEX('因子水準表'!$B$9:$KO$18,5,MATCH(N$4,'因子水準表'!$B$4:$KO$4,0))&amp;"",""))</f>
        <v/>
      </c>
      <c r="BW10" s="26">
        <f>IF(O$4="","",IFERROR(INDEX('因子水準表'!$B$9:$KO$18,5,MATCH(O$4,'因子水準表'!$B$4:$KO$4,0))&amp;"",""))</f>
        <v/>
      </c>
      <c r="BX10" s="26">
        <f>IF(P$4="","",IFERROR(INDEX('因子水準表'!$B$9:$KO$18,5,MATCH(P$4,'因子水準表'!$B$4:$KO$4,0))&amp;"",""))</f>
        <v/>
      </c>
      <c r="BY10" s="26">
        <f>IF(Q$4="","",IFERROR(INDEX('因子水準表'!$B$9:$KO$18,5,MATCH(Q$4,'因子水準表'!$B$4:$KO$4,0))&amp;"",""))</f>
        <v/>
      </c>
      <c r="BZ10" s="26">
        <f>IF(R$4="","",IFERROR(INDEX('因子水準表'!$B$9:$KO$18,5,MATCH(R$4,'因子水準表'!$B$4:$KO$4,0))&amp;"",""))</f>
        <v/>
      </c>
      <c r="CA10" s="26">
        <f>IF(S$4="","",IFERROR(INDEX('因子水準表'!$B$9:$KO$18,5,MATCH(S$4,'因子水準表'!$B$4:$KO$4,0))&amp;"",""))</f>
        <v/>
      </c>
      <c r="CB10" s="26">
        <f>IF(T$4="","",IFERROR(INDEX('因子水準表'!$B$9:$KO$18,5,MATCH(T$4,'因子水準表'!$B$4:$KO$4,0))&amp;"",""))</f>
        <v/>
      </c>
      <c r="CC10" s="26">
        <f>IF(U$4="","",IFERROR(INDEX('因子水準表'!$B$9:$KO$18,5,MATCH(U$4,'因子水準表'!$B$4:$KO$4,0))&amp;"",""))</f>
        <v/>
      </c>
      <c r="CD10" s="26">
        <f>IF(V$4="","",IFERROR(INDEX('因子水準表'!$B$9:$KO$18,5,MATCH(V$4,'因子水準表'!$B$4:$KO$4,0))&amp;"",""))</f>
        <v/>
      </c>
      <c r="CE10" s="26">
        <f>IF(W$4="","",IFERROR(INDEX('因子水準表'!$B$9:$KO$18,5,MATCH(W$4,'因子水準表'!$B$4:$KO$4,0))&amp;"",""))</f>
        <v/>
      </c>
      <c r="CF10" s="26">
        <f>IF(X$4="","",IFERROR(INDEX('因子水準表'!$B$9:$KO$18,5,MATCH(X$4,'因子水準表'!$B$4:$KO$4,0))&amp;"",""))</f>
        <v/>
      </c>
      <c r="CG10" s="26">
        <f>IF(Y$4="","",IFERROR(INDEX('因子水準表'!$B$9:$KO$18,5,MATCH(Y$4,'因子水準表'!$B$4:$KO$4,0))&amp;"",""))</f>
        <v/>
      </c>
      <c r="CH10" s="26">
        <f>IF(Z$4="","",IFERROR(INDEX('因子水準表'!$B$9:$KO$18,5,MATCH(Z$4,'因子水準表'!$B$4:$KO$4,0))&amp;"",""))</f>
        <v/>
      </c>
      <c r="CI10" s="26">
        <f>IF(AA$4="","",IFERROR(INDEX('因子水準表'!$B$9:$KO$18,5,MATCH(AA$4,'因子水準表'!$B$4:$KO$4,0))&amp;"",""))</f>
        <v/>
      </c>
      <c r="CJ10" s="26">
        <f>IF(AB$4="","",IFERROR(INDEX('因子水準表'!$B$9:$KO$18,5,MATCH(AB$4,'因子水準表'!$B$4:$KO$4,0))&amp;"",""))</f>
        <v/>
      </c>
      <c r="CK10" s="26">
        <f>IF(AC$4="","",IFERROR(INDEX('因子水準表'!$B$9:$KO$18,5,MATCH(AC$4,'因子水準表'!$B$4:$KO$4,0))&amp;"",""))</f>
        <v/>
      </c>
      <c r="CL10" s="26">
        <f>IF(AD$4="","",IFERROR(INDEX('因子水準表'!$B$9:$KO$18,5,MATCH(AD$4,'因子水準表'!$B$4:$KO$4,0))&amp;"",""))</f>
        <v/>
      </c>
      <c r="CM10" s="26">
        <f>IF(AE$4="","",IFERROR(INDEX('因子水準表'!$B$9:$KO$18,5,MATCH(AE$4,'因子水準表'!$B$4:$KO$4,0))&amp;"",""))</f>
        <v/>
      </c>
      <c r="CN10" s="26">
        <f>IF(AF$4="","",IFERROR(INDEX('因子水準表'!$B$9:$KO$18,5,MATCH(AF$4,'因子水準表'!$B$4:$KO$4,0))&amp;"",""))</f>
        <v/>
      </c>
      <c r="CO10" s="26">
        <f>IF(AG$4="","",IFERROR(INDEX('因子水準表'!$B$9:$KO$18,5,MATCH(AG$4,'因子水準表'!$B$4:$KO$4,0))&amp;"",""))</f>
        <v/>
      </c>
      <c r="CP10" s="26">
        <f>IF(AH$4="","",IFERROR(INDEX('因子水準表'!$B$9:$KO$18,5,MATCH(AH$4,'因子水準表'!$B$4:$KO$4,0))&amp;"",""))</f>
        <v/>
      </c>
      <c r="CQ10" s="26">
        <f>IF(AI$4="","",IFERROR(INDEX('因子水準表'!$B$9:$KO$18,5,MATCH(AI$4,'因子水準表'!$B$4:$KO$4,0))&amp;"",""))</f>
        <v/>
      </c>
      <c r="CR10" s="26">
        <f>IF(AJ$4="","",IFERROR(INDEX('因子水準表'!$B$9:$KO$18,5,MATCH(AJ$4,'因子水準表'!$B$4:$KO$4,0))&amp;"",""))</f>
        <v/>
      </c>
      <c r="CS10" s="26">
        <f>IF(AK$4="","",IFERROR(INDEX('因子水準表'!$B$9:$KO$18,5,MATCH(AK$4,'因子水準表'!$B$4:$KO$4,0))&amp;"",""))</f>
        <v/>
      </c>
      <c r="CT10" s="26">
        <f>IF(AL$4="","",IFERROR(INDEX('因子水準表'!$B$9:$KO$18,5,MATCH(AL$4,'因子水準表'!$B$4:$KO$4,0))&amp;"",""))</f>
        <v/>
      </c>
      <c r="CU10" s="26">
        <f>IF(AM$4="","",IFERROR(INDEX('因子水準表'!$B$9:$KO$18,5,MATCH(AM$4,'因子水準表'!$B$4:$KO$4,0))&amp;"",""))</f>
        <v/>
      </c>
      <c r="CV10" s="26">
        <f>IF(AN$4="","",IFERROR(INDEX('因子水準表'!$B$9:$KO$18,5,MATCH(AN$4,'因子水準表'!$B$4:$KO$4,0))&amp;"",""))</f>
        <v/>
      </c>
      <c r="CW10" s="26">
        <f>IF(AO$4="","",IFERROR(INDEX('因子水準表'!$B$9:$KO$18,5,MATCH(AO$4,'因子水準表'!$B$4:$KO$4,0))&amp;"",""))</f>
        <v/>
      </c>
      <c r="CX10" s="26">
        <f>IF(AP$4="","",IFERROR(INDEX('因子水準表'!$B$9:$KO$18,5,MATCH(AP$4,'因子水準表'!$B$4:$KO$4,0))&amp;"",""))</f>
        <v/>
      </c>
      <c r="CY10" s="26">
        <f>IF(AQ$4="","",IFERROR(INDEX('因子水準表'!$B$9:$KO$18,5,MATCH(AQ$4,'因子水準表'!$B$4:$KO$4,0))&amp;"",""))</f>
        <v/>
      </c>
      <c r="CZ10" s="26">
        <f>IF(AR$4="","",IFERROR(INDEX('因子水準表'!$B$9:$KO$18,5,MATCH(AR$4,'因子水準表'!$B$4:$KO$4,0))&amp;"",""))</f>
        <v/>
      </c>
      <c r="DA10" s="26">
        <f>IF(AS$4="","",IFERROR(INDEX('因子水準表'!$B$9:$KO$18,5,MATCH(AS$4,'因子水準表'!$B$4:$KO$4,0))&amp;"",""))</f>
        <v/>
      </c>
      <c r="DB10" s="26">
        <f>IF(AT$4="","",IFERROR(INDEX('因子水準表'!$B$9:$KO$18,5,MATCH(AT$4,'因子水準表'!$B$4:$KO$4,0))&amp;"",""))</f>
        <v/>
      </c>
      <c r="DC10" s="26">
        <f>IF(AU$4="","",IFERROR(INDEX('因子水準表'!$B$9:$KO$18,5,MATCH(AU$4,'因子水準表'!$B$4:$KO$4,0))&amp;"",""))</f>
        <v/>
      </c>
      <c r="DD10" s="26">
        <f>IF(AV$4="","",IFERROR(INDEX('因子水準表'!$B$9:$KO$18,5,MATCH(AV$4,'因子水準表'!$B$4:$KO$4,0))&amp;"",""))</f>
        <v/>
      </c>
      <c r="DE10" s="26">
        <f>IF(AW$4="","",IFERROR(INDEX('因子水準表'!$B$9:$KO$18,5,MATCH(AW$4,'因子水準表'!$B$4:$KO$4,0))&amp;"",""))</f>
        <v/>
      </c>
      <c r="DF10" s="26">
        <f>IF(AX$4="","",IFERROR(INDEX('因子水準表'!$B$9:$KO$18,5,MATCH(AX$4,'因子水準表'!$B$4:$KO$4,0))&amp;"",""))</f>
        <v/>
      </c>
      <c r="DG10" s="26">
        <f>IF(AY$4="","",IFERROR(INDEX('因子水準表'!$B$9:$KO$18,5,MATCH(AY$4,'因子水準表'!$B$4:$KO$4,0))&amp;"",""))</f>
        <v/>
      </c>
      <c r="DH10" s="26">
        <f>IF(AZ$4="","",IFERROR(INDEX('因子水準表'!$B$9:$KO$18,5,MATCH(AZ$4,'因子水準表'!$B$4:$KO$4,0))&amp;"",""))</f>
        <v/>
      </c>
      <c r="DI10" s="26">
        <f>IF(BA$4="","",IFERROR(INDEX('因子水準表'!$B$9:$KO$18,5,MATCH(BA$4,'因子水準表'!$B$4:$KO$4,0))&amp;"",""))</f>
        <v/>
      </c>
      <c r="DJ10" s="26">
        <f>IF(BB$4="","",IFERROR(INDEX('因子水準表'!$B$9:$KO$18,5,MATCH(BB$4,'因子水準表'!$B$4:$KO$4,0))&amp;"",""))</f>
        <v/>
      </c>
      <c r="DK10" s="26">
        <f>IF(BC$4="","",IFERROR(INDEX('因子水準表'!$B$9:$KO$18,5,MATCH(BC$4,'因子水準表'!$B$4:$KO$4,0))&amp;"",""))</f>
        <v/>
      </c>
      <c r="DL10" s="26">
        <f>IF(BD$4="","",IFERROR(INDEX('因子水準表'!$B$9:$KO$18,5,MATCH(BD$4,'因子水準表'!$B$4:$KO$4,0))&amp;"",""))</f>
        <v/>
      </c>
      <c r="DM10" s="26">
        <f>IF('因子水準表'!B33="","",'因子水準表'!B33)</f>
        <v/>
      </c>
      <c r="DN10" s="26">
        <f>IF('テスト条件'!A9="","",'テスト条件'!A9)</f>
        <v/>
      </c>
    </row>
    <row r="11">
      <c r="A11" s="27" t="n"/>
      <c r="B11" s="27" t="n"/>
      <c r="C11" s="28">
        <f>IF(A11="","",$B$2)</f>
        <v/>
      </c>
      <c r="D11" s="27" t="n"/>
      <c r="E11" s="27" t="n"/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  <c r="AA11" s="27" t="n"/>
      <c r="AB11" s="27" t="n"/>
      <c r="AC11" s="27" t="n"/>
      <c r="AD11" s="27" t="n"/>
      <c r="AE11" s="27" t="n"/>
      <c r="AF11" s="27" t="n"/>
      <c r="AG11" s="27" t="n"/>
      <c r="AH11" s="27" t="n"/>
      <c r="AI11" s="27" t="n"/>
      <c r="AJ11" s="27" t="n"/>
      <c r="AK11" s="27" t="n"/>
      <c r="AL11" s="27" t="n"/>
      <c r="AM11" s="27" t="n"/>
      <c r="AN11" s="27" t="n"/>
      <c r="AO11" s="27" t="n"/>
      <c r="AP11" s="27" t="n"/>
      <c r="AQ11" s="27" t="n"/>
      <c r="AR11" s="27" t="n"/>
      <c r="AS11" s="27" t="n"/>
      <c r="AT11" s="27" t="n"/>
      <c r="AU11" s="27" t="n"/>
      <c r="AV11" s="27" t="n"/>
      <c r="AW11" s="27" t="n"/>
      <c r="AX11" s="27" t="n"/>
      <c r="AY11" s="27" t="n"/>
      <c r="AZ11" s="27" t="n"/>
      <c r="BA11" s="27" t="n"/>
      <c r="BB11" s="27" t="n"/>
      <c r="BC11" s="27" t="n"/>
      <c r="BD11" s="27" t="n"/>
      <c r="BE11" s="27" t="n"/>
      <c r="BF11" s="27" t="n"/>
      <c r="BG11" s="27" t="n"/>
      <c r="BH11" s="27" t="n"/>
      <c r="BI11" s="29" t="n"/>
      <c r="BJ11" s="27" t="n"/>
      <c r="BK11" s="27" t="n"/>
      <c r="BL11" s="27" t="n"/>
      <c r="BM11" s="27" t="n"/>
      <c r="BO11" s="26">
        <f>IF(G$4="","",IFERROR(INDEX('因子水準表'!$B$9:$KO$18,6,MATCH(G$4,'因子水準表'!$B$4:$KO$4,0))&amp;"",""))</f>
        <v/>
      </c>
      <c r="BP11" s="26">
        <f>IF(H$4="","",IFERROR(INDEX('因子水準表'!$B$9:$KO$18,6,MATCH(H$4,'因子水準表'!$B$4:$KO$4,0))&amp;"",""))</f>
        <v/>
      </c>
      <c r="BQ11" s="26">
        <f>IF(I$4="","",IFERROR(INDEX('因子水準表'!$B$9:$KO$18,6,MATCH(I$4,'因子水準表'!$B$4:$KO$4,0))&amp;"",""))</f>
        <v/>
      </c>
      <c r="BR11" s="26">
        <f>IF(J$4="","",IFERROR(INDEX('因子水準表'!$B$9:$KO$18,6,MATCH(J$4,'因子水準表'!$B$4:$KO$4,0))&amp;"",""))</f>
        <v/>
      </c>
      <c r="BS11" s="26">
        <f>IF(K$4="","",IFERROR(INDEX('因子水準表'!$B$9:$KO$18,6,MATCH(K$4,'因子水準表'!$B$4:$KO$4,0))&amp;"",""))</f>
        <v/>
      </c>
      <c r="BT11" s="26">
        <f>IF(L$4="","",IFERROR(INDEX('因子水準表'!$B$9:$KO$18,6,MATCH(L$4,'因子水準表'!$B$4:$KO$4,0))&amp;"",""))</f>
        <v/>
      </c>
      <c r="BU11" s="26">
        <f>IF(M$4="","",IFERROR(INDEX('因子水準表'!$B$9:$KO$18,6,MATCH(M$4,'因子水準表'!$B$4:$KO$4,0))&amp;"",""))</f>
        <v/>
      </c>
      <c r="BV11" s="26">
        <f>IF(N$4="","",IFERROR(INDEX('因子水準表'!$B$9:$KO$18,6,MATCH(N$4,'因子水準表'!$B$4:$KO$4,0))&amp;"",""))</f>
        <v/>
      </c>
      <c r="BW11" s="26">
        <f>IF(O$4="","",IFERROR(INDEX('因子水準表'!$B$9:$KO$18,6,MATCH(O$4,'因子水準表'!$B$4:$KO$4,0))&amp;"",""))</f>
        <v/>
      </c>
      <c r="BX11" s="26">
        <f>IF(P$4="","",IFERROR(INDEX('因子水準表'!$B$9:$KO$18,6,MATCH(P$4,'因子水準表'!$B$4:$KO$4,0))&amp;"",""))</f>
        <v/>
      </c>
      <c r="BY11" s="26">
        <f>IF(Q$4="","",IFERROR(INDEX('因子水準表'!$B$9:$KO$18,6,MATCH(Q$4,'因子水準表'!$B$4:$KO$4,0))&amp;"",""))</f>
        <v/>
      </c>
      <c r="BZ11" s="26">
        <f>IF(R$4="","",IFERROR(INDEX('因子水準表'!$B$9:$KO$18,6,MATCH(R$4,'因子水準表'!$B$4:$KO$4,0))&amp;"",""))</f>
        <v/>
      </c>
      <c r="CA11" s="26">
        <f>IF(S$4="","",IFERROR(INDEX('因子水準表'!$B$9:$KO$18,6,MATCH(S$4,'因子水準表'!$B$4:$KO$4,0))&amp;"",""))</f>
        <v/>
      </c>
      <c r="CB11" s="26">
        <f>IF(T$4="","",IFERROR(INDEX('因子水準表'!$B$9:$KO$18,6,MATCH(T$4,'因子水準表'!$B$4:$KO$4,0))&amp;"",""))</f>
        <v/>
      </c>
      <c r="CC11" s="26">
        <f>IF(U$4="","",IFERROR(INDEX('因子水準表'!$B$9:$KO$18,6,MATCH(U$4,'因子水準表'!$B$4:$KO$4,0))&amp;"",""))</f>
        <v/>
      </c>
      <c r="CD11" s="26">
        <f>IF(V$4="","",IFERROR(INDEX('因子水準表'!$B$9:$KO$18,6,MATCH(V$4,'因子水準表'!$B$4:$KO$4,0))&amp;"",""))</f>
        <v/>
      </c>
      <c r="CE11" s="26">
        <f>IF(W$4="","",IFERROR(INDEX('因子水準表'!$B$9:$KO$18,6,MATCH(W$4,'因子水準表'!$B$4:$KO$4,0))&amp;"",""))</f>
        <v/>
      </c>
      <c r="CF11" s="26">
        <f>IF(X$4="","",IFERROR(INDEX('因子水準表'!$B$9:$KO$18,6,MATCH(X$4,'因子水準表'!$B$4:$KO$4,0))&amp;"",""))</f>
        <v/>
      </c>
      <c r="CG11" s="26">
        <f>IF(Y$4="","",IFERROR(INDEX('因子水準表'!$B$9:$KO$18,6,MATCH(Y$4,'因子水準表'!$B$4:$KO$4,0))&amp;"",""))</f>
        <v/>
      </c>
      <c r="CH11" s="26">
        <f>IF(Z$4="","",IFERROR(INDEX('因子水準表'!$B$9:$KO$18,6,MATCH(Z$4,'因子水準表'!$B$4:$KO$4,0))&amp;"",""))</f>
        <v/>
      </c>
      <c r="CI11" s="26">
        <f>IF(AA$4="","",IFERROR(INDEX('因子水準表'!$B$9:$KO$18,6,MATCH(AA$4,'因子水準表'!$B$4:$KO$4,0))&amp;"",""))</f>
        <v/>
      </c>
      <c r="CJ11" s="26">
        <f>IF(AB$4="","",IFERROR(INDEX('因子水準表'!$B$9:$KO$18,6,MATCH(AB$4,'因子水準表'!$B$4:$KO$4,0))&amp;"",""))</f>
        <v/>
      </c>
      <c r="CK11" s="26">
        <f>IF(AC$4="","",IFERROR(INDEX('因子水準表'!$B$9:$KO$18,6,MATCH(AC$4,'因子水準表'!$B$4:$KO$4,0))&amp;"",""))</f>
        <v/>
      </c>
      <c r="CL11" s="26">
        <f>IF(AD$4="","",IFERROR(INDEX('因子水準表'!$B$9:$KO$18,6,MATCH(AD$4,'因子水準表'!$B$4:$KO$4,0))&amp;"",""))</f>
        <v/>
      </c>
      <c r="CM11" s="26">
        <f>IF(AE$4="","",IFERROR(INDEX('因子水準表'!$B$9:$KO$18,6,MATCH(AE$4,'因子水準表'!$B$4:$KO$4,0))&amp;"",""))</f>
        <v/>
      </c>
      <c r="CN11" s="26">
        <f>IF(AF$4="","",IFERROR(INDEX('因子水準表'!$B$9:$KO$18,6,MATCH(AF$4,'因子水準表'!$B$4:$KO$4,0))&amp;"",""))</f>
        <v/>
      </c>
      <c r="CO11" s="26">
        <f>IF(AG$4="","",IFERROR(INDEX('因子水準表'!$B$9:$KO$18,6,MATCH(AG$4,'因子水準表'!$B$4:$KO$4,0))&amp;"",""))</f>
        <v/>
      </c>
      <c r="CP11" s="26">
        <f>IF(AH$4="","",IFERROR(INDEX('因子水準表'!$B$9:$KO$18,6,MATCH(AH$4,'因子水準表'!$B$4:$KO$4,0))&amp;"",""))</f>
        <v/>
      </c>
      <c r="CQ11" s="26">
        <f>IF(AI$4="","",IFERROR(INDEX('因子水準表'!$B$9:$KO$18,6,MATCH(AI$4,'因子水準表'!$B$4:$KO$4,0))&amp;"",""))</f>
        <v/>
      </c>
      <c r="CR11" s="26">
        <f>IF(AJ$4="","",IFERROR(INDEX('因子水準表'!$B$9:$KO$18,6,MATCH(AJ$4,'因子水準表'!$B$4:$KO$4,0))&amp;"",""))</f>
        <v/>
      </c>
      <c r="CS11" s="26">
        <f>IF(AK$4="","",IFERROR(INDEX('因子水準表'!$B$9:$KO$18,6,MATCH(AK$4,'因子水準表'!$B$4:$KO$4,0))&amp;"",""))</f>
        <v/>
      </c>
      <c r="CT11" s="26">
        <f>IF(AL$4="","",IFERROR(INDEX('因子水準表'!$B$9:$KO$18,6,MATCH(AL$4,'因子水準表'!$B$4:$KO$4,0))&amp;"",""))</f>
        <v/>
      </c>
      <c r="CU11" s="26">
        <f>IF(AM$4="","",IFERROR(INDEX('因子水準表'!$B$9:$KO$18,6,MATCH(AM$4,'因子水準表'!$B$4:$KO$4,0))&amp;"",""))</f>
        <v/>
      </c>
      <c r="CV11" s="26">
        <f>IF(AN$4="","",IFERROR(INDEX('因子水準表'!$B$9:$KO$18,6,MATCH(AN$4,'因子水準表'!$B$4:$KO$4,0))&amp;"",""))</f>
        <v/>
      </c>
      <c r="CW11" s="26">
        <f>IF(AO$4="","",IFERROR(INDEX('因子水準表'!$B$9:$KO$18,6,MATCH(AO$4,'因子水準表'!$B$4:$KO$4,0))&amp;"",""))</f>
        <v/>
      </c>
      <c r="CX11" s="26">
        <f>IF(AP$4="","",IFERROR(INDEX('因子水準表'!$B$9:$KO$18,6,MATCH(AP$4,'因子水準表'!$B$4:$KO$4,0))&amp;"",""))</f>
        <v/>
      </c>
      <c r="CY11" s="26">
        <f>IF(AQ$4="","",IFERROR(INDEX('因子水準表'!$B$9:$KO$18,6,MATCH(AQ$4,'因子水準表'!$B$4:$KO$4,0))&amp;"",""))</f>
        <v/>
      </c>
      <c r="CZ11" s="26">
        <f>IF(AR$4="","",IFERROR(INDEX('因子水準表'!$B$9:$KO$18,6,MATCH(AR$4,'因子水準表'!$B$4:$KO$4,0))&amp;"",""))</f>
        <v/>
      </c>
      <c r="DA11" s="26">
        <f>IF(AS$4="","",IFERROR(INDEX('因子水準表'!$B$9:$KO$18,6,MATCH(AS$4,'因子水準表'!$B$4:$KO$4,0))&amp;"",""))</f>
        <v/>
      </c>
      <c r="DB11" s="26">
        <f>IF(AT$4="","",IFERROR(INDEX('因子水準表'!$B$9:$KO$18,6,MATCH(AT$4,'因子水準表'!$B$4:$KO$4,0))&amp;"",""))</f>
        <v/>
      </c>
      <c r="DC11" s="26">
        <f>IF(AU$4="","",IFERROR(INDEX('因子水準表'!$B$9:$KO$18,6,MATCH(AU$4,'因子水準表'!$B$4:$KO$4,0))&amp;"",""))</f>
        <v/>
      </c>
      <c r="DD11" s="26">
        <f>IF(AV$4="","",IFERROR(INDEX('因子水準表'!$B$9:$KO$18,6,MATCH(AV$4,'因子水準表'!$B$4:$KO$4,0))&amp;"",""))</f>
        <v/>
      </c>
      <c r="DE11" s="26">
        <f>IF(AW$4="","",IFERROR(INDEX('因子水準表'!$B$9:$KO$18,6,MATCH(AW$4,'因子水準表'!$B$4:$KO$4,0))&amp;"",""))</f>
        <v/>
      </c>
      <c r="DF11" s="26">
        <f>IF(AX$4="","",IFERROR(INDEX('因子水準表'!$B$9:$KO$18,6,MATCH(AX$4,'因子水準表'!$B$4:$KO$4,0))&amp;"",""))</f>
        <v/>
      </c>
      <c r="DG11" s="26">
        <f>IF(AY$4="","",IFERROR(INDEX('因子水準表'!$B$9:$KO$18,6,MATCH(AY$4,'因子水準表'!$B$4:$KO$4,0))&amp;"",""))</f>
        <v/>
      </c>
      <c r="DH11" s="26">
        <f>IF(AZ$4="","",IFERROR(INDEX('因子水準表'!$B$9:$KO$18,6,MATCH(AZ$4,'因子水準表'!$B$4:$KO$4,0))&amp;"",""))</f>
        <v/>
      </c>
      <c r="DI11" s="26">
        <f>IF(BA$4="","",IFERROR(INDEX('因子水準表'!$B$9:$KO$18,6,MATCH(BA$4,'因子水準表'!$B$4:$KO$4,0))&amp;"",""))</f>
        <v/>
      </c>
      <c r="DJ11" s="26">
        <f>IF(BB$4="","",IFERROR(INDEX('因子水準表'!$B$9:$KO$18,6,MATCH(BB$4,'因子水準表'!$B$4:$KO$4,0))&amp;"",""))</f>
        <v/>
      </c>
      <c r="DK11" s="26">
        <f>IF(BC$4="","",IFERROR(INDEX('因子水準表'!$B$9:$KO$18,6,MATCH(BC$4,'因子水準表'!$B$4:$KO$4,0))&amp;"",""))</f>
        <v/>
      </c>
      <c r="DL11" s="26">
        <f>IF(BD$4="","",IFERROR(INDEX('因子水準表'!$B$9:$KO$18,6,MATCH(BD$4,'因子水準表'!$B$4:$KO$4,0))&amp;"",""))</f>
        <v/>
      </c>
      <c r="DM11" s="26">
        <f>IF('因子水準表'!B34="","",'因子水準表'!B34)</f>
        <v/>
      </c>
      <c r="DN11" s="26">
        <f>IF('テスト条件'!A10="","",'テスト条件'!A10)</f>
        <v/>
      </c>
    </row>
    <row r="12">
      <c r="A12" s="27" t="n"/>
      <c r="B12" s="27" t="n"/>
      <c r="C12" s="28">
        <f>IF(A12="","",$B$2)</f>
        <v/>
      </c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  <c r="AJ12" s="27" t="n"/>
      <c r="AK12" s="27" t="n"/>
      <c r="AL12" s="27" t="n"/>
      <c r="AM12" s="27" t="n"/>
      <c r="AN12" s="27" t="n"/>
      <c r="AO12" s="27" t="n"/>
      <c r="AP12" s="27" t="n"/>
      <c r="AQ12" s="27" t="n"/>
      <c r="AR12" s="27" t="n"/>
      <c r="AS12" s="27" t="n"/>
      <c r="AT12" s="27" t="n"/>
      <c r="AU12" s="27" t="n"/>
      <c r="AV12" s="27" t="n"/>
      <c r="AW12" s="27" t="n"/>
      <c r="AX12" s="27" t="n"/>
      <c r="AY12" s="27" t="n"/>
      <c r="AZ12" s="27" t="n"/>
      <c r="BA12" s="27" t="n"/>
      <c r="BB12" s="27" t="n"/>
      <c r="BC12" s="27" t="n"/>
      <c r="BD12" s="27" t="n"/>
      <c r="BE12" s="27" t="n"/>
      <c r="BF12" s="27" t="n"/>
      <c r="BG12" s="27" t="n"/>
      <c r="BH12" s="27" t="n"/>
      <c r="BI12" s="29" t="n"/>
      <c r="BJ12" s="27" t="n"/>
      <c r="BK12" s="27" t="n"/>
      <c r="BL12" s="27" t="n"/>
      <c r="BM12" s="27" t="n"/>
      <c r="BO12" s="26">
        <f>IF(G$4="","",IFERROR(INDEX('因子水準表'!$B$9:$KO$18,7,MATCH(G$4,'因子水準表'!$B$4:$KO$4,0))&amp;"",""))</f>
        <v/>
      </c>
      <c r="BP12" s="26">
        <f>IF(H$4="","",IFERROR(INDEX('因子水準表'!$B$9:$KO$18,7,MATCH(H$4,'因子水準表'!$B$4:$KO$4,0))&amp;"",""))</f>
        <v/>
      </c>
      <c r="BQ12" s="26">
        <f>IF(I$4="","",IFERROR(INDEX('因子水準表'!$B$9:$KO$18,7,MATCH(I$4,'因子水準表'!$B$4:$KO$4,0))&amp;"",""))</f>
        <v/>
      </c>
      <c r="BR12" s="26">
        <f>IF(J$4="","",IFERROR(INDEX('因子水準表'!$B$9:$KO$18,7,MATCH(J$4,'因子水準表'!$B$4:$KO$4,0))&amp;"",""))</f>
        <v/>
      </c>
      <c r="BS12" s="26">
        <f>IF(K$4="","",IFERROR(INDEX('因子水準表'!$B$9:$KO$18,7,MATCH(K$4,'因子水準表'!$B$4:$KO$4,0))&amp;"",""))</f>
        <v/>
      </c>
      <c r="BT12" s="26">
        <f>IF(L$4="","",IFERROR(INDEX('因子水準表'!$B$9:$KO$18,7,MATCH(L$4,'因子水準表'!$B$4:$KO$4,0))&amp;"",""))</f>
        <v/>
      </c>
      <c r="BU12" s="26">
        <f>IF(M$4="","",IFERROR(INDEX('因子水準表'!$B$9:$KO$18,7,MATCH(M$4,'因子水準表'!$B$4:$KO$4,0))&amp;"",""))</f>
        <v/>
      </c>
      <c r="BV12" s="26">
        <f>IF(N$4="","",IFERROR(INDEX('因子水準表'!$B$9:$KO$18,7,MATCH(N$4,'因子水準表'!$B$4:$KO$4,0))&amp;"",""))</f>
        <v/>
      </c>
      <c r="BW12" s="26">
        <f>IF(O$4="","",IFERROR(INDEX('因子水準表'!$B$9:$KO$18,7,MATCH(O$4,'因子水準表'!$B$4:$KO$4,0))&amp;"",""))</f>
        <v/>
      </c>
      <c r="BX12" s="26">
        <f>IF(P$4="","",IFERROR(INDEX('因子水準表'!$B$9:$KO$18,7,MATCH(P$4,'因子水準表'!$B$4:$KO$4,0))&amp;"",""))</f>
        <v/>
      </c>
      <c r="BY12" s="26">
        <f>IF(Q$4="","",IFERROR(INDEX('因子水準表'!$B$9:$KO$18,7,MATCH(Q$4,'因子水準表'!$B$4:$KO$4,0))&amp;"",""))</f>
        <v/>
      </c>
      <c r="BZ12" s="26">
        <f>IF(R$4="","",IFERROR(INDEX('因子水準表'!$B$9:$KO$18,7,MATCH(R$4,'因子水準表'!$B$4:$KO$4,0))&amp;"",""))</f>
        <v/>
      </c>
      <c r="CA12" s="26">
        <f>IF(S$4="","",IFERROR(INDEX('因子水準表'!$B$9:$KO$18,7,MATCH(S$4,'因子水準表'!$B$4:$KO$4,0))&amp;"",""))</f>
        <v/>
      </c>
      <c r="CB12" s="26">
        <f>IF(T$4="","",IFERROR(INDEX('因子水準表'!$B$9:$KO$18,7,MATCH(T$4,'因子水準表'!$B$4:$KO$4,0))&amp;"",""))</f>
        <v/>
      </c>
      <c r="CC12" s="26">
        <f>IF(U$4="","",IFERROR(INDEX('因子水準表'!$B$9:$KO$18,7,MATCH(U$4,'因子水準表'!$B$4:$KO$4,0))&amp;"",""))</f>
        <v/>
      </c>
      <c r="CD12" s="26">
        <f>IF(V$4="","",IFERROR(INDEX('因子水準表'!$B$9:$KO$18,7,MATCH(V$4,'因子水準表'!$B$4:$KO$4,0))&amp;"",""))</f>
        <v/>
      </c>
      <c r="CE12" s="26">
        <f>IF(W$4="","",IFERROR(INDEX('因子水準表'!$B$9:$KO$18,7,MATCH(W$4,'因子水準表'!$B$4:$KO$4,0))&amp;"",""))</f>
        <v/>
      </c>
      <c r="CF12" s="26">
        <f>IF(X$4="","",IFERROR(INDEX('因子水準表'!$B$9:$KO$18,7,MATCH(X$4,'因子水準表'!$B$4:$KO$4,0))&amp;"",""))</f>
        <v/>
      </c>
      <c r="CG12" s="26">
        <f>IF(Y$4="","",IFERROR(INDEX('因子水準表'!$B$9:$KO$18,7,MATCH(Y$4,'因子水準表'!$B$4:$KO$4,0))&amp;"",""))</f>
        <v/>
      </c>
      <c r="CH12" s="26">
        <f>IF(Z$4="","",IFERROR(INDEX('因子水準表'!$B$9:$KO$18,7,MATCH(Z$4,'因子水準表'!$B$4:$KO$4,0))&amp;"",""))</f>
        <v/>
      </c>
      <c r="CI12" s="26">
        <f>IF(AA$4="","",IFERROR(INDEX('因子水準表'!$B$9:$KO$18,7,MATCH(AA$4,'因子水準表'!$B$4:$KO$4,0))&amp;"",""))</f>
        <v/>
      </c>
      <c r="CJ12" s="26">
        <f>IF(AB$4="","",IFERROR(INDEX('因子水準表'!$B$9:$KO$18,7,MATCH(AB$4,'因子水準表'!$B$4:$KO$4,0))&amp;"",""))</f>
        <v/>
      </c>
      <c r="CK12" s="26">
        <f>IF(AC$4="","",IFERROR(INDEX('因子水準表'!$B$9:$KO$18,7,MATCH(AC$4,'因子水準表'!$B$4:$KO$4,0))&amp;"",""))</f>
        <v/>
      </c>
      <c r="CL12" s="26">
        <f>IF(AD$4="","",IFERROR(INDEX('因子水準表'!$B$9:$KO$18,7,MATCH(AD$4,'因子水準表'!$B$4:$KO$4,0))&amp;"",""))</f>
        <v/>
      </c>
      <c r="CM12" s="26">
        <f>IF(AE$4="","",IFERROR(INDEX('因子水準表'!$B$9:$KO$18,7,MATCH(AE$4,'因子水準表'!$B$4:$KO$4,0))&amp;"",""))</f>
        <v/>
      </c>
      <c r="CN12" s="26">
        <f>IF(AF$4="","",IFERROR(INDEX('因子水準表'!$B$9:$KO$18,7,MATCH(AF$4,'因子水準表'!$B$4:$KO$4,0))&amp;"",""))</f>
        <v/>
      </c>
      <c r="CO12" s="26">
        <f>IF(AG$4="","",IFERROR(INDEX('因子水準表'!$B$9:$KO$18,7,MATCH(AG$4,'因子水準表'!$B$4:$KO$4,0))&amp;"",""))</f>
        <v/>
      </c>
      <c r="CP12" s="26">
        <f>IF(AH$4="","",IFERROR(INDEX('因子水準表'!$B$9:$KO$18,7,MATCH(AH$4,'因子水準表'!$B$4:$KO$4,0))&amp;"",""))</f>
        <v/>
      </c>
      <c r="CQ12" s="26">
        <f>IF(AI$4="","",IFERROR(INDEX('因子水準表'!$B$9:$KO$18,7,MATCH(AI$4,'因子水準表'!$B$4:$KO$4,0))&amp;"",""))</f>
        <v/>
      </c>
      <c r="CR12" s="26">
        <f>IF(AJ$4="","",IFERROR(INDEX('因子水準表'!$B$9:$KO$18,7,MATCH(AJ$4,'因子水準表'!$B$4:$KO$4,0))&amp;"",""))</f>
        <v/>
      </c>
      <c r="CS12" s="26">
        <f>IF(AK$4="","",IFERROR(INDEX('因子水準表'!$B$9:$KO$18,7,MATCH(AK$4,'因子水準表'!$B$4:$KO$4,0))&amp;"",""))</f>
        <v/>
      </c>
      <c r="CT12" s="26">
        <f>IF(AL$4="","",IFERROR(INDEX('因子水準表'!$B$9:$KO$18,7,MATCH(AL$4,'因子水準表'!$B$4:$KO$4,0))&amp;"",""))</f>
        <v/>
      </c>
      <c r="CU12" s="26">
        <f>IF(AM$4="","",IFERROR(INDEX('因子水準表'!$B$9:$KO$18,7,MATCH(AM$4,'因子水準表'!$B$4:$KO$4,0))&amp;"",""))</f>
        <v/>
      </c>
      <c r="CV12" s="26">
        <f>IF(AN$4="","",IFERROR(INDEX('因子水準表'!$B$9:$KO$18,7,MATCH(AN$4,'因子水準表'!$B$4:$KO$4,0))&amp;"",""))</f>
        <v/>
      </c>
      <c r="CW12" s="26">
        <f>IF(AO$4="","",IFERROR(INDEX('因子水準表'!$B$9:$KO$18,7,MATCH(AO$4,'因子水準表'!$B$4:$KO$4,0))&amp;"",""))</f>
        <v/>
      </c>
      <c r="CX12" s="26">
        <f>IF(AP$4="","",IFERROR(INDEX('因子水準表'!$B$9:$KO$18,7,MATCH(AP$4,'因子水準表'!$B$4:$KO$4,0))&amp;"",""))</f>
        <v/>
      </c>
      <c r="CY12" s="26">
        <f>IF(AQ$4="","",IFERROR(INDEX('因子水準表'!$B$9:$KO$18,7,MATCH(AQ$4,'因子水準表'!$B$4:$KO$4,0))&amp;"",""))</f>
        <v/>
      </c>
      <c r="CZ12" s="26">
        <f>IF(AR$4="","",IFERROR(INDEX('因子水準表'!$B$9:$KO$18,7,MATCH(AR$4,'因子水準表'!$B$4:$KO$4,0))&amp;"",""))</f>
        <v/>
      </c>
      <c r="DA12" s="26">
        <f>IF(AS$4="","",IFERROR(INDEX('因子水準表'!$B$9:$KO$18,7,MATCH(AS$4,'因子水準表'!$B$4:$KO$4,0))&amp;"",""))</f>
        <v/>
      </c>
      <c r="DB12" s="26">
        <f>IF(AT$4="","",IFERROR(INDEX('因子水準表'!$B$9:$KO$18,7,MATCH(AT$4,'因子水準表'!$B$4:$KO$4,0))&amp;"",""))</f>
        <v/>
      </c>
      <c r="DC12" s="26">
        <f>IF(AU$4="","",IFERROR(INDEX('因子水準表'!$B$9:$KO$18,7,MATCH(AU$4,'因子水準表'!$B$4:$KO$4,0))&amp;"",""))</f>
        <v/>
      </c>
      <c r="DD12" s="26">
        <f>IF(AV$4="","",IFERROR(INDEX('因子水準表'!$B$9:$KO$18,7,MATCH(AV$4,'因子水準表'!$B$4:$KO$4,0))&amp;"",""))</f>
        <v/>
      </c>
      <c r="DE12" s="26">
        <f>IF(AW$4="","",IFERROR(INDEX('因子水準表'!$B$9:$KO$18,7,MATCH(AW$4,'因子水準表'!$B$4:$KO$4,0))&amp;"",""))</f>
        <v/>
      </c>
      <c r="DF12" s="26">
        <f>IF(AX$4="","",IFERROR(INDEX('因子水準表'!$B$9:$KO$18,7,MATCH(AX$4,'因子水準表'!$B$4:$KO$4,0))&amp;"",""))</f>
        <v/>
      </c>
      <c r="DG12" s="26">
        <f>IF(AY$4="","",IFERROR(INDEX('因子水準表'!$B$9:$KO$18,7,MATCH(AY$4,'因子水準表'!$B$4:$KO$4,0))&amp;"",""))</f>
        <v/>
      </c>
      <c r="DH12" s="26">
        <f>IF(AZ$4="","",IFERROR(INDEX('因子水準表'!$B$9:$KO$18,7,MATCH(AZ$4,'因子水準表'!$B$4:$KO$4,0))&amp;"",""))</f>
        <v/>
      </c>
      <c r="DI12" s="26">
        <f>IF(BA$4="","",IFERROR(INDEX('因子水準表'!$B$9:$KO$18,7,MATCH(BA$4,'因子水準表'!$B$4:$KO$4,0))&amp;"",""))</f>
        <v/>
      </c>
      <c r="DJ12" s="26">
        <f>IF(BB$4="","",IFERROR(INDEX('因子水準表'!$B$9:$KO$18,7,MATCH(BB$4,'因子水準表'!$B$4:$KO$4,0))&amp;"",""))</f>
        <v/>
      </c>
      <c r="DK12" s="26">
        <f>IF(BC$4="","",IFERROR(INDEX('因子水準表'!$B$9:$KO$18,7,MATCH(BC$4,'因子水準表'!$B$4:$KO$4,0))&amp;"",""))</f>
        <v/>
      </c>
      <c r="DL12" s="26">
        <f>IF(BD$4="","",IFERROR(INDEX('因子水準表'!$B$9:$KO$18,7,MATCH(BD$4,'因子水準表'!$B$4:$KO$4,0))&amp;"",""))</f>
        <v/>
      </c>
      <c r="DM12" s="26">
        <f>IF('因子水準表'!B35="","",'因子水準表'!B35)</f>
        <v/>
      </c>
      <c r="DN12" s="26">
        <f>IF('テスト条件'!A11="","",'テスト条件'!A11)</f>
        <v/>
      </c>
    </row>
    <row r="13">
      <c r="A13" s="27" t="n"/>
      <c r="B13" s="27" t="n"/>
      <c r="C13" s="28">
        <f>IF(A13="","",$B$2)</f>
        <v/>
      </c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  <c r="AA13" s="27" t="n"/>
      <c r="AB13" s="27" t="n"/>
      <c r="AC13" s="27" t="n"/>
      <c r="AD13" s="27" t="n"/>
      <c r="AE13" s="27" t="n"/>
      <c r="AF13" s="27" t="n"/>
      <c r="AG13" s="27" t="n"/>
      <c r="AH13" s="27" t="n"/>
      <c r="AI13" s="27" t="n"/>
      <c r="AJ13" s="27" t="n"/>
      <c r="AK13" s="27" t="n"/>
      <c r="AL13" s="27" t="n"/>
      <c r="AM13" s="27" t="n"/>
      <c r="AN13" s="27" t="n"/>
      <c r="AO13" s="27" t="n"/>
      <c r="AP13" s="27" t="n"/>
      <c r="AQ13" s="27" t="n"/>
      <c r="AR13" s="27" t="n"/>
      <c r="AS13" s="27" t="n"/>
      <c r="AT13" s="27" t="n"/>
      <c r="AU13" s="27" t="n"/>
      <c r="AV13" s="27" t="n"/>
      <c r="AW13" s="27" t="n"/>
      <c r="AX13" s="27" t="n"/>
      <c r="AY13" s="27" t="n"/>
      <c r="AZ13" s="27" t="n"/>
      <c r="BA13" s="27" t="n"/>
      <c r="BB13" s="27" t="n"/>
      <c r="BC13" s="27" t="n"/>
      <c r="BD13" s="27" t="n"/>
      <c r="BE13" s="27" t="n"/>
      <c r="BF13" s="27" t="n"/>
      <c r="BG13" s="27" t="n"/>
      <c r="BH13" s="27" t="n"/>
      <c r="BI13" s="29" t="n"/>
      <c r="BJ13" s="27" t="n"/>
      <c r="BK13" s="27" t="n"/>
      <c r="BL13" s="27" t="n"/>
      <c r="BM13" s="27" t="n"/>
      <c r="BO13" s="26">
        <f>IF(G$4="","",IFERROR(INDEX('因子水準表'!$B$9:$KO$18,8,MATCH(G$4,'因子水準表'!$B$4:$KO$4,0))&amp;"",""))</f>
        <v/>
      </c>
      <c r="BP13" s="26">
        <f>IF(H$4="","",IFERROR(INDEX('因子水準表'!$B$9:$KO$18,8,MATCH(H$4,'因子水準表'!$B$4:$KO$4,0))&amp;"",""))</f>
        <v/>
      </c>
      <c r="BQ13" s="26">
        <f>IF(I$4="","",IFERROR(INDEX('因子水準表'!$B$9:$KO$18,8,MATCH(I$4,'因子水準表'!$B$4:$KO$4,0))&amp;"",""))</f>
        <v/>
      </c>
      <c r="BR13" s="26">
        <f>IF(J$4="","",IFERROR(INDEX('因子水準表'!$B$9:$KO$18,8,MATCH(J$4,'因子水準表'!$B$4:$KO$4,0))&amp;"",""))</f>
        <v/>
      </c>
      <c r="BS13" s="26">
        <f>IF(K$4="","",IFERROR(INDEX('因子水準表'!$B$9:$KO$18,8,MATCH(K$4,'因子水準表'!$B$4:$KO$4,0))&amp;"",""))</f>
        <v/>
      </c>
      <c r="BT13" s="26">
        <f>IF(L$4="","",IFERROR(INDEX('因子水準表'!$B$9:$KO$18,8,MATCH(L$4,'因子水準表'!$B$4:$KO$4,0))&amp;"",""))</f>
        <v/>
      </c>
      <c r="BU13" s="26">
        <f>IF(M$4="","",IFERROR(INDEX('因子水準表'!$B$9:$KO$18,8,MATCH(M$4,'因子水準表'!$B$4:$KO$4,0))&amp;"",""))</f>
        <v/>
      </c>
      <c r="BV13" s="26">
        <f>IF(N$4="","",IFERROR(INDEX('因子水準表'!$B$9:$KO$18,8,MATCH(N$4,'因子水準表'!$B$4:$KO$4,0))&amp;"",""))</f>
        <v/>
      </c>
      <c r="BW13" s="26">
        <f>IF(O$4="","",IFERROR(INDEX('因子水準表'!$B$9:$KO$18,8,MATCH(O$4,'因子水準表'!$B$4:$KO$4,0))&amp;"",""))</f>
        <v/>
      </c>
      <c r="BX13" s="26">
        <f>IF(P$4="","",IFERROR(INDEX('因子水準表'!$B$9:$KO$18,8,MATCH(P$4,'因子水準表'!$B$4:$KO$4,0))&amp;"",""))</f>
        <v/>
      </c>
      <c r="BY13" s="26">
        <f>IF(Q$4="","",IFERROR(INDEX('因子水準表'!$B$9:$KO$18,8,MATCH(Q$4,'因子水準表'!$B$4:$KO$4,0))&amp;"",""))</f>
        <v/>
      </c>
      <c r="BZ13" s="26">
        <f>IF(R$4="","",IFERROR(INDEX('因子水準表'!$B$9:$KO$18,8,MATCH(R$4,'因子水準表'!$B$4:$KO$4,0))&amp;"",""))</f>
        <v/>
      </c>
      <c r="CA13" s="26">
        <f>IF(S$4="","",IFERROR(INDEX('因子水準表'!$B$9:$KO$18,8,MATCH(S$4,'因子水準表'!$B$4:$KO$4,0))&amp;"",""))</f>
        <v/>
      </c>
      <c r="CB13" s="26">
        <f>IF(T$4="","",IFERROR(INDEX('因子水準表'!$B$9:$KO$18,8,MATCH(T$4,'因子水準表'!$B$4:$KO$4,0))&amp;"",""))</f>
        <v/>
      </c>
      <c r="CC13" s="26">
        <f>IF(U$4="","",IFERROR(INDEX('因子水準表'!$B$9:$KO$18,8,MATCH(U$4,'因子水準表'!$B$4:$KO$4,0))&amp;"",""))</f>
        <v/>
      </c>
      <c r="CD13" s="26">
        <f>IF(V$4="","",IFERROR(INDEX('因子水準表'!$B$9:$KO$18,8,MATCH(V$4,'因子水準表'!$B$4:$KO$4,0))&amp;"",""))</f>
        <v/>
      </c>
      <c r="CE13" s="26">
        <f>IF(W$4="","",IFERROR(INDEX('因子水準表'!$B$9:$KO$18,8,MATCH(W$4,'因子水準表'!$B$4:$KO$4,0))&amp;"",""))</f>
        <v/>
      </c>
      <c r="CF13" s="26">
        <f>IF(X$4="","",IFERROR(INDEX('因子水準表'!$B$9:$KO$18,8,MATCH(X$4,'因子水準表'!$B$4:$KO$4,0))&amp;"",""))</f>
        <v/>
      </c>
      <c r="CG13" s="26">
        <f>IF(Y$4="","",IFERROR(INDEX('因子水準表'!$B$9:$KO$18,8,MATCH(Y$4,'因子水準表'!$B$4:$KO$4,0))&amp;"",""))</f>
        <v/>
      </c>
      <c r="CH13" s="26">
        <f>IF(Z$4="","",IFERROR(INDEX('因子水準表'!$B$9:$KO$18,8,MATCH(Z$4,'因子水準表'!$B$4:$KO$4,0))&amp;"",""))</f>
        <v/>
      </c>
      <c r="CI13" s="26">
        <f>IF(AA$4="","",IFERROR(INDEX('因子水準表'!$B$9:$KO$18,8,MATCH(AA$4,'因子水準表'!$B$4:$KO$4,0))&amp;"",""))</f>
        <v/>
      </c>
      <c r="CJ13" s="26">
        <f>IF(AB$4="","",IFERROR(INDEX('因子水準表'!$B$9:$KO$18,8,MATCH(AB$4,'因子水準表'!$B$4:$KO$4,0))&amp;"",""))</f>
        <v/>
      </c>
      <c r="CK13" s="26">
        <f>IF(AC$4="","",IFERROR(INDEX('因子水準表'!$B$9:$KO$18,8,MATCH(AC$4,'因子水準表'!$B$4:$KO$4,0))&amp;"",""))</f>
        <v/>
      </c>
      <c r="CL13" s="26">
        <f>IF(AD$4="","",IFERROR(INDEX('因子水準表'!$B$9:$KO$18,8,MATCH(AD$4,'因子水準表'!$B$4:$KO$4,0))&amp;"",""))</f>
        <v/>
      </c>
      <c r="CM13" s="26">
        <f>IF(AE$4="","",IFERROR(INDEX('因子水準表'!$B$9:$KO$18,8,MATCH(AE$4,'因子水準表'!$B$4:$KO$4,0))&amp;"",""))</f>
        <v/>
      </c>
      <c r="CN13" s="26">
        <f>IF(AF$4="","",IFERROR(INDEX('因子水準表'!$B$9:$KO$18,8,MATCH(AF$4,'因子水準表'!$B$4:$KO$4,0))&amp;"",""))</f>
        <v/>
      </c>
      <c r="CO13" s="26">
        <f>IF(AG$4="","",IFERROR(INDEX('因子水準表'!$B$9:$KO$18,8,MATCH(AG$4,'因子水準表'!$B$4:$KO$4,0))&amp;"",""))</f>
        <v/>
      </c>
      <c r="CP13" s="26">
        <f>IF(AH$4="","",IFERROR(INDEX('因子水準表'!$B$9:$KO$18,8,MATCH(AH$4,'因子水準表'!$B$4:$KO$4,0))&amp;"",""))</f>
        <v/>
      </c>
      <c r="CQ13" s="26">
        <f>IF(AI$4="","",IFERROR(INDEX('因子水準表'!$B$9:$KO$18,8,MATCH(AI$4,'因子水準表'!$B$4:$KO$4,0))&amp;"",""))</f>
        <v/>
      </c>
      <c r="CR13" s="26">
        <f>IF(AJ$4="","",IFERROR(INDEX('因子水準表'!$B$9:$KO$18,8,MATCH(AJ$4,'因子水準表'!$B$4:$KO$4,0))&amp;"",""))</f>
        <v/>
      </c>
      <c r="CS13" s="26">
        <f>IF(AK$4="","",IFERROR(INDEX('因子水準表'!$B$9:$KO$18,8,MATCH(AK$4,'因子水準表'!$B$4:$KO$4,0))&amp;"",""))</f>
        <v/>
      </c>
      <c r="CT13" s="26">
        <f>IF(AL$4="","",IFERROR(INDEX('因子水準表'!$B$9:$KO$18,8,MATCH(AL$4,'因子水準表'!$B$4:$KO$4,0))&amp;"",""))</f>
        <v/>
      </c>
      <c r="CU13" s="26">
        <f>IF(AM$4="","",IFERROR(INDEX('因子水準表'!$B$9:$KO$18,8,MATCH(AM$4,'因子水準表'!$B$4:$KO$4,0))&amp;"",""))</f>
        <v/>
      </c>
      <c r="CV13" s="26">
        <f>IF(AN$4="","",IFERROR(INDEX('因子水準表'!$B$9:$KO$18,8,MATCH(AN$4,'因子水準表'!$B$4:$KO$4,0))&amp;"",""))</f>
        <v/>
      </c>
      <c r="CW13" s="26">
        <f>IF(AO$4="","",IFERROR(INDEX('因子水準表'!$B$9:$KO$18,8,MATCH(AO$4,'因子水準表'!$B$4:$KO$4,0))&amp;"",""))</f>
        <v/>
      </c>
      <c r="CX13" s="26">
        <f>IF(AP$4="","",IFERROR(INDEX('因子水準表'!$B$9:$KO$18,8,MATCH(AP$4,'因子水準表'!$B$4:$KO$4,0))&amp;"",""))</f>
        <v/>
      </c>
      <c r="CY13" s="26">
        <f>IF(AQ$4="","",IFERROR(INDEX('因子水準表'!$B$9:$KO$18,8,MATCH(AQ$4,'因子水準表'!$B$4:$KO$4,0))&amp;"",""))</f>
        <v/>
      </c>
      <c r="CZ13" s="26">
        <f>IF(AR$4="","",IFERROR(INDEX('因子水準表'!$B$9:$KO$18,8,MATCH(AR$4,'因子水準表'!$B$4:$KO$4,0))&amp;"",""))</f>
        <v/>
      </c>
      <c r="DA13" s="26">
        <f>IF(AS$4="","",IFERROR(INDEX('因子水準表'!$B$9:$KO$18,8,MATCH(AS$4,'因子水準表'!$B$4:$KO$4,0))&amp;"",""))</f>
        <v/>
      </c>
      <c r="DB13" s="26">
        <f>IF(AT$4="","",IFERROR(INDEX('因子水準表'!$B$9:$KO$18,8,MATCH(AT$4,'因子水準表'!$B$4:$KO$4,0))&amp;"",""))</f>
        <v/>
      </c>
      <c r="DC13" s="26">
        <f>IF(AU$4="","",IFERROR(INDEX('因子水準表'!$B$9:$KO$18,8,MATCH(AU$4,'因子水準表'!$B$4:$KO$4,0))&amp;"",""))</f>
        <v/>
      </c>
      <c r="DD13" s="26">
        <f>IF(AV$4="","",IFERROR(INDEX('因子水準表'!$B$9:$KO$18,8,MATCH(AV$4,'因子水準表'!$B$4:$KO$4,0))&amp;"",""))</f>
        <v/>
      </c>
      <c r="DE13" s="26">
        <f>IF(AW$4="","",IFERROR(INDEX('因子水準表'!$B$9:$KO$18,8,MATCH(AW$4,'因子水準表'!$B$4:$KO$4,0))&amp;"",""))</f>
        <v/>
      </c>
      <c r="DF13" s="26">
        <f>IF(AX$4="","",IFERROR(INDEX('因子水準表'!$B$9:$KO$18,8,MATCH(AX$4,'因子水準表'!$B$4:$KO$4,0))&amp;"",""))</f>
        <v/>
      </c>
      <c r="DG13" s="26">
        <f>IF(AY$4="","",IFERROR(INDEX('因子水準表'!$B$9:$KO$18,8,MATCH(AY$4,'因子水準表'!$B$4:$KO$4,0))&amp;"",""))</f>
        <v/>
      </c>
      <c r="DH13" s="26">
        <f>IF(AZ$4="","",IFERROR(INDEX('因子水準表'!$B$9:$KO$18,8,MATCH(AZ$4,'因子水準表'!$B$4:$KO$4,0))&amp;"",""))</f>
        <v/>
      </c>
      <c r="DI13" s="26">
        <f>IF(BA$4="","",IFERROR(INDEX('因子水準表'!$B$9:$KO$18,8,MATCH(BA$4,'因子水準表'!$B$4:$KO$4,0))&amp;"",""))</f>
        <v/>
      </c>
      <c r="DJ13" s="26">
        <f>IF(BB$4="","",IFERROR(INDEX('因子水準表'!$B$9:$KO$18,8,MATCH(BB$4,'因子水準表'!$B$4:$KO$4,0))&amp;"",""))</f>
        <v/>
      </c>
      <c r="DK13" s="26">
        <f>IF(BC$4="","",IFERROR(INDEX('因子水準表'!$B$9:$KO$18,8,MATCH(BC$4,'因子水準表'!$B$4:$KO$4,0))&amp;"",""))</f>
        <v/>
      </c>
      <c r="DL13" s="26">
        <f>IF(BD$4="","",IFERROR(INDEX('因子水準表'!$B$9:$KO$18,8,MATCH(BD$4,'因子水準表'!$B$4:$KO$4,0))&amp;"",""))</f>
        <v/>
      </c>
      <c r="DM13" s="26">
        <f>IF('因子水準表'!B36="","",'因子水準表'!B36)</f>
        <v/>
      </c>
      <c r="DN13" s="26">
        <f>IF('テスト条件'!A12="","",'テスト条件'!A12)</f>
        <v/>
      </c>
    </row>
    <row r="14">
      <c r="A14" s="27" t="n"/>
      <c r="B14" s="27" t="n"/>
      <c r="C14" s="28">
        <f>IF(A14="","",$B$2)</f>
        <v/>
      </c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7" t="n"/>
      <c r="AO14" s="27" t="n"/>
      <c r="AP14" s="27" t="n"/>
      <c r="AQ14" s="27" t="n"/>
      <c r="AR14" s="27" t="n"/>
      <c r="AS14" s="27" t="n"/>
      <c r="AT14" s="27" t="n"/>
      <c r="AU14" s="27" t="n"/>
      <c r="AV14" s="27" t="n"/>
      <c r="AW14" s="27" t="n"/>
      <c r="AX14" s="27" t="n"/>
      <c r="AY14" s="27" t="n"/>
      <c r="AZ14" s="27" t="n"/>
      <c r="BA14" s="27" t="n"/>
      <c r="BB14" s="27" t="n"/>
      <c r="BC14" s="27" t="n"/>
      <c r="BD14" s="27" t="n"/>
      <c r="BE14" s="27" t="n"/>
      <c r="BF14" s="27" t="n"/>
      <c r="BG14" s="27" t="n"/>
      <c r="BH14" s="27" t="n"/>
      <c r="BI14" s="29" t="n"/>
      <c r="BJ14" s="27" t="n"/>
      <c r="BK14" s="27" t="n"/>
      <c r="BL14" s="27" t="n"/>
      <c r="BM14" s="27" t="n"/>
      <c r="BO14" s="26">
        <f>IF(G$4="","",IFERROR(INDEX('因子水準表'!$B$9:$KO$18,9,MATCH(G$4,'因子水準表'!$B$4:$KO$4,0))&amp;"",""))</f>
        <v/>
      </c>
      <c r="BP14" s="26">
        <f>IF(H$4="","",IFERROR(INDEX('因子水準表'!$B$9:$KO$18,9,MATCH(H$4,'因子水準表'!$B$4:$KO$4,0))&amp;"",""))</f>
        <v/>
      </c>
      <c r="BQ14" s="26">
        <f>IF(I$4="","",IFERROR(INDEX('因子水準表'!$B$9:$KO$18,9,MATCH(I$4,'因子水準表'!$B$4:$KO$4,0))&amp;"",""))</f>
        <v/>
      </c>
      <c r="BR14" s="26">
        <f>IF(J$4="","",IFERROR(INDEX('因子水準表'!$B$9:$KO$18,9,MATCH(J$4,'因子水準表'!$B$4:$KO$4,0))&amp;"",""))</f>
        <v/>
      </c>
      <c r="BS14" s="26">
        <f>IF(K$4="","",IFERROR(INDEX('因子水準表'!$B$9:$KO$18,9,MATCH(K$4,'因子水準表'!$B$4:$KO$4,0))&amp;"",""))</f>
        <v/>
      </c>
      <c r="BT14" s="26">
        <f>IF(L$4="","",IFERROR(INDEX('因子水準表'!$B$9:$KO$18,9,MATCH(L$4,'因子水準表'!$B$4:$KO$4,0))&amp;"",""))</f>
        <v/>
      </c>
      <c r="BU14" s="26">
        <f>IF(M$4="","",IFERROR(INDEX('因子水準表'!$B$9:$KO$18,9,MATCH(M$4,'因子水準表'!$B$4:$KO$4,0))&amp;"",""))</f>
        <v/>
      </c>
      <c r="BV14" s="26">
        <f>IF(N$4="","",IFERROR(INDEX('因子水準表'!$B$9:$KO$18,9,MATCH(N$4,'因子水準表'!$B$4:$KO$4,0))&amp;"",""))</f>
        <v/>
      </c>
      <c r="BW14" s="26">
        <f>IF(O$4="","",IFERROR(INDEX('因子水準表'!$B$9:$KO$18,9,MATCH(O$4,'因子水準表'!$B$4:$KO$4,0))&amp;"",""))</f>
        <v/>
      </c>
      <c r="BX14" s="26">
        <f>IF(P$4="","",IFERROR(INDEX('因子水準表'!$B$9:$KO$18,9,MATCH(P$4,'因子水準表'!$B$4:$KO$4,0))&amp;"",""))</f>
        <v/>
      </c>
      <c r="BY14" s="26">
        <f>IF(Q$4="","",IFERROR(INDEX('因子水準表'!$B$9:$KO$18,9,MATCH(Q$4,'因子水準表'!$B$4:$KO$4,0))&amp;"",""))</f>
        <v/>
      </c>
      <c r="BZ14" s="26">
        <f>IF(R$4="","",IFERROR(INDEX('因子水準表'!$B$9:$KO$18,9,MATCH(R$4,'因子水準表'!$B$4:$KO$4,0))&amp;"",""))</f>
        <v/>
      </c>
      <c r="CA14" s="26">
        <f>IF(S$4="","",IFERROR(INDEX('因子水準表'!$B$9:$KO$18,9,MATCH(S$4,'因子水準表'!$B$4:$KO$4,0))&amp;"",""))</f>
        <v/>
      </c>
      <c r="CB14" s="26">
        <f>IF(T$4="","",IFERROR(INDEX('因子水準表'!$B$9:$KO$18,9,MATCH(T$4,'因子水準表'!$B$4:$KO$4,0))&amp;"",""))</f>
        <v/>
      </c>
      <c r="CC14" s="26">
        <f>IF(U$4="","",IFERROR(INDEX('因子水準表'!$B$9:$KO$18,9,MATCH(U$4,'因子水準表'!$B$4:$KO$4,0))&amp;"",""))</f>
        <v/>
      </c>
      <c r="CD14" s="26">
        <f>IF(V$4="","",IFERROR(INDEX('因子水準表'!$B$9:$KO$18,9,MATCH(V$4,'因子水準表'!$B$4:$KO$4,0))&amp;"",""))</f>
        <v/>
      </c>
      <c r="CE14" s="26">
        <f>IF(W$4="","",IFERROR(INDEX('因子水準表'!$B$9:$KO$18,9,MATCH(W$4,'因子水準表'!$B$4:$KO$4,0))&amp;"",""))</f>
        <v/>
      </c>
      <c r="CF14" s="26">
        <f>IF(X$4="","",IFERROR(INDEX('因子水準表'!$B$9:$KO$18,9,MATCH(X$4,'因子水準表'!$B$4:$KO$4,0))&amp;"",""))</f>
        <v/>
      </c>
      <c r="CG14" s="26">
        <f>IF(Y$4="","",IFERROR(INDEX('因子水準表'!$B$9:$KO$18,9,MATCH(Y$4,'因子水準表'!$B$4:$KO$4,0))&amp;"",""))</f>
        <v/>
      </c>
      <c r="CH14" s="26">
        <f>IF(Z$4="","",IFERROR(INDEX('因子水準表'!$B$9:$KO$18,9,MATCH(Z$4,'因子水準表'!$B$4:$KO$4,0))&amp;"",""))</f>
        <v/>
      </c>
      <c r="CI14" s="26">
        <f>IF(AA$4="","",IFERROR(INDEX('因子水準表'!$B$9:$KO$18,9,MATCH(AA$4,'因子水準表'!$B$4:$KO$4,0))&amp;"",""))</f>
        <v/>
      </c>
      <c r="CJ14" s="26">
        <f>IF(AB$4="","",IFERROR(INDEX('因子水準表'!$B$9:$KO$18,9,MATCH(AB$4,'因子水準表'!$B$4:$KO$4,0))&amp;"",""))</f>
        <v/>
      </c>
      <c r="CK14" s="26">
        <f>IF(AC$4="","",IFERROR(INDEX('因子水準表'!$B$9:$KO$18,9,MATCH(AC$4,'因子水準表'!$B$4:$KO$4,0))&amp;"",""))</f>
        <v/>
      </c>
      <c r="CL14" s="26">
        <f>IF(AD$4="","",IFERROR(INDEX('因子水準表'!$B$9:$KO$18,9,MATCH(AD$4,'因子水準表'!$B$4:$KO$4,0))&amp;"",""))</f>
        <v/>
      </c>
      <c r="CM14" s="26">
        <f>IF(AE$4="","",IFERROR(INDEX('因子水準表'!$B$9:$KO$18,9,MATCH(AE$4,'因子水準表'!$B$4:$KO$4,0))&amp;"",""))</f>
        <v/>
      </c>
      <c r="CN14" s="26">
        <f>IF(AF$4="","",IFERROR(INDEX('因子水準表'!$B$9:$KO$18,9,MATCH(AF$4,'因子水準表'!$B$4:$KO$4,0))&amp;"",""))</f>
        <v/>
      </c>
      <c r="CO14" s="26">
        <f>IF(AG$4="","",IFERROR(INDEX('因子水準表'!$B$9:$KO$18,9,MATCH(AG$4,'因子水準表'!$B$4:$KO$4,0))&amp;"",""))</f>
        <v/>
      </c>
      <c r="CP14" s="26">
        <f>IF(AH$4="","",IFERROR(INDEX('因子水準表'!$B$9:$KO$18,9,MATCH(AH$4,'因子水準表'!$B$4:$KO$4,0))&amp;"",""))</f>
        <v/>
      </c>
      <c r="CQ14" s="26">
        <f>IF(AI$4="","",IFERROR(INDEX('因子水準表'!$B$9:$KO$18,9,MATCH(AI$4,'因子水準表'!$B$4:$KO$4,0))&amp;"",""))</f>
        <v/>
      </c>
      <c r="CR14" s="26">
        <f>IF(AJ$4="","",IFERROR(INDEX('因子水準表'!$B$9:$KO$18,9,MATCH(AJ$4,'因子水準表'!$B$4:$KO$4,0))&amp;"",""))</f>
        <v/>
      </c>
      <c r="CS14" s="26">
        <f>IF(AK$4="","",IFERROR(INDEX('因子水準表'!$B$9:$KO$18,9,MATCH(AK$4,'因子水準表'!$B$4:$KO$4,0))&amp;"",""))</f>
        <v/>
      </c>
      <c r="CT14" s="26">
        <f>IF(AL$4="","",IFERROR(INDEX('因子水準表'!$B$9:$KO$18,9,MATCH(AL$4,'因子水準表'!$B$4:$KO$4,0))&amp;"",""))</f>
        <v/>
      </c>
      <c r="CU14" s="26">
        <f>IF(AM$4="","",IFERROR(INDEX('因子水準表'!$B$9:$KO$18,9,MATCH(AM$4,'因子水準表'!$B$4:$KO$4,0))&amp;"",""))</f>
        <v/>
      </c>
      <c r="CV14" s="26">
        <f>IF(AN$4="","",IFERROR(INDEX('因子水準表'!$B$9:$KO$18,9,MATCH(AN$4,'因子水準表'!$B$4:$KO$4,0))&amp;"",""))</f>
        <v/>
      </c>
      <c r="CW14" s="26">
        <f>IF(AO$4="","",IFERROR(INDEX('因子水準表'!$B$9:$KO$18,9,MATCH(AO$4,'因子水準表'!$B$4:$KO$4,0))&amp;"",""))</f>
        <v/>
      </c>
      <c r="CX14" s="26">
        <f>IF(AP$4="","",IFERROR(INDEX('因子水準表'!$B$9:$KO$18,9,MATCH(AP$4,'因子水準表'!$B$4:$KO$4,0))&amp;"",""))</f>
        <v/>
      </c>
      <c r="CY14" s="26">
        <f>IF(AQ$4="","",IFERROR(INDEX('因子水準表'!$B$9:$KO$18,9,MATCH(AQ$4,'因子水準表'!$B$4:$KO$4,0))&amp;"",""))</f>
        <v/>
      </c>
      <c r="CZ14" s="26">
        <f>IF(AR$4="","",IFERROR(INDEX('因子水準表'!$B$9:$KO$18,9,MATCH(AR$4,'因子水準表'!$B$4:$KO$4,0))&amp;"",""))</f>
        <v/>
      </c>
      <c r="DA14" s="26">
        <f>IF(AS$4="","",IFERROR(INDEX('因子水準表'!$B$9:$KO$18,9,MATCH(AS$4,'因子水準表'!$B$4:$KO$4,0))&amp;"",""))</f>
        <v/>
      </c>
      <c r="DB14" s="26">
        <f>IF(AT$4="","",IFERROR(INDEX('因子水準表'!$B$9:$KO$18,9,MATCH(AT$4,'因子水準表'!$B$4:$KO$4,0))&amp;"",""))</f>
        <v/>
      </c>
      <c r="DC14" s="26">
        <f>IF(AU$4="","",IFERROR(INDEX('因子水準表'!$B$9:$KO$18,9,MATCH(AU$4,'因子水準表'!$B$4:$KO$4,0))&amp;"",""))</f>
        <v/>
      </c>
      <c r="DD14" s="26">
        <f>IF(AV$4="","",IFERROR(INDEX('因子水準表'!$B$9:$KO$18,9,MATCH(AV$4,'因子水準表'!$B$4:$KO$4,0))&amp;"",""))</f>
        <v/>
      </c>
      <c r="DE14" s="26">
        <f>IF(AW$4="","",IFERROR(INDEX('因子水準表'!$B$9:$KO$18,9,MATCH(AW$4,'因子水準表'!$B$4:$KO$4,0))&amp;"",""))</f>
        <v/>
      </c>
      <c r="DF14" s="26">
        <f>IF(AX$4="","",IFERROR(INDEX('因子水準表'!$B$9:$KO$18,9,MATCH(AX$4,'因子水準表'!$B$4:$KO$4,0))&amp;"",""))</f>
        <v/>
      </c>
      <c r="DG14" s="26">
        <f>IF(AY$4="","",IFERROR(INDEX('因子水準表'!$B$9:$KO$18,9,MATCH(AY$4,'因子水準表'!$B$4:$KO$4,0))&amp;"",""))</f>
        <v/>
      </c>
      <c r="DH14" s="26">
        <f>IF(AZ$4="","",IFERROR(INDEX('因子水準表'!$B$9:$KO$18,9,MATCH(AZ$4,'因子水準表'!$B$4:$KO$4,0))&amp;"",""))</f>
        <v/>
      </c>
      <c r="DI14" s="26">
        <f>IF(BA$4="","",IFERROR(INDEX('因子水準表'!$B$9:$KO$18,9,MATCH(BA$4,'因子水準表'!$B$4:$KO$4,0))&amp;"",""))</f>
        <v/>
      </c>
      <c r="DJ14" s="26">
        <f>IF(BB$4="","",IFERROR(INDEX('因子水準表'!$B$9:$KO$18,9,MATCH(BB$4,'因子水準表'!$B$4:$KO$4,0))&amp;"",""))</f>
        <v/>
      </c>
      <c r="DK14" s="26">
        <f>IF(BC$4="","",IFERROR(INDEX('因子水準表'!$B$9:$KO$18,9,MATCH(BC$4,'因子水準表'!$B$4:$KO$4,0))&amp;"",""))</f>
        <v/>
      </c>
      <c r="DL14" s="26">
        <f>IF(BD$4="","",IFERROR(INDEX('因子水準表'!$B$9:$KO$18,9,MATCH(BD$4,'因子水準表'!$B$4:$KO$4,0))&amp;"",""))</f>
        <v/>
      </c>
      <c r="DM14" s="26">
        <f>IF('因子水準表'!B37="","",'因子水準表'!B37)</f>
        <v/>
      </c>
      <c r="DN14" s="26">
        <f>IF('テスト条件'!A13="","",'テスト条件'!A13)</f>
        <v/>
      </c>
    </row>
    <row r="15">
      <c r="A15" s="27" t="n"/>
      <c r="B15" s="27" t="n"/>
      <c r="C15" s="28">
        <f>IF(A15="","",$B$2)</f>
        <v/>
      </c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  <c r="AI15" s="27" t="n"/>
      <c r="AJ15" s="27" t="n"/>
      <c r="AK15" s="27" t="n"/>
      <c r="AL15" s="27" t="n"/>
      <c r="AM15" s="27" t="n"/>
      <c r="AN15" s="27" t="n"/>
      <c r="AO15" s="27" t="n"/>
      <c r="AP15" s="27" t="n"/>
      <c r="AQ15" s="27" t="n"/>
      <c r="AR15" s="27" t="n"/>
      <c r="AS15" s="27" t="n"/>
      <c r="AT15" s="27" t="n"/>
      <c r="AU15" s="27" t="n"/>
      <c r="AV15" s="27" t="n"/>
      <c r="AW15" s="27" t="n"/>
      <c r="AX15" s="27" t="n"/>
      <c r="AY15" s="27" t="n"/>
      <c r="AZ15" s="27" t="n"/>
      <c r="BA15" s="27" t="n"/>
      <c r="BB15" s="27" t="n"/>
      <c r="BC15" s="27" t="n"/>
      <c r="BD15" s="27" t="n"/>
      <c r="BE15" s="27" t="n"/>
      <c r="BF15" s="27" t="n"/>
      <c r="BG15" s="27" t="n"/>
      <c r="BH15" s="27" t="n"/>
      <c r="BI15" s="29" t="n"/>
      <c r="BJ15" s="27" t="n"/>
      <c r="BK15" s="27" t="n"/>
      <c r="BL15" s="27" t="n"/>
      <c r="BM15" s="27" t="n"/>
      <c r="BO15" s="26">
        <f>IF(G$4="","",IFERROR(INDEX('因子水準表'!$B$9:$KO$18,10,MATCH(G$4,'因子水準表'!$B$4:$KO$4,0))&amp;"",""))</f>
        <v/>
      </c>
      <c r="BP15" s="26">
        <f>IF(H$4="","",IFERROR(INDEX('因子水準表'!$B$9:$KO$18,10,MATCH(H$4,'因子水準表'!$B$4:$KO$4,0))&amp;"",""))</f>
        <v/>
      </c>
      <c r="BQ15" s="26">
        <f>IF(I$4="","",IFERROR(INDEX('因子水準表'!$B$9:$KO$18,10,MATCH(I$4,'因子水準表'!$B$4:$KO$4,0))&amp;"",""))</f>
        <v/>
      </c>
      <c r="BR15" s="26">
        <f>IF(J$4="","",IFERROR(INDEX('因子水準表'!$B$9:$KO$18,10,MATCH(J$4,'因子水準表'!$B$4:$KO$4,0))&amp;"",""))</f>
        <v/>
      </c>
      <c r="BS15" s="26">
        <f>IF(K$4="","",IFERROR(INDEX('因子水準表'!$B$9:$KO$18,10,MATCH(K$4,'因子水準表'!$B$4:$KO$4,0))&amp;"",""))</f>
        <v/>
      </c>
      <c r="BT15" s="26">
        <f>IF(L$4="","",IFERROR(INDEX('因子水準表'!$B$9:$KO$18,10,MATCH(L$4,'因子水準表'!$B$4:$KO$4,0))&amp;"",""))</f>
        <v/>
      </c>
      <c r="BU15" s="26">
        <f>IF(M$4="","",IFERROR(INDEX('因子水準表'!$B$9:$KO$18,10,MATCH(M$4,'因子水準表'!$B$4:$KO$4,0))&amp;"",""))</f>
        <v/>
      </c>
      <c r="BV15" s="26">
        <f>IF(N$4="","",IFERROR(INDEX('因子水準表'!$B$9:$KO$18,10,MATCH(N$4,'因子水準表'!$B$4:$KO$4,0))&amp;"",""))</f>
        <v/>
      </c>
      <c r="BW15" s="26">
        <f>IF(O$4="","",IFERROR(INDEX('因子水準表'!$B$9:$KO$18,10,MATCH(O$4,'因子水準表'!$B$4:$KO$4,0))&amp;"",""))</f>
        <v/>
      </c>
      <c r="BX15" s="26">
        <f>IF(P$4="","",IFERROR(INDEX('因子水準表'!$B$9:$KO$18,10,MATCH(P$4,'因子水準表'!$B$4:$KO$4,0))&amp;"",""))</f>
        <v/>
      </c>
      <c r="BY15" s="26">
        <f>IF(Q$4="","",IFERROR(INDEX('因子水準表'!$B$9:$KO$18,10,MATCH(Q$4,'因子水準表'!$B$4:$KO$4,0))&amp;"",""))</f>
        <v/>
      </c>
      <c r="BZ15" s="26">
        <f>IF(R$4="","",IFERROR(INDEX('因子水準表'!$B$9:$KO$18,10,MATCH(R$4,'因子水準表'!$B$4:$KO$4,0))&amp;"",""))</f>
        <v/>
      </c>
      <c r="CA15" s="26">
        <f>IF(S$4="","",IFERROR(INDEX('因子水準表'!$B$9:$KO$18,10,MATCH(S$4,'因子水準表'!$B$4:$KO$4,0))&amp;"",""))</f>
        <v/>
      </c>
      <c r="CB15" s="26">
        <f>IF(T$4="","",IFERROR(INDEX('因子水準表'!$B$9:$KO$18,10,MATCH(T$4,'因子水準表'!$B$4:$KO$4,0))&amp;"",""))</f>
        <v/>
      </c>
      <c r="CC15" s="26">
        <f>IF(U$4="","",IFERROR(INDEX('因子水準表'!$B$9:$KO$18,10,MATCH(U$4,'因子水準表'!$B$4:$KO$4,0))&amp;"",""))</f>
        <v/>
      </c>
      <c r="CD15" s="26">
        <f>IF(V$4="","",IFERROR(INDEX('因子水準表'!$B$9:$KO$18,10,MATCH(V$4,'因子水準表'!$B$4:$KO$4,0))&amp;"",""))</f>
        <v/>
      </c>
      <c r="CE15" s="26">
        <f>IF(W$4="","",IFERROR(INDEX('因子水準表'!$B$9:$KO$18,10,MATCH(W$4,'因子水準表'!$B$4:$KO$4,0))&amp;"",""))</f>
        <v/>
      </c>
      <c r="CF15" s="26">
        <f>IF(X$4="","",IFERROR(INDEX('因子水準表'!$B$9:$KO$18,10,MATCH(X$4,'因子水準表'!$B$4:$KO$4,0))&amp;"",""))</f>
        <v/>
      </c>
      <c r="CG15" s="26">
        <f>IF(Y$4="","",IFERROR(INDEX('因子水準表'!$B$9:$KO$18,10,MATCH(Y$4,'因子水準表'!$B$4:$KO$4,0))&amp;"",""))</f>
        <v/>
      </c>
      <c r="CH15" s="26">
        <f>IF(Z$4="","",IFERROR(INDEX('因子水準表'!$B$9:$KO$18,10,MATCH(Z$4,'因子水準表'!$B$4:$KO$4,0))&amp;"",""))</f>
        <v/>
      </c>
      <c r="CI15" s="26">
        <f>IF(AA$4="","",IFERROR(INDEX('因子水準表'!$B$9:$KO$18,10,MATCH(AA$4,'因子水準表'!$B$4:$KO$4,0))&amp;"",""))</f>
        <v/>
      </c>
      <c r="CJ15" s="26">
        <f>IF(AB$4="","",IFERROR(INDEX('因子水準表'!$B$9:$KO$18,10,MATCH(AB$4,'因子水準表'!$B$4:$KO$4,0))&amp;"",""))</f>
        <v/>
      </c>
      <c r="CK15" s="26">
        <f>IF(AC$4="","",IFERROR(INDEX('因子水準表'!$B$9:$KO$18,10,MATCH(AC$4,'因子水準表'!$B$4:$KO$4,0))&amp;"",""))</f>
        <v/>
      </c>
      <c r="CL15" s="26">
        <f>IF(AD$4="","",IFERROR(INDEX('因子水準表'!$B$9:$KO$18,10,MATCH(AD$4,'因子水準表'!$B$4:$KO$4,0))&amp;"",""))</f>
        <v/>
      </c>
      <c r="CM15" s="26">
        <f>IF(AE$4="","",IFERROR(INDEX('因子水準表'!$B$9:$KO$18,10,MATCH(AE$4,'因子水準表'!$B$4:$KO$4,0))&amp;"",""))</f>
        <v/>
      </c>
      <c r="CN15" s="26">
        <f>IF(AF$4="","",IFERROR(INDEX('因子水準表'!$B$9:$KO$18,10,MATCH(AF$4,'因子水準表'!$B$4:$KO$4,0))&amp;"",""))</f>
        <v/>
      </c>
      <c r="CO15" s="26">
        <f>IF(AG$4="","",IFERROR(INDEX('因子水準表'!$B$9:$KO$18,10,MATCH(AG$4,'因子水準表'!$B$4:$KO$4,0))&amp;"",""))</f>
        <v/>
      </c>
      <c r="CP15" s="26">
        <f>IF(AH$4="","",IFERROR(INDEX('因子水準表'!$B$9:$KO$18,10,MATCH(AH$4,'因子水準表'!$B$4:$KO$4,0))&amp;"",""))</f>
        <v/>
      </c>
      <c r="CQ15" s="26">
        <f>IF(AI$4="","",IFERROR(INDEX('因子水準表'!$B$9:$KO$18,10,MATCH(AI$4,'因子水準表'!$B$4:$KO$4,0))&amp;"",""))</f>
        <v/>
      </c>
      <c r="CR15" s="26">
        <f>IF(AJ$4="","",IFERROR(INDEX('因子水準表'!$B$9:$KO$18,10,MATCH(AJ$4,'因子水準表'!$B$4:$KO$4,0))&amp;"",""))</f>
        <v/>
      </c>
      <c r="CS15" s="26">
        <f>IF(AK$4="","",IFERROR(INDEX('因子水準表'!$B$9:$KO$18,10,MATCH(AK$4,'因子水準表'!$B$4:$KO$4,0))&amp;"",""))</f>
        <v/>
      </c>
      <c r="CT15" s="26">
        <f>IF(AL$4="","",IFERROR(INDEX('因子水準表'!$B$9:$KO$18,10,MATCH(AL$4,'因子水準表'!$B$4:$KO$4,0))&amp;"",""))</f>
        <v/>
      </c>
      <c r="CU15" s="26">
        <f>IF(AM$4="","",IFERROR(INDEX('因子水準表'!$B$9:$KO$18,10,MATCH(AM$4,'因子水準表'!$B$4:$KO$4,0))&amp;"",""))</f>
        <v/>
      </c>
      <c r="CV15" s="26">
        <f>IF(AN$4="","",IFERROR(INDEX('因子水準表'!$B$9:$KO$18,10,MATCH(AN$4,'因子水準表'!$B$4:$KO$4,0))&amp;"",""))</f>
        <v/>
      </c>
      <c r="CW15" s="26">
        <f>IF(AO$4="","",IFERROR(INDEX('因子水準表'!$B$9:$KO$18,10,MATCH(AO$4,'因子水準表'!$B$4:$KO$4,0))&amp;"",""))</f>
        <v/>
      </c>
      <c r="CX15" s="26">
        <f>IF(AP$4="","",IFERROR(INDEX('因子水準表'!$B$9:$KO$18,10,MATCH(AP$4,'因子水準表'!$B$4:$KO$4,0))&amp;"",""))</f>
        <v/>
      </c>
      <c r="CY15" s="26">
        <f>IF(AQ$4="","",IFERROR(INDEX('因子水準表'!$B$9:$KO$18,10,MATCH(AQ$4,'因子水準表'!$B$4:$KO$4,0))&amp;"",""))</f>
        <v/>
      </c>
      <c r="CZ15" s="26">
        <f>IF(AR$4="","",IFERROR(INDEX('因子水準表'!$B$9:$KO$18,10,MATCH(AR$4,'因子水準表'!$B$4:$KO$4,0))&amp;"",""))</f>
        <v/>
      </c>
      <c r="DA15" s="26">
        <f>IF(AS$4="","",IFERROR(INDEX('因子水準表'!$B$9:$KO$18,10,MATCH(AS$4,'因子水準表'!$B$4:$KO$4,0))&amp;"",""))</f>
        <v/>
      </c>
      <c r="DB15" s="26">
        <f>IF(AT$4="","",IFERROR(INDEX('因子水準表'!$B$9:$KO$18,10,MATCH(AT$4,'因子水準表'!$B$4:$KO$4,0))&amp;"",""))</f>
        <v/>
      </c>
      <c r="DC15" s="26">
        <f>IF(AU$4="","",IFERROR(INDEX('因子水準表'!$B$9:$KO$18,10,MATCH(AU$4,'因子水準表'!$B$4:$KO$4,0))&amp;"",""))</f>
        <v/>
      </c>
      <c r="DD15" s="26">
        <f>IF(AV$4="","",IFERROR(INDEX('因子水準表'!$B$9:$KO$18,10,MATCH(AV$4,'因子水準表'!$B$4:$KO$4,0))&amp;"",""))</f>
        <v/>
      </c>
      <c r="DE15" s="26">
        <f>IF(AW$4="","",IFERROR(INDEX('因子水準表'!$B$9:$KO$18,10,MATCH(AW$4,'因子水準表'!$B$4:$KO$4,0))&amp;"",""))</f>
        <v/>
      </c>
      <c r="DF15" s="26">
        <f>IF(AX$4="","",IFERROR(INDEX('因子水準表'!$B$9:$KO$18,10,MATCH(AX$4,'因子水準表'!$B$4:$KO$4,0))&amp;"",""))</f>
        <v/>
      </c>
      <c r="DG15" s="26">
        <f>IF(AY$4="","",IFERROR(INDEX('因子水準表'!$B$9:$KO$18,10,MATCH(AY$4,'因子水準表'!$B$4:$KO$4,0))&amp;"",""))</f>
        <v/>
      </c>
      <c r="DH15" s="26">
        <f>IF(AZ$4="","",IFERROR(INDEX('因子水準表'!$B$9:$KO$18,10,MATCH(AZ$4,'因子水準表'!$B$4:$KO$4,0))&amp;"",""))</f>
        <v/>
      </c>
      <c r="DI15" s="26">
        <f>IF(BA$4="","",IFERROR(INDEX('因子水準表'!$B$9:$KO$18,10,MATCH(BA$4,'因子水準表'!$B$4:$KO$4,0))&amp;"",""))</f>
        <v/>
      </c>
      <c r="DJ15" s="26">
        <f>IF(BB$4="","",IFERROR(INDEX('因子水準表'!$B$9:$KO$18,10,MATCH(BB$4,'因子水準表'!$B$4:$KO$4,0))&amp;"",""))</f>
        <v/>
      </c>
      <c r="DK15" s="26">
        <f>IF(BC$4="","",IFERROR(INDEX('因子水準表'!$B$9:$KO$18,10,MATCH(BC$4,'因子水準表'!$B$4:$KO$4,0))&amp;"",""))</f>
        <v/>
      </c>
      <c r="DL15" s="26">
        <f>IF(BD$4="","",IFERROR(INDEX('因子水準表'!$B$9:$KO$18,10,MATCH(BD$4,'因子水準表'!$B$4:$KO$4,0))&amp;"",""))</f>
        <v/>
      </c>
      <c r="DM15" s="26">
        <f>IF('因子水準表'!B38="","",'因子水準表'!B38)</f>
        <v/>
      </c>
      <c r="DN15" s="26">
        <f>IF('テスト条件'!A14="","",'テスト条件'!A14)</f>
        <v/>
      </c>
    </row>
    <row r="16">
      <c r="A16" s="27" t="n"/>
      <c r="B16" s="27" t="n"/>
      <c r="C16" s="28">
        <f>IF(A16="","",$B$2)</f>
        <v/>
      </c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  <c r="AA16" s="27" t="n"/>
      <c r="AB16" s="27" t="n"/>
      <c r="AC16" s="27" t="n"/>
      <c r="AD16" s="27" t="n"/>
      <c r="AE16" s="27" t="n"/>
      <c r="AF16" s="27" t="n"/>
      <c r="AG16" s="27" t="n"/>
      <c r="AH16" s="27" t="n"/>
      <c r="AI16" s="27" t="n"/>
      <c r="AJ16" s="27" t="n"/>
      <c r="AK16" s="27" t="n"/>
      <c r="AL16" s="27" t="n"/>
      <c r="AM16" s="27" t="n"/>
      <c r="AN16" s="27" t="n"/>
      <c r="AO16" s="27" t="n"/>
      <c r="AP16" s="27" t="n"/>
      <c r="AQ16" s="27" t="n"/>
      <c r="AR16" s="27" t="n"/>
      <c r="AS16" s="27" t="n"/>
      <c r="AT16" s="27" t="n"/>
      <c r="AU16" s="27" t="n"/>
      <c r="AV16" s="27" t="n"/>
      <c r="AW16" s="27" t="n"/>
      <c r="AX16" s="27" t="n"/>
      <c r="AY16" s="27" t="n"/>
      <c r="AZ16" s="27" t="n"/>
      <c r="BA16" s="27" t="n"/>
      <c r="BB16" s="27" t="n"/>
      <c r="BC16" s="27" t="n"/>
      <c r="BD16" s="27" t="n"/>
      <c r="BE16" s="27" t="n"/>
      <c r="BF16" s="27" t="n"/>
      <c r="BG16" s="27" t="n"/>
      <c r="BH16" s="27" t="n"/>
      <c r="BI16" s="29" t="n"/>
      <c r="BJ16" s="27" t="n"/>
      <c r="BK16" s="27" t="n"/>
      <c r="BL16" s="27" t="n"/>
      <c r="BM16" s="27" t="n"/>
      <c r="DM16" s="26">
        <f>IF('因子水準表'!B39="","",'因子水準表'!B39)</f>
        <v/>
      </c>
      <c r="DN16" s="26">
        <f>IF('テスト条件'!A15="","",'テスト条件'!A15)</f>
        <v/>
      </c>
    </row>
    <row r="17">
      <c r="A17" s="27" t="n"/>
      <c r="B17" s="27" t="n"/>
      <c r="C17" s="28">
        <f>IF(A17="","",$B$2)</f>
        <v/>
      </c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  <c r="AI17" s="27" t="n"/>
      <c r="AJ17" s="27" t="n"/>
      <c r="AK17" s="27" t="n"/>
      <c r="AL17" s="27" t="n"/>
      <c r="AM17" s="27" t="n"/>
      <c r="AN17" s="27" t="n"/>
      <c r="AO17" s="27" t="n"/>
      <c r="AP17" s="27" t="n"/>
      <c r="AQ17" s="27" t="n"/>
      <c r="AR17" s="27" t="n"/>
      <c r="AS17" s="27" t="n"/>
      <c r="AT17" s="27" t="n"/>
      <c r="AU17" s="27" t="n"/>
      <c r="AV17" s="27" t="n"/>
      <c r="AW17" s="27" t="n"/>
      <c r="AX17" s="27" t="n"/>
      <c r="AY17" s="27" t="n"/>
      <c r="AZ17" s="27" t="n"/>
      <c r="BA17" s="27" t="n"/>
      <c r="BB17" s="27" t="n"/>
      <c r="BC17" s="27" t="n"/>
      <c r="BD17" s="27" t="n"/>
      <c r="BE17" s="27" t="n"/>
      <c r="BF17" s="27" t="n"/>
      <c r="BG17" s="27" t="n"/>
      <c r="BH17" s="27" t="n"/>
      <c r="BI17" s="29" t="n"/>
      <c r="BJ17" s="27" t="n"/>
      <c r="BK17" s="27" t="n"/>
      <c r="BL17" s="27" t="n"/>
      <c r="BM17" s="27" t="n"/>
      <c r="DM17" s="26">
        <f>IF('因子水準表'!B40="","",'因子水準表'!B40)</f>
        <v/>
      </c>
      <c r="DN17" s="26">
        <f>IF('テスト条件'!A16="","",'テスト条件'!A16)</f>
        <v/>
      </c>
    </row>
    <row r="18">
      <c r="A18" s="27" t="n"/>
      <c r="B18" s="27" t="n"/>
      <c r="C18" s="28">
        <f>IF(A18="","",$B$2)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  <c r="AJ18" s="27" t="n"/>
      <c r="AK18" s="27" t="n"/>
      <c r="AL18" s="27" t="n"/>
      <c r="AM18" s="27" t="n"/>
      <c r="AN18" s="27" t="n"/>
      <c r="AO18" s="27" t="n"/>
      <c r="AP18" s="27" t="n"/>
      <c r="AQ18" s="27" t="n"/>
      <c r="AR18" s="27" t="n"/>
      <c r="AS18" s="27" t="n"/>
      <c r="AT18" s="27" t="n"/>
      <c r="AU18" s="27" t="n"/>
      <c r="AV18" s="27" t="n"/>
      <c r="AW18" s="27" t="n"/>
      <c r="AX18" s="27" t="n"/>
      <c r="AY18" s="27" t="n"/>
      <c r="AZ18" s="27" t="n"/>
      <c r="BA18" s="27" t="n"/>
      <c r="BB18" s="27" t="n"/>
      <c r="BC18" s="27" t="n"/>
      <c r="BD18" s="27" t="n"/>
      <c r="BE18" s="27" t="n"/>
      <c r="BF18" s="27" t="n"/>
      <c r="BG18" s="27" t="n"/>
      <c r="BH18" s="27" t="n"/>
      <c r="BI18" s="29" t="n"/>
      <c r="BJ18" s="27" t="n"/>
      <c r="BK18" s="27" t="n"/>
      <c r="BL18" s="27" t="n"/>
      <c r="BM18" s="27" t="n"/>
      <c r="DM18" s="26">
        <f>IF('因子水準表'!B41="","",'因子水準表'!B41)</f>
        <v/>
      </c>
      <c r="DN18" s="26">
        <f>IF('テスト条件'!A17="","",'テスト条件'!A17)</f>
        <v/>
      </c>
    </row>
    <row r="19">
      <c r="A19" s="27" t="n"/>
      <c r="B19" s="27" t="n"/>
      <c r="C19" s="28">
        <f>IF(A19="","",$B$2)</f>
        <v/>
      </c>
      <c r="D19" s="27" t="n"/>
      <c r="E19" s="27" t="n"/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  <c r="AA19" s="27" t="n"/>
      <c r="AB19" s="27" t="n"/>
      <c r="AC19" s="27" t="n"/>
      <c r="AD19" s="27" t="n"/>
      <c r="AE19" s="27" t="n"/>
      <c r="AF19" s="27" t="n"/>
      <c r="AG19" s="27" t="n"/>
      <c r="AH19" s="27" t="n"/>
      <c r="AI19" s="27" t="n"/>
      <c r="AJ19" s="27" t="n"/>
      <c r="AK19" s="27" t="n"/>
      <c r="AL19" s="27" t="n"/>
      <c r="AM19" s="27" t="n"/>
      <c r="AN19" s="27" t="n"/>
      <c r="AO19" s="27" t="n"/>
      <c r="AP19" s="27" t="n"/>
      <c r="AQ19" s="27" t="n"/>
      <c r="AR19" s="27" t="n"/>
      <c r="AS19" s="27" t="n"/>
      <c r="AT19" s="27" t="n"/>
      <c r="AU19" s="27" t="n"/>
      <c r="AV19" s="27" t="n"/>
      <c r="AW19" s="27" t="n"/>
      <c r="AX19" s="27" t="n"/>
      <c r="AY19" s="27" t="n"/>
      <c r="AZ19" s="27" t="n"/>
      <c r="BA19" s="27" t="n"/>
      <c r="BB19" s="27" t="n"/>
      <c r="BC19" s="27" t="n"/>
      <c r="BD19" s="27" t="n"/>
      <c r="BE19" s="27" t="n"/>
      <c r="BF19" s="27" t="n"/>
      <c r="BG19" s="27" t="n"/>
      <c r="BH19" s="27" t="n"/>
      <c r="BI19" s="29" t="n"/>
      <c r="BJ19" s="27" t="n"/>
      <c r="BK19" s="27" t="n"/>
      <c r="BL19" s="27" t="n"/>
      <c r="BM19" s="27" t="n"/>
      <c r="DM19" s="26">
        <f>IF('因子水準表'!B42="","",'因子水準表'!B42)</f>
        <v/>
      </c>
      <c r="DN19" s="26">
        <f>IF('テスト条件'!A18="","",'テスト条件'!A18)</f>
        <v/>
      </c>
    </row>
    <row r="20">
      <c r="A20" s="27" t="n"/>
      <c r="B20" s="27" t="n"/>
      <c r="C20" s="28">
        <f>IF(A20="","",$B$2)</f>
        <v/>
      </c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7" t="n"/>
      <c r="AI20" s="27" t="n"/>
      <c r="AJ20" s="27" t="n"/>
      <c r="AK20" s="27" t="n"/>
      <c r="AL20" s="27" t="n"/>
      <c r="AM20" s="27" t="n"/>
      <c r="AN20" s="27" t="n"/>
      <c r="AO20" s="27" t="n"/>
      <c r="AP20" s="27" t="n"/>
      <c r="AQ20" s="27" t="n"/>
      <c r="AR20" s="27" t="n"/>
      <c r="AS20" s="27" t="n"/>
      <c r="AT20" s="27" t="n"/>
      <c r="AU20" s="27" t="n"/>
      <c r="AV20" s="27" t="n"/>
      <c r="AW20" s="27" t="n"/>
      <c r="AX20" s="27" t="n"/>
      <c r="AY20" s="27" t="n"/>
      <c r="AZ20" s="27" t="n"/>
      <c r="BA20" s="27" t="n"/>
      <c r="BB20" s="27" t="n"/>
      <c r="BC20" s="27" t="n"/>
      <c r="BD20" s="27" t="n"/>
      <c r="BE20" s="27" t="n"/>
      <c r="BF20" s="27" t="n"/>
      <c r="BG20" s="27" t="n"/>
      <c r="BH20" s="27" t="n"/>
      <c r="BI20" s="29" t="n"/>
      <c r="BJ20" s="27" t="n"/>
      <c r="BK20" s="27" t="n"/>
      <c r="BL20" s="27" t="n"/>
      <c r="BM20" s="27" t="n"/>
      <c r="DM20" s="26">
        <f>IF('因子水準表'!B43="","",'因子水準表'!B43)</f>
        <v/>
      </c>
      <c r="DN20" s="26">
        <f>IF('テスト条件'!A19="","",'テスト条件'!A19)</f>
        <v/>
      </c>
    </row>
    <row r="21">
      <c r="A21" s="27" t="n"/>
      <c r="B21" s="27" t="n"/>
      <c r="C21" s="28">
        <f>IF(A21="","",$B$2)</f>
        <v/>
      </c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  <c r="AI21" s="27" t="n"/>
      <c r="AJ21" s="27" t="n"/>
      <c r="AK21" s="27" t="n"/>
      <c r="AL21" s="27" t="n"/>
      <c r="AM21" s="27" t="n"/>
      <c r="AN21" s="27" t="n"/>
      <c r="AO21" s="27" t="n"/>
      <c r="AP21" s="27" t="n"/>
      <c r="AQ21" s="27" t="n"/>
      <c r="AR21" s="27" t="n"/>
      <c r="AS21" s="27" t="n"/>
      <c r="AT21" s="27" t="n"/>
      <c r="AU21" s="27" t="n"/>
      <c r="AV21" s="27" t="n"/>
      <c r="AW21" s="27" t="n"/>
      <c r="AX21" s="27" t="n"/>
      <c r="AY21" s="27" t="n"/>
      <c r="AZ21" s="27" t="n"/>
      <c r="BA21" s="27" t="n"/>
      <c r="BB21" s="27" t="n"/>
      <c r="BC21" s="27" t="n"/>
      <c r="BD21" s="27" t="n"/>
      <c r="BE21" s="27" t="n"/>
      <c r="BF21" s="27" t="n"/>
      <c r="BG21" s="27" t="n"/>
      <c r="BH21" s="27" t="n"/>
      <c r="BI21" s="29" t="n"/>
      <c r="BJ21" s="27" t="n"/>
      <c r="BK21" s="27" t="n"/>
      <c r="BL21" s="27" t="n"/>
      <c r="BM21" s="27" t="n"/>
      <c r="DM21" s="26">
        <f>IF('因子水準表'!B44="","",'因子水準表'!B44)</f>
        <v/>
      </c>
      <c r="DN21" s="26">
        <f>IF('テスト条件'!A20="","",'テスト条件'!A20)</f>
        <v/>
      </c>
    </row>
    <row r="22">
      <c r="A22" s="27" t="n"/>
      <c r="B22" s="27" t="n"/>
      <c r="C22" s="28">
        <f>IF(A22="","",$B$2)</f>
        <v/>
      </c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  <c r="AA22" s="27" t="n"/>
      <c r="AB22" s="27" t="n"/>
      <c r="AC22" s="27" t="n"/>
      <c r="AD22" s="27" t="n"/>
      <c r="AE22" s="27" t="n"/>
      <c r="AF22" s="27" t="n"/>
      <c r="AG22" s="27" t="n"/>
      <c r="AH22" s="27" t="n"/>
      <c r="AI22" s="27" t="n"/>
      <c r="AJ22" s="27" t="n"/>
      <c r="AK22" s="27" t="n"/>
      <c r="AL22" s="27" t="n"/>
      <c r="AM22" s="27" t="n"/>
      <c r="AN22" s="27" t="n"/>
      <c r="AO22" s="27" t="n"/>
      <c r="AP22" s="27" t="n"/>
      <c r="AQ22" s="27" t="n"/>
      <c r="AR22" s="27" t="n"/>
      <c r="AS22" s="27" t="n"/>
      <c r="AT22" s="27" t="n"/>
      <c r="AU22" s="27" t="n"/>
      <c r="AV22" s="27" t="n"/>
      <c r="AW22" s="27" t="n"/>
      <c r="AX22" s="27" t="n"/>
      <c r="AY22" s="27" t="n"/>
      <c r="AZ22" s="27" t="n"/>
      <c r="BA22" s="27" t="n"/>
      <c r="BB22" s="27" t="n"/>
      <c r="BC22" s="27" t="n"/>
      <c r="BD22" s="27" t="n"/>
      <c r="BE22" s="27" t="n"/>
      <c r="BF22" s="27" t="n"/>
      <c r="BG22" s="27" t="n"/>
      <c r="BH22" s="27" t="n"/>
      <c r="BI22" s="29" t="n"/>
      <c r="BJ22" s="27" t="n"/>
      <c r="BK22" s="27" t="n"/>
      <c r="BL22" s="27" t="n"/>
      <c r="BM22" s="27" t="n"/>
      <c r="DM22" s="26">
        <f>IF('因子水準表'!B45="","",'因子水準表'!B45)</f>
        <v/>
      </c>
      <c r="DN22" s="26">
        <f>IF('テスト条件'!A21="","",'テスト条件'!A21)</f>
        <v/>
      </c>
    </row>
    <row r="23">
      <c r="A23" s="27" t="n"/>
      <c r="B23" s="27" t="n"/>
      <c r="C23" s="28">
        <f>IF(A23="","",$B$2)</f>
        <v/>
      </c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  <c r="AI23" s="27" t="n"/>
      <c r="AJ23" s="27" t="n"/>
      <c r="AK23" s="27" t="n"/>
      <c r="AL23" s="27" t="n"/>
      <c r="AM23" s="27" t="n"/>
      <c r="AN23" s="27" t="n"/>
      <c r="AO23" s="27" t="n"/>
      <c r="AP23" s="27" t="n"/>
      <c r="AQ23" s="27" t="n"/>
      <c r="AR23" s="27" t="n"/>
      <c r="AS23" s="27" t="n"/>
      <c r="AT23" s="27" t="n"/>
      <c r="AU23" s="27" t="n"/>
      <c r="AV23" s="27" t="n"/>
      <c r="AW23" s="27" t="n"/>
      <c r="AX23" s="27" t="n"/>
      <c r="AY23" s="27" t="n"/>
      <c r="AZ23" s="27" t="n"/>
      <c r="BA23" s="27" t="n"/>
      <c r="BB23" s="27" t="n"/>
      <c r="BC23" s="27" t="n"/>
      <c r="BD23" s="27" t="n"/>
      <c r="BE23" s="27" t="n"/>
      <c r="BF23" s="27" t="n"/>
      <c r="BG23" s="27" t="n"/>
      <c r="BH23" s="27" t="n"/>
      <c r="BI23" s="29" t="n"/>
      <c r="BJ23" s="27" t="n"/>
      <c r="BK23" s="27" t="n"/>
      <c r="BL23" s="27" t="n"/>
      <c r="BM23" s="27" t="n"/>
      <c r="DM23" s="26">
        <f>IF('因子水準表'!B46="","",'因子水準表'!B46)</f>
        <v/>
      </c>
      <c r="DN23" s="26">
        <f>IF('テスト条件'!A22="","",'テスト条件'!A22)</f>
        <v/>
      </c>
    </row>
    <row r="24">
      <c r="A24" s="27" t="n"/>
      <c r="B24" s="27" t="n"/>
      <c r="C24" s="28">
        <f>IF(A24="","",$B$2)</f>
        <v/>
      </c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7" t="n"/>
      <c r="AB24" s="27" t="n"/>
      <c r="AC24" s="27" t="n"/>
      <c r="AD24" s="27" t="n"/>
      <c r="AE24" s="27" t="n"/>
      <c r="AF24" s="27" t="n"/>
      <c r="AG24" s="27" t="n"/>
      <c r="AH24" s="27" t="n"/>
      <c r="AI24" s="27" t="n"/>
      <c r="AJ24" s="27" t="n"/>
      <c r="AK24" s="27" t="n"/>
      <c r="AL24" s="27" t="n"/>
      <c r="AM24" s="27" t="n"/>
      <c r="AN24" s="27" t="n"/>
      <c r="AO24" s="27" t="n"/>
      <c r="AP24" s="27" t="n"/>
      <c r="AQ24" s="27" t="n"/>
      <c r="AR24" s="27" t="n"/>
      <c r="AS24" s="27" t="n"/>
      <c r="AT24" s="27" t="n"/>
      <c r="AU24" s="27" t="n"/>
      <c r="AV24" s="27" t="n"/>
      <c r="AW24" s="27" t="n"/>
      <c r="AX24" s="27" t="n"/>
      <c r="AY24" s="27" t="n"/>
      <c r="AZ24" s="27" t="n"/>
      <c r="BA24" s="27" t="n"/>
      <c r="BB24" s="27" t="n"/>
      <c r="BC24" s="27" t="n"/>
      <c r="BD24" s="27" t="n"/>
      <c r="BE24" s="27" t="n"/>
      <c r="BF24" s="27" t="n"/>
      <c r="BG24" s="27" t="n"/>
      <c r="BH24" s="27" t="n"/>
      <c r="BI24" s="29" t="n"/>
      <c r="BJ24" s="27" t="n"/>
      <c r="BK24" s="27" t="n"/>
      <c r="BL24" s="27" t="n"/>
      <c r="BM24" s="27" t="n"/>
      <c r="DM24" s="26">
        <f>IF('因子水準表'!B47="","",'因子水準表'!B47)</f>
        <v/>
      </c>
      <c r="DN24" s="26">
        <f>IF('テスト条件'!A23="","",'テスト条件'!A23)</f>
        <v/>
      </c>
    </row>
    <row r="25">
      <c r="A25" s="27" t="n"/>
      <c r="B25" s="27" t="n"/>
      <c r="C25" s="28">
        <f>IF(A25="","",$B$2)</f>
        <v/>
      </c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  <c r="AI25" s="27" t="n"/>
      <c r="AJ25" s="27" t="n"/>
      <c r="AK25" s="27" t="n"/>
      <c r="AL25" s="27" t="n"/>
      <c r="AM25" s="27" t="n"/>
      <c r="AN25" s="27" t="n"/>
      <c r="AO25" s="27" t="n"/>
      <c r="AP25" s="27" t="n"/>
      <c r="AQ25" s="27" t="n"/>
      <c r="AR25" s="27" t="n"/>
      <c r="AS25" s="27" t="n"/>
      <c r="AT25" s="27" t="n"/>
      <c r="AU25" s="27" t="n"/>
      <c r="AV25" s="27" t="n"/>
      <c r="AW25" s="27" t="n"/>
      <c r="AX25" s="27" t="n"/>
      <c r="AY25" s="27" t="n"/>
      <c r="AZ25" s="27" t="n"/>
      <c r="BA25" s="27" t="n"/>
      <c r="BB25" s="27" t="n"/>
      <c r="BC25" s="27" t="n"/>
      <c r="BD25" s="27" t="n"/>
      <c r="BE25" s="27" t="n"/>
      <c r="BF25" s="27" t="n"/>
      <c r="BG25" s="27" t="n"/>
      <c r="BH25" s="27" t="n"/>
      <c r="BI25" s="29" t="n"/>
      <c r="BJ25" s="27" t="n"/>
      <c r="BK25" s="27" t="n"/>
      <c r="BL25" s="27" t="n"/>
      <c r="BM25" s="27" t="n"/>
      <c r="DM25" s="26">
        <f>IF('因子水準表'!B48="","",'因子水準表'!B48)</f>
        <v/>
      </c>
      <c r="DN25" s="26">
        <f>IF('テスト条件'!A24="","",'テスト条件'!A24)</f>
        <v/>
      </c>
    </row>
    <row r="26">
      <c r="A26" s="27" t="n"/>
      <c r="B26" s="27" t="n"/>
      <c r="C26" s="28">
        <f>IF(A26="","",$B$2)</f>
        <v/>
      </c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  <c r="AA26" s="27" t="n"/>
      <c r="AB26" s="27" t="n"/>
      <c r="AC26" s="27" t="n"/>
      <c r="AD26" s="27" t="n"/>
      <c r="AE26" s="27" t="n"/>
      <c r="AF26" s="27" t="n"/>
      <c r="AG26" s="27" t="n"/>
      <c r="AH26" s="27" t="n"/>
      <c r="AI26" s="27" t="n"/>
      <c r="AJ26" s="27" t="n"/>
      <c r="AK26" s="27" t="n"/>
      <c r="AL26" s="27" t="n"/>
      <c r="AM26" s="27" t="n"/>
      <c r="AN26" s="27" t="n"/>
      <c r="AO26" s="27" t="n"/>
      <c r="AP26" s="27" t="n"/>
      <c r="AQ26" s="27" t="n"/>
      <c r="AR26" s="27" t="n"/>
      <c r="AS26" s="27" t="n"/>
      <c r="AT26" s="27" t="n"/>
      <c r="AU26" s="27" t="n"/>
      <c r="AV26" s="27" t="n"/>
      <c r="AW26" s="27" t="n"/>
      <c r="AX26" s="27" t="n"/>
      <c r="AY26" s="27" t="n"/>
      <c r="AZ26" s="27" t="n"/>
      <c r="BA26" s="27" t="n"/>
      <c r="BB26" s="27" t="n"/>
      <c r="BC26" s="27" t="n"/>
      <c r="BD26" s="27" t="n"/>
      <c r="BE26" s="27" t="n"/>
      <c r="BF26" s="27" t="n"/>
      <c r="BG26" s="27" t="n"/>
      <c r="BH26" s="27" t="n"/>
      <c r="BI26" s="29" t="n"/>
      <c r="BJ26" s="27" t="n"/>
      <c r="BK26" s="27" t="n"/>
      <c r="BL26" s="27" t="n"/>
      <c r="BM26" s="27" t="n"/>
      <c r="DM26" s="26">
        <f>IF('因子水準表'!B49="","",'因子水準表'!B49)</f>
        <v/>
      </c>
      <c r="DN26" s="26">
        <f>IF('テスト条件'!A25="","",'テスト条件'!A25)</f>
        <v/>
      </c>
    </row>
    <row r="27">
      <c r="A27" s="27" t="n"/>
      <c r="B27" s="27" t="n"/>
      <c r="C27" s="28">
        <f>IF(A27="","",$B$2)</f>
        <v/>
      </c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  <c r="AI27" s="27" t="n"/>
      <c r="AJ27" s="27" t="n"/>
      <c r="AK27" s="27" t="n"/>
      <c r="AL27" s="27" t="n"/>
      <c r="AM27" s="27" t="n"/>
      <c r="AN27" s="27" t="n"/>
      <c r="AO27" s="27" t="n"/>
      <c r="AP27" s="27" t="n"/>
      <c r="AQ27" s="27" t="n"/>
      <c r="AR27" s="27" t="n"/>
      <c r="AS27" s="27" t="n"/>
      <c r="AT27" s="27" t="n"/>
      <c r="AU27" s="27" t="n"/>
      <c r="AV27" s="27" t="n"/>
      <c r="AW27" s="27" t="n"/>
      <c r="AX27" s="27" t="n"/>
      <c r="AY27" s="27" t="n"/>
      <c r="AZ27" s="27" t="n"/>
      <c r="BA27" s="27" t="n"/>
      <c r="BB27" s="27" t="n"/>
      <c r="BC27" s="27" t="n"/>
      <c r="BD27" s="27" t="n"/>
      <c r="BE27" s="27" t="n"/>
      <c r="BF27" s="27" t="n"/>
      <c r="BG27" s="27" t="n"/>
      <c r="BH27" s="27" t="n"/>
      <c r="BI27" s="29" t="n"/>
      <c r="BJ27" s="27" t="n"/>
      <c r="BK27" s="27" t="n"/>
      <c r="BL27" s="27" t="n"/>
      <c r="BM27" s="27" t="n"/>
      <c r="DM27" s="26">
        <f>IF('因子水準表'!B50="","",'因子水準表'!B50)</f>
        <v/>
      </c>
      <c r="DN27" s="26">
        <f>IF('テスト条件'!A26="","",'テスト条件'!A26)</f>
        <v/>
      </c>
    </row>
    <row r="28">
      <c r="A28" s="27" t="n"/>
      <c r="B28" s="27" t="n"/>
      <c r="C28" s="28">
        <f>IF(A28="","",$B$2)</f>
        <v/>
      </c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  <c r="AA28" s="27" t="n"/>
      <c r="AB28" s="27" t="n"/>
      <c r="AC28" s="27" t="n"/>
      <c r="AD28" s="27" t="n"/>
      <c r="AE28" s="27" t="n"/>
      <c r="AF28" s="27" t="n"/>
      <c r="AG28" s="27" t="n"/>
      <c r="AH28" s="27" t="n"/>
      <c r="AI28" s="27" t="n"/>
      <c r="AJ28" s="27" t="n"/>
      <c r="AK28" s="27" t="n"/>
      <c r="AL28" s="27" t="n"/>
      <c r="AM28" s="27" t="n"/>
      <c r="AN28" s="27" t="n"/>
      <c r="AO28" s="27" t="n"/>
      <c r="AP28" s="27" t="n"/>
      <c r="AQ28" s="27" t="n"/>
      <c r="AR28" s="27" t="n"/>
      <c r="AS28" s="27" t="n"/>
      <c r="AT28" s="27" t="n"/>
      <c r="AU28" s="27" t="n"/>
      <c r="AV28" s="27" t="n"/>
      <c r="AW28" s="27" t="n"/>
      <c r="AX28" s="27" t="n"/>
      <c r="AY28" s="27" t="n"/>
      <c r="AZ28" s="27" t="n"/>
      <c r="BA28" s="27" t="n"/>
      <c r="BB28" s="27" t="n"/>
      <c r="BC28" s="27" t="n"/>
      <c r="BD28" s="27" t="n"/>
      <c r="BE28" s="27" t="n"/>
      <c r="BF28" s="27" t="n"/>
      <c r="BG28" s="27" t="n"/>
      <c r="BH28" s="27" t="n"/>
      <c r="BI28" s="29" t="n"/>
      <c r="BJ28" s="27" t="n"/>
      <c r="BK28" s="27" t="n"/>
      <c r="BL28" s="27" t="n"/>
      <c r="BM28" s="27" t="n"/>
      <c r="DM28" s="26">
        <f>IF('因子水準表'!B51="","",'因子水準表'!B51)</f>
        <v/>
      </c>
      <c r="DN28" s="26">
        <f>IF('テスト条件'!A27="","",'テスト条件'!A27)</f>
        <v/>
      </c>
    </row>
    <row r="29">
      <c r="A29" s="27" t="n"/>
      <c r="B29" s="27" t="n"/>
      <c r="C29" s="28">
        <f>IF(A29="","",$B$2)</f>
        <v/>
      </c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  <c r="AI29" s="27" t="n"/>
      <c r="AJ29" s="27" t="n"/>
      <c r="AK29" s="27" t="n"/>
      <c r="AL29" s="27" t="n"/>
      <c r="AM29" s="27" t="n"/>
      <c r="AN29" s="27" t="n"/>
      <c r="AO29" s="27" t="n"/>
      <c r="AP29" s="27" t="n"/>
      <c r="AQ29" s="27" t="n"/>
      <c r="AR29" s="27" t="n"/>
      <c r="AS29" s="27" t="n"/>
      <c r="AT29" s="27" t="n"/>
      <c r="AU29" s="27" t="n"/>
      <c r="AV29" s="27" t="n"/>
      <c r="AW29" s="27" t="n"/>
      <c r="AX29" s="27" t="n"/>
      <c r="AY29" s="27" t="n"/>
      <c r="AZ29" s="27" t="n"/>
      <c r="BA29" s="27" t="n"/>
      <c r="BB29" s="27" t="n"/>
      <c r="BC29" s="27" t="n"/>
      <c r="BD29" s="27" t="n"/>
      <c r="BE29" s="27" t="n"/>
      <c r="BF29" s="27" t="n"/>
      <c r="BG29" s="27" t="n"/>
      <c r="BH29" s="27" t="n"/>
      <c r="BI29" s="29" t="n"/>
      <c r="BJ29" s="27" t="n"/>
      <c r="BK29" s="27" t="n"/>
      <c r="BL29" s="27" t="n"/>
      <c r="BM29" s="27" t="n"/>
      <c r="DM29" s="26">
        <f>IF('因子水準表'!B52="","",'因子水準表'!B52)</f>
        <v/>
      </c>
      <c r="DN29" s="26">
        <f>IF('テスト条件'!A28="","",'テスト条件'!A28)</f>
        <v/>
      </c>
    </row>
    <row r="30">
      <c r="A30" s="27" t="n"/>
      <c r="B30" s="27" t="n"/>
      <c r="C30" s="28">
        <f>IF(A30="","",$B$2)</f>
        <v/>
      </c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7" t="n"/>
      <c r="AF30" s="27" t="n"/>
      <c r="AG30" s="27" t="n"/>
      <c r="AH30" s="27" t="n"/>
      <c r="AI30" s="27" t="n"/>
      <c r="AJ30" s="27" t="n"/>
      <c r="AK30" s="27" t="n"/>
      <c r="AL30" s="27" t="n"/>
      <c r="AM30" s="27" t="n"/>
      <c r="AN30" s="27" t="n"/>
      <c r="AO30" s="27" t="n"/>
      <c r="AP30" s="27" t="n"/>
      <c r="AQ30" s="27" t="n"/>
      <c r="AR30" s="27" t="n"/>
      <c r="AS30" s="27" t="n"/>
      <c r="AT30" s="27" t="n"/>
      <c r="AU30" s="27" t="n"/>
      <c r="AV30" s="27" t="n"/>
      <c r="AW30" s="27" t="n"/>
      <c r="AX30" s="27" t="n"/>
      <c r="AY30" s="27" t="n"/>
      <c r="AZ30" s="27" t="n"/>
      <c r="BA30" s="27" t="n"/>
      <c r="BB30" s="27" t="n"/>
      <c r="BC30" s="27" t="n"/>
      <c r="BD30" s="27" t="n"/>
      <c r="BE30" s="27" t="n"/>
      <c r="BF30" s="27" t="n"/>
      <c r="BG30" s="27" t="n"/>
      <c r="BH30" s="27" t="n"/>
      <c r="BI30" s="29" t="n"/>
      <c r="BJ30" s="27" t="n"/>
      <c r="BK30" s="27" t="n"/>
      <c r="BL30" s="27" t="n"/>
      <c r="BM30" s="27" t="n"/>
      <c r="DM30" s="26">
        <f>IF('因子水準表'!B53="","",'因子水準表'!B53)</f>
        <v/>
      </c>
      <c r="DN30" s="26">
        <f>IF('テスト条件'!A29="","",'テスト条件'!A29)</f>
        <v/>
      </c>
    </row>
    <row r="31">
      <c r="A31" s="27" t="n"/>
      <c r="B31" s="27" t="n"/>
      <c r="C31" s="28">
        <f>IF(A31="","",$B$2)</f>
        <v/>
      </c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27" t="n"/>
      <c r="AJ31" s="27" t="n"/>
      <c r="AK31" s="27" t="n"/>
      <c r="AL31" s="27" t="n"/>
      <c r="AM31" s="27" t="n"/>
      <c r="AN31" s="27" t="n"/>
      <c r="AO31" s="27" t="n"/>
      <c r="AP31" s="27" t="n"/>
      <c r="AQ31" s="27" t="n"/>
      <c r="AR31" s="27" t="n"/>
      <c r="AS31" s="27" t="n"/>
      <c r="AT31" s="27" t="n"/>
      <c r="AU31" s="27" t="n"/>
      <c r="AV31" s="27" t="n"/>
      <c r="AW31" s="27" t="n"/>
      <c r="AX31" s="27" t="n"/>
      <c r="AY31" s="27" t="n"/>
      <c r="AZ31" s="27" t="n"/>
      <c r="BA31" s="27" t="n"/>
      <c r="BB31" s="27" t="n"/>
      <c r="BC31" s="27" t="n"/>
      <c r="BD31" s="27" t="n"/>
      <c r="BE31" s="27" t="n"/>
      <c r="BF31" s="27" t="n"/>
      <c r="BG31" s="27" t="n"/>
      <c r="BH31" s="27" t="n"/>
      <c r="BI31" s="29" t="n"/>
      <c r="BJ31" s="27" t="n"/>
      <c r="BK31" s="27" t="n"/>
      <c r="BL31" s="27" t="n"/>
      <c r="BM31" s="27" t="n"/>
      <c r="DM31" s="26">
        <f>IF('因子水準表'!B54="","",'因子水準表'!B54)</f>
        <v/>
      </c>
      <c r="DN31" s="26">
        <f>IF('テスト条件'!A30="","",'テスト条件'!A30)</f>
        <v/>
      </c>
    </row>
    <row r="32">
      <c r="A32" s="27" t="n"/>
      <c r="B32" s="27" t="n"/>
      <c r="C32" s="28">
        <f>IF(A32="","",$B$2)</f>
        <v/>
      </c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27" t="n"/>
      <c r="AJ32" s="27" t="n"/>
      <c r="AK32" s="27" t="n"/>
      <c r="AL32" s="27" t="n"/>
      <c r="AM32" s="27" t="n"/>
      <c r="AN32" s="27" t="n"/>
      <c r="AO32" s="27" t="n"/>
      <c r="AP32" s="27" t="n"/>
      <c r="AQ32" s="27" t="n"/>
      <c r="AR32" s="27" t="n"/>
      <c r="AS32" s="27" t="n"/>
      <c r="AT32" s="27" t="n"/>
      <c r="AU32" s="27" t="n"/>
      <c r="AV32" s="27" t="n"/>
      <c r="AW32" s="27" t="n"/>
      <c r="AX32" s="27" t="n"/>
      <c r="AY32" s="27" t="n"/>
      <c r="AZ32" s="27" t="n"/>
      <c r="BA32" s="27" t="n"/>
      <c r="BB32" s="27" t="n"/>
      <c r="BC32" s="27" t="n"/>
      <c r="BD32" s="27" t="n"/>
      <c r="BE32" s="27" t="n"/>
      <c r="BF32" s="27" t="n"/>
      <c r="BG32" s="27" t="n"/>
      <c r="BH32" s="27" t="n"/>
      <c r="BI32" s="29" t="n"/>
      <c r="BJ32" s="27" t="n"/>
      <c r="BK32" s="27" t="n"/>
      <c r="BL32" s="27" t="n"/>
      <c r="BM32" s="27" t="n"/>
      <c r="DM32" s="26">
        <f>IF('因子水準表'!B55="","",'因子水準表'!B55)</f>
        <v/>
      </c>
      <c r="DN32" s="26">
        <f>IF('テスト条件'!A31="","",'テスト条件'!A31)</f>
        <v/>
      </c>
    </row>
    <row r="33">
      <c r="A33" s="27" t="n"/>
      <c r="B33" s="27" t="n"/>
      <c r="C33" s="28">
        <f>IF(A33="","",$B$2)</f>
        <v/>
      </c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  <c r="AJ33" s="27" t="n"/>
      <c r="AK33" s="27" t="n"/>
      <c r="AL33" s="27" t="n"/>
      <c r="AM33" s="27" t="n"/>
      <c r="AN33" s="27" t="n"/>
      <c r="AO33" s="27" t="n"/>
      <c r="AP33" s="27" t="n"/>
      <c r="AQ33" s="27" t="n"/>
      <c r="AR33" s="27" t="n"/>
      <c r="AS33" s="27" t="n"/>
      <c r="AT33" s="27" t="n"/>
      <c r="AU33" s="27" t="n"/>
      <c r="AV33" s="27" t="n"/>
      <c r="AW33" s="27" t="n"/>
      <c r="AX33" s="27" t="n"/>
      <c r="AY33" s="27" t="n"/>
      <c r="AZ33" s="27" t="n"/>
      <c r="BA33" s="27" t="n"/>
      <c r="BB33" s="27" t="n"/>
      <c r="BC33" s="27" t="n"/>
      <c r="BD33" s="27" t="n"/>
      <c r="BE33" s="27" t="n"/>
      <c r="BF33" s="27" t="n"/>
      <c r="BG33" s="27" t="n"/>
      <c r="BH33" s="27" t="n"/>
      <c r="BI33" s="29" t="n"/>
      <c r="BJ33" s="27" t="n"/>
      <c r="BK33" s="27" t="n"/>
      <c r="BL33" s="27" t="n"/>
      <c r="BM33" s="27" t="n"/>
      <c r="DM33" s="26">
        <f>IF('因子水準表'!B56="","",'因子水準表'!B56)</f>
        <v/>
      </c>
      <c r="DN33" s="26">
        <f>IF('テスト条件'!A32="","",'テスト条件'!A32)</f>
        <v/>
      </c>
    </row>
    <row r="34">
      <c r="A34" s="27" t="n"/>
      <c r="B34" s="27" t="n"/>
      <c r="C34" s="28">
        <f>IF(A34="","",$B$2)</f>
        <v/>
      </c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  <c r="AJ34" s="27" t="n"/>
      <c r="AK34" s="27" t="n"/>
      <c r="AL34" s="27" t="n"/>
      <c r="AM34" s="27" t="n"/>
      <c r="AN34" s="27" t="n"/>
      <c r="AO34" s="27" t="n"/>
      <c r="AP34" s="27" t="n"/>
      <c r="AQ34" s="27" t="n"/>
      <c r="AR34" s="27" t="n"/>
      <c r="AS34" s="27" t="n"/>
      <c r="AT34" s="27" t="n"/>
      <c r="AU34" s="27" t="n"/>
      <c r="AV34" s="27" t="n"/>
      <c r="AW34" s="27" t="n"/>
      <c r="AX34" s="27" t="n"/>
      <c r="AY34" s="27" t="n"/>
      <c r="AZ34" s="27" t="n"/>
      <c r="BA34" s="27" t="n"/>
      <c r="BB34" s="27" t="n"/>
      <c r="BC34" s="27" t="n"/>
      <c r="BD34" s="27" t="n"/>
      <c r="BE34" s="27" t="n"/>
      <c r="BF34" s="27" t="n"/>
      <c r="BG34" s="27" t="n"/>
      <c r="BH34" s="27" t="n"/>
      <c r="BI34" s="29" t="n"/>
      <c r="BJ34" s="27" t="n"/>
      <c r="BK34" s="27" t="n"/>
      <c r="BL34" s="27" t="n"/>
      <c r="BM34" s="27" t="n"/>
      <c r="DM34" s="26">
        <f>IF('因子水準表'!B57="","",'因子水準表'!B57)</f>
        <v/>
      </c>
      <c r="DN34" s="26">
        <f>IF('テスト条件'!A33="","",'テスト条件'!A33)</f>
        <v/>
      </c>
    </row>
    <row r="35">
      <c r="A35" s="27" t="n"/>
      <c r="B35" s="27" t="n"/>
      <c r="C35" s="28">
        <f>IF(A35="","",$B$2)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27" t="n"/>
      <c r="AJ35" s="27" t="n"/>
      <c r="AK35" s="27" t="n"/>
      <c r="AL35" s="27" t="n"/>
      <c r="AM35" s="27" t="n"/>
      <c r="AN35" s="27" t="n"/>
      <c r="AO35" s="27" t="n"/>
      <c r="AP35" s="27" t="n"/>
      <c r="AQ35" s="27" t="n"/>
      <c r="AR35" s="27" t="n"/>
      <c r="AS35" s="27" t="n"/>
      <c r="AT35" s="27" t="n"/>
      <c r="AU35" s="27" t="n"/>
      <c r="AV35" s="27" t="n"/>
      <c r="AW35" s="27" t="n"/>
      <c r="AX35" s="27" t="n"/>
      <c r="AY35" s="27" t="n"/>
      <c r="AZ35" s="27" t="n"/>
      <c r="BA35" s="27" t="n"/>
      <c r="BB35" s="27" t="n"/>
      <c r="BC35" s="27" t="n"/>
      <c r="BD35" s="27" t="n"/>
      <c r="BE35" s="27" t="n"/>
      <c r="BF35" s="27" t="n"/>
      <c r="BG35" s="27" t="n"/>
      <c r="BH35" s="27" t="n"/>
      <c r="BI35" s="29" t="n"/>
      <c r="BJ35" s="27" t="n"/>
      <c r="BK35" s="27" t="n"/>
      <c r="BL35" s="27" t="n"/>
      <c r="BM35" s="27" t="n"/>
      <c r="DM35" s="26">
        <f>IF('因子水準表'!B58="","",'因子水準表'!B58)</f>
        <v/>
      </c>
      <c r="DN35" s="26">
        <f>IF('テスト条件'!A34="","",'テスト条件'!A34)</f>
        <v/>
      </c>
    </row>
    <row r="36">
      <c r="A36" s="27" t="n"/>
      <c r="B36" s="27" t="n"/>
      <c r="C36" s="28">
        <f>IF(A36="","",$B$2)</f>
        <v/>
      </c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27" t="n"/>
      <c r="AJ36" s="27" t="n"/>
      <c r="AK36" s="27" t="n"/>
      <c r="AL36" s="27" t="n"/>
      <c r="AM36" s="27" t="n"/>
      <c r="AN36" s="27" t="n"/>
      <c r="AO36" s="27" t="n"/>
      <c r="AP36" s="27" t="n"/>
      <c r="AQ36" s="27" t="n"/>
      <c r="AR36" s="27" t="n"/>
      <c r="AS36" s="27" t="n"/>
      <c r="AT36" s="27" t="n"/>
      <c r="AU36" s="27" t="n"/>
      <c r="AV36" s="27" t="n"/>
      <c r="AW36" s="27" t="n"/>
      <c r="AX36" s="27" t="n"/>
      <c r="AY36" s="27" t="n"/>
      <c r="AZ36" s="27" t="n"/>
      <c r="BA36" s="27" t="n"/>
      <c r="BB36" s="27" t="n"/>
      <c r="BC36" s="27" t="n"/>
      <c r="BD36" s="27" t="n"/>
      <c r="BE36" s="27" t="n"/>
      <c r="BF36" s="27" t="n"/>
      <c r="BG36" s="27" t="n"/>
      <c r="BH36" s="27" t="n"/>
      <c r="BI36" s="29" t="n"/>
      <c r="BJ36" s="27" t="n"/>
      <c r="BK36" s="27" t="n"/>
      <c r="BL36" s="27" t="n"/>
      <c r="BM36" s="27" t="n"/>
      <c r="DN36" s="26">
        <f>IF('テスト条件'!A35="","",'テスト条件'!A35)</f>
        <v/>
      </c>
    </row>
    <row r="37">
      <c r="A37" s="27" t="n"/>
      <c r="B37" s="27" t="n"/>
      <c r="C37" s="28">
        <f>IF(A37="","",$B$2)</f>
        <v/>
      </c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27" t="n"/>
      <c r="AJ37" s="27" t="n"/>
      <c r="AK37" s="27" t="n"/>
      <c r="AL37" s="27" t="n"/>
      <c r="AM37" s="27" t="n"/>
      <c r="AN37" s="27" t="n"/>
      <c r="AO37" s="27" t="n"/>
      <c r="AP37" s="27" t="n"/>
      <c r="AQ37" s="27" t="n"/>
      <c r="AR37" s="27" t="n"/>
      <c r="AS37" s="27" t="n"/>
      <c r="AT37" s="27" t="n"/>
      <c r="AU37" s="27" t="n"/>
      <c r="AV37" s="27" t="n"/>
      <c r="AW37" s="27" t="n"/>
      <c r="AX37" s="27" t="n"/>
      <c r="AY37" s="27" t="n"/>
      <c r="AZ37" s="27" t="n"/>
      <c r="BA37" s="27" t="n"/>
      <c r="BB37" s="27" t="n"/>
      <c r="BC37" s="27" t="n"/>
      <c r="BD37" s="27" t="n"/>
      <c r="BE37" s="27" t="n"/>
      <c r="BF37" s="27" t="n"/>
      <c r="BG37" s="27" t="n"/>
      <c r="BH37" s="27" t="n"/>
      <c r="BI37" s="29" t="n"/>
      <c r="BJ37" s="27" t="n"/>
      <c r="BK37" s="27" t="n"/>
      <c r="BL37" s="27" t="n"/>
      <c r="BM37" s="27" t="n"/>
      <c r="DN37" s="26">
        <f>IF('テスト条件'!A36="","",'テスト条件'!A36)</f>
        <v/>
      </c>
    </row>
    <row r="38">
      <c r="A38" s="27" t="n"/>
      <c r="B38" s="27" t="n"/>
      <c r="C38" s="28">
        <f>IF(A38="","",$B$2)</f>
        <v/>
      </c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27" t="n"/>
      <c r="AJ38" s="27" t="n"/>
      <c r="AK38" s="27" t="n"/>
      <c r="AL38" s="27" t="n"/>
      <c r="AM38" s="27" t="n"/>
      <c r="AN38" s="27" t="n"/>
      <c r="AO38" s="27" t="n"/>
      <c r="AP38" s="27" t="n"/>
      <c r="AQ38" s="27" t="n"/>
      <c r="AR38" s="27" t="n"/>
      <c r="AS38" s="27" t="n"/>
      <c r="AT38" s="27" t="n"/>
      <c r="AU38" s="27" t="n"/>
      <c r="AV38" s="27" t="n"/>
      <c r="AW38" s="27" t="n"/>
      <c r="AX38" s="27" t="n"/>
      <c r="AY38" s="27" t="n"/>
      <c r="AZ38" s="27" t="n"/>
      <c r="BA38" s="27" t="n"/>
      <c r="BB38" s="27" t="n"/>
      <c r="BC38" s="27" t="n"/>
      <c r="BD38" s="27" t="n"/>
      <c r="BE38" s="27" t="n"/>
      <c r="BF38" s="27" t="n"/>
      <c r="BG38" s="27" t="n"/>
      <c r="BH38" s="27" t="n"/>
      <c r="BI38" s="29" t="n"/>
      <c r="BJ38" s="27" t="n"/>
      <c r="BK38" s="27" t="n"/>
      <c r="BL38" s="27" t="n"/>
      <c r="BM38" s="27" t="n"/>
      <c r="DN38" s="26">
        <f>IF('テスト条件'!A37="","",'テスト条件'!A37)</f>
        <v/>
      </c>
    </row>
    <row r="39">
      <c r="A39" s="27" t="n"/>
      <c r="B39" s="27" t="n"/>
      <c r="C39" s="28">
        <f>IF(A39="","",$B$2)</f>
        <v/>
      </c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27" t="n"/>
      <c r="AJ39" s="27" t="n"/>
      <c r="AK39" s="27" t="n"/>
      <c r="AL39" s="27" t="n"/>
      <c r="AM39" s="27" t="n"/>
      <c r="AN39" s="27" t="n"/>
      <c r="AO39" s="27" t="n"/>
      <c r="AP39" s="27" t="n"/>
      <c r="AQ39" s="27" t="n"/>
      <c r="AR39" s="27" t="n"/>
      <c r="AS39" s="27" t="n"/>
      <c r="AT39" s="27" t="n"/>
      <c r="AU39" s="27" t="n"/>
      <c r="AV39" s="27" t="n"/>
      <c r="AW39" s="27" t="n"/>
      <c r="AX39" s="27" t="n"/>
      <c r="AY39" s="27" t="n"/>
      <c r="AZ39" s="27" t="n"/>
      <c r="BA39" s="27" t="n"/>
      <c r="BB39" s="27" t="n"/>
      <c r="BC39" s="27" t="n"/>
      <c r="BD39" s="27" t="n"/>
      <c r="BE39" s="27" t="n"/>
      <c r="BF39" s="27" t="n"/>
      <c r="BG39" s="27" t="n"/>
      <c r="BH39" s="27" t="n"/>
      <c r="BI39" s="29" t="n"/>
      <c r="BJ39" s="27" t="n"/>
      <c r="BK39" s="27" t="n"/>
      <c r="BL39" s="27" t="n"/>
      <c r="BM39" s="27" t="n"/>
      <c r="DN39" s="26">
        <f>IF('テスト条件'!A38="","",'テスト条件'!A38)</f>
        <v/>
      </c>
    </row>
    <row r="40">
      <c r="A40" s="27" t="n"/>
      <c r="B40" s="27" t="n"/>
      <c r="C40" s="28">
        <f>IF(A40="","",$B$2)</f>
        <v/>
      </c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7" t="n"/>
      <c r="AJ40" s="27" t="n"/>
      <c r="AK40" s="27" t="n"/>
      <c r="AL40" s="27" t="n"/>
      <c r="AM40" s="27" t="n"/>
      <c r="AN40" s="27" t="n"/>
      <c r="AO40" s="27" t="n"/>
      <c r="AP40" s="27" t="n"/>
      <c r="AQ40" s="27" t="n"/>
      <c r="AR40" s="27" t="n"/>
      <c r="AS40" s="27" t="n"/>
      <c r="AT40" s="27" t="n"/>
      <c r="AU40" s="27" t="n"/>
      <c r="AV40" s="27" t="n"/>
      <c r="AW40" s="27" t="n"/>
      <c r="AX40" s="27" t="n"/>
      <c r="AY40" s="27" t="n"/>
      <c r="AZ40" s="27" t="n"/>
      <c r="BA40" s="27" t="n"/>
      <c r="BB40" s="27" t="n"/>
      <c r="BC40" s="27" t="n"/>
      <c r="BD40" s="27" t="n"/>
      <c r="BE40" s="27" t="n"/>
      <c r="BF40" s="27" t="n"/>
      <c r="BG40" s="27" t="n"/>
      <c r="BH40" s="27" t="n"/>
      <c r="BI40" s="29" t="n"/>
      <c r="BJ40" s="27" t="n"/>
      <c r="BK40" s="27" t="n"/>
      <c r="BL40" s="27" t="n"/>
      <c r="BM40" s="27" t="n"/>
      <c r="DN40" s="26">
        <f>IF('テスト条件'!A39="","",'テスト条件'!A39)</f>
        <v/>
      </c>
    </row>
    <row r="41">
      <c r="A41" s="27" t="n"/>
      <c r="B41" s="27" t="n"/>
      <c r="C41" s="28">
        <f>IF(A41="","",$B$2)</f>
        <v/>
      </c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27" t="n"/>
      <c r="AJ41" s="27" t="n"/>
      <c r="AK41" s="27" t="n"/>
      <c r="AL41" s="27" t="n"/>
      <c r="AM41" s="27" t="n"/>
      <c r="AN41" s="27" t="n"/>
      <c r="AO41" s="27" t="n"/>
      <c r="AP41" s="27" t="n"/>
      <c r="AQ41" s="27" t="n"/>
      <c r="AR41" s="27" t="n"/>
      <c r="AS41" s="27" t="n"/>
      <c r="AT41" s="27" t="n"/>
      <c r="AU41" s="27" t="n"/>
      <c r="AV41" s="27" t="n"/>
      <c r="AW41" s="27" t="n"/>
      <c r="AX41" s="27" t="n"/>
      <c r="AY41" s="27" t="n"/>
      <c r="AZ41" s="27" t="n"/>
      <c r="BA41" s="27" t="n"/>
      <c r="BB41" s="27" t="n"/>
      <c r="BC41" s="27" t="n"/>
      <c r="BD41" s="27" t="n"/>
      <c r="BE41" s="27" t="n"/>
      <c r="BF41" s="27" t="n"/>
      <c r="BG41" s="27" t="n"/>
      <c r="BH41" s="27" t="n"/>
      <c r="BI41" s="29" t="n"/>
      <c r="BJ41" s="27" t="n"/>
      <c r="BK41" s="27" t="n"/>
      <c r="BL41" s="27" t="n"/>
      <c r="BM41" s="27" t="n"/>
      <c r="DN41" s="26">
        <f>IF('テスト条件'!A40="","",'テスト条件'!A40)</f>
        <v/>
      </c>
    </row>
    <row r="42">
      <c r="A42" s="27" t="n"/>
      <c r="B42" s="27" t="n"/>
      <c r="C42" s="28">
        <f>IF(A42="","",$B$2)</f>
        <v/>
      </c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27" t="n"/>
      <c r="AJ42" s="27" t="n"/>
      <c r="AK42" s="27" t="n"/>
      <c r="AL42" s="27" t="n"/>
      <c r="AM42" s="27" t="n"/>
      <c r="AN42" s="27" t="n"/>
      <c r="AO42" s="27" t="n"/>
      <c r="AP42" s="27" t="n"/>
      <c r="AQ42" s="27" t="n"/>
      <c r="AR42" s="27" t="n"/>
      <c r="AS42" s="27" t="n"/>
      <c r="AT42" s="27" t="n"/>
      <c r="AU42" s="27" t="n"/>
      <c r="AV42" s="27" t="n"/>
      <c r="AW42" s="27" t="n"/>
      <c r="AX42" s="27" t="n"/>
      <c r="AY42" s="27" t="n"/>
      <c r="AZ42" s="27" t="n"/>
      <c r="BA42" s="27" t="n"/>
      <c r="BB42" s="27" t="n"/>
      <c r="BC42" s="27" t="n"/>
      <c r="BD42" s="27" t="n"/>
      <c r="BE42" s="27" t="n"/>
      <c r="BF42" s="27" t="n"/>
      <c r="BG42" s="27" t="n"/>
      <c r="BH42" s="27" t="n"/>
      <c r="BI42" s="29" t="n"/>
      <c r="BJ42" s="27" t="n"/>
      <c r="BK42" s="27" t="n"/>
      <c r="BL42" s="27" t="n"/>
      <c r="BM42" s="27" t="n"/>
      <c r="DN42" s="26">
        <f>IF('テスト条件'!A41="","",'テスト条件'!A41)</f>
        <v/>
      </c>
    </row>
    <row r="43">
      <c r="A43" s="27" t="n"/>
      <c r="B43" s="27" t="n"/>
      <c r="C43" s="28">
        <f>IF(A43="","",$B$2)</f>
        <v/>
      </c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27" t="n"/>
      <c r="AJ43" s="27" t="n"/>
      <c r="AK43" s="27" t="n"/>
      <c r="AL43" s="27" t="n"/>
      <c r="AM43" s="27" t="n"/>
      <c r="AN43" s="27" t="n"/>
      <c r="AO43" s="27" t="n"/>
      <c r="AP43" s="27" t="n"/>
      <c r="AQ43" s="27" t="n"/>
      <c r="AR43" s="27" t="n"/>
      <c r="AS43" s="27" t="n"/>
      <c r="AT43" s="27" t="n"/>
      <c r="AU43" s="27" t="n"/>
      <c r="AV43" s="27" t="n"/>
      <c r="AW43" s="27" t="n"/>
      <c r="AX43" s="27" t="n"/>
      <c r="AY43" s="27" t="n"/>
      <c r="AZ43" s="27" t="n"/>
      <c r="BA43" s="27" t="n"/>
      <c r="BB43" s="27" t="n"/>
      <c r="BC43" s="27" t="n"/>
      <c r="BD43" s="27" t="n"/>
      <c r="BE43" s="27" t="n"/>
      <c r="BF43" s="27" t="n"/>
      <c r="BG43" s="27" t="n"/>
      <c r="BH43" s="27" t="n"/>
      <c r="BI43" s="29" t="n"/>
      <c r="BJ43" s="27" t="n"/>
      <c r="BK43" s="27" t="n"/>
      <c r="BL43" s="27" t="n"/>
      <c r="BM43" s="27" t="n"/>
      <c r="DN43" s="26">
        <f>IF('テスト条件'!A42="","",'テスト条件'!A42)</f>
        <v/>
      </c>
    </row>
    <row r="44">
      <c r="A44" s="27" t="n"/>
      <c r="B44" s="27" t="n"/>
      <c r="C44" s="28">
        <f>IF(A44="","",$B$2)</f>
        <v/>
      </c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  <c r="AJ44" s="27" t="n"/>
      <c r="AK44" s="27" t="n"/>
      <c r="AL44" s="27" t="n"/>
      <c r="AM44" s="27" t="n"/>
      <c r="AN44" s="27" t="n"/>
      <c r="AO44" s="27" t="n"/>
      <c r="AP44" s="27" t="n"/>
      <c r="AQ44" s="27" t="n"/>
      <c r="AR44" s="27" t="n"/>
      <c r="AS44" s="27" t="n"/>
      <c r="AT44" s="27" t="n"/>
      <c r="AU44" s="27" t="n"/>
      <c r="AV44" s="27" t="n"/>
      <c r="AW44" s="27" t="n"/>
      <c r="AX44" s="27" t="n"/>
      <c r="AY44" s="27" t="n"/>
      <c r="AZ44" s="27" t="n"/>
      <c r="BA44" s="27" t="n"/>
      <c r="BB44" s="27" t="n"/>
      <c r="BC44" s="27" t="n"/>
      <c r="BD44" s="27" t="n"/>
      <c r="BE44" s="27" t="n"/>
      <c r="BF44" s="27" t="n"/>
      <c r="BG44" s="27" t="n"/>
      <c r="BH44" s="27" t="n"/>
      <c r="BI44" s="29" t="n"/>
      <c r="BJ44" s="27" t="n"/>
      <c r="BK44" s="27" t="n"/>
      <c r="BL44" s="27" t="n"/>
      <c r="BM44" s="27" t="n"/>
      <c r="DN44" s="26">
        <f>IF('テスト条件'!A43="","",'テスト条件'!A43)</f>
        <v/>
      </c>
    </row>
    <row r="45">
      <c r="A45" s="27" t="n"/>
      <c r="B45" s="27" t="n"/>
      <c r="C45" s="28">
        <f>IF(A45="","",$B$2)</f>
        <v/>
      </c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27" t="n"/>
      <c r="AJ45" s="27" t="n"/>
      <c r="AK45" s="27" t="n"/>
      <c r="AL45" s="27" t="n"/>
      <c r="AM45" s="27" t="n"/>
      <c r="AN45" s="27" t="n"/>
      <c r="AO45" s="27" t="n"/>
      <c r="AP45" s="27" t="n"/>
      <c r="AQ45" s="27" t="n"/>
      <c r="AR45" s="27" t="n"/>
      <c r="AS45" s="27" t="n"/>
      <c r="AT45" s="27" t="n"/>
      <c r="AU45" s="27" t="n"/>
      <c r="AV45" s="27" t="n"/>
      <c r="AW45" s="27" t="n"/>
      <c r="AX45" s="27" t="n"/>
      <c r="AY45" s="27" t="n"/>
      <c r="AZ45" s="27" t="n"/>
      <c r="BA45" s="27" t="n"/>
      <c r="BB45" s="27" t="n"/>
      <c r="BC45" s="27" t="n"/>
      <c r="BD45" s="27" t="n"/>
      <c r="BE45" s="27" t="n"/>
      <c r="BF45" s="27" t="n"/>
      <c r="BG45" s="27" t="n"/>
      <c r="BH45" s="27" t="n"/>
      <c r="BI45" s="29" t="n"/>
      <c r="BJ45" s="27" t="n"/>
      <c r="BK45" s="27" t="n"/>
      <c r="BL45" s="27" t="n"/>
      <c r="BM45" s="27" t="n"/>
      <c r="DN45" s="26">
        <f>IF('テスト条件'!A44="","",'テスト条件'!A44)</f>
        <v/>
      </c>
    </row>
    <row r="46">
      <c r="A46" s="27" t="n"/>
      <c r="B46" s="27" t="n"/>
      <c r="C46" s="28">
        <f>IF(A46="","",$B$2)</f>
        <v/>
      </c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  <c r="AJ46" s="27" t="n"/>
      <c r="AK46" s="27" t="n"/>
      <c r="AL46" s="27" t="n"/>
      <c r="AM46" s="27" t="n"/>
      <c r="AN46" s="27" t="n"/>
      <c r="AO46" s="27" t="n"/>
      <c r="AP46" s="27" t="n"/>
      <c r="AQ46" s="27" t="n"/>
      <c r="AR46" s="27" t="n"/>
      <c r="AS46" s="27" t="n"/>
      <c r="AT46" s="27" t="n"/>
      <c r="AU46" s="27" t="n"/>
      <c r="AV46" s="27" t="n"/>
      <c r="AW46" s="27" t="n"/>
      <c r="AX46" s="27" t="n"/>
      <c r="AY46" s="27" t="n"/>
      <c r="AZ46" s="27" t="n"/>
      <c r="BA46" s="27" t="n"/>
      <c r="BB46" s="27" t="n"/>
      <c r="BC46" s="27" t="n"/>
      <c r="BD46" s="27" t="n"/>
      <c r="BE46" s="27" t="n"/>
      <c r="BF46" s="27" t="n"/>
      <c r="BG46" s="27" t="n"/>
      <c r="BH46" s="27" t="n"/>
      <c r="BI46" s="29" t="n"/>
      <c r="BJ46" s="27" t="n"/>
      <c r="BK46" s="27" t="n"/>
      <c r="BL46" s="27" t="n"/>
      <c r="BM46" s="27" t="n"/>
      <c r="DN46" s="26">
        <f>IF('テスト条件'!A45="","",'テスト条件'!A45)</f>
        <v/>
      </c>
    </row>
    <row r="47">
      <c r="A47" s="27" t="n"/>
      <c r="B47" s="27" t="n"/>
      <c r="C47" s="28">
        <f>IF(A47="","",$B$2)</f>
        <v/>
      </c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  <c r="AJ47" s="27" t="n"/>
      <c r="AK47" s="27" t="n"/>
      <c r="AL47" s="27" t="n"/>
      <c r="AM47" s="27" t="n"/>
      <c r="AN47" s="27" t="n"/>
      <c r="AO47" s="27" t="n"/>
      <c r="AP47" s="27" t="n"/>
      <c r="AQ47" s="27" t="n"/>
      <c r="AR47" s="27" t="n"/>
      <c r="AS47" s="27" t="n"/>
      <c r="AT47" s="27" t="n"/>
      <c r="AU47" s="27" t="n"/>
      <c r="AV47" s="27" t="n"/>
      <c r="AW47" s="27" t="n"/>
      <c r="AX47" s="27" t="n"/>
      <c r="AY47" s="27" t="n"/>
      <c r="AZ47" s="27" t="n"/>
      <c r="BA47" s="27" t="n"/>
      <c r="BB47" s="27" t="n"/>
      <c r="BC47" s="27" t="n"/>
      <c r="BD47" s="27" t="n"/>
      <c r="BE47" s="27" t="n"/>
      <c r="BF47" s="27" t="n"/>
      <c r="BG47" s="27" t="n"/>
      <c r="BH47" s="27" t="n"/>
      <c r="BI47" s="29" t="n"/>
      <c r="BJ47" s="27" t="n"/>
      <c r="BK47" s="27" t="n"/>
      <c r="BL47" s="27" t="n"/>
      <c r="BM47" s="27" t="n"/>
      <c r="DN47" s="26">
        <f>IF('テスト条件'!A46="","",'テスト条件'!A46)</f>
        <v/>
      </c>
    </row>
    <row r="48">
      <c r="A48" s="27" t="n"/>
      <c r="B48" s="27" t="n"/>
      <c r="C48" s="28">
        <f>IF(A48="","",$B$2)</f>
        <v/>
      </c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27" t="n"/>
      <c r="AJ48" s="27" t="n"/>
      <c r="AK48" s="27" t="n"/>
      <c r="AL48" s="27" t="n"/>
      <c r="AM48" s="27" t="n"/>
      <c r="AN48" s="27" t="n"/>
      <c r="AO48" s="27" t="n"/>
      <c r="AP48" s="27" t="n"/>
      <c r="AQ48" s="27" t="n"/>
      <c r="AR48" s="27" t="n"/>
      <c r="AS48" s="27" t="n"/>
      <c r="AT48" s="27" t="n"/>
      <c r="AU48" s="27" t="n"/>
      <c r="AV48" s="27" t="n"/>
      <c r="AW48" s="27" t="n"/>
      <c r="AX48" s="27" t="n"/>
      <c r="AY48" s="27" t="n"/>
      <c r="AZ48" s="27" t="n"/>
      <c r="BA48" s="27" t="n"/>
      <c r="BB48" s="27" t="n"/>
      <c r="BC48" s="27" t="n"/>
      <c r="BD48" s="27" t="n"/>
      <c r="BE48" s="27" t="n"/>
      <c r="BF48" s="27" t="n"/>
      <c r="BG48" s="27" t="n"/>
      <c r="BH48" s="27" t="n"/>
      <c r="BI48" s="29" t="n"/>
      <c r="BJ48" s="27" t="n"/>
      <c r="BK48" s="27" t="n"/>
      <c r="BL48" s="27" t="n"/>
      <c r="BM48" s="27" t="n"/>
      <c r="DN48" s="26">
        <f>IF('テスト条件'!A47="","",'テスト条件'!A47)</f>
        <v/>
      </c>
    </row>
    <row r="49">
      <c r="A49" s="27" t="n"/>
      <c r="B49" s="27" t="n"/>
      <c r="C49" s="28">
        <f>IF(A49="","",$B$2)</f>
        <v/>
      </c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27" t="n"/>
      <c r="AJ49" s="27" t="n"/>
      <c r="AK49" s="27" t="n"/>
      <c r="AL49" s="27" t="n"/>
      <c r="AM49" s="27" t="n"/>
      <c r="AN49" s="27" t="n"/>
      <c r="AO49" s="27" t="n"/>
      <c r="AP49" s="27" t="n"/>
      <c r="AQ49" s="27" t="n"/>
      <c r="AR49" s="27" t="n"/>
      <c r="AS49" s="27" t="n"/>
      <c r="AT49" s="27" t="n"/>
      <c r="AU49" s="27" t="n"/>
      <c r="AV49" s="27" t="n"/>
      <c r="AW49" s="27" t="n"/>
      <c r="AX49" s="27" t="n"/>
      <c r="AY49" s="27" t="n"/>
      <c r="AZ49" s="27" t="n"/>
      <c r="BA49" s="27" t="n"/>
      <c r="BB49" s="27" t="n"/>
      <c r="BC49" s="27" t="n"/>
      <c r="BD49" s="27" t="n"/>
      <c r="BE49" s="27" t="n"/>
      <c r="BF49" s="27" t="n"/>
      <c r="BG49" s="27" t="n"/>
      <c r="BH49" s="27" t="n"/>
      <c r="BI49" s="29" t="n"/>
      <c r="BJ49" s="27" t="n"/>
      <c r="BK49" s="27" t="n"/>
      <c r="BL49" s="27" t="n"/>
      <c r="BM49" s="27" t="n"/>
      <c r="DN49" s="26">
        <f>IF('テスト条件'!A48="","",'テスト条件'!A48)</f>
        <v/>
      </c>
    </row>
    <row r="50">
      <c r="A50" s="27" t="n"/>
      <c r="B50" s="27" t="n"/>
      <c r="C50" s="28">
        <f>IF(A50="","",$B$2)</f>
        <v/>
      </c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27" t="n"/>
      <c r="AJ50" s="27" t="n"/>
      <c r="AK50" s="27" t="n"/>
      <c r="AL50" s="27" t="n"/>
      <c r="AM50" s="27" t="n"/>
      <c r="AN50" s="27" t="n"/>
      <c r="AO50" s="27" t="n"/>
      <c r="AP50" s="27" t="n"/>
      <c r="AQ50" s="27" t="n"/>
      <c r="AR50" s="27" t="n"/>
      <c r="AS50" s="27" t="n"/>
      <c r="AT50" s="27" t="n"/>
      <c r="AU50" s="27" t="n"/>
      <c r="AV50" s="27" t="n"/>
      <c r="AW50" s="27" t="n"/>
      <c r="AX50" s="27" t="n"/>
      <c r="AY50" s="27" t="n"/>
      <c r="AZ50" s="27" t="n"/>
      <c r="BA50" s="27" t="n"/>
      <c r="BB50" s="27" t="n"/>
      <c r="BC50" s="27" t="n"/>
      <c r="BD50" s="27" t="n"/>
      <c r="BE50" s="27" t="n"/>
      <c r="BF50" s="27" t="n"/>
      <c r="BG50" s="27" t="n"/>
      <c r="BH50" s="27" t="n"/>
      <c r="BI50" s="29" t="n"/>
      <c r="BJ50" s="27" t="n"/>
      <c r="BK50" s="27" t="n"/>
      <c r="BL50" s="27" t="n"/>
      <c r="BM50" s="27" t="n"/>
      <c r="DN50" s="26">
        <f>IF('テスト条件'!A49="","",'テスト条件'!A49)</f>
        <v/>
      </c>
    </row>
    <row r="51">
      <c r="A51" s="27" t="n"/>
      <c r="B51" s="27" t="n"/>
      <c r="C51" s="28">
        <f>IF(A51="","",$B$2)</f>
        <v/>
      </c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27" t="n"/>
      <c r="AJ51" s="27" t="n"/>
      <c r="AK51" s="27" t="n"/>
      <c r="AL51" s="27" t="n"/>
      <c r="AM51" s="27" t="n"/>
      <c r="AN51" s="27" t="n"/>
      <c r="AO51" s="27" t="n"/>
      <c r="AP51" s="27" t="n"/>
      <c r="AQ51" s="27" t="n"/>
      <c r="AR51" s="27" t="n"/>
      <c r="AS51" s="27" t="n"/>
      <c r="AT51" s="27" t="n"/>
      <c r="AU51" s="27" t="n"/>
      <c r="AV51" s="27" t="n"/>
      <c r="AW51" s="27" t="n"/>
      <c r="AX51" s="27" t="n"/>
      <c r="AY51" s="27" t="n"/>
      <c r="AZ51" s="27" t="n"/>
      <c r="BA51" s="27" t="n"/>
      <c r="BB51" s="27" t="n"/>
      <c r="BC51" s="27" t="n"/>
      <c r="BD51" s="27" t="n"/>
      <c r="BE51" s="27" t="n"/>
      <c r="BF51" s="27" t="n"/>
      <c r="BG51" s="27" t="n"/>
      <c r="BH51" s="27" t="n"/>
      <c r="BI51" s="29" t="n"/>
      <c r="BJ51" s="27" t="n"/>
      <c r="BK51" s="27" t="n"/>
      <c r="BL51" s="27" t="n"/>
      <c r="BM51" s="27" t="n"/>
      <c r="DN51" s="26">
        <f>IF('テスト条件'!A50="","",'テスト条件'!A50)</f>
        <v/>
      </c>
    </row>
    <row r="52">
      <c r="A52" s="27" t="n"/>
      <c r="B52" s="27" t="n"/>
      <c r="C52" s="28">
        <f>IF(A52="","",$B$2)</f>
        <v/>
      </c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27" t="n"/>
      <c r="AJ52" s="27" t="n"/>
      <c r="AK52" s="27" t="n"/>
      <c r="AL52" s="27" t="n"/>
      <c r="AM52" s="27" t="n"/>
      <c r="AN52" s="27" t="n"/>
      <c r="AO52" s="27" t="n"/>
      <c r="AP52" s="27" t="n"/>
      <c r="AQ52" s="27" t="n"/>
      <c r="AR52" s="27" t="n"/>
      <c r="AS52" s="27" t="n"/>
      <c r="AT52" s="27" t="n"/>
      <c r="AU52" s="27" t="n"/>
      <c r="AV52" s="27" t="n"/>
      <c r="AW52" s="27" t="n"/>
      <c r="AX52" s="27" t="n"/>
      <c r="AY52" s="27" t="n"/>
      <c r="AZ52" s="27" t="n"/>
      <c r="BA52" s="27" t="n"/>
      <c r="BB52" s="27" t="n"/>
      <c r="BC52" s="27" t="n"/>
      <c r="BD52" s="27" t="n"/>
      <c r="BE52" s="27" t="n"/>
      <c r="BF52" s="27" t="n"/>
      <c r="BG52" s="27" t="n"/>
      <c r="BH52" s="27" t="n"/>
      <c r="BI52" s="29" t="n"/>
      <c r="BJ52" s="27" t="n"/>
      <c r="BK52" s="27" t="n"/>
      <c r="BL52" s="27" t="n"/>
      <c r="BM52" s="27" t="n"/>
      <c r="DN52" s="26">
        <f>IF('テスト条件'!A51="","",'テスト条件'!A51)</f>
        <v/>
      </c>
    </row>
    <row r="53">
      <c r="A53" s="27" t="n"/>
      <c r="B53" s="27" t="n"/>
      <c r="C53" s="28">
        <f>IF(A53="","",$B$2)</f>
        <v/>
      </c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27" t="n"/>
      <c r="AJ53" s="27" t="n"/>
      <c r="AK53" s="27" t="n"/>
      <c r="AL53" s="27" t="n"/>
      <c r="AM53" s="27" t="n"/>
      <c r="AN53" s="27" t="n"/>
      <c r="AO53" s="27" t="n"/>
      <c r="AP53" s="27" t="n"/>
      <c r="AQ53" s="27" t="n"/>
      <c r="AR53" s="27" t="n"/>
      <c r="AS53" s="27" t="n"/>
      <c r="AT53" s="27" t="n"/>
      <c r="AU53" s="27" t="n"/>
      <c r="AV53" s="27" t="n"/>
      <c r="AW53" s="27" t="n"/>
      <c r="AX53" s="27" t="n"/>
      <c r="AY53" s="27" t="n"/>
      <c r="AZ53" s="27" t="n"/>
      <c r="BA53" s="27" t="n"/>
      <c r="BB53" s="27" t="n"/>
      <c r="BC53" s="27" t="n"/>
      <c r="BD53" s="27" t="n"/>
      <c r="BE53" s="27" t="n"/>
      <c r="BF53" s="27" t="n"/>
      <c r="BG53" s="27" t="n"/>
      <c r="BH53" s="27" t="n"/>
      <c r="BI53" s="29" t="n"/>
      <c r="BJ53" s="27" t="n"/>
      <c r="BK53" s="27" t="n"/>
      <c r="BL53" s="27" t="n"/>
      <c r="BM53" s="27" t="n"/>
      <c r="DN53" s="26">
        <f>IF('テスト条件'!A52="","",'テスト条件'!A52)</f>
        <v/>
      </c>
    </row>
    <row r="54">
      <c r="A54" s="27" t="n"/>
      <c r="B54" s="27" t="n"/>
      <c r="C54" s="28">
        <f>IF(A54="","",$B$2)</f>
        <v/>
      </c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27" t="n"/>
      <c r="AJ54" s="27" t="n"/>
      <c r="AK54" s="27" t="n"/>
      <c r="AL54" s="27" t="n"/>
      <c r="AM54" s="27" t="n"/>
      <c r="AN54" s="27" t="n"/>
      <c r="AO54" s="27" t="n"/>
      <c r="AP54" s="27" t="n"/>
      <c r="AQ54" s="27" t="n"/>
      <c r="AR54" s="27" t="n"/>
      <c r="AS54" s="27" t="n"/>
      <c r="AT54" s="27" t="n"/>
      <c r="AU54" s="27" t="n"/>
      <c r="AV54" s="27" t="n"/>
      <c r="AW54" s="27" t="n"/>
      <c r="AX54" s="27" t="n"/>
      <c r="AY54" s="27" t="n"/>
      <c r="AZ54" s="27" t="n"/>
      <c r="BA54" s="27" t="n"/>
      <c r="BB54" s="27" t="n"/>
      <c r="BC54" s="27" t="n"/>
      <c r="BD54" s="27" t="n"/>
      <c r="BE54" s="27" t="n"/>
      <c r="BF54" s="27" t="n"/>
      <c r="BG54" s="27" t="n"/>
      <c r="BH54" s="27" t="n"/>
      <c r="BI54" s="29" t="n"/>
      <c r="BJ54" s="27" t="n"/>
      <c r="BK54" s="27" t="n"/>
      <c r="BL54" s="27" t="n"/>
      <c r="BM54" s="27" t="n"/>
      <c r="DN54" s="26">
        <f>IF('テスト条件'!A53="","",'テスト条件'!A53)</f>
        <v/>
      </c>
    </row>
    <row r="55">
      <c r="A55" s="27" t="n"/>
      <c r="B55" s="27" t="n"/>
      <c r="C55" s="28">
        <f>IF(A55="","",$B$2)</f>
        <v/>
      </c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27" t="n"/>
      <c r="AJ55" s="27" t="n"/>
      <c r="AK55" s="27" t="n"/>
      <c r="AL55" s="27" t="n"/>
      <c r="AM55" s="27" t="n"/>
      <c r="AN55" s="27" t="n"/>
      <c r="AO55" s="27" t="n"/>
      <c r="AP55" s="27" t="n"/>
      <c r="AQ55" s="27" t="n"/>
      <c r="AR55" s="27" t="n"/>
      <c r="AS55" s="27" t="n"/>
      <c r="AT55" s="27" t="n"/>
      <c r="AU55" s="27" t="n"/>
      <c r="AV55" s="27" t="n"/>
      <c r="AW55" s="27" t="n"/>
      <c r="AX55" s="27" t="n"/>
      <c r="AY55" s="27" t="n"/>
      <c r="AZ55" s="27" t="n"/>
      <c r="BA55" s="27" t="n"/>
      <c r="BB55" s="27" t="n"/>
      <c r="BC55" s="27" t="n"/>
      <c r="BD55" s="27" t="n"/>
      <c r="BE55" s="27" t="n"/>
      <c r="BF55" s="27" t="n"/>
      <c r="BG55" s="27" t="n"/>
      <c r="BH55" s="27" t="n"/>
      <c r="BI55" s="29" t="n"/>
      <c r="BJ55" s="27" t="n"/>
      <c r="BK55" s="27" t="n"/>
      <c r="BL55" s="27" t="n"/>
      <c r="BM55" s="27" t="n"/>
      <c r="DN55" s="26">
        <f>IF('テスト条件'!A54="","",'テスト条件'!A54)</f>
        <v/>
      </c>
    </row>
    <row r="56">
      <c r="A56" s="27" t="n"/>
      <c r="B56" s="27" t="n"/>
      <c r="C56" s="28">
        <f>IF(A56="","",$B$2)</f>
        <v/>
      </c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  <c r="AJ56" s="27" t="n"/>
      <c r="AK56" s="27" t="n"/>
      <c r="AL56" s="27" t="n"/>
      <c r="AM56" s="27" t="n"/>
      <c r="AN56" s="27" t="n"/>
      <c r="AO56" s="27" t="n"/>
      <c r="AP56" s="27" t="n"/>
      <c r="AQ56" s="27" t="n"/>
      <c r="AR56" s="27" t="n"/>
      <c r="AS56" s="27" t="n"/>
      <c r="AT56" s="27" t="n"/>
      <c r="AU56" s="27" t="n"/>
      <c r="AV56" s="27" t="n"/>
      <c r="AW56" s="27" t="n"/>
      <c r="AX56" s="27" t="n"/>
      <c r="AY56" s="27" t="n"/>
      <c r="AZ56" s="27" t="n"/>
      <c r="BA56" s="27" t="n"/>
      <c r="BB56" s="27" t="n"/>
      <c r="BC56" s="27" t="n"/>
      <c r="BD56" s="27" t="n"/>
      <c r="BE56" s="27" t="n"/>
      <c r="BF56" s="27" t="n"/>
      <c r="BG56" s="27" t="n"/>
      <c r="BH56" s="27" t="n"/>
      <c r="BI56" s="29" t="n"/>
      <c r="BJ56" s="27" t="n"/>
      <c r="BK56" s="27" t="n"/>
      <c r="BL56" s="27" t="n"/>
      <c r="BM56" s="27" t="n"/>
      <c r="DN56" s="26">
        <f>IF('テスト条件'!A55="","",'テスト条件'!A55)</f>
        <v/>
      </c>
    </row>
    <row r="57">
      <c r="A57" s="27" t="n"/>
      <c r="B57" s="27" t="n"/>
      <c r="C57" s="28">
        <f>IF(A57="","",$B$2)</f>
        <v/>
      </c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  <c r="AA57" s="27" t="n"/>
      <c r="AB57" s="27" t="n"/>
      <c r="AC57" s="27" t="n"/>
      <c r="AD57" s="27" t="n"/>
      <c r="AE57" s="27" t="n"/>
      <c r="AF57" s="27" t="n"/>
      <c r="AG57" s="27" t="n"/>
      <c r="AH57" s="27" t="n"/>
      <c r="AI57" s="27" t="n"/>
      <c r="AJ57" s="27" t="n"/>
      <c r="AK57" s="27" t="n"/>
      <c r="AL57" s="27" t="n"/>
      <c r="AM57" s="27" t="n"/>
      <c r="AN57" s="27" t="n"/>
      <c r="AO57" s="27" t="n"/>
      <c r="AP57" s="27" t="n"/>
      <c r="AQ57" s="27" t="n"/>
      <c r="AR57" s="27" t="n"/>
      <c r="AS57" s="27" t="n"/>
      <c r="AT57" s="27" t="n"/>
      <c r="AU57" s="27" t="n"/>
      <c r="AV57" s="27" t="n"/>
      <c r="AW57" s="27" t="n"/>
      <c r="AX57" s="27" t="n"/>
      <c r="AY57" s="27" t="n"/>
      <c r="AZ57" s="27" t="n"/>
      <c r="BA57" s="27" t="n"/>
      <c r="BB57" s="27" t="n"/>
      <c r="BC57" s="27" t="n"/>
      <c r="BD57" s="27" t="n"/>
      <c r="BE57" s="27" t="n"/>
      <c r="BF57" s="27" t="n"/>
      <c r="BG57" s="27" t="n"/>
      <c r="BH57" s="27" t="n"/>
      <c r="BI57" s="29" t="n"/>
      <c r="BJ57" s="27" t="n"/>
      <c r="BK57" s="27" t="n"/>
      <c r="BL57" s="27" t="n"/>
      <c r="BM57" s="27" t="n"/>
      <c r="DN57" s="26">
        <f>IF('テスト条件'!A56="","",'テスト条件'!A56)</f>
        <v/>
      </c>
    </row>
    <row r="58">
      <c r="A58" s="27" t="n"/>
      <c r="B58" s="27" t="n"/>
      <c r="C58" s="28">
        <f>IF(A58="","",$B$2)</f>
        <v/>
      </c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27" t="n"/>
      <c r="AJ58" s="27" t="n"/>
      <c r="AK58" s="27" t="n"/>
      <c r="AL58" s="27" t="n"/>
      <c r="AM58" s="27" t="n"/>
      <c r="AN58" s="27" t="n"/>
      <c r="AO58" s="27" t="n"/>
      <c r="AP58" s="27" t="n"/>
      <c r="AQ58" s="27" t="n"/>
      <c r="AR58" s="27" t="n"/>
      <c r="AS58" s="27" t="n"/>
      <c r="AT58" s="27" t="n"/>
      <c r="AU58" s="27" t="n"/>
      <c r="AV58" s="27" t="n"/>
      <c r="AW58" s="27" t="n"/>
      <c r="AX58" s="27" t="n"/>
      <c r="AY58" s="27" t="n"/>
      <c r="AZ58" s="27" t="n"/>
      <c r="BA58" s="27" t="n"/>
      <c r="BB58" s="27" t="n"/>
      <c r="BC58" s="27" t="n"/>
      <c r="BD58" s="27" t="n"/>
      <c r="BE58" s="27" t="n"/>
      <c r="BF58" s="27" t="n"/>
      <c r="BG58" s="27" t="n"/>
      <c r="BH58" s="27" t="n"/>
      <c r="BI58" s="29" t="n"/>
      <c r="BJ58" s="27" t="n"/>
      <c r="BK58" s="27" t="n"/>
      <c r="BL58" s="27" t="n"/>
      <c r="BM58" s="27" t="n"/>
      <c r="DN58" s="26">
        <f>IF('テスト条件'!A57="","",'テスト条件'!A57)</f>
        <v/>
      </c>
    </row>
    <row r="59">
      <c r="A59" s="27" t="n"/>
      <c r="B59" s="27" t="n"/>
      <c r="C59" s="28">
        <f>IF(A59="","",$B$2)</f>
        <v/>
      </c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27" t="n"/>
      <c r="AJ59" s="27" t="n"/>
      <c r="AK59" s="27" t="n"/>
      <c r="AL59" s="27" t="n"/>
      <c r="AM59" s="27" t="n"/>
      <c r="AN59" s="27" t="n"/>
      <c r="AO59" s="27" t="n"/>
      <c r="AP59" s="27" t="n"/>
      <c r="AQ59" s="27" t="n"/>
      <c r="AR59" s="27" t="n"/>
      <c r="AS59" s="27" t="n"/>
      <c r="AT59" s="27" t="n"/>
      <c r="AU59" s="27" t="n"/>
      <c r="AV59" s="27" t="n"/>
      <c r="AW59" s="27" t="n"/>
      <c r="AX59" s="27" t="n"/>
      <c r="AY59" s="27" t="n"/>
      <c r="AZ59" s="27" t="n"/>
      <c r="BA59" s="27" t="n"/>
      <c r="BB59" s="27" t="n"/>
      <c r="BC59" s="27" t="n"/>
      <c r="BD59" s="27" t="n"/>
      <c r="BE59" s="27" t="n"/>
      <c r="BF59" s="27" t="n"/>
      <c r="BG59" s="27" t="n"/>
      <c r="BH59" s="27" t="n"/>
      <c r="BI59" s="29" t="n"/>
      <c r="BJ59" s="27" t="n"/>
      <c r="BK59" s="27" t="n"/>
      <c r="BL59" s="27" t="n"/>
      <c r="BM59" s="27" t="n"/>
      <c r="DN59" s="26">
        <f>IF('テスト条件'!A58="","",'テスト条件'!A58)</f>
        <v/>
      </c>
    </row>
    <row r="60">
      <c r="A60" s="27" t="n"/>
      <c r="B60" s="27" t="n"/>
      <c r="C60" s="28">
        <f>IF(A60="","",$B$2)</f>
        <v/>
      </c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27" t="n"/>
      <c r="AJ60" s="27" t="n"/>
      <c r="AK60" s="27" t="n"/>
      <c r="AL60" s="27" t="n"/>
      <c r="AM60" s="27" t="n"/>
      <c r="AN60" s="27" t="n"/>
      <c r="AO60" s="27" t="n"/>
      <c r="AP60" s="27" t="n"/>
      <c r="AQ60" s="27" t="n"/>
      <c r="AR60" s="27" t="n"/>
      <c r="AS60" s="27" t="n"/>
      <c r="AT60" s="27" t="n"/>
      <c r="AU60" s="27" t="n"/>
      <c r="AV60" s="27" t="n"/>
      <c r="AW60" s="27" t="n"/>
      <c r="AX60" s="27" t="n"/>
      <c r="AY60" s="27" t="n"/>
      <c r="AZ60" s="27" t="n"/>
      <c r="BA60" s="27" t="n"/>
      <c r="BB60" s="27" t="n"/>
      <c r="BC60" s="27" t="n"/>
      <c r="BD60" s="27" t="n"/>
      <c r="BE60" s="27" t="n"/>
      <c r="BF60" s="27" t="n"/>
      <c r="BG60" s="27" t="n"/>
      <c r="BH60" s="27" t="n"/>
      <c r="BI60" s="29" t="n"/>
      <c r="BJ60" s="27" t="n"/>
      <c r="BK60" s="27" t="n"/>
      <c r="BL60" s="27" t="n"/>
      <c r="BM60" s="27" t="n"/>
      <c r="DN60" s="26">
        <f>IF('テスト条件'!A59="","",'テスト条件'!A59)</f>
        <v/>
      </c>
    </row>
    <row r="61">
      <c r="A61" s="27" t="n"/>
      <c r="B61" s="27" t="n"/>
      <c r="C61" s="28">
        <f>IF(A61="","",$B$2)</f>
        <v/>
      </c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27" t="n"/>
      <c r="AJ61" s="27" t="n"/>
      <c r="AK61" s="27" t="n"/>
      <c r="AL61" s="27" t="n"/>
      <c r="AM61" s="27" t="n"/>
      <c r="AN61" s="27" t="n"/>
      <c r="AO61" s="27" t="n"/>
      <c r="AP61" s="27" t="n"/>
      <c r="AQ61" s="27" t="n"/>
      <c r="AR61" s="27" t="n"/>
      <c r="AS61" s="27" t="n"/>
      <c r="AT61" s="27" t="n"/>
      <c r="AU61" s="27" t="n"/>
      <c r="AV61" s="27" t="n"/>
      <c r="AW61" s="27" t="n"/>
      <c r="AX61" s="27" t="n"/>
      <c r="AY61" s="27" t="n"/>
      <c r="AZ61" s="27" t="n"/>
      <c r="BA61" s="27" t="n"/>
      <c r="BB61" s="27" t="n"/>
      <c r="BC61" s="27" t="n"/>
      <c r="BD61" s="27" t="n"/>
      <c r="BE61" s="27" t="n"/>
      <c r="BF61" s="27" t="n"/>
      <c r="BG61" s="27" t="n"/>
      <c r="BH61" s="27" t="n"/>
      <c r="BI61" s="29" t="n"/>
      <c r="BJ61" s="27" t="n"/>
      <c r="BK61" s="27" t="n"/>
      <c r="BL61" s="27" t="n"/>
      <c r="BM61" s="27" t="n"/>
      <c r="DN61" s="26">
        <f>IF('テスト条件'!A60="","",'テスト条件'!A60)</f>
        <v/>
      </c>
    </row>
    <row r="62">
      <c r="A62" s="27" t="n"/>
      <c r="B62" s="27" t="n"/>
      <c r="C62" s="28">
        <f>IF(A62="","",$B$2)</f>
        <v/>
      </c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27" t="n"/>
      <c r="AJ62" s="27" t="n"/>
      <c r="AK62" s="27" t="n"/>
      <c r="AL62" s="27" t="n"/>
      <c r="AM62" s="27" t="n"/>
      <c r="AN62" s="27" t="n"/>
      <c r="AO62" s="27" t="n"/>
      <c r="AP62" s="27" t="n"/>
      <c r="AQ62" s="27" t="n"/>
      <c r="AR62" s="27" t="n"/>
      <c r="AS62" s="27" t="n"/>
      <c r="AT62" s="27" t="n"/>
      <c r="AU62" s="27" t="n"/>
      <c r="AV62" s="27" t="n"/>
      <c r="AW62" s="27" t="n"/>
      <c r="AX62" s="27" t="n"/>
      <c r="AY62" s="27" t="n"/>
      <c r="AZ62" s="27" t="n"/>
      <c r="BA62" s="27" t="n"/>
      <c r="BB62" s="27" t="n"/>
      <c r="BC62" s="27" t="n"/>
      <c r="BD62" s="27" t="n"/>
      <c r="BE62" s="27" t="n"/>
      <c r="BF62" s="27" t="n"/>
      <c r="BG62" s="27" t="n"/>
      <c r="BH62" s="27" t="n"/>
      <c r="BI62" s="29" t="n"/>
      <c r="BJ62" s="27" t="n"/>
      <c r="BK62" s="27" t="n"/>
      <c r="BL62" s="27" t="n"/>
      <c r="BM62" s="27" t="n"/>
      <c r="DN62" s="26">
        <f>IF('テスト条件'!A61="","",'テスト条件'!A61)</f>
        <v/>
      </c>
    </row>
    <row r="63">
      <c r="A63" s="27" t="n"/>
      <c r="B63" s="27" t="n"/>
      <c r="C63" s="28">
        <f>IF(A63="","",$B$2)</f>
        <v/>
      </c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  <c r="AA63" s="27" t="n"/>
      <c r="AB63" s="27" t="n"/>
      <c r="AC63" s="27" t="n"/>
      <c r="AD63" s="27" t="n"/>
      <c r="AE63" s="27" t="n"/>
      <c r="AF63" s="27" t="n"/>
      <c r="AG63" s="27" t="n"/>
      <c r="AH63" s="27" t="n"/>
      <c r="AI63" s="27" t="n"/>
      <c r="AJ63" s="27" t="n"/>
      <c r="AK63" s="27" t="n"/>
      <c r="AL63" s="27" t="n"/>
      <c r="AM63" s="27" t="n"/>
      <c r="AN63" s="27" t="n"/>
      <c r="AO63" s="27" t="n"/>
      <c r="AP63" s="27" t="n"/>
      <c r="AQ63" s="27" t="n"/>
      <c r="AR63" s="27" t="n"/>
      <c r="AS63" s="27" t="n"/>
      <c r="AT63" s="27" t="n"/>
      <c r="AU63" s="27" t="n"/>
      <c r="AV63" s="27" t="n"/>
      <c r="AW63" s="27" t="n"/>
      <c r="AX63" s="27" t="n"/>
      <c r="AY63" s="27" t="n"/>
      <c r="AZ63" s="27" t="n"/>
      <c r="BA63" s="27" t="n"/>
      <c r="BB63" s="27" t="n"/>
      <c r="BC63" s="27" t="n"/>
      <c r="BD63" s="27" t="n"/>
      <c r="BE63" s="27" t="n"/>
      <c r="BF63" s="27" t="n"/>
      <c r="BG63" s="27" t="n"/>
      <c r="BH63" s="27" t="n"/>
      <c r="BI63" s="29" t="n"/>
      <c r="BJ63" s="27" t="n"/>
      <c r="BK63" s="27" t="n"/>
      <c r="BL63" s="27" t="n"/>
      <c r="BM63" s="27" t="n"/>
      <c r="DN63" s="26">
        <f>IF('テスト条件'!A62="","",'テスト条件'!A62)</f>
        <v/>
      </c>
    </row>
    <row r="64">
      <c r="A64" s="27" t="n"/>
      <c r="B64" s="27" t="n"/>
      <c r="C64" s="28">
        <f>IF(A64="","",$B$2)</f>
        <v/>
      </c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27" t="n"/>
      <c r="AJ64" s="27" t="n"/>
      <c r="AK64" s="27" t="n"/>
      <c r="AL64" s="27" t="n"/>
      <c r="AM64" s="27" t="n"/>
      <c r="AN64" s="27" t="n"/>
      <c r="AO64" s="27" t="n"/>
      <c r="AP64" s="27" t="n"/>
      <c r="AQ64" s="27" t="n"/>
      <c r="AR64" s="27" t="n"/>
      <c r="AS64" s="27" t="n"/>
      <c r="AT64" s="27" t="n"/>
      <c r="AU64" s="27" t="n"/>
      <c r="AV64" s="27" t="n"/>
      <c r="AW64" s="27" t="n"/>
      <c r="AX64" s="27" t="n"/>
      <c r="AY64" s="27" t="n"/>
      <c r="AZ64" s="27" t="n"/>
      <c r="BA64" s="27" t="n"/>
      <c r="BB64" s="27" t="n"/>
      <c r="BC64" s="27" t="n"/>
      <c r="BD64" s="27" t="n"/>
      <c r="BE64" s="27" t="n"/>
      <c r="BF64" s="27" t="n"/>
      <c r="BG64" s="27" t="n"/>
      <c r="BH64" s="27" t="n"/>
      <c r="BI64" s="29" t="n"/>
      <c r="BJ64" s="27" t="n"/>
      <c r="BK64" s="27" t="n"/>
      <c r="BL64" s="27" t="n"/>
      <c r="BM64" s="27" t="n"/>
      <c r="DN64" s="26">
        <f>IF('テスト条件'!A63="","",'テスト条件'!A63)</f>
        <v/>
      </c>
    </row>
    <row r="65">
      <c r="A65" s="27" t="n"/>
      <c r="B65" s="27" t="n"/>
      <c r="C65" s="28">
        <f>IF(A65="","",$B$2)</f>
        <v/>
      </c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27" t="n"/>
      <c r="AJ65" s="27" t="n"/>
      <c r="AK65" s="27" t="n"/>
      <c r="AL65" s="27" t="n"/>
      <c r="AM65" s="27" t="n"/>
      <c r="AN65" s="27" t="n"/>
      <c r="AO65" s="27" t="n"/>
      <c r="AP65" s="27" t="n"/>
      <c r="AQ65" s="27" t="n"/>
      <c r="AR65" s="27" t="n"/>
      <c r="AS65" s="27" t="n"/>
      <c r="AT65" s="27" t="n"/>
      <c r="AU65" s="27" t="n"/>
      <c r="AV65" s="27" t="n"/>
      <c r="AW65" s="27" t="n"/>
      <c r="AX65" s="27" t="n"/>
      <c r="AY65" s="27" t="n"/>
      <c r="AZ65" s="27" t="n"/>
      <c r="BA65" s="27" t="n"/>
      <c r="BB65" s="27" t="n"/>
      <c r="BC65" s="27" t="n"/>
      <c r="BD65" s="27" t="n"/>
      <c r="BE65" s="27" t="n"/>
      <c r="BF65" s="27" t="n"/>
      <c r="BG65" s="27" t="n"/>
      <c r="BH65" s="27" t="n"/>
      <c r="BI65" s="29" t="n"/>
      <c r="BJ65" s="27" t="n"/>
      <c r="BK65" s="27" t="n"/>
      <c r="BL65" s="27" t="n"/>
      <c r="BM65" s="27" t="n"/>
      <c r="DN65" s="26">
        <f>IF('テスト条件'!A64="","",'テスト条件'!A64)</f>
        <v/>
      </c>
    </row>
    <row r="66">
      <c r="A66" s="27" t="n"/>
      <c r="B66" s="27" t="n"/>
      <c r="C66" s="28">
        <f>IF(A66="","",$B$2)</f>
        <v/>
      </c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27" t="n"/>
      <c r="AJ66" s="27" t="n"/>
      <c r="AK66" s="27" t="n"/>
      <c r="AL66" s="27" t="n"/>
      <c r="AM66" s="27" t="n"/>
      <c r="AN66" s="27" t="n"/>
      <c r="AO66" s="27" t="n"/>
      <c r="AP66" s="27" t="n"/>
      <c r="AQ66" s="27" t="n"/>
      <c r="AR66" s="27" t="n"/>
      <c r="AS66" s="27" t="n"/>
      <c r="AT66" s="27" t="n"/>
      <c r="AU66" s="27" t="n"/>
      <c r="AV66" s="27" t="n"/>
      <c r="AW66" s="27" t="n"/>
      <c r="AX66" s="27" t="n"/>
      <c r="AY66" s="27" t="n"/>
      <c r="AZ66" s="27" t="n"/>
      <c r="BA66" s="27" t="n"/>
      <c r="BB66" s="27" t="n"/>
      <c r="BC66" s="27" t="n"/>
      <c r="BD66" s="27" t="n"/>
      <c r="BE66" s="27" t="n"/>
      <c r="BF66" s="27" t="n"/>
      <c r="BG66" s="27" t="n"/>
      <c r="BH66" s="27" t="n"/>
      <c r="BI66" s="29" t="n"/>
      <c r="BJ66" s="27" t="n"/>
      <c r="BK66" s="27" t="n"/>
      <c r="BL66" s="27" t="n"/>
      <c r="BM66" s="27" t="n"/>
      <c r="DN66" s="26">
        <f>IF('テスト条件'!A65="","",'テスト条件'!A65)</f>
        <v/>
      </c>
    </row>
    <row r="67">
      <c r="A67" s="27" t="n"/>
      <c r="B67" s="27" t="n"/>
      <c r="C67" s="28">
        <f>IF(A67="","",$B$2)</f>
        <v/>
      </c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  <c r="AA67" s="27" t="n"/>
      <c r="AB67" s="27" t="n"/>
      <c r="AC67" s="27" t="n"/>
      <c r="AD67" s="27" t="n"/>
      <c r="AE67" s="27" t="n"/>
      <c r="AF67" s="27" t="n"/>
      <c r="AG67" s="27" t="n"/>
      <c r="AH67" s="27" t="n"/>
      <c r="AI67" s="27" t="n"/>
      <c r="AJ67" s="27" t="n"/>
      <c r="AK67" s="27" t="n"/>
      <c r="AL67" s="27" t="n"/>
      <c r="AM67" s="27" t="n"/>
      <c r="AN67" s="27" t="n"/>
      <c r="AO67" s="27" t="n"/>
      <c r="AP67" s="27" t="n"/>
      <c r="AQ67" s="27" t="n"/>
      <c r="AR67" s="27" t="n"/>
      <c r="AS67" s="27" t="n"/>
      <c r="AT67" s="27" t="n"/>
      <c r="AU67" s="27" t="n"/>
      <c r="AV67" s="27" t="n"/>
      <c r="AW67" s="27" t="n"/>
      <c r="AX67" s="27" t="n"/>
      <c r="AY67" s="27" t="n"/>
      <c r="AZ67" s="27" t="n"/>
      <c r="BA67" s="27" t="n"/>
      <c r="BB67" s="27" t="n"/>
      <c r="BC67" s="27" t="n"/>
      <c r="BD67" s="27" t="n"/>
      <c r="BE67" s="27" t="n"/>
      <c r="BF67" s="27" t="n"/>
      <c r="BG67" s="27" t="n"/>
      <c r="BH67" s="27" t="n"/>
      <c r="BI67" s="29" t="n"/>
      <c r="BJ67" s="27" t="n"/>
      <c r="BK67" s="27" t="n"/>
      <c r="BL67" s="27" t="n"/>
      <c r="BM67" s="27" t="n"/>
      <c r="DN67" s="26">
        <f>IF('テスト条件'!A66="","",'テスト条件'!A66)</f>
        <v/>
      </c>
    </row>
    <row r="68">
      <c r="A68" s="27" t="n"/>
      <c r="B68" s="27" t="n"/>
      <c r="C68" s="28">
        <f>IF(A68="","",$B$2)</f>
        <v/>
      </c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  <c r="AA68" s="27" t="n"/>
      <c r="AB68" s="27" t="n"/>
      <c r="AC68" s="27" t="n"/>
      <c r="AD68" s="27" t="n"/>
      <c r="AE68" s="27" t="n"/>
      <c r="AF68" s="27" t="n"/>
      <c r="AG68" s="27" t="n"/>
      <c r="AH68" s="27" t="n"/>
      <c r="AI68" s="27" t="n"/>
      <c r="AJ68" s="27" t="n"/>
      <c r="AK68" s="27" t="n"/>
      <c r="AL68" s="27" t="n"/>
      <c r="AM68" s="27" t="n"/>
      <c r="AN68" s="27" t="n"/>
      <c r="AO68" s="27" t="n"/>
      <c r="AP68" s="27" t="n"/>
      <c r="AQ68" s="27" t="n"/>
      <c r="AR68" s="27" t="n"/>
      <c r="AS68" s="27" t="n"/>
      <c r="AT68" s="27" t="n"/>
      <c r="AU68" s="27" t="n"/>
      <c r="AV68" s="27" t="n"/>
      <c r="AW68" s="27" t="n"/>
      <c r="AX68" s="27" t="n"/>
      <c r="AY68" s="27" t="n"/>
      <c r="AZ68" s="27" t="n"/>
      <c r="BA68" s="27" t="n"/>
      <c r="BB68" s="27" t="n"/>
      <c r="BC68" s="27" t="n"/>
      <c r="BD68" s="27" t="n"/>
      <c r="BE68" s="27" t="n"/>
      <c r="BF68" s="27" t="n"/>
      <c r="BG68" s="27" t="n"/>
      <c r="BH68" s="27" t="n"/>
      <c r="BI68" s="29" t="n"/>
      <c r="BJ68" s="27" t="n"/>
      <c r="BK68" s="27" t="n"/>
      <c r="BL68" s="27" t="n"/>
      <c r="BM68" s="27" t="n"/>
      <c r="DN68" s="26">
        <f>IF('テスト条件'!A67="","",'テスト条件'!A67)</f>
        <v/>
      </c>
    </row>
    <row r="69">
      <c r="A69" s="27" t="n"/>
      <c r="B69" s="27" t="n"/>
      <c r="C69" s="28">
        <f>IF(A69="","",$B$2)</f>
        <v/>
      </c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  <c r="AA69" s="27" t="n"/>
      <c r="AB69" s="27" t="n"/>
      <c r="AC69" s="27" t="n"/>
      <c r="AD69" s="27" t="n"/>
      <c r="AE69" s="27" t="n"/>
      <c r="AF69" s="27" t="n"/>
      <c r="AG69" s="27" t="n"/>
      <c r="AH69" s="27" t="n"/>
      <c r="AI69" s="27" t="n"/>
      <c r="AJ69" s="27" t="n"/>
      <c r="AK69" s="27" t="n"/>
      <c r="AL69" s="27" t="n"/>
      <c r="AM69" s="27" t="n"/>
      <c r="AN69" s="27" t="n"/>
      <c r="AO69" s="27" t="n"/>
      <c r="AP69" s="27" t="n"/>
      <c r="AQ69" s="27" t="n"/>
      <c r="AR69" s="27" t="n"/>
      <c r="AS69" s="27" t="n"/>
      <c r="AT69" s="27" t="n"/>
      <c r="AU69" s="27" t="n"/>
      <c r="AV69" s="27" t="n"/>
      <c r="AW69" s="27" t="n"/>
      <c r="AX69" s="27" t="n"/>
      <c r="AY69" s="27" t="n"/>
      <c r="AZ69" s="27" t="n"/>
      <c r="BA69" s="27" t="n"/>
      <c r="BB69" s="27" t="n"/>
      <c r="BC69" s="27" t="n"/>
      <c r="BD69" s="27" t="n"/>
      <c r="BE69" s="27" t="n"/>
      <c r="BF69" s="27" t="n"/>
      <c r="BG69" s="27" t="n"/>
      <c r="BH69" s="27" t="n"/>
      <c r="BI69" s="29" t="n"/>
      <c r="BJ69" s="27" t="n"/>
      <c r="BK69" s="27" t="n"/>
      <c r="BL69" s="27" t="n"/>
      <c r="BM69" s="27" t="n"/>
      <c r="DN69" s="26">
        <f>IF('テスト条件'!A68="","",'テスト条件'!A68)</f>
        <v/>
      </c>
    </row>
    <row r="70">
      <c r="A70" s="27" t="n"/>
      <c r="B70" s="27" t="n"/>
      <c r="C70" s="28">
        <f>IF(A70="","",$B$2)</f>
        <v/>
      </c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  <c r="AA70" s="27" t="n"/>
      <c r="AB70" s="27" t="n"/>
      <c r="AC70" s="27" t="n"/>
      <c r="AD70" s="27" t="n"/>
      <c r="AE70" s="27" t="n"/>
      <c r="AF70" s="27" t="n"/>
      <c r="AG70" s="27" t="n"/>
      <c r="AH70" s="27" t="n"/>
      <c r="AI70" s="27" t="n"/>
      <c r="AJ70" s="27" t="n"/>
      <c r="AK70" s="27" t="n"/>
      <c r="AL70" s="27" t="n"/>
      <c r="AM70" s="27" t="n"/>
      <c r="AN70" s="27" t="n"/>
      <c r="AO70" s="27" t="n"/>
      <c r="AP70" s="27" t="n"/>
      <c r="AQ70" s="27" t="n"/>
      <c r="AR70" s="27" t="n"/>
      <c r="AS70" s="27" t="n"/>
      <c r="AT70" s="27" t="n"/>
      <c r="AU70" s="27" t="n"/>
      <c r="AV70" s="27" t="n"/>
      <c r="AW70" s="27" t="n"/>
      <c r="AX70" s="27" t="n"/>
      <c r="AY70" s="27" t="n"/>
      <c r="AZ70" s="27" t="n"/>
      <c r="BA70" s="27" t="n"/>
      <c r="BB70" s="27" t="n"/>
      <c r="BC70" s="27" t="n"/>
      <c r="BD70" s="27" t="n"/>
      <c r="BE70" s="27" t="n"/>
      <c r="BF70" s="27" t="n"/>
      <c r="BG70" s="27" t="n"/>
      <c r="BH70" s="27" t="n"/>
      <c r="BI70" s="29" t="n"/>
      <c r="BJ70" s="27" t="n"/>
      <c r="BK70" s="27" t="n"/>
      <c r="BL70" s="27" t="n"/>
      <c r="BM70" s="27" t="n"/>
      <c r="DN70" s="26">
        <f>IF('テスト条件'!A69="","",'テスト条件'!A69)</f>
        <v/>
      </c>
    </row>
    <row r="71">
      <c r="A71" s="27" t="n"/>
      <c r="B71" s="27" t="n"/>
      <c r="C71" s="28">
        <f>IF(A71="","",$B$2)</f>
        <v/>
      </c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  <c r="AA71" s="27" t="n"/>
      <c r="AB71" s="27" t="n"/>
      <c r="AC71" s="27" t="n"/>
      <c r="AD71" s="27" t="n"/>
      <c r="AE71" s="27" t="n"/>
      <c r="AF71" s="27" t="n"/>
      <c r="AG71" s="27" t="n"/>
      <c r="AH71" s="27" t="n"/>
      <c r="AI71" s="27" t="n"/>
      <c r="AJ71" s="27" t="n"/>
      <c r="AK71" s="27" t="n"/>
      <c r="AL71" s="27" t="n"/>
      <c r="AM71" s="27" t="n"/>
      <c r="AN71" s="27" t="n"/>
      <c r="AO71" s="27" t="n"/>
      <c r="AP71" s="27" t="n"/>
      <c r="AQ71" s="27" t="n"/>
      <c r="AR71" s="27" t="n"/>
      <c r="AS71" s="27" t="n"/>
      <c r="AT71" s="27" t="n"/>
      <c r="AU71" s="27" t="n"/>
      <c r="AV71" s="27" t="n"/>
      <c r="AW71" s="27" t="n"/>
      <c r="AX71" s="27" t="n"/>
      <c r="AY71" s="27" t="n"/>
      <c r="AZ71" s="27" t="n"/>
      <c r="BA71" s="27" t="n"/>
      <c r="BB71" s="27" t="n"/>
      <c r="BC71" s="27" t="n"/>
      <c r="BD71" s="27" t="n"/>
      <c r="BE71" s="27" t="n"/>
      <c r="BF71" s="27" t="n"/>
      <c r="BG71" s="27" t="n"/>
      <c r="BH71" s="27" t="n"/>
      <c r="BI71" s="29" t="n"/>
      <c r="BJ71" s="27" t="n"/>
      <c r="BK71" s="27" t="n"/>
      <c r="BL71" s="27" t="n"/>
      <c r="BM71" s="27" t="n"/>
      <c r="DN71" s="26">
        <f>IF('テスト条件'!A70="","",'テスト条件'!A70)</f>
        <v/>
      </c>
    </row>
    <row r="72">
      <c r="A72" s="27" t="n"/>
      <c r="B72" s="27" t="n"/>
      <c r="C72" s="28">
        <f>IF(A72="","",$B$2)</f>
        <v/>
      </c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  <c r="AA72" s="27" t="n"/>
      <c r="AB72" s="27" t="n"/>
      <c r="AC72" s="27" t="n"/>
      <c r="AD72" s="27" t="n"/>
      <c r="AE72" s="27" t="n"/>
      <c r="AF72" s="27" t="n"/>
      <c r="AG72" s="27" t="n"/>
      <c r="AH72" s="27" t="n"/>
      <c r="AI72" s="27" t="n"/>
      <c r="AJ72" s="27" t="n"/>
      <c r="AK72" s="27" t="n"/>
      <c r="AL72" s="27" t="n"/>
      <c r="AM72" s="27" t="n"/>
      <c r="AN72" s="27" t="n"/>
      <c r="AO72" s="27" t="n"/>
      <c r="AP72" s="27" t="n"/>
      <c r="AQ72" s="27" t="n"/>
      <c r="AR72" s="27" t="n"/>
      <c r="AS72" s="27" t="n"/>
      <c r="AT72" s="27" t="n"/>
      <c r="AU72" s="27" t="n"/>
      <c r="AV72" s="27" t="n"/>
      <c r="AW72" s="27" t="n"/>
      <c r="AX72" s="27" t="n"/>
      <c r="AY72" s="27" t="n"/>
      <c r="AZ72" s="27" t="n"/>
      <c r="BA72" s="27" t="n"/>
      <c r="BB72" s="27" t="n"/>
      <c r="BC72" s="27" t="n"/>
      <c r="BD72" s="27" t="n"/>
      <c r="BE72" s="27" t="n"/>
      <c r="BF72" s="27" t="n"/>
      <c r="BG72" s="27" t="n"/>
      <c r="BH72" s="27" t="n"/>
      <c r="BI72" s="29" t="n"/>
      <c r="BJ72" s="27" t="n"/>
      <c r="BK72" s="27" t="n"/>
      <c r="BL72" s="27" t="n"/>
      <c r="BM72" s="27" t="n"/>
      <c r="DN72" s="26">
        <f>IF('テスト条件'!A71="","",'テスト条件'!A71)</f>
        <v/>
      </c>
    </row>
    <row r="73">
      <c r="A73" s="27" t="n"/>
      <c r="B73" s="27" t="n"/>
      <c r="C73" s="28">
        <f>IF(A73="","",$B$2)</f>
        <v/>
      </c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  <c r="AA73" s="27" t="n"/>
      <c r="AB73" s="27" t="n"/>
      <c r="AC73" s="27" t="n"/>
      <c r="AD73" s="27" t="n"/>
      <c r="AE73" s="27" t="n"/>
      <c r="AF73" s="27" t="n"/>
      <c r="AG73" s="27" t="n"/>
      <c r="AH73" s="27" t="n"/>
      <c r="AI73" s="27" t="n"/>
      <c r="AJ73" s="27" t="n"/>
      <c r="AK73" s="27" t="n"/>
      <c r="AL73" s="27" t="n"/>
      <c r="AM73" s="27" t="n"/>
      <c r="AN73" s="27" t="n"/>
      <c r="AO73" s="27" t="n"/>
      <c r="AP73" s="27" t="n"/>
      <c r="AQ73" s="27" t="n"/>
      <c r="AR73" s="27" t="n"/>
      <c r="AS73" s="27" t="n"/>
      <c r="AT73" s="27" t="n"/>
      <c r="AU73" s="27" t="n"/>
      <c r="AV73" s="27" t="n"/>
      <c r="AW73" s="27" t="n"/>
      <c r="AX73" s="27" t="n"/>
      <c r="AY73" s="27" t="n"/>
      <c r="AZ73" s="27" t="n"/>
      <c r="BA73" s="27" t="n"/>
      <c r="BB73" s="27" t="n"/>
      <c r="BC73" s="27" t="n"/>
      <c r="BD73" s="27" t="n"/>
      <c r="BE73" s="27" t="n"/>
      <c r="BF73" s="27" t="n"/>
      <c r="BG73" s="27" t="n"/>
      <c r="BH73" s="27" t="n"/>
      <c r="BI73" s="29" t="n"/>
      <c r="BJ73" s="27" t="n"/>
      <c r="BK73" s="27" t="n"/>
      <c r="BL73" s="27" t="n"/>
      <c r="BM73" s="27" t="n"/>
      <c r="DN73" s="26">
        <f>IF('テスト条件'!A72="","",'テスト条件'!A72)</f>
        <v/>
      </c>
    </row>
    <row r="74">
      <c r="A74" s="27" t="n"/>
      <c r="B74" s="27" t="n"/>
      <c r="C74" s="28">
        <f>IF(A74="","",$B$2)</f>
        <v/>
      </c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  <c r="AA74" s="27" t="n"/>
      <c r="AB74" s="27" t="n"/>
      <c r="AC74" s="27" t="n"/>
      <c r="AD74" s="27" t="n"/>
      <c r="AE74" s="27" t="n"/>
      <c r="AF74" s="27" t="n"/>
      <c r="AG74" s="27" t="n"/>
      <c r="AH74" s="27" t="n"/>
      <c r="AI74" s="27" t="n"/>
      <c r="AJ74" s="27" t="n"/>
      <c r="AK74" s="27" t="n"/>
      <c r="AL74" s="27" t="n"/>
      <c r="AM74" s="27" t="n"/>
      <c r="AN74" s="27" t="n"/>
      <c r="AO74" s="27" t="n"/>
      <c r="AP74" s="27" t="n"/>
      <c r="AQ74" s="27" t="n"/>
      <c r="AR74" s="27" t="n"/>
      <c r="AS74" s="27" t="n"/>
      <c r="AT74" s="27" t="n"/>
      <c r="AU74" s="27" t="n"/>
      <c r="AV74" s="27" t="n"/>
      <c r="AW74" s="27" t="n"/>
      <c r="AX74" s="27" t="n"/>
      <c r="AY74" s="27" t="n"/>
      <c r="AZ74" s="27" t="n"/>
      <c r="BA74" s="27" t="n"/>
      <c r="BB74" s="27" t="n"/>
      <c r="BC74" s="27" t="n"/>
      <c r="BD74" s="27" t="n"/>
      <c r="BE74" s="27" t="n"/>
      <c r="BF74" s="27" t="n"/>
      <c r="BG74" s="27" t="n"/>
      <c r="BH74" s="27" t="n"/>
      <c r="BI74" s="29" t="n"/>
      <c r="BJ74" s="27" t="n"/>
      <c r="BK74" s="27" t="n"/>
      <c r="BL74" s="27" t="n"/>
      <c r="BM74" s="27" t="n"/>
      <c r="DN74" s="26">
        <f>IF('テスト条件'!A73="","",'テスト条件'!A73)</f>
        <v/>
      </c>
    </row>
    <row r="75">
      <c r="A75" s="27" t="n"/>
      <c r="B75" s="27" t="n"/>
      <c r="C75" s="28">
        <f>IF(A75="","",$B$2)</f>
        <v/>
      </c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  <c r="AA75" s="27" t="n"/>
      <c r="AB75" s="27" t="n"/>
      <c r="AC75" s="27" t="n"/>
      <c r="AD75" s="27" t="n"/>
      <c r="AE75" s="27" t="n"/>
      <c r="AF75" s="27" t="n"/>
      <c r="AG75" s="27" t="n"/>
      <c r="AH75" s="27" t="n"/>
      <c r="AI75" s="27" t="n"/>
      <c r="AJ75" s="27" t="n"/>
      <c r="AK75" s="27" t="n"/>
      <c r="AL75" s="27" t="n"/>
      <c r="AM75" s="27" t="n"/>
      <c r="AN75" s="27" t="n"/>
      <c r="AO75" s="27" t="n"/>
      <c r="AP75" s="27" t="n"/>
      <c r="AQ75" s="27" t="n"/>
      <c r="AR75" s="27" t="n"/>
      <c r="AS75" s="27" t="n"/>
      <c r="AT75" s="27" t="n"/>
      <c r="AU75" s="27" t="n"/>
      <c r="AV75" s="27" t="n"/>
      <c r="AW75" s="27" t="n"/>
      <c r="AX75" s="27" t="n"/>
      <c r="AY75" s="27" t="n"/>
      <c r="AZ75" s="27" t="n"/>
      <c r="BA75" s="27" t="n"/>
      <c r="BB75" s="27" t="n"/>
      <c r="BC75" s="27" t="n"/>
      <c r="BD75" s="27" t="n"/>
      <c r="BE75" s="27" t="n"/>
      <c r="BF75" s="27" t="n"/>
      <c r="BG75" s="27" t="n"/>
      <c r="BH75" s="27" t="n"/>
      <c r="BI75" s="29" t="n"/>
      <c r="BJ75" s="27" t="n"/>
      <c r="BK75" s="27" t="n"/>
      <c r="BL75" s="27" t="n"/>
      <c r="BM75" s="27" t="n"/>
      <c r="DN75" s="26">
        <f>IF('テスト条件'!A74="","",'テスト条件'!A74)</f>
        <v/>
      </c>
    </row>
    <row r="76">
      <c r="A76" s="27" t="n"/>
      <c r="B76" s="27" t="n"/>
      <c r="C76" s="28">
        <f>IF(A76="","",$B$2)</f>
        <v/>
      </c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  <c r="AA76" s="27" t="n"/>
      <c r="AB76" s="27" t="n"/>
      <c r="AC76" s="27" t="n"/>
      <c r="AD76" s="27" t="n"/>
      <c r="AE76" s="27" t="n"/>
      <c r="AF76" s="27" t="n"/>
      <c r="AG76" s="27" t="n"/>
      <c r="AH76" s="27" t="n"/>
      <c r="AI76" s="27" t="n"/>
      <c r="AJ76" s="27" t="n"/>
      <c r="AK76" s="27" t="n"/>
      <c r="AL76" s="27" t="n"/>
      <c r="AM76" s="27" t="n"/>
      <c r="AN76" s="27" t="n"/>
      <c r="AO76" s="27" t="n"/>
      <c r="AP76" s="27" t="n"/>
      <c r="AQ76" s="27" t="n"/>
      <c r="AR76" s="27" t="n"/>
      <c r="AS76" s="27" t="n"/>
      <c r="AT76" s="27" t="n"/>
      <c r="AU76" s="27" t="n"/>
      <c r="AV76" s="27" t="n"/>
      <c r="AW76" s="27" t="n"/>
      <c r="AX76" s="27" t="n"/>
      <c r="AY76" s="27" t="n"/>
      <c r="AZ76" s="27" t="n"/>
      <c r="BA76" s="27" t="n"/>
      <c r="BB76" s="27" t="n"/>
      <c r="BC76" s="27" t="n"/>
      <c r="BD76" s="27" t="n"/>
      <c r="BE76" s="27" t="n"/>
      <c r="BF76" s="27" t="n"/>
      <c r="BG76" s="27" t="n"/>
      <c r="BH76" s="27" t="n"/>
      <c r="BI76" s="29" t="n"/>
      <c r="BJ76" s="27" t="n"/>
      <c r="BK76" s="27" t="n"/>
      <c r="BL76" s="27" t="n"/>
      <c r="BM76" s="27" t="n"/>
      <c r="DN76" s="26">
        <f>IF('テスト条件'!A75="","",'テスト条件'!A75)</f>
        <v/>
      </c>
    </row>
    <row r="77">
      <c r="A77" s="27" t="n"/>
      <c r="B77" s="27" t="n"/>
      <c r="C77" s="28">
        <f>IF(A77="","",$B$2)</f>
        <v/>
      </c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  <c r="AA77" s="27" t="n"/>
      <c r="AB77" s="27" t="n"/>
      <c r="AC77" s="27" t="n"/>
      <c r="AD77" s="27" t="n"/>
      <c r="AE77" s="27" t="n"/>
      <c r="AF77" s="27" t="n"/>
      <c r="AG77" s="27" t="n"/>
      <c r="AH77" s="27" t="n"/>
      <c r="AI77" s="27" t="n"/>
      <c r="AJ77" s="27" t="n"/>
      <c r="AK77" s="27" t="n"/>
      <c r="AL77" s="27" t="n"/>
      <c r="AM77" s="27" t="n"/>
      <c r="AN77" s="27" t="n"/>
      <c r="AO77" s="27" t="n"/>
      <c r="AP77" s="27" t="n"/>
      <c r="AQ77" s="27" t="n"/>
      <c r="AR77" s="27" t="n"/>
      <c r="AS77" s="27" t="n"/>
      <c r="AT77" s="27" t="n"/>
      <c r="AU77" s="27" t="n"/>
      <c r="AV77" s="27" t="n"/>
      <c r="AW77" s="27" t="n"/>
      <c r="AX77" s="27" t="n"/>
      <c r="AY77" s="27" t="n"/>
      <c r="AZ77" s="27" t="n"/>
      <c r="BA77" s="27" t="n"/>
      <c r="BB77" s="27" t="n"/>
      <c r="BC77" s="27" t="n"/>
      <c r="BD77" s="27" t="n"/>
      <c r="BE77" s="27" t="n"/>
      <c r="BF77" s="27" t="n"/>
      <c r="BG77" s="27" t="n"/>
      <c r="BH77" s="27" t="n"/>
      <c r="BI77" s="29" t="n"/>
      <c r="BJ77" s="27" t="n"/>
      <c r="BK77" s="27" t="n"/>
      <c r="BL77" s="27" t="n"/>
      <c r="BM77" s="27" t="n"/>
      <c r="DN77" s="26">
        <f>IF('テスト条件'!A76="","",'テスト条件'!A76)</f>
        <v/>
      </c>
    </row>
    <row r="78">
      <c r="A78" s="27" t="n"/>
      <c r="B78" s="27" t="n"/>
      <c r="C78" s="28">
        <f>IF(A78="","",$B$2)</f>
        <v/>
      </c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  <c r="AA78" s="27" t="n"/>
      <c r="AB78" s="27" t="n"/>
      <c r="AC78" s="27" t="n"/>
      <c r="AD78" s="27" t="n"/>
      <c r="AE78" s="27" t="n"/>
      <c r="AF78" s="27" t="n"/>
      <c r="AG78" s="27" t="n"/>
      <c r="AH78" s="27" t="n"/>
      <c r="AI78" s="27" t="n"/>
      <c r="AJ78" s="27" t="n"/>
      <c r="AK78" s="27" t="n"/>
      <c r="AL78" s="27" t="n"/>
      <c r="AM78" s="27" t="n"/>
      <c r="AN78" s="27" t="n"/>
      <c r="AO78" s="27" t="n"/>
      <c r="AP78" s="27" t="n"/>
      <c r="AQ78" s="27" t="n"/>
      <c r="AR78" s="27" t="n"/>
      <c r="AS78" s="27" t="n"/>
      <c r="AT78" s="27" t="n"/>
      <c r="AU78" s="27" t="n"/>
      <c r="AV78" s="27" t="n"/>
      <c r="AW78" s="27" t="n"/>
      <c r="AX78" s="27" t="n"/>
      <c r="AY78" s="27" t="n"/>
      <c r="AZ78" s="27" t="n"/>
      <c r="BA78" s="27" t="n"/>
      <c r="BB78" s="27" t="n"/>
      <c r="BC78" s="27" t="n"/>
      <c r="BD78" s="27" t="n"/>
      <c r="BE78" s="27" t="n"/>
      <c r="BF78" s="27" t="n"/>
      <c r="BG78" s="27" t="n"/>
      <c r="BH78" s="27" t="n"/>
      <c r="BI78" s="29" t="n"/>
      <c r="BJ78" s="27" t="n"/>
      <c r="BK78" s="27" t="n"/>
      <c r="BL78" s="27" t="n"/>
      <c r="BM78" s="27" t="n"/>
      <c r="DN78" s="26">
        <f>IF('テスト条件'!A77="","",'テスト条件'!A77)</f>
        <v/>
      </c>
    </row>
    <row r="79">
      <c r="A79" s="27" t="n"/>
      <c r="B79" s="27" t="n"/>
      <c r="C79" s="28">
        <f>IF(A79="","",$B$2)</f>
        <v/>
      </c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  <c r="AA79" s="27" t="n"/>
      <c r="AB79" s="27" t="n"/>
      <c r="AC79" s="27" t="n"/>
      <c r="AD79" s="27" t="n"/>
      <c r="AE79" s="27" t="n"/>
      <c r="AF79" s="27" t="n"/>
      <c r="AG79" s="27" t="n"/>
      <c r="AH79" s="27" t="n"/>
      <c r="AI79" s="27" t="n"/>
      <c r="AJ79" s="27" t="n"/>
      <c r="AK79" s="27" t="n"/>
      <c r="AL79" s="27" t="n"/>
      <c r="AM79" s="27" t="n"/>
      <c r="AN79" s="27" t="n"/>
      <c r="AO79" s="27" t="n"/>
      <c r="AP79" s="27" t="n"/>
      <c r="AQ79" s="27" t="n"/>
      <c r="AR79" s="27" t="n"/>
      <c r="AS79" s="27" t="n"/>
      <c r="AT79" s="27" t="n"/>
      <c r="AU79" s="27" t="n"/>
      <c r="AV79" s="27" t="n"/>
      <c r="AW79" s="27" t="n"/>
      <c r="AX79" s="27" t="n"/>
      <c r="AY79" s="27" t="n"/>
      <c r="AZ79" s="27" t="n"/>
      <c r="BA79" s="27" t="n"/>
      <c r="BB79" s="27" t="n"/>
      <c r="BC79" s="27" t="n"/>
      <c r="BD79" s="27" t="n"/>
      <c r="BE79" s="27" t="n"/>
      <c r="BF79" s="27" t="n"/>
      <c r="BG79" s="27" t="n"/>
      <c r="BH79" s="27" t="n"/>
      <c r="BI79" s="29" t="n"/>
      <c r="BJ79" s="27" t="n"/>
      <c r="BK79" s="27" t="n"/>
      <c r="BL79" s="27" t="n"/>
      <c r="BM79" s="27" t="n"/>
      <c r="DN79" s="26">
        <f>IF('テスト条件'!A78="","",'テスト条件'!A78)</f>
        <v/>
      </c>
    </row>
    <row r="80">
      <c r="A80" s="27" t="n"/>
      <c r="B80" s="27" t="n"/>
      <c r="C80" s="28">
        <f>IF(A80="","",$B$2)</f>
        <v/>
      </c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27" t="n"/>
      <c r="AJ80" s="27" t="n"/>
      <c r="AK80" s="27" t="n"/>
      <c r="AL80" s="27" t="n"/>
      <c r="AM80" s="27" t="n"/>
      <c r="AN80" s="27" t="n"/>
      <c r="AO80" s="27" t="n"/>
      <c r="AP80" s="27" t="n"/>
      <c r="AQ80" s="27" t="n"/>
      <c r="AR80" s="27" t="n"/>
      <c r="AS80" s="27" t="n"/>
      <c r="AT80" s="27" t="n"/>
      <c r="AU80" s="27" t="n"/>
      <c r="AV80" s="27" t="n"/>
      <c r="AW80" s="27" t="n"/>
      <c r="AX80" s="27" t="n"/>
      <c r="AY80" s="27" t="n"/>
      <c r="AZ80" s="27" t="n"/>
      <c r="BA80" s="27" t="n"/>
      <c r="BB80" s="27" t="n"/>
      <c r="BC80" s="27" t="n"/>
      <c r="BD80" s="27" t="n"/>
      <c r="BE80" s="27" t="n"/>
      <c r="BF80" s="27" t="n"/>
      <c r="BG80" s="27" t="n"/>
      <c r="BH80" s="27" t="n"/>
      <c r="BI80" s="29" t="n"/>
      <c r="BJ80" s="27" t="n"/>
      <c r="BK80" s="27" t="n"/>
      <c r="BL80" s="27" t="n"/>
      <c r="BM80" s="27" t="n"/>
      <c r="DN80" s="26">
        <f>IF('テスト条件'!A79="","",'テスト条件'!A79)</f>
        <v/>
      </c>
    </row>
    <row r="81">
      <c r="A81" s="27" t="n"/>
      <c r="B81" s="27" t="n"/>
      <c r="C81" s="28">
        <f>IF(A81="","",$B$2)</f>
        <v/>
      </c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  <c r="AA81" s="27" t="n"/>
      <c r="AB81" s="27" t="n"/>
      <c r="AC81" s="27" t="n"/>
      <c r="AD81" s="27" t="n"/>
      <c r="AE81" s="27" t="n"/>
      <c r="AF81" s="27" t="n"/>
      <c r="AG81" s="27" t="n"/>
      <c r="AH81" s="27" t="n"/>
      <c r="AI81" s="27" t="n"/>
      <c r="AJ81" s="27" t="n"/>
      <c r="AK81" s="27" t="n"/>
      <c r="AL81" s="27" t="n"/>
      <c r="AM81" s="27" t="n"/>
      <c r="AN81" s="27" t="n"/>
      <c r="AO81" s="27" t="n"/>
      <c r="AP81" s="27" t="n"/>
      <c r="AQ81" s="27" t="n"/>
      <c r="AR81" s="27" t="n"/>
      <c r="AS81" s="27" t="n"/>
      <c r="AT81" s="27" t="n"/>
      <c r="AU81" s="27" t="n"/>
      <c r="AV81" s="27" t="n"/>
      <c r="AW81" s="27" t="n"/>
      <c r="AX81" s="27" t="n"/>
      <c r="AY81" s="27" t="n"/>
      <c r="AZ81" s="27" t="n"/>
      <c r="BA81" s="27" t="n"/>
      <c r="BB81" s="27" t="n"/>
      <c r="BC81" s="27" t="n"/>
      <c r="BD81" s="27" t="n"/>
      <c r="BE81" s="27" t="n"/>
      <c r="BF81" s="27" t="n"/>
      <c r="BG81" s="27" t="n"/>
      <c r="BH81" s="27" t="n"/>
      <c r="BI81" s="29" t="n"/>
      <c r="BJ81" s="27" t="n"/>
      <c r="BK81" s="27" t="n"/>
      <c r="BL81" s="27" t="n"/>
      <c r="BM81" s="27" t="n"/>
      <c r="DN81" s="26">
        <f>IF('テスト条件'!A80="","",'テスト条件'!A80)</f>
        <v/>
      </c>
    </row>
    <row r="82">
      <c r="A82" s="27" t="n"/>
      <c r="B82" s="27" t="n"/>
      <c r="C82" s="28">
        <f>IF(A82="","",$B$2)</f>
        <v/>
      </c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  <c r="AA82" s="27" t="n"/>
      <c r="AB82" s="27" t="n"/>
      <c r="AC82" s="27" t="n"/>
      <c r="AD82" s="27" t="n"/>
      <c r="AE82" s="27" t="n"/>
      <c r="AF82" s="27" t="n"/>
      <c r="AG82" s="27" t="n"/>
      <c r="AH82" s="27" t="n"/>
      <c r="AI82" s="27" t="n"/>
      <c r="AJ82" s="27" t="n"/>
      <c r="AK82" s="27" t="n"/>
      <c r="AL82" s="27" t="n"/>
      <c r="AM82" s="27" t="n"/>
      <c r="AN82" s="27" t="n"/>
      <c r="AO82" s="27" t="n"/>
      <c r="AP82" s="27" t="n"/>
      <c r="AQ82" s="27" t="n"/>
      <c r="AR82" s="27" t="n"/>
      <c r="AS82" s="27" t="n"/>
      <c r="AT82" s="27" t="n"/>
      <c r="AU82" s="27" t="n"/>
      <c r="AV82" s="27" t="n"/>
      <c r="AW82" s="27" t="n"/>
      <c r="AX82" s="27" t="n"/>
      <c r="AY82" s="27" t="n"/>
      <c r="AZ82" s="27" t="n"/>
      <c r="BA82" s="27" t="n"/>
      <c r="BB82" s="27" t="n"/>
      <c r="BC82" s="27" t="n"/>
      <c r="BD82" s="27" t="n"/>
      <c r="BE82" s="27" t="n"/>
      <c r="BF82" s="27" t="n"/>
      <c r="BG82" s="27" t="n"/>
      <c r="BH82" s="27" t="n"/>
      <c r="BI82" s="29" t="n"/>
      <c r="BJ82" s="27" t="n"/>
      <c r="BK82" s="27" t="n"/>
      <c r="BL82" s="27" t="n"/>
      <c r="BM82" s="27" t="n"/>
      <c r="DN82" s="26">
        <f>IF('テスト条件'!A81="","",'テスト条件'!A81)</f>
        <v/>
      </c>
    </row>
    <row r="83">
      <c r="A83" s="27" t="n"/>
      <c r="B83" s="27" t="n"/>
      <c r="C83" s="28">
        <f>IF(A83="","",$B$2)</f>
        <v/>
      </c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  <c r="AA83" s="27" t="n"/>
      <c r="AB83" s="27" t="n"/>
      <c r="AC83" s="27" t="n"/>
      <c r="AD83" s="27" t="n"/>
      <c r="AE83" s="27" t="n"/>
      <c r="AF83" s="27" t="n"/>
      <c r="AG83" s="27" t="n"/>
      <c r="AH83" s="27" t="n"/>
      <c r="AI83" s="27" t="n"/>
      <c r="AJ83" s="27" t="n"/>
      <c r="AK83" s="27" t="n"/>
      <c r="AL83" s="27" t="n"/>
      <c r="AM83" s="27" t="n"/>
      <c r="AN83" s="27" t="n"/>
      <c r="AO83" s="27" t="n"/>
      <c r="AP83" s="27" t="n"/>
      <c r="AQ83" s="27" t="n"/>
      <c r="AR83" s="27" t="n"/>
      <c r="AS83" s="27" t="n"/>
      <c r="AT83" s="27" t="n"/>
      <c r="AU83" s="27" t="n"/>
      <c r="AV83" s="27" t="n"/>
      <c r="AW83" s="27" t="n"/>
      <c r="AX83" s="27" t="n"/>
      <c r="AY83" s="27" t="n"/>
      <c r="AZ83" s="27" t="n"/>
      <c r="BA83" s="27" t="n"/>
      <c r="BB83" s="27" t="n"/>
      <c r="BC83" s="27" t="n"/>
      <c r="BD83" s="27" t="n"/>
      <c r="BE83" s="27" t="n"/>
      <c r="BF83" s="27" t="n"/>
      <c r="BG83" s="27" t="n"/>
      <c r="BH83" s="27" t="n"/>
      <c r="BI83" s="29" t="n"/>
      <c r="BJ83" s="27" t="n"/>
      <c r="BK83" s="27" t="n"/>
      <c r="BL83" s="27" t="n"/>
      <c r="BM83" s="27" t="n"/>
      <c r="DN83" s="26">
        <f>IF('テスト条件'!A82="","",'テスト条件'!A82)</f>
        <v/>
      </c>
    </row>
    <row r="84">
      <c r="A84" s="27" t="n"/>
      <c r="B84" s="27" t="n"/>
      <c r="C84" s="28">
        <f>IF(A84="","",$B$2)</f>
        <v/>
      </c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  <c r="AA84" s="27" t="n"/>
      <c r="AB84" s="27" t="n"/>
      <c r="AC84" s="27" t="n"/>
      <c r="AD84" s="27" t="n"/>
      <c r="AE84" s="27" t="n"/>
      <c r="AF84" s="27" t="n"/>
      <c r="AG84" s="27" t="n"/>
      <c r="AH84" s="27" t="n"/>
      <c r="AI84" s="27" t="n"/>
      <c r="AJ84" s="27" t="n"/>
      <c r="AK84" s="27" t="n"/>
      <c r="AL84" s="27" t="n"/>
      <c r="AM84" s="27" t="n"/>
      <c r="AN84" s="27" t="n"/>
      <c r="AO84" s="27" t="n"/>
      <c r="AP84" s="27" t="n"/>
      <c r="AQ84" s="27" t="n"/>
      <c r="AR84" s="27" t="n"/>
      <c r="AS84" s="27" t="n"/>
      <c r="AT84" s="27" t="n"/>
      <c r="AU84" s="27" t="n"/>
      <c r="AV84" s="27" t="n"/>
      <c r="AW84" s="27" t="n"/>
      <c r="AX84" s="27" t="n"/>
      <c r="AY84" s="27" t="n"/>
      <c r="AZ84" s="27" t="n"/>
      <c r="BA84" s="27" t="n"/>
      <c r="BB84" s="27" t="n"/>
      <c r="BC84" s="27" t="n"/>
      <c r="BD84" s="27" t="n"/>
      <c r="BE84" s="27" t="n"/>
      <c r="BF84" s="27" t="n"/>
      <c r="BG84" s="27" t="n"/>
      <c r="BH84" s="27" t="n"/>
      <c r="BI84" s="29" t="n"/>
      <c r="BJ84" s="27" t="n"/>
      <c r="BK84" s="27" t="n"/>
      <c r="BL84" s="27" t="n"/>
      <c r="BM84" s="27" t="n"/>
      <c r="DN84" s="26">
        <f>IF('テスト条件'!A83="","",'テスト条件'!A83)</f>
        <v/>
      </c>
    </row>
    <row r="85">
      <c r="A85" s="27" t="n"/>
      <c r="B85" s="27" t="n"/>
      <c r="C85" s="28">
        <f>IF(A85="","",$B$2)</f>
        <v/>
      </c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  <c r="AA85" s="27" t="n"/>
      <c r="AB85" s="27" t="n"/>
      <c r="AC85" s="27" t="n"/>
      <c r="AD85" s="27" t="n"/>
      <c r="AE85" s="27" t="n"/>
      <c r="AF85" s="27" t="n"/>
      <c r="AG85" s="27" t="n"/>
      <c r="AH85" s="27" t="n"/>
      <c r="AI85" s="27" t="n"/>
      <c r="AJ85" s="27" t="n"/>
      <c r="AK85" s="27" t="n"/>
      <c r="AL85" s="27" t="n"/>
      <c r="AM85" s="27" t="n"/>
      <c r="AN85" s="27" t="n"/>
      <c r="AO85" s="27" t="n"/>
      <c r="AP85" s="27" t="n"/>
      <c r="AQ85" s="27" t="n"/>
      <c r="AR85" s="27" t="n"/>
      <c r="AS85" s="27" t="n"/>
      <c r="AT85" s="27" t="n"/>
      <c r="AU85" s="27" t="n"/>
      <c r="AV85" s="27" t="n"/>
      <c r="AW85" s="27" t="n"/>
      <c r="AX85" s="27" t="n"/>
      <c r="AY85" s="27" t="n"/>
      <c r="AZ85" s="27" t="n"/>
      <c r="BA85" s="27" t="n"/>
      <c r="BB85" s="27" t="n"/>
      <c r="BC85" s="27" t="n"/>
      <c r="BD85" s="27" t="n"/>
      <c r="BE85" s="27" t="n"/>
      <c r="BF85" s="27" t="n"/>
      <c r="BG85" s="27" t="n"/>
      <c r="BH85" s="27" t="n"/>
      <c r="BI85" s="29" t="n"/>
      <c r="BJ85" s="27" t="n"/>
      <c r="BK85" s="27" t="n"/>
      <c r="BL85" s="27" t="n"/>
      <c r="BM85" s="27" t="n"/>
      <c r="DN85" s="26">
        <f>IF('テスト条件'!A84="","",'テスト条件'!A84)</f>
        <v/>
      </c>
    </row>
    <row r="86">
      <c r="A86" s="27" t="n"/>
      <c r="B86" s="27" t="n"/>
      <c r="C86" s="28">
        <f>IF(A86="","",$B$2)</f>
        <v/>
      </c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27" t="n"/>
      <c r="AJ86" s="27" t="n"/>
      <c r="AK86" s="27" t="n"/>
      <c r="AL86" s="27" t="n"/>
      <c r="AM86" s="27" t="n"/>
      <c r="AN86" s="27" t="n"/>
      <c r="AO86" s="27" t="n"/>
      <c r="AP86" s="27" t="n"/>
      <c r="AQ86" s="27" t="n"/>
      <c r="AR86" s="27" t="n"/>
      <c r="AS86" s="27" t="n"/>
      <c r="AT86" s="27" t="n"/>
      <c r="AU86" s="27" t="n"/>
      <c r="AV86" s="27" t="n"/>
      <c r="AW86" s="27" t="n"/>
      <c r="AX86" s="27" t="n"/>
      <c r="AY86" s="27" t="n"/>
      <c r="AZ86" s="27" t="n"/>
      <c r="BA86" s="27" t="n"/>
      <c r="BB86" s="27" t="n"/>
      <c r="BC86" s="27" t="n"/>
      <c r="BD86" s="27" t="n"/>
      <c r="BE86" s="27" t="n"/>
      <c r="BF86" s="27" t="n"/>
      <c r="BG86" s="27" t="n"/>
      <c r="BH86" s="27" t="n"/>
      <c r="BI86" s="29" t="n"/>
      <c r="BJ86" s="27" t="n"/>
      <c r="BK86" s="27" t="n"/>
      <c r="BL86" s="27" t="n"/>
      <c r="BM86" s="27" t="n"/>
      <c r="DN86" s="26">
        <f>IF('テスト条件'!A85="","",'テスト条件'!A85)</f>
        <v/>
      </c>
    </row>
    <row r="87">
      <c r="A87" s="27" t="n"/>
      <c r="B87" s="27" t="n"/>
      <c r="C87" s="28">
        <f>IF(A87="","",$B$2)</f>
        <v/>
      </c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  <c r="AA87" s="27" t="n"/>
      <c r="AB87" s="27" t="n"/>
      <c r="AC87" s="27" t="n"/>
      <c r="AD87" s="27" t="n"/>
      <c r="AE87" s="27" t="n"/>
      <c r="AF87" s="27" t="n"/>
      <c r="AG87" s="27" t="n"/>
      <c r="AH87" s="27" t="n"/>
      <c r="AI87" s="27" t="n"/>
      <c r="AJ87" s="27" t="n"/>
      <c r="AK87" s="27" t="n"/>
      <c r="AL87" s="27" t="n"/>
      <c r="AM87" s="27" t="n"/>
      <c r="AN87" s="27" t="n"/>
      <c r="AO87" s="27" t="n"/>
      <c r="AP87" s="27" t="n"/>
      <c r="AQ87" s="27" t="n"/>
      <c r="AR87" s="27" t="n"/>
      <c r="AS87" s="27" t="n"/>
      <c r="AT87" s="27" t="n"/>
      <c r="AU87" s="27" t="n"/>
      <c r="AV87" s="27" t="n"/>
      <c r="AW87" s="27" t="n"/>
      <c r="AX87" s="27" t="n"/>
      <c r="AY87" s="27" t="n"/>
      <c r="AZ87" s="27" t="n"/>
      <c r="BA87" s="27" t="n"/>
      <c r="BB87" s="27" t="n"/>
      <c r="BC87" s="27" t="n"/>
      <c r="BD87" s="27" t="n"/>
      <c r="BE87" s="27" t="n"/>
      <c r="BF87" s="27" t="n"/>
      <c r="BG87" s="27" t="n"/>
      <c r="BH87" s="27" t="n"/>
      <c r="BI87" s="29" t="n"/>
      <c r="BJ87" s="27" t="n"/>
      <c r="BK87" s="27" t="n"/>
      <c r="BL87" s="27" t="n"/>
      <c r="BM87" s="27" t="n"/>
      <c r="DN87" s="26">
        <f>IF('テスト条件'!A86="","",'テスト条件'!A86)</f>
        <v/>
      </c>
    </row>
    <row r="88">
      <c r="A88" s="27" t="n"/>
      <c r="B88" s="27" t="n"/>
      <c r="C88" s="28">
        <f>IF(A88="","",$B$2)</f>
        <v/>
      </c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  <c r="AA88" s="27" t="n"/>
      <c r="AB88" s="27" t="n"/>
      <c r="AC88" s="27" t="n"/>
      <c r="AD88" s="27" t="n"/>
      <c r="AE88" s="27" t="n"/>
      <c r="AF88" s="27" t="n"/>
      <c r="AG88" s="27" t="n"/>
      <c r="AH88" s="27" t="n"/>
      <c r="AI88" s="27" t="n"/>
      <c r="AJ88" s="27" t="n"/>
      <c r="AK88" s="27" t="n"/>
      <c r="AL88" s="27" t="n"/>
      <c r="AM88" s="27" t="n"/>
      <c r="AN88" s="27" t="n"/>
      <c r="AO88" s="27" t="n"/>
      <c r="AP88" s="27" t="n"/>
      <c r="AQ88" s="27" t="n"/>
      <c r="AR88" s="27" t="n"/>
      <c r="AS88" s="27" t="n"/>
      <c r="AT88" s="27" t="n"/>
      <c r="AU88" s="27" t="n"/>
      <c r="AV88" s="27" t="n"/>
      <c r="AW88" s="27" t="n"/>
      <c r="AX88" s="27" t="n"/>
      <c r="AY88" s="27" t="n"/>
      <c r="AZ88" s="27" t="n"/>
      <c r="BA88" s="27" t="n"/>
      <c r="BB88" s="27" t="n"/>
      <c r="BC88" s="27" t="n"/>
      <c r="BD88" s="27" t="n"/>
      <c r="BE88" s="27" t="n"/>
      <c r="BF88" s="27" t="n"/>
      <c r="BG88" s="27" t="n"/>
      <c r="BH88" s="27" t="n"/>
      <c r="BI88" s="29" t="n"/>
      <c r="BJ88" s="27" t="n"/>
      <c r="BK88" s="27" t="n"/>
      <c r="BL88" s="27" t="n"/>
      <c r="BM88" s="27" t="n"/>
      <c r="DN88" s="26">
        <f>IF('テスト条件'!A87="","",'テスト条件'!A87)</f>
        <v/>
      </c>
    </row>
    <row r="89">
      <c r="A89" s="27" t="n"/>
      <c r="B89" s="27" t="n"/>
      <c r="C89" s="28">
        <f>IF(A89="","",$B$2)</f>
        <v/>
      </c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27" t="n"/>
      <c r="AJ89" s="27" t="n"/>
      <c r="AK89" s="27" t="n"/>
      <c r="AL89" s="27" t="n"/>
      <c r="AM89" s="27" t="n"/>
      <c r="AN89" s="27" t="n"/>
      <c r="AO89" s="27" t="n"/>
      <c r="AP89" s="27" t="n"/>
      <c r="AQ89" s="27" t="n"/>
      <c r="AR89" s="27" t="n"/>
      <c r="AS89" s="27" t="n"/>
      <c r="AT89" s="27" t="n"/>
      <c r="AU89" s="27" t="n"/>
      <c r="AV89" s="27" t="n"/>
      <c r="AW89" s="27" t="n"/>
      <c r="AX89" s="27" t="n"/>
      <c r="AY89" s="27" t="n"/>
      <c r="AZ89" s="27" t="n"/>
      <c r="BA89" s="27" t="n"/>
      <c r="BB89" s="27" t="n"/>
      <c r="BC89" s="27" t="n"/>
      <c r="BD89" s="27" t="n"/>
      <c r="BE89" s="27" t="n"/>
      <c r="BF89" s="27" t="n"/>
      <c r="BG89" s="27" t="n"/>
      <c r="BH89" s="27" t="n"/>
      <c r="BI89" s="29" t="n"/>
      <c r="BJ89" s="27" t="n"/>
      <c r="BK89" s="27" t="n"/>
      <c r="BL89" s="27" t="n"/>
      <c r="BM89" s="27" t="n"/>
      <c r="DN89" s="26">
        <f>IF('テスト条件'!A88="","",'テスト条件'!A88)</f>
        <v/>
      </c>
    </row>
    <row r="90">
      <c r="A90" s="27" t="n"/>
      <c r="B90" s="27" t="n"/>
      <c r="C90" s="28">
        <f>IF(A90="","",$B$2)</f>
        <v/>
      </c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  <c r="AA90" s="27" t="n"/>
      <c r="AB90" s="27" t="n"/>
      <c r="AC90" s="27" t="n"/>
      <c r="AD90" s="27" t="n"/>
      <c r="AE90" s="27" t="n"/>
      <c r="AF90" s="27" t="n"/>
      <c r="AG90" s="27" t="n"/>
      <c r="AH90" s="27" t="n"/>
      <c r="AI90" s="27" t="n"/>
      <c r="AJ90" s="27" t="n"/>
      <c r="AK90" s="27" t="n"/>
      <c r="AL90" s="27" t="n"/>
      <c r="AM90" s="27" t="n"/>
      <c r="AN90" s="27" t="n"/>
      <c r="AO90" s="27" t="n"/>
      <c r="AP90" s="27" t="n"/>
      <c r="AQ90" s="27" t="n"/>
      <c r="AR90" s="27" t="n"/>
      <c r="AS90" s="27" t="n"/>
      <c r="AT90" s="27" t="n"/>
      <c r="AU90" s="27" t="n"/>
      <c r="AV90" s="27" t="n"/>
      <c r="AW90" s="27" t="n"/>
      <c r="AX90" s="27" t="n"/>
      <c r="AY90" s="27" t="n"/>
      <c r="AZ90" s="27" t="n"/>
      <c r="BA90" s="27" t="n"/>
      <c r="BB90" s="27" t="n"/>
      <c r="BC90" s="27" t="n"/>
      <c r="BD90" s="27" t="n"/>
      <c r="BE90" s="27" t="n"/>
      <c r="BF90" s="27" t="n"/>
      <c r="BG90" s="27" t="n"/>
      <c r="BH90" s="27" t="n"/>
      <c r="BI90" s="29" t="n"/>
      <c r="BJ90" s="27" t="n"/>
      <c r="BK90" s="27" t="n"/>
      <c r="BL90" s="27" t="n"/>
      <c r="BM90" s="27" t="n"/>
      <c r="DN90" s="26">
        <f>IF('テスト条件'!A89="","",'テスト条件'!A89)</f>
        <v/>
      </c>
    </row>
    <row r="91">
      <c r="A91" s="27" t="n"/>
      <c r="B91" s="27" t="n"/>
      <c r="C91" s="28">
        <f>IF(A91="","",$B$2)</f>
        <v/>
      </c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  <c r="AA91" s="27" t="n"/>
      <c r="AB91" s="27" t="n"/>
      <c r="AC91" s="27" t="n"/>
      <c r="AD91" s="27" t="n"/>
      <c r="AE91" s="27" t="n"/>
      <c r="AF91" s="27" t="n"/>
      <c r="AG91" s="27" t="n"/>
      <c r="AH91" s="27" t="n"/>
      <c r="AI91" s="27" t="n"/>
      <c r="AJ91" s="27" t="n"/>
      <c r="AK91" s="27" t="n"/>
      <c r="AL91" s="27" t="n"/>
      <c r="AM91" s="27" t="n"/>
      <c r="AN91" s="27" t="n"/>
      <c r="AO91" s="27" t="n"/>
      <c r="AP91" s="27" t="n"/>
      <c r="AQ91" s="27" t="n"/>
      <c r="AR91" s="27" t="n"/>
      <c r="AS91" s="27" t="n"/>
      <c r="AT91" s="27" t="n"/>
      <c r="AU91" s="27" t="n"/>
      <c r="AV91" s="27" t="n"/>
      <c r="AW91" s="27" t="n"/>
      <c r="AX91" s="27" t="n"/>
      <c r="AY91" s="27" t="n"/>
      <c r="AZ91" s="27" t="n"/>
      <c r="BA91" s="27" t="n"/>
      <c r="BB91" s="27" t="n"/>
      <c r="BC91" s="27" t="n"/>
      <c r="BD91" s="27" t="n"/>
      <c r="BE91" s="27" t="n"/>
      <c r="BF91" s="27" t="n"/>
      <c r="BG91" s="27" t="n"/>
      <c r="BH91" s="27" t="n"/>
      <c r="BI91" s="29" t="n"/>
      <c r="BJ91" s="27" t="n"/>
      <c r="BK91" s="27" t="n"/>
      <c r="BL91" s="27" t="n"/>
      <c r="BM91" s="27" t="n"/>
      <c r="DN91" s="26">
        <f>IF('テスト条件'!A90="","",'テスト条件'!A90)</f>
        <v/>
      </c>
    </row>
    <row r="92">
      <c r="A92" s="27" t="n"/>
      <c r="B92" s="27" t="n"/>
      <c r="C92" s="28">
        <f>IF(A92="","",$B$2)</f>
        <v/>
      </c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  <c r="AA92" s="27" t="n"/>
      <c r="AB92" s="27" t="n"/>
      <c r="AC92" s="27" t="n"/>
      <c r="AD92" s="27" t="n"/>
      <c r="AE92" s="27" t="n"/>
      <c r="AF92" s="27" t="n"/>
      <c r="AG92" s="27" t="n"/>
      <c r="AH92" s="27" t="n"/>
      <c r="AI92" s="27" t="n"/>
      <c r="AJ92" s="27" t="n"/>
      <c r="AK92" s="27" t="n"/>
      <c r="AL92" s="27" t="n"/>
      <c r="AM92" s="27" t="n"/>
      <c r="AN92" s="27" t="n"/>
      <c r="AO92" s="27" t="n"/>
      <c r="AP92" s="27" t="n"/>
      <c r="AQ92" s="27" t="n"/>
      <c r="AR92" s="27" t="n"/>
      <c r="AS92" s="27" t="n"/>
      <c r="AT92" s="27" t="n"/>
      <c r="AU92" s="27" t="n"/>
      <c r="AV92" s="27" t="n"/>
      <c r="AW92" s="27" t="n"/>
      <c r="AX92" s="27" t="n"/>
      <c r="AY92" s="27" t="n"/>
      <c r="AZ92" s="27" t="n"/>
      <c r="BA92" s="27" t="n"/>
      <c r="BB92" s="27" t="n"/>
      <c r="BC92" s="27" t="n"/>
      <c r="BD92" s="27" t="n"/>
      <c r="BE92" s="27" t="n"/>
      <c r="BF92" s="27" t="n"/>
      <c r="BG92" s="27" t="n"/>
      <c r="BH92" s="27" t="n"/>
      <c r="BI92" s="29" t="n"/>
      <c r="BJ92" s="27" t="n"/>
      <c r="BK92" s="27" t="n"/>
      <c r="BL92" s="27" t="n"/>
      <c r="BM92" s="27" t="n"/>
      <c r="DN92" s="26">
        <f>IF('テスト条件'!A91="","",'テスト条件'!A91)</f>
        <v/>
      </c>
    </row>
    <row r="93">
      <c r="A93" s="27" t="n"/>
      <c r="B93" s="27" t="n"/>
      <c r="C93" s="28">
        <f>IF(A93="","",$B$2)</f>
        <v/>
      </c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7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9" t="n"/>
      <c r="BJ93" s="27" t="n"/>
      <c r="BK93" s="27" t="n"/>
      <c r="BL93" s="27" t="n"/>
      <c r="BM93" s="27" t="n"/>
      <c r="DN93" s="26">
        <f>IF('テスト条件'!A92="","",'テスト条件'!A92)</f>
        <v/>
      </c>
    </row>
    <row r="94">
      <c r="A94" s="27" t="n"/>
      <c r="B94" s="27" t="n"/>
      <c r="C94" s="28">
        <f>IF(A94="","",$B$2)</f>
        <v/>
      </c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7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9" t="n"/>
      <c r="BJ94" s="27" t="n"/>
      <c r="BK94" s="27" t="n"/>
      <c r="BL94" s="27" t="n"/>
      <c r="BM94" s="27" t="n"/>
      <c r="DN94" s="26">
        <f>IF('テスト条件'!A93="","",'テスト条件'!A93)</f>
        <v/>
      </c>
    </row>
    <row r="95">
      <c r="A95" s="27" t="n"/>
      <c r="B95" s="27" t="n"/>
      <c r="C95" s="28">
        <f>IF(A95="","",$B$2)</f>
        <v/>
      </c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7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9" t="n"/>
      <c r="BJ95" s="27" t="n"/>
      <c r="BK95" s="27" t="n"/>
      <c r="BL95" s="27" t="n"/>
      <c r="BM95" s="27" t="n"/>
      <c r="DN95" s="26">
        <f>IF('テスト条件'!A94="","",'テスト条件'!A94)</f>
        <v/>
      </c>
    </row>
    <row r="96">
      <c r="A96" s="27" t="n"/>
      <c r="B96" s="27" t="n"/>
      <c r="C96" s="28">
        <f>IF(A96="","",$B$2)</f>
        <v/>
      </c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7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9" t="n"/>
      <c r="BJ96" s="27" t="n"/>
      <c r="BK96" s="27" t="n"/>
      <c r="BL96" s="27" t="n"/>
      <c r="BM96" s="27" t="n"/>
      <c r="DN96" s="26">
        <f>IF('テスト条件'!A95="","",'テスト条件'!A95)</f>
        <v/>
      </c>
    </row>
    <row r="97">
      <c r="A97" s="27" t="n"/>
      <c r="B97" s="27" t="n"/>
      <c r="C97" s="28">
        <f>IF(A97="","",$B$2)</f>
        <v/>
      </c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7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9" t="n"/>
      <c r="BJ97" s="27" t="n"/>
      <c r="BK97" s="27" t="n"/>
      <c r="BL97" s="27" t="n"/>
      <c r="BM97" s="27" t="n"/>
      <c r="DN97" s="26">
        <f>IF('テスト条件'!A96="","",'テスト条件'!A96)</f>
        <v/>
      </c>
    </row>
    <row r="98">
      <c r="A98" s="27" t="n"/>
      <c r="B98" s="27" t="n"/>
      <c r="C98" s="28">
        <f>IF(A98="","",$B$2)</f>
        <v/>
      </c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  <c r="AA98" s="27" t="n"/>
      <c r="AB98" s="27" t="n"/>
      <c r="AC98" s="27" t="n"/>
      <c r="AD98" s="27" t="n"/>
      <c r="AE98" s="27" t="n"/>
      <c r="AF98" s="27" t="n"/>
      <c r="AG98" s="27" t="n"/>
      <c r="AH98" s="27" t="n"/>
      <c r="AI98" s="27" t="n"/>
      <c r="AJ98" s="27" t="n"/>
      <c r="AK98" s="27" t="n"/>
      <c r="AL98" s="27" t="n"/>
      <c r="AM98" s="27" t="n"/>
      <c r="AN98" s="27" t="n"/>
      <c r="AO98" s="27" t="n"/>
      <c r="AP98" s="27" t="n"/>
      <c r="AQ98" s="27" t="n"/>
      <c r="AR98" s="27" t="n"/>
      <c r="AS98" s="27" t="n"/>
      <c r="AT98" s="27" t="n"/>
      <c r="AU98" s="27" t="n"/>
      <c r="AV98" s="27" t="n"/>
      <c r="AW98" s="27" t="n"/>
      <c r="AX98" s="27" t="n"/>
      <c r="AY98" s="27" t="n"/>
      <c r="AZ98" s="27" t="n"/>
      <c r="BA98" s="27" t="n"/>
      <c r="BB98" s="27" t="n"/>
      <c r="BC98" s="27" t="n"/>
      <c r="BD98" s="27" t="n"/>
      <c r="BE98" s="27" t="n"/>
      <c r="BF98" s="27" t="n"/>
      <c r="BG98" s="27" t="n"/>
      <c r="BH98" s="27" t="n"/>
      <c r="BI98" s="29" t="n"/>
      <c r="BJ98" s="27" t="n"/>
      <c r="BK98" s="27" t="n"/>
      <c r="BL98" s="27" t="n"/>
      <c r="BM98" s="27" t="n"/>
      <c r="DN98" s="26">
        <f>IF('テスト条件'!A97="","",'テスト条件'!A97)</f>
        <v/>
      </c>
    </row>
    <row r="99">
      <c r="A99" s="27" t="n"/>
      <c r="B99" s="27" t="n"/>
      <c r="C99" s="28">
        <f>IF(A99="","",$B$2)</f>
        <v/>
      </c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  <c r="AA99" s="27" t="n"/>
      <c r="AB99" s="27" t="n"/>
      <c r="AC99" s="27" t="n"/>
      <c r="AD99" s="27" t="n"/>
      <c r="AE99" s="27" t="n"/>
      <c r="AF99" s="27" t="n"/>
      <c r="AG99" s="27" t="n"/>
      <c r="AH99" s="27" t="n"/>
      <c r="AI99" s="27" t="n"/>
      <c r="AJ99" s="27" t="n"/>
      <c r="AK99" s="27" t="n"/>
      <c r="AL99" s="27" t="n"/>
      <c r="AM99" s="27" t="n"/>
      <c r="AN99" s="27" t="n"/>
      <c r="AO99" s="27" t="n"/>
      <c r="AP99" s="27" t="n"/>
      <c r="AQ99" s="27" t="n"/>
      <c r="AR99" s="27" t="n"/>
      <c r="AS99" s="27" t="n"/>
      <c r="AT99" s="27" t="n"/>
      <c r="AU99" s="27" t="n"/>
      <c r="AV99" s="27" t="n"/>
      <c r="AW99" s="27" t="n"/>
      <c r="AX99" s="27" t="n"/>
      <c r="AY99" s="27" t="n"/>
      <c r="AZ99" s="27" t="n"/>
      <c r="BA99" s="27" t="n"/>
      <c r="BB99" s="27" t="n"/>
      <c r="BC99" s="27" t="n"/>
      <c r="BD99" s="27" t="n"/>
      <c r="BE99" s="27" t="n"/>
      <c r="BF99" s="27" t="n"/>
      <c r="BG99" s="27" t="n"/>
      <c r="BH99" s="27" t="n"/>
      <c r="BI99" s="29" t="n"/>
      <c r="BJ99" s="27" t="n"/>
      <c r="BK99" s="27" t="n"/>
      <c r="BL99" s="27" t="n"/>
      <c r="BM99" s="27" t="n"/>
      <c r="DN99" s="26">
        <f>IF('テスト条件'!A98="","",'テスト条件'!A98)</f>
        <v/>
      </c>
    </row>
    <row r="100">
      <c r="A100" s="27" t="n"/>
      <c r="B100" s="27" t="n"/>
      <c r="C100" s="28">
        <f>IF(A100="","",$B$2)</f>
        <v/>
      </c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  <c r="AA100" s="27" t="n"/>
      <c r="AB100" s="27" t="n"/>
      <c r="AC100" s="27" t="n"/>
      <c r="AD100" s="27" t="n"/>
      <c r="AE100" s="27" t="n"/>
      <c r="AF100" s="27" t="n"/>
      <c r="AG100" s="27" t="n"/>
      <c r="AH100" s="27" t="n"/>
      <c r="AI100" s="27" t="n"/>
      <c r="AJ100" s="27" t="n"/>
      <c r="AK100" s="27" t="n"/>
      <c r="AL100" s="27" t="n"/>
      <c r="AM100" s="27" t="n"/>
      <c r="AN100" s="27" t="n"/>
      <c r="AO100" s="27" t="n"/>
      <c r="AP100" s="27" t="n"/>
      <c r="AQ100" s="27" t="n"/>
      <c r="AR100" s="27" t="n"/>
      <c r="AS100" s="27" t="n"/>
      <c r="AT100" s="27" t="n"/>
      <c r="AU100" s="27" t="n"/>
      <c r="AV100" s="27" t="n"/>
      <c r="AW100" s="27" t="n"/>
      <c r="AX100" s="27" t="n"/>
      <c r="AY100" s="27" t="n"/>
      <c r="AZ100" s="27" t="n"/>
      <c r="BA100" s="27" t="n"/>
      <c r="BB100" s="27" t="n"/>
      <c r="BC100" s="27" t="n"/>
      <c r="BD100" s="27" t="n"/>
      <c r="BE100" s="27" t="n"/>
      <c r="BF100" s="27" t="n"/>
      <c r="BG100" s="27" t="n"/>
      <c r="BH100" s="27" t="n"/>
      <c r="BI100" s="29" t="n"/>
      <c r="BJ100" s="27" t="n"/>
      <c r="BK100" s="27" t="n"/>
      <c r="BL100" s="27" t="n"/>
      <c r="BM100" s="27" t="n"/>
      <c r="DN100" s="26">
        <f>IF('テスト条件'!A99="","",'テスト条件'!A99)</f>
        <v/>
      </c>
    </row>
    <row r="101">
      <c r="A101" s="27" t="n"/>
      <c r="B101" s="27" t="n"/>
      <c r="C101" s="28">
        <f>IF(A101="","",$B$2)</f>
        <v/>
      </c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  <c r="AA101" s="27" t="n"/>
      <c r="AB101" s="27" t="n"/>
      <c r="AC101" s="27" t="n"/>
      <c r="AD101" s="27" t="n"/>
      <c r="AE101" s="27" t="n"/>
      <c r="AF101" s="27" t="n"/>
      <c r="AG101" s="27" t="n"/>
      <c r="AH101" s="27" t="n"/>
      <c r="AI101" s="27" t="n"/>
      <c r="AJ101" s="27" t="n"/>
      <c r="AK101" s="27" t="n"/>
      <c r="AL101" s="27" t="n"/>
      <c r="AM101" s="27" t="n"/>
      <c r="AN101" s="27" t="n"/>
      <c r="AO101" s="27" t="n"/>
      <c r="AP101" s="27" t="n"/>
      <c r="AQ101" s="27" t="n"/>
      <c r="AR101" s="27" t="n"/>
      <c r="AS101" s="27" t="n"/>
      <c r="AT101" s="27" t="n"/>
      <c r="AU101" s="27" t="n"/>
      <c r="AV101" s="27" t="n"/>
      <c r="AW101" s="27" t="n"/>
      <c r="AX101" s="27" t="n"/>
      <c r="AY101" s="27" t="n"/>
      <c r="AZ101" s="27" t="n"/>
      <c r="BA101" s="27" t="n"/>
      <c r="BB101" s="27" t="n"/>
      <c r="BC101" s="27" t="n"/>
      <c r="BD101" s="27" t="n"/>
      <c r="BE101" s="27" t="n"/>
      <c r="BF101" s="27" t="n"/>
      <c r="BG101" s="27" t="n"/>
      <c r="BH101" s="27" t="n"/>
      <c r="BI101" s="29" t="n"/>
      <c r="BJ101" s="27" t="n"/>
      <c r="BK101" s="27" t="n"/>
      <c r="BL101" s="27" t="n"/>
      <c r="BM101" s="27" t="n"/>
      <c r="DN101" s="26">
        <f>IF('テスト条件'!A100="","",'テスト条件'!A100)</f>
        <v/>
      </c>
    </row>
    <row r="102">
      <c r="A102" s="27" t="n"/>
      <c r="B102" s="27" t="n"/>
      <c r="C102" s="28">
        <f>IF(A102="","",$B$2)</f>
        <v/>
      </c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  <c r="AA102" s="27" t="n"/>
      <c r="AB102" s="27" t="n"/>
      <c r="AC102" s="27" t="n"/>
      <c r="AD102" s="27" t="n"/>
      <c r="AE102" s="27" t="n"/>
      <c r="AF102" s="27" t="n"/>
      <c r="AG102" s="27" t="n"/>
      <c r="AH102" s="27" t="n"/>
      <c r="AI102" s="27" t="n"/>
      <c r="AJ102" s="27" t="n"/>
      <c r="AK102" s="27" t="n"/>
      <c r="AL102" s="27" t="n"/>
      <c r="AM102" s="27" t="n"/>
      <c r="AN102" s="27" t="n"/>
      <c r="AO102" s="27" t="n"/>
      <c r="AP102" s="27" t="n"/>
      <c r="AQ102" s="27" t="n"/>
      <c r="AR102" s="27" t="n"/>
      <c r="AS102" s="27" t="n"/>
      <c r="AT102" s="27" t="n"/>
      <c r="AU102" s="27" t="n"/>
      <c r="AV102" s="27" t="n"/>
      <c r="AW102" s="27" t="n"/>
      <c r="AX102" s="27" t="n"/>
      <c r="AY102" s="27" t="n"/>
      <c r="AZ102" s="27" t="n"/>
      <c r="BA102" s="27" t="n"/>
      <c r="BB102" s="27" t="n"/>
      <c r="BC102" s="27" t="n"/>
      <c r="BD102" s="27" t="n"/>
      <c r="BE102" s="27" t="n"/>
      <c r="BF102" s="27" t="n"/>
      <c r="BG102" s="27" t="n"/>
      <c r="BH102" s="27" t="n"/>
      <c r="BI102" s="29" t="n"/>
      <c r="BJ102" s="27" t="n"/>
      <c r="BK102" s="27" t="n"/>
      <c r="BL102" s="27" t="n"/>
      <c r="BM102" s="27" t="n"/>
      <c r="DN102" s="26">
        <f>IF('テスト条件'!A101="","",'テスト条件'!A101)</f>
        <v/>
      </c>
    </row>
    <row r="103">
      <c r="A103" s="27" t="n"/>
      <c r="B103" s="27" t="n"/>
      <c r="C103" s="28">
        <f>IF(A103="","",$B$2)</f>
        <v/>
      </c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  <c r="AA103" s="27" t="n"/>
      <c r="AB103" s="27" t="n"/>
      <c r="AC103" s="27" t="n"/>
      <c r="AD103" s="27" t="n"/>
      <c r="AE103" s="27" t="n"/>
      <c r="AF103" s="27" t="n"/>
      <c r="AG103" s="27" t="n"/>
      <c r="AH103" s="27" t="n"/>
      <c r="AI103" s="27" t="n"/>
      <c r="AJ103" s="27" t="n"/>
      <c r="AK103" s="27" t="n"/>
      <c r="AL103" s="27" t="n"/>
      <c r="AM103" s="27" t="n"/>
      <c r="AN103" s="27" t="n"/>
      <c r="AO103" s="27" t="n"/>
      <c r="AP103" s="27" t="n"/>
      <c r="AQ103" s="27" t="n"/>
      <c r="AR103" s="27" t="n"/>
      <c r="AS103" s="27" t="n"/>
      <c r="AT103" s="27" t="n"/>
      <c r="AU103" s="27" t="n"/>
      <c r="AV103" s="27" t="n"/>
      <c r="AW103" s="27" t="n"/>
      <c r="AX103" s="27" t="n"/>
      <c r="AY103" s="27" t="n"/>
      <c r="AZ103" s="27" t="n"/>
      <c r="BA103" s="27" t="n"/>
      <c r="BB103" s="27" t="n"/>
      <c r="BC103" s="27" t="n"/>
      <c r="BD103" s="27" t="n"/>
      <c r="BE103" s="27" t="n"/>
      <c r="BF103" s="27" t="n"/>
      <c r="BG103" s="27" t="n"/>
      <c r="BH103" s="27" t="n"/>
      <c r="BI103" s="29" t="n"/>
      <c r="BJ103" s="27" t="n"/>
      <c r="BK103" s="27" t="n"/>
      <c r="BL103" s="27" t="n"/>
      <c r="BM103" s="27" t="n"/>
      <c r="DN103" s="26">
        <f>IF('テスト条件'!A102="","",'テスト条件'!A102)</f>
        <v/>
      </c>
    </row>
    <row r="104">
      <c r="A104" s="27" t="n"/>
      <c r="B104" s="27" t="n"/>
      <c r="C104" s="28">
        <f>IF(A104="","",$B$2)</f>
        <v/>
      </c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  <c r="AA104" s="27" t="n"/>
      <c r="AB104" s="27" t="n"/>
      <c r="AC104" s="27" t="n"/>
      <c r="AD104" s="27" t="n"/>
      <c r="AE104" s="27" t="n"/>
      <c r="AF104" s="27" t="n"/>
      <c r="AG104" s="27" t="n"/>
      <c r="AH104" s="27" t="n"/>
      <c r="AI104" s="27" t="n"/>
      <c r="AJ104" s="27" t="n"/>
      <c r="AK104" s="27" t="n"/>
      <c r="AL104" s="27" t="n"/>
      <c r="AM104" s="27" t="n"/>
      <c r="AN104" s="27" t="n"/>
      <c r="AO104" s="27" t="n"/>
      <c r="AP104" s="27" t="n"/>
      <c r="AQ104" s="27" t="n"/>
      <c r="AR104" s="27" t="n"/>
      <c r="AS104" s="27" t="n"/>
      <c r="AT104" s="27" t="n"/>
      <c r="AU104" s="27" t="n"/>
      <c r="AV104" s="27" t="n"/>
      <c r="AW104" s="27" t="n"/>
      <c r="AX104" s="27" t="n"/>
      <c r="AY104" s="27" t="n"/>
      <c r="AZ104" s="27" t="n"/>
      <c r="BA104" s="27" t="n"/>
      <c r="BB104" s="27" t="n"/>
      <c r="BC104" s="27" t="n"/>
      <c r="BD104" s="27" t="n"/>
      <c r="BE104" s="27" t="n"/>
      <c r="BF104" s="27" t="n"/>
      <c r="BG104" s="27" t="n"/>
      <c r="BH104" s="27" t="n"/>
      <c r="BI104" s="29" t="n"/>
      <c r="BJ104" s="27" t="n"/>
      <c r="BK104" s="27" t="n"/>
      <c r="BL104" s="27" t="n"/>
      <c r="BM104" s="27" t="n"/>
      <c r="DN104" s="26">
        <f>IF('テスト条件'!A103="","",'テスト条件'!A103)</f>
        <v/>
      </c>
    </row>
    <row r="105">
      <c r="A105" s="27" t="n"/>
      <c r="B105" s="27" t="n"/>
      <c r="C105" s="28">
        <f>IF(A105="","",$B$2)</f>
        <v/>
      </c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  <c r="AA105" s="27" t="n"/>
      <c r="AB105" s="27" t="n"/>
      <c r="AC105" s="27" t="n"/>
      <c r="AD105" s="27" t="n"/>
      <c r="AE105" s="27" t="n"/>
      <c r="AF105" s="27" t="n"/>
      <c r="AG105" s="27" t="n"/>
      <c r="AH105" s="27" t="n"/>
      <c r="AI105" s="27" t="n"/>
      <c r="AJ105" s="27" t="n"/>
      <c r="AK105" s="27" t="n"/>
      <c r="AL105" s="27" t="n"/>
      <c r="AM105" s="27" t="n"/>
      <c r="AN105" s="27" t="n"/>
      <c r="AO105" s="27" t="n"/>
      <c r="AP105" s="27" t="n"/>
      <c r="AQ105" s="27" t="n"/>
      <c r="AR105" s="27" t="n"/>
      <c r="AS105" s="27" t="n"/>
      <c r="AT105" s="27" t="n"/>
      <c r="AU105" s="27" t="n"/>
      <c r="AV105" s="27" t="n"/>
      <c r="AW105" s="27" t="n"/>
      <c r="AX105" s="27" t="n"/>
      <c r="AY105" s="27" t="n"/>
      <c r="AZ105" s="27" t="n"/>
      <c r="BA105" s="27" t="n"/>
      <c r="BB105" s="27" t="n"/>
      <c r="BC105" s="27" t="n"/>
      <c r="BD105" s="27" t="n"/>
      <c r="BE105" s="27" t="n"/>
      <c r="BF105" s="27" t="n"/>
      <c r="BG105" s="27" t="n"/>
      <c r="BH105" s="27" t="n"/>
      <c r="BI105" s="29" t="n"/>
      <c r="BJ105" s="27" t="n"/>
      <c r="BK105" s="27" t="n"/>
      <c r="BL105" s="27" t="n"/>
      <c r="BM105" s="27" t="n"/>
      <c r="DN105" s="26">
        <f>IF('テスト条件'!A104="","",'テスト条件'!A104)</f>
        <v/>
      </c>
    </row>
    <row r="106">
      <c r="A106" s="27" t="n"/>
      <c r="B106" s="27" t="n"/>
      <c r="C106" s="28">
        <f>IF(A106="","",$B$2)</f>
        <v/>
      </c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  <c r="AA106" s="27" t="n"/>
      <c r="AB106" s="27" t="n"/>
      <c r="AC106" s="27" t="n"/>
      <c r="AD106" s="27" t="n"/>
      <c r="AE106" s="27" t="n"/>
      <c r="AF106" s="27" t="n"/>
      <c r="AG106" s="27" t="n"/>
      <c r="AH106" s="27" t="n"/>
      <c r="AI106" s="27" t="n"/>
      <c r="AJ106" s="27" t="n"/>
      <c r="AK106" s="27" t="n"/>
      <c r="AL106" s="27" t="n"/>
      <c r="AM106" s="27" t="n"/>
      <c r="AN106" s="27" t="n"/>
      <c r="AO106" s="27" t="n"/>
      <c r="AP106" s="27" t="n"/>
      <c r="AQ106" s="27" t="n"/>
      <c r="AR106" s="27" t="n"/>
      <c r="AS106" s="27" t="n"/>
      <c r="AT106" s="27" t="n"/>
      <c r="AU106" s="27" t="n"/>
      <c r="AV106" s="27" t="n"/>
      <c r="AW106" s="27" t="n"/>
      <c r="AX106" s="27" t="n"/>
      <c r="AY106" s="27" t="n"/>
      <c r="AZ106" s="27" t="n"/>
      <c r="BA106" s="27" t="n"/>
      <c r="BB106" s="27" t="n"/>
      <c r="BC106" s="27" t="n"/>
      <c r="BD106" s="27" t="n"/>
      <c r="BE106" s="27" t="n"/>
      <c r="BF106" s="27" t="n"/>
      <c r="BG106" s="27" t="n"/>
      <c r="BH106" s="27" t="n"/>
      <c r="BI106" s="29" t="n"/>
      <c r="BJ106" s="27" t="n"/>
      <c r="BK106" s="27" t="n"/>
      <c r="BL106" s="27" t="n"/>
      <c r="BM106" s="27" t="n"/>
    </row>
    <row r="107">
      <c r="A107" s="27" t="n"/>
      <c r="B107" s="27" t="n"/>
      <c r="C107" s="28">
        <f>IF(A107="","",$B$2)</f>
        <v/>
      </c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  <c r="AA107" s="27" t="n"/>
      <c r="AB107" s="27" t="n"/>
      <c r="AC107" s="27" t="n"/>
      <c r="AD107" s="27" t="n"/>
      <c r="AE107" s="27" t="n"/>
      <c r="AF107" s="27" t="n"/>
      <c r="AG107" s="27" t="n"/>
      <c r="AH107" s="27" t="n"/>
      <c r="AI107" s="27" t="n"/>
      <c r="AJ107" s="27" t="n"/>
      <c r="AK107" s="27" t="n"/>
      <c r="AL107" s="27" t="n"/>
      <c r="AM107" s="27" t="n"/>
      <c r="AN107" s="27" t="n"/>
      <c r="AO107" s="27" t="n"/>
      <c r="AP107" s="27" t="n"/>
      <c r="AQ107" s="27" t="n"/>
      <c r="AR107" s="27" t="n"/>
      <c r="AS107" s="27" t="n"/>
      <c r="AT107" s="27" t="n"/>
      <c r="AU107" s="27" t="n"/>
      <c r="AV107" s="27" t="n"/>
      <c r="AW107" s="27" t="n"/>
      <c r="AX107" s="27" t="n"/>
      <c r="AY107" s="27" t="n"/>
      <c r="AZ107" s="27" t="n"/>
      <c r="BA107" s="27" t="n"/>
      <c r="BB107" s="27" t="n"/>
      <c r="BC107" s="27" t="n"/>
      <c r="BD107" s="27" t="n"/>
      <c r="BE107" s="27" t="n"/>
      <c r="BF107" s="27" t="n"/>
      <c r="BG107" s="27" t="n"/>
      <c r="BH107" s="27" t="n"/>
      <c r="BI107" s="29" t="n"/>
      <c r="BJ107" s="27" t="n"/>
      <c r="BK107" s="27" t="n"/>
      <c r="BL107" s="27" t="n"/>
      <c r="BM107" s="27" t="n"/>
    </row>
    <row r="108">
      <c r="A108" s="27" t="n"/>
      <c r="B108" s="27" t="n"/>
      <c r="C108" s="28">
        <f>IF(A108="","",$B$2)</f>
        <v/>
      </c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  <c r="AA108" s="27" t="n"/>
      <c r="AB108" s="27" t="n"/>
      <c r="AC108" s="27" t="n"/>
      <c r="AD108" s="27" t="n"/>
      <c r="AE108" s="27" t="n"/>
      <c r="AF108" s="27" t="n"/>
      <c r="AG108" s="27" t="n"/>
      <c r="AH108" s="27" t="n"/>
      <c r="AI108" s="27" t="n"/>
      <c r="AJ108" s="27" t="n"/>
      <c r="AK108" s="27" t="n"/>
      <c r="AL108" s="27" t="n"/>
      <c r="AM108" s="27" t="n"/>
      <c r="AN108" s="27" t="n"/>
      <c r="AO108" s="27" t="n"/>
      <c r="AP108" s="27" t="n"/>
      <c r="AQ108" s="27" t="n"/>
      <c r="AR108" s="27" t="n"/>
      <c r="AS108" s="27" t="n"/>
      <c r="AT108" s="27" t="n"/>
      <c r="AU108" s="27" t="n"/>
      <c r="AV108" s="27" t="n"/>
      <c r="AW108" s="27" t="n"/>
      <c r="AX108" s="27" t="n"/>
      <c r="AY108" s="27" t="n"/>
      <c r="AZ108" s="27" t="n"/>
      <c r="BA108" s="27" t="n"/>
      <c r="BB108" s="27" t="n"/>
      <c r="BC108" s="27" t="n"/>
      <c r="BD108" s="27" t="n"/>
      <c r="BE108" s="27" t="n"/>
      <c r="BF108" s="27" t="n"/>
      <c r="BG108" s="27" t="n"/>
      <c r="BH108" s="27" t="n"/>
      <c r="BI108" s="29" t="n"/>
      <c r="BJ108" s="27" t="n"/>
      <c r="BK108" s="27" t="n"/>
      <c r="BL108" s="27" t="n"/>
      <c r="BM108" s="27" t="n"/>
    </row>
    <row r="109">
      <c r="A109" s="27" t="n"/>
      <c r="B109" s="27" t="n"/>
      <c r="C109" s="28">
        <f>IF(A109="","",$B$2)</f>
        <v/>
      </c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  <c r="AA109" s="27" t="n"/>
      <c r="AB109" s="27" t="n"/>
      <c r="AC109" s="27" t="n"/>
      <c r="AD109" s="27" t="n"/>
      <c r="AE109" s="27" t="n"/>
      <c r="AF109" s="27" t="n"/>
      <c r="AG109" s="27" t="n"/>
      <c r="AH109" s="27" t="n"/>
      <c r="AI109" s="27" t="n"/>
      <c r="AJ109" s="27" t="n"/>
      <c r="AK109" s="27" t="n"/>
      <c r="AL109" s="27" t="n"/>
      <c r="AM109" s="27" t="n"/>
      <c r="AN109" s="27" t="n"/>
      <c r="AO109" s="27" t="n"/>
      <c r="AP109" s="27" t="n"/>
      <c r="AQ109" s="27" t="n"/>
      <c r="AR109" s="27" t="n"/>
      <c r="AS109" s="27" t="n"/>
      <c r="AT109" s="27" t="n"/>
      <c r="AU109" s="27" t="n"/>
      <c r="AV109" s="27" t="n"/>
      <c r="AW109" s="27" t="n"/>
      <c r="AX109" s="27" t="n"/>
      <c r="AY109" s="27" t="n"/>
      <c r="AZ109" s="27" t="n"/>
      <c r="BA109" s="27" t="n"/>
      <c r="BB109" s="27" t="n"/>
      <c r="BC109" s="27" t="n"/>
      <c r="BD109" s="27" t="n"/>
      <c r="BE109" s="27" t="n"/>
      <c r="BF109" s="27" t="n"/>
      <c r="BG109" s="27" t="n"/>
      <c r="BH109" s="27" t="n"/>
      <c r="BI109" s="29" t="n"/>
      <c r="BJ109" s="27" t="n"/>
      <c r="BK109" s="27" t="n"/>
      <c r="BL109" s="27" t="n"/>
      <c r="BM109" s="27" t="n"/>
    </row>
    <row r="110">
      <c r="A110" s="27" t="n"/>
      <c r="B110" s="27" t="n"/>
      <c r="C110" s="28">
        <f>IF(A110="","",$B$2)</f>
        <v/>
      </c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  <c r="AA110" s="27" t="n"/>
      <c r="AB110" s="27" t="n"/>
      <c r="AC110" s="27" t="n"/>
      <c r="AD110" s="27" t="n"/>
      <c r="AE110" s="27" t="n"/>
      <c r="AF110" s="27" t="n"/>
      <c r="AG110" s="27" t="n"/>
      <c r="AH110" s="27" t="n"/>
      <c r="AI110" s="27" t="n"/>
      <c r="AJ110" s="27" t="n"/>
      <c r="AK110" s="27" t="n"/>
      <c r="AL110" s="27" t="n"/>
      <c r="AM110" s="27" t="n"/>
      <c r="AN110" s="27" t="n"/>
      <c r="AO110" s="27" t="n"/>
      <c r="AP110" s="27" t="n"/>
      <c r="AQ110" s="27" t="n"/>
      <c r="AR110" s="27" t="n"/>
      <c r="AS110" s="27" t="n"/>
      <c r="AT110" s="27" t="n"/>
      <c r="AU110" s="27" t="n"/>
      <c r="AV110" s="27" t="n"/>
      <c r="AW110" s="27" t="n"/>
      <c r="AX110" s="27" t="n"/>
      <c r="AY110" s="27" t="n"/>
      <c r="AZ110" s="27" t="n"/>
      <c r="BA110" s="27" t="n"/>
      <c r="BB110" s="27" t="n"/>
      <c r="BC110" s="27" t="n"/>
      <c r="BD110" s="27" t="n"/>
      <c r="BE110" s="27" t="n"/>
      <c r="BF110" s="27" t="n"/>
      <c r="BG110" s="27" t="n"/>
      <c r="BH110" s="27" t="n"/>
      <c r="BI110" s="29" t="n"/>
      <c r="BJ110" s="27" t="n"/>
      <c r="BK110" s="27" t="n"/>
      <c r="BL110" s="27" t="n"/>
      <c r="BM110" s="27" t="n"/>
    </row>
    <row r="111">
      <c r="A111" s="27" t="n"/>
      <c r="B111" s="27" t="n"/>
      <c r="C111" s="28">
        <f>IF(A111="","",$B$2)</f>
        <v/>
      </c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  <c r="AA111" s="27" t="n"/>
      <c r="AB111" s="27" t="n"/>
      <c r="AC111" s="27" t="n"/>
      <c r="AD111" s="27" t="n"/>
      <c r="AE111" s="27" t="n"/>
      <c r="AF111" s="27" t="n"/>
      <c r="AG111" s="27" t="n"/>
      <c r="AH111" s="27" t="n"/>
      <c r="AI111" s="27" t="n"/>
      <c r="AJ111" s="27" t="n"/>
      <c r="AK111" s="27" t="n"/>
      <c r="AL111" s="27" t="n"/>
      <c r="AM111" s="27" t="n"/>
      <c r="AN111" s="27" t="n"/>
      <c r="AO111" s="27" t="n"/>
      <c r="AP111" s="27" t="n"/>
      <c r="AQ111" s="27" t="n"/>
      <c r="AR111" s="27" t="n"/>
      <c r="AS111" s="27" t="n"/>
      <c r="AT111" s="27" t="n"/>
      <c r="AU111" s="27" t="n"/>
      <c r="AV111" s="27" t="n"/>
      <c r="AW111" s="27" t="n"/>
      <c r="AX111" s="27" t="n"/>
      <c r="AY111" s="27" t="n"/>
      <c r="AZ111" s="27" t="n"/>
      <c r="BA111" s="27" t="n"/>
      <c r="BB111" s="27" t="n"/>
      <c r="BC111" s="27" t="n"/>
      <c r="BD111" s="27" t="n"/>
      <c r="BE111" s="27" t="n"/>
      <c r="BF111" s="27" t="n"/>
      <c r="BG111" s="27" t="n"/>
      <c r="BH111" s="27" t="n"/>
      <c r="BI111" s="29" t="n"/>
      <c r="BJ111" s="27" t="n"/>
      <c r="BK111" s="27" t="n"/>
      <c r="BL111" s="27" t="n"/>
      <c r="BM111" s="27" t="n"/>
    </row>
    <row r="112">
      <c r="A112" s="27" t="n"/>
      <c r="B112" s="27" t="n"/>
      <c r="C112" s="28">
        <f>IF(A112="","",$B$2)</f>
        <v/>
      </c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  <c r="AA112" s="27" t="n"/>
      <c r="AB112" s="27" t="n"/>
      <c r="AC112" s="27" t="n"/>
      <c r="AD112" s="27" t="n"/>
      <c r="AE112" s="27" t="n"/>
      <c r="AF112" s="27" t="n"/>
      <c r="AG112" s="27" t="n"/>
      <c r="AH112" s="27" t="n"/>
      <c r="AI112" s="27" t="n"/>
      <c r="AJ112" s="27" t="n"/>
      <c r="AK112" s="27" t="n"/>
      <c r="AL112" s="27" t="n"/>
      <c r="AM112" s="27" t="n"/>
      <c r="AN112" s="27" t="n"/>
      <c r="AO112" s="27" t="n"/>
      <c r="AP112" s="27" t="n"/>
      <c r="AQ112" s="27" t="n"/>
      <c r="AR112" s="27" t="n"/>
      <c r="AS112" s="27" t="n"/>
      <c r="AT112" s="27" t="n"/>
      <c r="AU112" s="27" t="n"/>
      <c r="AV112" s="27" t="n"/>
      <c r="AW112" s="27" t="n"/>
      <c r="AX112" s="27" t="n"/>
      <c r="AY112" s="27" t="n"/>
      <c r="AZ112" s="27" t="n"/>
      <c r="BA112" s="27" t="n"/>
      <c r="BB112" s="27" t="n"/>
      <c r="BC112" s="27" t="n"/>
      <c r="BD112" s="27" t="n"/>
      <c r="BE112" s="27" t="n"/>
      <c r="BF112" s="27" t="n"/>
      <c r="BG112" s="27" t="n"/>
      <c r="BH112" s="27" t="n"/>
      <c r="BI112" s="29" t="n"/>
      <c r="BJ112" s="27" t="n"/>
      <c r="BK112" s="27" t="n"/>
      <c r="BL112" s="27" t="n"/>
      <c r="BM112" s="27" t="n"/>
    </row>
    <row r="113">
      <c r="A113" s="27" t="n"/>
      <c r="B113" s="27" t="n"/>
      <c r="C113" s="28">
        <f>IF(A113="","",$B$2)</f>
        <v/>
      </c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  <c r="AA113" s="27" t="n"/>
      <c r="AB113" s="27" t="n"/>
      <c r="AC113" s="27" t="n"/>
      <c r="AD113" s="27" t="n"/>
      <c r="AE113" s="27" t="n"/>
      <c r="AF113" s="27" t="n"/>
      <c r="AG113" s="27" t="n"/>
      <c r="AH113" s="27" t="n"/>
      <c r="AI113" s="27" t="n"/>
      <c r="AJ113" s="27" t="n"/>
      <c r="AK113" s="27" t="n"/>
      <c r="AL113" s="27" t="n"/>
      <c r="AM113" s="27" t="n"/>
      <c r="AN113" s="27" t="n"/>
      <c r="AO113" s="27" t="n"/>
      <c r="AP113" s="27" t="n"/>
      <c r="AQ113" s="27" t="n"/>
      <c r="AR113" s="27" t="n"/>
      <c r="AS113" s="27" t="n"/>
      <c r="AT113" s="27" t="n"/>
      <c r="AU113" s="27" t="n"/>
      <c r="AV113" s="27" t="n"/>
      <c r="AW113" s="27" t="n"/>
      <c r="AX113" s="27" t="n"/>
      <c r="AY113" s="27" t="n"/>
      <c r="AZ113" s="27" t="n"/>
      <c r="BA113" s="27" t="n"/>
      <c r="BB113" s="27" t="n"/>
      <c r="BC113" s="27" t="n"/>
      <c r="BD113" s="27" t="n"/>
      <c r="BE113" s="27" t="n"/>
      <c r="BF113" s="27" t="n"/>
      <c r="BG113" s="27" t="n"/>
      <c r="BH113" s="27" t="n"/>
      <c r="BI113" s="29" t="n"/>
      <c r="BJ113" s="27" t="n"/>
      <c r="BK113" s="27" t="n"/>
      <c r="BL113" s="27" t="n"/>
      <c r="BM113" s="27" t="n"/>
    </row>
    <row r="114">
      <c r="A114" s="27" t="n"/>
      <c r="B114" s="27" t="n"/>
      <c r="C114" s="28">
        <f>IF(A114="","",$B$2)</f>
        <v/>
      </c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  <c r="AA114" s="27" t="n"/>
      <c r="AB114" s="27" t="n"/>
      <c r="AC114" s="27" t="n"/>
      <c r="AD114" s="27" t="n"/>
      <c r="AE114" s="27" t="n"/>
      <c r="AF114" s="27" t="n"/>
      <c r="AG114" s="27" t="n"/>
      <c r="AH114" s="27" t="n"/>
      <c r="AI114" s="27" t="n"/>
      <c r="AJ114" s="27" t="n"/>
      <c r="AK114" s="27" t="n"/>
      <c r="AL114" s="27" t="n"/>
      <c r="AM114" s="27" t="n"/>
      <c r="AN114" s="27" t="n"/>
      <c r="AO114" s="27" t="n"/>
      <c r="AP114" s="27" t="n"/>
      <c r="AQ114" s="27" t="n"/>
      <c r="AR114" s="27" t="n"/>
      <c r="AS114" s="27" t="n"/>
      <c r="AT114" s="27" t="n"/>
      <c r="AU114" s="27" t="n"/>
      <c r="AV114" s="27" t="n"/>
      <c r="AW114" s="27" t="n"/>
      <c r="AX114" s="27" t="n"/>
      <c r="AY114" s="27" t="n"/>
      <c r="AZ114" s="27" t="n"/>
      <c r="BA114" s="27" t="n"/>
      <c r="BB114" s="27" t="n"/>
      <c r="BC114" s="27" t="n"/>
      <c r="BD114" s="27" t="n"/>
      <c r="BE114" s="27" t="n"/>
      <c r="BF114" s="27" t="n"/>
      <c r="BG114" s="27" t="n"/>
      <c r="BH114" s="27" t="n"/>
      <c r="BI114" s="29" t="n"/>
      <c r="BJ114" s="27" t="n"/>
      <c r="BK114" s="27" t="n"/>
      <c r="BL114" s="27" t="n"/>
      <c r="BM114" s="27" t="n"/>
    </row>
    <row r="115">
      <c r="A115" s="27" t="n"/>
      <c r="B115" s="27" t="n"/>
      <c r="C115" s="28">
        <f>IF(A115="","",$B$2)</f>
        <v/>
      </c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  <c r="AA115" s="27" t="n"/>
      <c r="AB115" s="27" t="n"/>
      <c r="AC115" s="27" t="n"/>
      <c r="AD115" s="27" t="n"/>
      <c r="AE115" s="27" t="n"/>
      <c r="AF115" s="27" t="n"/>
      <c r="AG115" s="27" t="n"/>
      <c r="AH115" s="27" t="n"/>
      <c r="AI115" s="27" t="n"/>
      <c r="AJ115" s="27" t="n"/>
      <c r="AK115" s="27" t="n"/>
      <c r="AL115" s="27" t="n"/>
      <c r="AM115" s="27" t="n"/>
      <c r="AN115" s="27" t="n"/>
      <c r="AO115" s="27" t="n"/>
      <c r="AP115" s="27" t="n"/>
      <c r="AQ115" s="27" t="n"/>
      <c r="AR115" s="27" t="n"/>
      <c r="AS115" s="27" t="n"/>
      <c r="AT115" s="27" t="n"/>
      <c r="AU115" s="27" t="n"/>
      <c r="AV115" s="27" t="n"/>
      <c r="AW115" s="27" t="n"/>
      <c r="AX115" s="27" t="n"/>
      <c r="AY115" s="27" t="n"/>
      <c r="AZ115" s="27" t="n"/>
      <c r="BA115" s="27" t="n"/>
      <c r="BB115" s="27" t="n"/>
      <c r="BC115" s="27" t="n"/>
      <c r="BD115" s="27" t="n"/>
      <c r="BE115" s="27" t="n"/>
      <c r="BF115" s="27" t="n"/>
      <c r="BG115" s="27" t="n"/>
      <c r="BH115" s="27" t="n"/>
      <c r="BI115" s="29" t="n"/>
      <c r="BJ115" s="27" t="n"/>
      <c r="BK115" s="27" t="n"/>
      <c r="BL115" s="27" t="n"/>
      <c r="BM115" s="27" t="n"/>
    </row>
    <row r="116">
      <c r="A116" s="27" t="n"/>
      <c r="B116" s="27" t="n"/>
      <c r="C116" s="28">
        <f>IF(A116="","",$B$2)</f>
        <v/>
      </c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  <c r="AA116" s="27" t="n"/>
      <c r="AB116" s="27" t="n"/>
      <c r="AC116" s="27" t="n"/>
      <c r="AD116" s="27" t="n"/>
      <c r="AE116" s="27" t="n"/>
      <c r="AF116" s="27" t="n"/>
      <c r="AG116" s="27" t="n"/>
      <c r="AH116" s="27" t="n"/>
      <c r="AI116" s="27" t="n"/>
      <c r="AJ116" s="27" t="n"/>
      <c r="AK116" s="27" t="n"/>
      <c r="AL116" s="27" t="n"/>
      <c r="AM116" s="27" t="n"/>
      <c r="AN116" s="27" t="n"/>
      <c r="AO116" s="27" t="n"/>
      <c r="AP116" s="27" t="n"/>
      <c r="AQ116" s="27" t="n"/>
      <c r="AR116" s="27" t="n"/>
      <c r="AS116" s="27" t="n"/>
      <c r="AT116" s="27" t="n"/>
      <c r="AU116" s="27" t="n"/>
      <c r="AV116" s="27" t="n"/>
      <c r="AW116" s="27" t="n"/>
      <c r="AX116" s="27" t="n"/>
      <c r="AY116" s="27" t="n"/>
      <c r="AZ116" s="27" t="n"/>
      <c r="BA116" s="27" t="n"/>
      <c r="BB116" s="27" t="n"/>
      <c r="BC116" s="27" t="n"/>
      <c r="BD116" s="27" t="n"/>
      <c r="BE116" s="27" t="n"/>
      <c r="BF116" s="27" t="n"/>
      <c r="BG116" s="27" t="n"/>
      <c r="BH116" s="27" t="n"/>
      <c r="BI116" s="29" t="n"/>
      <c r="BJ116" s="27" t="n"/>
      <c r="BK116" s="27" t="n"/>
      <c r="BL116" s="27" t="n"/>
      <c r="BM116" s="27" t="n"/>
    </row>
    <row r="117">
      <c r="A117" s="27" t="n"/>
      <c r="B117" s="27" t="n"/>
      <c r="C117" s="28">
        <f>IF(A117="","",$B$2)</f>
        <v/>
      </c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  <c r="AA117" s="27" t="n"/>
      <c r="AB117" s="27" t="n"/>
      <c r="AC117" s="27" t="n"/>
      <c r="AD117" s="27" t="n"/>
      <c r="AE117" s="27" t="n"/>
      <c r="AF117" s="27" t="n"/>
      <c r="AG117" s="27" t="n"/>
      <c r="AH117" s="27" t="n"/>
      <c r="AI117" s="27" t="n"/>
      <c r="AJ117" s="27" t="n"/>
      <c r="AK117" s="27" t="n"/>
      <c r="AL117" s="27" t="n"/>
      <c r="AM117" s="27" t="n"/>
      <c r="AN117" s="27" t="n"/>
      <c r="AO117" s="27" t="n"/>
      <c r="AP117" s="27" t="n"/>
      <c r="AQ117" s="27" t="n"/>
      <c r="AR117" s="27" t="n"/>
      <c r="AS117" s="27" t="n"/>
      <c r="AT117" s="27" t="n"/>
      <c r="AU117" s="27" t="n"/>
      <c r="AV117" s="27" t="n"/>
      <c r="AW117" s="27" t="n"/>
      <c r="AX117" s="27" t="n"/>
      <c r="AY117" s="27" t="n"/>
      <c r="AZ117" s="27" t="n"/>
      <c r="BA117" s="27" t="n"/>
      <c r="BB117" s="27" t="n"/>
      <c r="BC117" s="27" t="n"/>
      <c r="BD117" s="27" t="n"/>
      <c r="BE117" s="27" t="n"/>
      <c r="BF117" s="27" t="n"/>
      <c r="BG117" s="27" t="n"/>
      <c r="BH117" s="27" t="n"/>
      <c r="BI117" s="29" t="n"/>
      <c r="BJ117" s="27" t="n"/>
      <c r="BK117" s="27" t="n"/>
      <c r="BL117" s="27" t="n"/>
      <c r="BM117" s="27" t="n"/>
    </row>
    <row r="118">
      <c r="A118" s="27" t="n"/>
      <c r="B118" s="27" t="n"/>
      <c r="C118" s="28">
        <f>IF(A118="","",$B$2)</f>
        <v/>
      </c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  <c r="AA118" s="27" t="n"/>
      <c r="AB118" s="27" t="n"/>
      <c r="AC118" s="27" t="n"/>
      <c r="AD118" s="27" t="n"/>
      <c r="AE118" s="27" t="n"/>
      <c r="AF118" s="27" t="n"/>
      <c r="AG118" s="27" t="n"/>
      <c r="AH118" s="27" t="n"/>
      <c r="AI118" s="27" t="n"/>
      <c r="AJ118" s="27" t="n"/>
      <c r="AK118" s="27" t="n"/>
      <c r="AL118" s="27" t="n"/>
      <c r="AM118" s="27" t="n"/>
      <c r="AN118" s="27" t="n"/>
      <c r="AO118" s="27" t="n"/>
      <c r="AP118" s="27" t="n"/>
      <c r="AQ118" s="27" t="n"/>
      <c r="AR118" s="27" t="n"/>
      <c r="AS118" s="27" t="n"/>
      <c r="AT118" s="27" t="n"/>
      <c r="AU118" s="27" t="n"/>
      <c r="AV118" s="27" t="n"/>
      <c r="AW118" s="27" t="n"/>
      <c r="AX118" s="27" t="n"/>
      <c r="AY118" s="27" t="n"/>
      <c r="AZ118" s="27" t="n"/>
      <c r="BA118" s="27" t="n"/>
      <c r="BB118" s="27" t="n"/>
      <c r="BC118" s="27" t="n"/>
      <c r="BD118" s="27" t="n"/>
      <c r="BE118" s="27" t="n"/>
      <c r="BF118" s="27" t="n"/>
      <c r="BG118" s="27" t="n"/>
      <c r="BH118" s="27" t="n"/>
      <c r="BI118" s="29" t="n"/>
      <c r="BJ118" s="27" t="n"/>
      <c r="BK118" s="27" t="n"/>
      <c r="BL118" s="27" t="n"/>
      <c r="BM118" s="27" t="n"/>
    </row>
    <row r="119">
      <c r="A119" s="27" t="n"/>
      <c r="B119" s="27" t="n"/>
      <c r="C119" s="28">
        <f>IF(A119="","",$B$2)</f>
        <v/>
      </c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  <c r="AA119" s="27" t="n"/>
      <c r="AB119" s="27" t="n"/>
      <c r="AC119" s="27" t="n"/>
      <c r="AD119" s="27" t="n"/>
      <c r="AE119" s="27" t="n"/>
      <c r="AF119" s="27" t="n"/>
      <c r="AG119" s="27" t="n"/>
      <c r="AH119" s="27" t="n"/>
      <c r="AI119" s="27" t="n"/>
      <c r="AJ119" s="27" t="n"/>
      <c r="AK119" s="27" t="n"/>
      <c r="AL119" s="27" t="n"/>
      <c r="AM119" s="27" t="n"/>
      <c r="AN119" s="27" t="n"/>
      <c r="AO119" s="27" t="n"/>
      <c r="AP119" s="27" t="n"/>
      <c r="AQ119" s="27" t="n"/>
      <c r="AR119" s="27" t="n"/>
      <c r="AS119" s="27" t="n"/>
      <c r="AT119" s="27" t="n"/>
      <c r="AU119" s="27" t="n"/>
      <c r="AV119" s="27" t="n"/>
      <c r="AW119" s="27" t="n"/>
      <c r="AX119" s="27" t="n"/>
      <c r="AY119" s="27" t="n"/>
      <c r="AZ119" s="27" t="n"/>
      <c r="BA119" s="27" t="n"/>
      <c r="BB119" s="27" t="n"/>
      <c r="BC119" s="27" t="n"/>
      <c r="BD119" s="27" t="n"/>
      <c r="BE119" s="27" t="n"/>
      <c r="BF119" s="27" t="n"/>
      <c r="BG119" s="27" t="n"/>
      <c r="BH119" s="27" t="n"/>
      <c r="BI119" s="29" t="n"/>
      <c r="BJ119" s="27" t="n"/>
      <c r="BK119" s="27" t="n"/>
      <c r="BL119" s="27" t="n"/>
      <c r="BM119" s="27" t="n"/>
    </row>
    <row r="120">
      <c r="A120" s="27" t="n"/>
      <c r="B120" s="27" t="n"/>
      <c r="C120" s="28">
        <f>IF(A120="","",$B$2)</f>
        <v/>
      </c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  <c r="AA120" s="27" t="n"/>
      <c r="AB120" s="27" t="n"/>
      <c r="AC120" s="27" t="n"/>
      <c r="AD120" s="27" t="n"/>
      <c r="AE120" s="27" t="n"/>
      <c r="AF120" s="27" t="n"/>
      <c r="AG120" s="27" t="n"/>
      <c r="AH120" s="27" t="n"/>
      <c r="AI120" s="27" t="n"/>
      <c r="AJ120" s="27" t="n"/>
      <c r="AK120" s="27" t="n"/>
      <c r="AL120" s="27" t="n"/>
      <c r="AM120" s="27" t="n"/>
      <c r="AN120" s="27" t="n"/>
      <c r="AO120" s="27" t="n"/>
      <c r="AP120" s="27" t="n"/>
      <c r="AQ120" s="27" t="n"/>
      <c r="AR120" s="27" t="n"/>
      <c r="AS120" s="27" t="n"/>
      <c r="AT120" s="27" t="n"/>
      <c r="AU120" s="27" t="n"/>
      <c r="AV120" s="27" t="n"/>
      <c r="AW120" s="27" t="n"/>
      <c r="AX120" s="27" t="n"/>
      <c r="AY120" s="27" t="n"/>
      <c r="AZ120" s="27" t="n"/>
      <c r="BA120" s="27" t="n"/>
      <c r="BB120" s="27" t="n"/>
      <c r="BC120" s="27" t="n"/>
      <c r="BD120" s="27" t="n"/>
      <c r="BE120" s="27" t="n"/>
      <c r="BF120" s="27" t="n"/>
      <c r="BG120" s="27" t="n"/>
      <c r="BH120" s="27" t="n"/>
      <c r="BI120" s="29" t="n"/>
      <c r="BJ120" s="27" t="n"/>
      <c r="BK120" s="27" t="n"/>
      <c r="BL120" s="27" t="n"/>
      <c r="BM120" s="27" t="n"/>
    </row>
    <row r="121">
      <c r="A121" s="27" t="n"/>
      <c r="B121" s="27" t="n"/>
      <c r="C121" s="28">
        <f>IF(A121="","",$B$2)</f>
        <v/>
      </c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  <c r="AA121" s="27" t="n"/>
      <c r="AB121" s="27" t="n"/>
      <c r="AC121" s="27" t="n"/>
      <c r="AD121" s="27" t="n"/>
      <c r="AE121" s="27" t="n"/>
      <c r="AF121" s="27" t="n"/>
      <c r="AG121" s="27" t="n"/>
      <c r="AH121" s="27" t="n"/>
      <c r="AI121" s="27" t="n"/>
      <c r="AJ121" s="27" t="n"/>
      <c r="AK121" s="27" t="n"/>
      <c r="AL121" s="27" t="n"/>
      <c r="AM121" s="27" t="n"/>
      <c r="AN121" s="27" t="n"/>
      <c r="AO121" s="27" t="n"/>
      <c r="AP121" s="27" t="n"/>
      <c r="AQ121" s="27" t="n"/>
      <c r="AR121" s="27" t="n"/>
      <c r="AS121" s="27" t="n"/>
      <c r="AT121" s="27" t="n"/>
      <c r="AU121" s="27" t="n"/>
      <c r="AV121" s="27" t="n"/>
      <c r="AW121" s="27" t="n"/>
      <c r="AX121" s="27" t="n"/>
      <c r="AY121" s="27" t="n"/>
      <c r="AZ121" s="27" t="n"/>
      <c r="BA121" s="27" t="n"/>
      <c r="BB121" s="27" t="n"/>
      <c r="BC121" s="27" t="n"/>
      <c r="BD121" s="27" t="n"/>
      <c r="BE121" s="27" t="n"/>
      <c r="BF121" s="27" t="n"/>
      <c r="BG121" s="27" t="n"/>
      <c r="BH121" s="27" t="n"/>
      <c r="BI121" s="29" t="n"/>
      <c r="BJ121" s="27" t="n"/>
      <c r="BK121" s="27" t="n"/>
      <c r="BL121" s="27" t="n"/>
      <c r="BM121" s="27" t="n"/>
    </row>
    <row r="122">
      <c r="A122" s="27" t="n"/>
      <c r="B122" s="27" t="n"/>
      <c r="C122" s="28">
        <f>IF(A122="","",$B$2)</f>
        <v/>
      </c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  <c r="AA122" s="27" t="n"/>
      <c r="AB122" s="27" t="n"/>
      <c r="AC122" s="27" t="n"/>
      <c r="AD122" s="27" t="n"/>
      <c r="AE122" s="27" t="n"/>
      <c r="AF122" s="27" t="n"/>
      <c r="AG122" s="27" t="n"/>
      <c r="AH122" s="27" t="n"/>
      <c r="AI122" s="27" t="n"/>
      <c r="AJ122" s="27" t="n"/>
      <c r="AK122" s="27" t="n"/>
      <c r="AL122" s="27" t="n"/>
      <c r="AM122" s="27" t="n"/>
      <c r="AN122" s="27" t="n"/>
      <c r="AO122" s="27" t="n"/>
      <c r="AP122" s="27" t="n"/>
      <c r="AQ122" s="27" t="n"/>
      <c r="AR122" s="27" t="n"/>
      <c r="AS122" s="27" t="n"/>
      <c r="AT122" s="27" t="n"/>
      <c r="AU122" s="27" t="n"/>
      <c r="AV122" s="27" t="n"/>
      <c r="AW122" s="27" t="n"/>
      <c r="AX122" s="27" t="n"/>
      <c r="AY122" s="27" t="n"/>
      <c r="AZ122" s="27" t="n"/>
      <c r="BA122" s="27" t="n"/>
      <c r="BB122" s="27" t="n"/>
      <c r="BC122" s="27" t="n"/>
      <c r="BD122" s="27" t="n"/>
      <c r="BE122" s="27" t="n"/>
      <c r="BF122" s="27" t="n"/>
      <c r="BG122" s="27" t="n"/>
      <c r="BH122" s="27" t="n"/>
      <c r="BI122" s="29" t="n"/>
      <c r="BJ122" s="27" t="n"/>
      <c r="BK122" s="27" t="n"/>
      <c r="BL122" s="27" t="n"/>
      <c r="BM122" s="27" t="n"/>
    </row>
    <row r="123">
      <c r="A123" s="27" t="n"/>
      <c r="B123" s="27" t="n"/>
      <c r="C123" s="28">
        <f>IF(A123="","",$B$2)</f>
        <v/>
      </c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  <c r="AA123" s="27" t="n"/>
      <c r="AB123" s="27" t="n"/>
      <c r="AC123" s="27" t="n"/>
      <c r="AD123" s="27" t="n"/>
      <c r="AE123" s="27" t="n"/>
      <c r="AF123" s="27" t="n"/>
      <c r="AG123" s="27" t="n"/>
      <c r="AH123" s="27" t="n"/>
      <c r="AI123" s="27" t="n"/>
      <c r="AJ123" s="27" t="n"/>
      <c r="AK123" s="27" t="n"/>
      <c r="AL123" s="27" t="n"/>
      <c r="AM123" s="27" t="n"/>
      <c r="AN123" s="27" t="n"/>
      <c r="AO123" s="27" t="n"/>
      <c r="AP123" s="27" t="n"/>
      <c r="AQ123" s="27" t="n"/>
      <c r="AR123" s="27" t="n"/>
      <c r="AS123" s="27" t="n"/>
      <c r="AT123" s="27" t="n"/>
      <c r="AU123" s="27" t="n"/>
      <c r="AV123" s="27" t="n"/>
      <c r="AW123" s="27" t="n"/>
      <c r="AX123" s="27" t="n"/>
      <c r="AY123" s="27" t="n"/>
      <c r="AZ123" s="27" t="n"/>
      <c r="BA123" s="27" t="n"/>
      <c r="BB123" s="27" t="n"/>
      <c r="BC123" s="27" t="n"/>
      <c r="BD123" s="27" t="n"/>
      <c r="BE123" s="27" t="n"/>
      <c r="BF123" s="27" t="n"/>
      <c r="BG123" s="27" t="n"/>
      <c r="BH123" s="27" t="n"/>
      <c r="BI123" s="29" t="n"/>
      <c r="BJ123" s="27" t="n"/>
      <c r="BK123" s="27" t="n"/>
      <c r="BL123" s="27" t="n"/>
      <c r="BM123" s="27" t="n"/>
    </row>
    <row r="124">
      <c r="A124" s="27" t="n"/>
      <c r="B124" s="27" t="n"/>
      <c r="C124" s="28">
        <f>IF(A124="","",$B$2)</f>
        <v/>
      </c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  <c r="AA124" s="27" t="n"/>
      <c r="AB124" s="27" t="n"/>
      <c r="AC124" s="27" t="n"/>
      <c r="AD124" s="27" t="n"/>
      <c r="AE124" s="27" t="n"/>
      <c r="AF124" s="27" t="n"/>
      <c r="AG124" s="27" t="n"/>
      <c r="AH124" s="27" t="n"/>
      <c r="AI124" s="27" t="n"/>
      <c r="AJ124" s="27" t="n"/>
      <c r="AK124" s="27" t="n"/>
      <c r="AL124" s="27" t="n"/>
      <c r="AM124" s="27" t="n"/>
      <c r="AN124" s="27" t="n"/>
      <c r="AO124" s="27" t="n"/>
      <c r="AP124" s="27" t="n"/>
      <c r="AQ124" s="27" t="n"/>
      <c r="AR124" s="27" t="n"/>
      <c r="AS124" s="27" t="n"/>
      <c r="AT124" s="27" t="n"/>
      <c r="AU124" s="27" t="n"/>
      <c r="AV124" s="27" t="n"/>
      <c r="AW124" s="27" t="n"/>
      <c r="AX124" s="27" t="n"/>
      <c r="AY124" s="27" t="n"/>
      <c r="AZ124" s="27" t="n"/>
      <c r="BA124" s="27" t="n"/>
      <c r="BB124" s="27" t="n"/>
      <c r="BC124" s="27" t="n"/>
      <c r="BD124" s="27" t="n"/>
      <c r="BE124" s="27" t="n"/>
      <c r="BF124" s="27" t="n"/>
      <c r="BG124" s="27" t="n"/>
      <c r="BH124" s="27" t="n"/>
      <c r="BI124" s="29" t="n"/>
      <c r="BJ124" s="27" t="n"/>
      <c r="BK124" s="27" t="n"/>
      <c r="BL124" s="27" t="n"/>
      <c r="BM124" s="27" t="n"/>
    </row>
    <row r="125">
      <c r="A125" s="27" t="n"/>
      <c r="B125" s="27" t="n"/>
      <c r="C125" s="28">
        <f>IF(A125="","",$B$2)</f>
        <v/>
      </c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  <c r="AA125" s="27" t="n"/>
      <c r="AB125" s="27" t="n"/>
      <c r="AC125" s="27" t="n"/>
      <c r="AD125" s="27" t="n"/>
      <c r="AE125" s="27" t="n"/>
      <c r="AF125" s="27" t="n"/>
      <c r="AG125" s="27" t="n"/>
      <c r="AH125" s="27" t="n"/>
      <c r="AI125" s="27" t="n"/>
      <c r="AJ125" s="27" t="n"/>
      <c r="AK125" s="27" t="n"/>
      <c r="AL125" s="27" t="n"/>
      <c r="AM125" s="27" t="n"/>
      <c r="AN125" s="27" t="n"/>
      <c r="AO125" s="27" t="n"/>
      <c r="AP125" s="27" t="n"/>
      <c r="AQ125" s="27" t="n"/>
      <c r="AR125" s="27" t="n"/>
      <c r="AS125" s="27" t="n"/>
      <c r="AT125" s="27" t="n"/>
      <c r="AU125" s="27" t="n"/>
      <c r="AV125" s="27" t="n"/>
      <c r="AW125" s="27" t="n"/>
      <c r="AX125" s="27" t="n"/>
      <c r="AY125" s="27" t="n"/>
      <c r="AZ125" s="27" t="n"/>
      <c r="BA125" s="27" t="n"/>
      <c r="BB125" s="27" t="n"/>
      <c r="BC125" s="27" t="n"/>
      <c r="BD125" s="27" t="n"/>
      <c r="BE125" s="27" t="n"/>
      <c r="BF125" s="27" t="n"/>
      <c r="BG125" s="27" t="n"/>
      <c r="BH125" s="27" t="n"/>
      <c r="BI125" s="29" t="n"/>
      <c r="BJ125" s="27" t="n"/>
      <c r="BK125" s="27" t="n"/>
      <c r="BL125" s="27" t="n"/>
      <c r="BM125" s="27" t="n"/>
    </row>
    <row r="126">
      <c r="A126" s="27" t="n"/>
      <c r="B126" s="27" t="n"/>
      <c r="C126" s="28">
        <f>IF(A126="","",$B$2)</f>
        <v/>
      </c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  <c r="AA126" s="27" t="n"/>
      <c r="AB126" s="27" t="n"/>
      <c r="AC126" s="27" t="n"/>
      <c r="AD126" s="27" t="n"/>
      <c r="AE126" s="27" t="n"/>
      <c r="AF126" s="27" t="n"/>
      <c r="AG126" s="27" t="n"/>
      <c r="AH126" s="27" t="n"/>
      <c r="AI126" s="27" t="n"/>
      <c r="AJ126" s="27" t="n"/>
      <c r="AK126" s="27" t="n"/>
      <c r="AL126" s="27" t="n"/>
      <c r="AM126" s="27" t="n"/>
      <c r="AN126" s="27" t="n"/>
      <c r="AO126" s="27" t="n"/>
      <c r="AP126" s="27" t="n"/>
      <c r="AQ126" s="27" t="n"/>
      <c r="AR126" s="27" t="n"/>
      <c r="AS126" s="27" t="n"/>
      <c r="AT126" s="27" t="n"/>
      <c r="AU126" s="27" t="n"/>
      <c r="AV126" s="27" t="n"/>
      <c r="AW126" s="27" t="n"/>
      <c r="AX126" s="27" t="n"/>
      <c r="AY126" s="27" t="n"/>
      <c r="AZ126" s="27" t="n"/>
      <c r="BA126" s="27" t="n"/>
      <c r="BB126" s="27" t="n"/>
      <c r="BC126" s="27" t="n"/>
      <c r="BD126" s="27" t="n"/>
      <c r="BE126" s="27" t="n"/>
      <c r="BF126" s="27" t="n"/>
      <c r="BG126" s="27" t="n"/>
      <c r="BH126" s="27" t="n"/>
      <c r="BI126" s="29" t="n"/>
      <c r="BJ126" s="27" t="n"/>
      <c r="BK126" s="27" t="n"/>
      <c r="BL126" s="27" t="n"/>
      <c r="BM126" s="27" t="n"/>
    </row>
    <row r="127">
      <c r="A127" s="27" t="n"/>
      <c r="B127" s="27" t="n"/>
      <c r="C127" s="28">
        <f>IF(A127="","",$B$2)</f>
        <v/>
      </c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  <c r="AA127" s="27" t="n"/>
      <c r="AB127" s="27" t="n"/>
      <c r="AC127" s="27" t="n"/>
      <c r="AD127" s="27" t="n"/>
      <c r="AE127" s="27" t="n"/>
      <c r="AF127" s="27" t="n"/>
      <c r="AG127" s="27" t="n"/>
      <c r="AH127" s="27" t="n"/>
      <c r="AI127" s="27" t="n"/>
      <c r="AJ127" s="27" t="n"/>
      <c r="AK127" s="27" t="n"/>
      <c r="AL127" s="27" t="n"/>
      <c r="AM127" s="27" t="n"/>
      <c r="AN127" s="27" t="n"/>
      <c r="AO127" s="27" t="n"/>
      <c r="AP127" s="27" t="n"/>
      <c r="AQ127" s="27" t="n"/>
      <c r="AR127" s="27" t="n"/>
      <c r="AS127" s="27" t="n"/>
      <c r="AT127" s="27" t="n"/>
      <c r="AU127" s="27" t="n"/>
      <c r="AV127" s="27" t="n"/>
      <c r="AW127" s="27" t="n"/>
      <c r="AX127" s="27" t="n"/>
      <c r="AY127" s="27" t="n"/>
      <c r="AZ127" s="27" t="n"/>
      <c r="BA127" s="27" t="n"/>
      <c r="BB127" s="27" t="n"/>
      <c r="BC127" s="27" t="n"/>
      <c r="BD127" s="27" t="n"/>
      <c r="BE127" s="27" t="n"/>
      <c r="BF127" s="27" t="n"/>
      <c r="BG127" s="27" t="n"/>
      <c r="BH127" s="27" t="n"/>
      <c r="BI127" s="29" t="n"/>
      <c r="BJ127" s="27" t="n"/>
      <c r="BK127" s="27" t="n"/>
      <c r="BL127" s="27" t="n"/>
      <c r="BM127" s="27" t="n"/>
    </row>
    <row r="128">
      <c r="A128" s="27" t="n"/>
      <c r="B128" s="27" t="n"/>
      <c r="C128" s="28">
        <f>IF(A128="","",$B$2)</f>
        <v/>
      </c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  <c r="AA128" s="27" t="n"/>
      <c r="AB128" s="27" t="n"/>
      <c r="AC128" s="27" t="n"/>
      <c r="AD128" s="27" t="n"/>
      <c r="AE128" s="27" t="n"/>
      <c r="AF128" s="27" t="n"/>
      <c r="AG128" s="27" t="n"/>
      <c r="AH128" s="27" t="n"/>
      <c r="AI128" s="27" t="n"/>
      <c r="AJ128" s="27" t="n"/>
      <c r="AK128" s="27" t="n"/>
      <c r="AL128" s="27" t="n"/>
      <c r="AM128" s="27" t="n"/>
      <c r="AN128" s="27" t="n"/>
      <c r="AO128" s="27" t="n"/>
      <c r="AP128" s="27" t="n"/>
      <c r="AQ128" s="27" t="n"/>
      <c r="AR128" s="27" t="n"/>
      <c r="AS128" s="27" t="n"/>
      <c r="AT128" s="27" t="n"/>
      <c r="AU128" s="27" t="n"/>
      <c r="AV128" s="27" t="n"/>
      <c r="AW128" s="27" t="n"/>
      <c r="AX128" s="27" t="n"/>
      <c r="AY128" s="27" t="n"/>
      <c r="AZ128" s="27" t="n"/>
      <c r="BA128" s="27" t="n"/>
      <c r="BB128" s="27" t="n"/>
      <c r="BC128" s="27" t="n"/>
      <c r="BD128" s="27" t="n"/>
      <c r="BE128" s="27" t="n"/>
      <c r="BF128" s="27" t="n"/>
      <c r="BG128" s="27" t="n"/>
      <c r="BH128" s="27" t="n"/>
      <c r="BI128" s="29" t="n"/>
      <c r="BJ128" s="27" t="n"/>
      <c r="BK128" s="27" t="n"/>
      <c r="BL128" s="27" t="n"/>
      <c r="BM128" s="27" t="n"/>
    </row>
    <row r="129">
      <c r="A129" s="27" t="n"/>
      <c r="B129" s="27" t="n"/>
      <c r="C129" s="28">
        <f>IF(A129="","",$B$2)</f>
        <v/>
      </c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  <c r="AA129" s="27" t="n"/>
      <c r="AB129" s="27" t="n"/>
      <c r="AC129" s="27" t="n"/>
      <c r="AD129" s="27" t="n"/>
      <c r="AE129" s="27" t="n"/>
      <c r="AF129" s="27" t="n"/>
      <c r="AG129" s="27" t="n"/>
      <c r="AH129" s="27" t="n"/>
      <c r="AI129" s="27" t="n"/>
      <c r="AJ129" s="27" t="n"/>
      <c r="AK129" s="27" t="n"/>
      <c r="AL129" s="27" t="n"/>
      <c r="AM129" s="27" t="n"/>
      <c r="AN129" s="27" t="n"/>
      <c r="AO129" s="27" t="n"/>
      <c r="AP129" s="27" t="n"/>
      <c r="AQ129" s="27" t="n"/>
      <c r="AR129" s="27" t="n"/>
      <c r="AS129" s="27" t="n"/>
      <c r="AT129" s="27" t="n"/>
      <c r="AU129" s="27" t="n"/>
      <c r="AV129" s="27" t="n"/>
      <c r="AW129" s="27" t="n"/>
      <c r="AX129" s="27" t="n"/>
      <c r="AY129" s="27" t="n"/>
      <c r="AZ129" s="27" t="n"/>
      <c r="BA129" s="27" t="n"/>
      <c r="BB129" s="27" t="n"/>
      <c r="BC129" s="27" t="n"/>
      <c r="BD129" s="27" t="n"/>
      <c r="BE129" s="27" t="n"/>
      <c r="BF129" s="27" t="n"/>
      <c r="BG129" s="27" t="n"/>
      <c r="BH129" s="27" t="n"/>
      <c r="BI129" s="29" t="n"/>
      <c r="BJ129" s="27" t="n"/>
      <c r="BK129" s="27" t="n"/>
      <c r="BL129" s="27" t="n"/>
      <c r="BM129" s="27" t="n"/>
    </row>
    <row r="130">
      <c r="A130" s="27" t="n"/>
      <c r="B130" s="27" t="n"/>
      <c r="C130" s="28">
        <f>IF(A130="","",$B$2)</f>
        <v/>
      </c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  <c r="AA130" s="27" t="n"/>
      <c r="AB130" s="27" t="n"/>
      <c r="AC130" s="27" t="n"/>
      <c r="AD130" s="27" t="n"/>
      <c r="AE130" s="27" t="n"/>
      <c r="AF130" s="27" t="n"/>
      <c r="AG130" s="27" t="n"/>
      <c r="AH130" s="27" t="n"/>
      <c r="AI130" s="27" t="n"/>
      <c r="AJ130" s="27" t="n"/>
      <c r="AK130" s="27" t="n"/>
      <c r="AL130" s="27" t="n"/>
      <c r="AM130" s="27" t="n"/>
      <c r="AN130" s="27" t="n"/>
      <c r="AO130" s="27" t="n"/>
      <c r="AP130" s="27" t="n"/>
      <c r="AQ130" s="27" t="n"/>
      <c r="AR130" s="27" t="n"/>
      <c r="AS130" s="27" t="n"/>
      <c r="AT130" s="27" t="n"/>
      <c r="AU130" s="27" t="n"/>
      <c r="AV130" s="27" t="n"/>
      <c r="AW130" s="27" t="n"/>
      <c r="AX130" s="27" t="n"/>
      <c r="AY130" s="27" t="n"/>
      <c r="AZ130" s="27" t="n"/>
      <c r="BA130" s="27" t="n"/>
      <c r="BB130" s="27" t="n"/>
      <c r="BC130" s="27" t="n"/>
      <c r="BD130" s="27" t="n"/>
      <c r="BE130" s="27" t="n"/>
      <c r="BF130" s="27" t="n"/>
      <c r="BG130" s="27" t="n"/>
      <c r="BH130" s="27" t="n"/>
      <c r="BI130" s="29" t="n"/>
      <c r="BJ130" s="27" t="n"/>
      <c r="BK130" s="27" t="n"/>
      <c r="BL130" s="27" t="n"/>
      <c r="BM130" s="27" t="n"/>
    </row>
    <row r="131">
      <c r="A131" s="27" t="n"/>
      <c r="B131" s="27" t="n"/>
      <c r="C131" s="28">
        <f>IF(A131="","",$B$2)</f>
        <v/>
      </c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  <c r="AA131" s="27" t="n"/>
      <c r="AB131" s="27" t="n"/>
      <c r="AC131" s="27" t="n"/>
      <c r="AD131" s="27" t="n"/>
      <c r="AE131" s="27" t="n"/>
      <c r="AF131" s="27" t="n"/>
      <c r="AG131" s="27" t="n"/>
      <c r="AH131" s="27" t="n"/>
      <c r="AI131" s="27" t="n"/>
      <c r="AJ131" s="27" t="n"/>
      <c r="AK131" s="27" t="n"/>
      <c r="AL131" s="27" t="n"/>
      <c r="AM131" s="27" t="n"/>
      <c r="AN131" s="27" t="n"/>
      <c r="AO131" s="27" t="n"/>
      <c r="AP131" s="27" t="n"/>
      <c r="AQ131" s="27" t="n"/>
      <c r="AR131" s="27" t="n"/>
      <c r="AS131" s="27" t="n"/>
      <c r="AT131" s="27" t="n"/>
      <c r="AU131" s="27" t="n"/>
      <c r="AV131" s="27" t="n"/>
      <c r="AW131" s="27" t="n"/>
      <c r="AX131" s="27" t="n"/>
      <c r="AY131" s="27" t="n"/>
      <c r="AZ131" s="27" t="n"/>
      <c r="BA131" s="27" t="n"/>
      <c r="BB131" s="27" t="n"/>
      <c r="BC131" s="27" t="n"/>
      <c r="BD131" s="27" t="n"/>
      <c r="BE131" s="27" t="n"/>
      <c r="BF131" s="27" t="n"/>
      <c r="BG131" s="27" t="n"/>
      <c r="BH131" s="27" t="n"/>
      <c r="BI131" s="29" t="n"/>
      <c r="BJ131" s="27" t="n"/>
      <c r="BK131" s="27" t="n"/>
      <c r="BL131" s="27" t="n"/>
      <c r="BM131" s="27" t="n"/>
    </row>
    <row r="132">
      <c r="A132" s="27" t="n"/>
      <c r="B132" s="27" t="n"/>
      <c r="C132" s="28">
        <f>IF(A132="","",$B$2)</f>
        <v/>
      </c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  <c r="AA132" s="27" t="n"/>
      <c r="AB132" s="27" t="n"/>
      <c r="AC132" s="27" t="n"/>
      <c r="AD132" s="27" t="n"/>
      <c r="AE132" s="27" t="n"/>
      <c r="AF132" s="27" t="n"/>
      <c r="AG132" s="27" t="n"/>
      <c r="AH132" s="27" t="n"/>
      <c r="AI132" s="27" t="n"/>
      <c r="AJ132" s="27" t="n"/>
      <c r="AK132" s="27" t="n"/>
      <c r="AL132" s="27" t="n"/>
      <c r="AM132" s="27" t="n"/>
      <c r="AN132" s="27" t="n"/>
      <c r="AO132" s="27" t="n"/>
      <c r="AP132" s="27" t="n"/>
      <c r="AQ132" s="27" t="n"/>
      <c r="AR132" s="27" t="n"/>
      <c r="AS132" s="27" t="n"/>
      <c r="AT132" s="27" t="n"/>
      <c r="AU132" s="27" t="n"/>
      <c r="AV132" s="27" t="n"/>
      <c r="AW132" s="27" t="n"/>
      <c r="AX132" s="27" t="n"/>
      <c r="AY132" s="27" t="n"/>
      <c r="AZ132" s="27" t="n"/>
      <c r="BA132" s="27" t="n"/>
      <c r="BB132" s="27" t="n"/>
      <c r="BC132" s="27" t="n"/>
      <c r="BD132" s="27" t="n"/>
      <c r="BE132" s="27" t="n"/>
      <c r="BF132" s="27" t="n"/>
      <c r="BG132" s="27" t="n"/>
      <c r="BH132" s="27" t="n"/>
      <c r="BI132" s="29" t="n"/>
      <c r="BJ132" s="27" t="n"/>
      <c r="BK132" s="27" t="n"/>
      <c r="BL132" s="27" t="n"/>
      <c r="BM132" s="27" t="n"/>
    </row>
    <row r="133">
      <c r="A133" s="27" t="n"/>
      <c r="B133" s="27" t="n"/>
      <c r="C133" s="28">
        <f>IF(A133="","",$B$2)</f>
        <v/>
      </c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  <c r="AA133" s="27" t="n"/>
      <c r="AB133" s="27" t="n"/>
      <c r="AC133" s="27" t="n"/>
      <c r="AD133" s="27" t="n"/>
      <c r="AE133" s="27" t="n"/>
      <c r="AF133" s="27" t="n"/>
      <c r="AG133" s="27" t="n"/>
      <c r="AH133" s="27" t="n"/>
      <c r="AI133" s="27" t="n"/>
      <c r="AJ133" s="27" t="n"/>
      <c r="AK133" s="27" t="n"/>
      <c r="AL133" s="27" t="n"/>
      <c r="AM133" s="27" t="n"/>
      <c r="AN133" s="27" t="n"/>
      <c r="AO133" s="27" t="n"/>
      <c r="AP133" s="27" t="n"/>
      <c r="AQ133" s="27" t="n"/>
      <c r="AR133" s="27" t="n"/>
      <c r="AS133" s="27" t="n"/>
      <c r="AT133" s="27" t="n"/>
      <c r="AU133" s="27" t="n"/>
      <c r="AV133" s="27" t="n"/>
      <c r="AW133" s="27" t="n"/>
      <c r="AX133" s="27" t="n"/>
      <c r="AY133" s="27" t="n"/>
      <c r="AZ133" s="27" t="n"/>
      <c r="BA133" s="27" t="n"/>
      <c r="BB133" s="27" t="n"/>
      <c r="BC133" s="27" t="n"/>
      <c r="BD133" s="27" t="n"/>
      <c r="BE133" s="27" t="n"/>
      <c r="BF133" s="27" t="n"/>
      <c r="BG133" s="27" t="n"/>
      <c r="BH133" s="27" t="n"/>
      <c r="BI133" s="29" t="n"/>
      <c r="BJ133" s="27" t="n"/>
      <c r="BK133" s="27" t="n"/>
      <c r="BL133" s="27" t="n"/>
      <c r="BM133" s="27" t="n"/>
    </row>
    <row r="134">
      <c r="A134" s="27" t="n"/>
      <c r="B134" s="27" t="n"/>
      <c r="C134" s="28">
        <f>IF(A134="","",$B$2)</f>
        <v/>
      </c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  <c r="AA134" s="27" t="n"/>
      <c r="AB134" s="27" t="n"/>
      <c r="AC134" s="27" t="n"/>
      <c r="AD134" s="27" t="n"/>
      <c r="AE134" s="27" t="n"/>
      <c r="AF134" s="27" t="n"/>
      <c r="AG134" s="27" t="n"/>
      <c r="AH134" s="27" t="n"/>
      <c r="AI134" s="27" t="n"/>
      <c r="AJ134" s="27" t="n"/>
      <c r="AK134" s="27" t="n"/>
      <c r="AL134" s="27" t="n"/>
      <c r="AM134" s="27" t="n"/>
      <c r="AN134" s="27" t="n"/>
      <c r="AO134" s="27" t="n"/>
      <c r="AP134" s="27" t="n"/>
      <c r="AQ134" s="27" t="n"/>
      <c r="AR134" s="27" t="n"/>
      <c r="AS134" s="27" t="n"/>
      <c r="AT134" s="27" t="n"/>
      <c r="AU134" s="27" t="n"/>
      <c r="AV134" s="27" t="n"/>
      <c r="AW134" s="27" t="n"/>
      <c r="AX134" s="27" t="n"/>
      <c r="AY134" s="27" t="n"/>
      <c r="AZ134" s="27" t="n"/>
      <c r="BA134" s="27" t="n"/>
      <c r="BB134" s="27" t="n"/>
      <c r="BC134" s="27" t="n"/>
      <c r="BD134" s="27" t="n"/>
      <c r="BE134" s="27" t="n"/>
      <c r="BF134" s="27" t="n"/>
      <c r="BG134" s="27" t="n"/>
      <c r="BH134" s="27" t="n"/>
      <c r="BI134" s="29" t="n"/>
      <c r="BJ134" s="27" t="n"/>
      <c r="BK134" s="27" t="n"/>
      <c r="BL134" s="27" t="n"/>
      <c r="BM134" s="27" t="n"/>
    </row>
    <row r="135">
      <c r="A135" s="27" t="n"/>
      <c r="B135" s="27" t="n"/>
      <c r="C135" s="28">
        <f>IF(A135="","",$B$2)</f>
        <v/>
      </c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  <c r="AA135" s="27" t="n"/>
      <c r="AB135" s="27" t="n"/>
      <c r="AC135" s="27" t="n"/>
      <c r="AD135" s="27" t="n"/>
      <c r="AE135" s="27" t="n"/>
      <c r="AF135" s="27" t="n"/>
      <c r="AG135" s="27" t="n"/>
      <c r="AH135" s="27" t="n"/>
      <c r="AI135" s="27" t="n"/>
      <c r="AJ135" s="27" t="n"/>
      <c r="AK135" s="27" t="n"/>
      <c r="AL135" s="27" t="n"/>
      <c r="AM135" s="27" t="n"/>
      <c r="AN135" s="27" t="n"/>
      <c r="AO135" s="27" t="n"/>
      <c r="AP135" s="27" t="n"/>
      <c r="AQ135" s="27" t="n"/>
      <c r="AR135" s="27" t="n"/>
      <c r="AS135" s="27" t="n"/>
      <c r="AT135" s="27" t="n"/>
      <c r="AU135" s="27" t="n"/>
      <c r="AV135" s="27" t="n"/>
      <c r="AW135" s="27" t="n"/>
      <c r="AX135" s="27" t="n"/>
      <c r="AY135" s="27" t="n"/>
      <c r="AZ135" s="27" t="n"/>
      <c r="BA135" s="27" t="n"/>
      <c r="BB135" s="27" t="n"/>
      <c r="BC135" s="27" t="n"/>
      <c r="BD135" s="27" t="n"/>
      <c r="BE135" s="27" t="n"/>
      <c r="BF135" s="27" t="n"/>
      <c r="BG135" s="27" t="n"/>
      <c r="BH135" s="27" t="n"/>
      <c r="BI135" s="29" t="n"/>
      <c r="BJ135" s="27" t="n"/>
      <c r="BK135" s="27" t="n"/>
      <c r="BL135" s="27" t="n"/>
      <c r="BM135" s="27" t="n"/>
    </row>
    <row r="136">
      <c r="A136" s="27" t="n"/>
      <c r="B136" s="27" t="n"/>
      <c r="C136" s="28">
        <f>IF(A136="","",$B$2)</f>
        <v/>
      </c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  <c r="AA136" s="27" t="n"/>
      <c r="AB136" s="27" t="n"/>
      <c r="AC136" s="27" t="n"/>
      <c r="AD136" s="27" t="n"/>
      <c r="AE136" s="27" t="n"/>
      <c r="AF136" s="27" t="n"/>
      <c r="AG136" s="27" t="n"/>
      <c r="AH136" s="27" t="n"/>
      <c r="AI136" s="27" t="n"/>
      <c r="AJ136" s="27" t="n"/>
      <c r="AK136" s="27" t="n"/>
      <c r="AL136" s="27" t="n"/>
      <c r="AM136" s="27" t="n"/>
      <c r="AN136" s="27" t="n"/>
      <c r="AO136" s="27" t="n"/>
      <c r="AP136" s="27" t="n"/>
      <c r="AQ136" s="27" t="n"/>
      <c r="AR136" s="27" t="n"/>
      <c r="AS136" s="27" t="n"/>
      <c r="AT136" s="27" t="n"/>
      <c r="AU136" s="27" t="n"/>
      <c r="AV136" s="27" t="n"/>
      <c r="AW136" s="27" t="n"/>
      <c r="AX136" s="27" t="n"/>
      <c r="AY136" s="27" t="n"/>
      <c r="AZ136" s="27" t="n"/>
      <c r="BA136" s="27" t="n"/>
      <c r="BB136" s="27" t="n"/>
      <c r="BC136" s="27" t="n"/>
      <c r="BD136" s="27" t="n"/>
      <c r="BE136" s="27" t="n"/>
      <c r="BF136" s="27" t="n"/>
      <c r="BG136" s="27" t="n"/>
      <c r="BH136" s="27" t="n"/>
      <c r="BI136" s="29" t="n"/>
      <c r="BJ136" s="27" t="n"/>
      <c r="BK136" s="27" t="n"/>
      <c r="BL136" s="27" t="n"/>
      <c r="BM136" s="27" t="n"/>
    </row>
    <row r="137">
      <c r="A137" s="27" t="n"/>
      <c r="B137" s="27" t="n"/>
      <c r="C137" s="28">
        <f>IF(A137="","",$B$2)</f>
        <v/>
      </c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  <c r="AA137" s="27" t="n"/>
      <c r="AB137" s="27" t="n"/>
      <c r="AC137" s="27" t="n"/>
      <c r="AD137" s="27" t="n"/>
      <c r="AE137" s="27" t="n"/>
      <c r="AF137" s="27" t="n"/>
      <c r="AG137" s="27" t="n"/>
      <c r="AH137" s="27" t="n"/>
      <c r="AI137" s="27" t="n"/>
      <c r="AJ137" s="27" t="n"/>
      <c r="AK137" s="27" t="n"/>
      <c r="AL137" s="27" t="n"/>
      <c r="AM137" s="27" t="n"/>
      <c r="AN137" s="27" t="n"/>
      <c r="AO137" s="27" t="n"/>
      <c r="AP137" s="27" t="n"/>
      <c r="AQ137" s="27" t="n"/>
      <c r="AR137" s="27" t="n"/>
      <c r="AS137" s="27" t="n"/>
      <c r="AT137" s="27" t="n"/>
      <c r="AU137" s="27" t="n"/>
      <c r="AV137" s="27" t="n"/>
      <c r="AW137" s="27" t="n"/>
      <c r="AX137" s="27" t="n"/>
      <c r="AY137" s="27" t="n"/>
      <c r="AZ137" s="27" t="n"/>
      <c r="BA137" s="27" t="n"/>
      <c r="BB137" s="27" t="n"/>
      <c r="BC137" s="27" t="n"/>
      <c r="BD137" s="27" t="n"/>
      <c r="BE137" s="27" t="n"/>
      <c r="BF137" s="27" t="n"/>
      <c r="BG137" s="27" t="n"/>
      <c r="BH137" s="27" t="n"/>
      <c r="BI137" s="29" t="n"/>
      <c r="BJ137" s="27" t="n"/>
      <c r="BK137" s="27" t="n"/>
      <c r="BL137" s="27" t="n"/>
      <c r="BM137" s="27" t="n"/>
    </row>
    <row r="138">
      <c r="A138" s="27" t="n"/>
      <c r="B138" s="27" t="n"/>
      <c r="C138" s="28">
        <f>IF(A138="","",$B$2)</f>
        <v/>
      </c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  <c r="AA138" s="27" t="n"/>
      <c r="AB138" s="27" t="n"/>
      <c r="AC138" s="27" t="n"/>
      <c r="AD138" s="27" t="n"/>
      <c r="AE138" s="27" t="n"/>
      <c r="AF138" s="27" t="n"/>
      <c r="AG138" s="27" t="n"/>
      <c r="AH138" s="27" t="n"/>
      <c r="AI138" s="27" t="n"/>
      <c r="AJ138" s="27" t="n"/>
      <c r="AK138" s="27" t="n"/>
      <c r="AL138" s="27" t="n"/>
      <c r="AM138" s="27" t="n"/>
      <c r="AN138" s="27" t="n"/>
      <c r="AO138" s="27" t="n"/>
      <c r="AP138" s="27" t="n"/>
      <c r="AQ138" s="27" t="n"/>
      <c r="AR138" s="27" t="n"/>
      <c r="AS138" s="27" t="n"/>
      <c r="AT138" s="27" t="n"/>
      <c r="AU138" s="27" t="n"/>
      <c r="AV138" s="27" t="n"/>
      <c r="AW138" s="27" t="n"/>
      <c r="AX138" s="27" t="n"/>
      <c r="AY138" s="27" t="n"/>
      <c r="AZ138" s="27" t="n"/>
      <c r="BA138" s="27" t="n"/>
      <c r="BB138" s="27" t="n"/>
      <c r="BC138" s="27" t="n"/>
      <c r="BD138" s="27" t="n"/>
      <c r="BE138" s="27" t="n"/>
      <c r="BF138" s="27" t="n"/>
      <c r="BG138" s="27" t="n"/>
      <c r="BH138" s="27" t="n"/>
      <c r="BI138" s="29" t="n"/>
      <c r="BJ138" s="27" t="n"/>
      <c r="BK138" s="27" t="n"/>
      <c r="BL138" s="27" t="n"/>
      <c r="BM138" s="27" t="n"/>
    </row>
    <row r="139">
      <c r="A139" s="27" t="n"/>
      <c r="B139" s="27" t="n"/>
      <c r="C139" s="28">
        <f>IF(A139="","",$B$2)</f>
        <v/>
      </c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  <c r="AA139" s="27" t="n"/>
      <c r="AB139" s="27" t="n"/>
      <c r="AC139" s="27" t="n"/>
      <c r="AD139" s="27" t="n"/>
      <c r="AE139" s="27" t="n"/>
      <c r="AF139" s="27" t="n"/>
      <c r="AG139" s="27" t="n"/>
      <c r="AH139" s="27" t="n"/>
      <c r="AI139" s="27" t="n"/>
      <c r="AJ139" s="27" t="n"/>
      <c r="AK139" s="27" t="n"/>
      <c r="AL139" s="27" t="n"/>
      <c r="AM139" s="27" t="n"/>
      <c r="AN139" s="27" t="n"/>
      <c r="AO139" s="27" t="n"/>
      <c r="AP139" s="27" t="n"/>
      <c r="AQ139" s="27" t="n"/>
      <c r="AR139" s="27" t="n"/>
      <c r="AS139" s="27" t="n"/>
      <c r="AT139" s="27" t="n"/>
      <c r="AU139" s="27" t="n"/>
      <c r="AV139" s="27" t="n"/>
      <c r="AW139" s="27" t="n"/>
      <c r="AX139" s="27" t="n"/>
      <c r="AY139" s="27" t="n"/>
      <c r="AZ139" s="27" t="n"/>
      <c r="BA139" s="27" t="n"/>
      <c r="BB139" s="27" t="n"/>
      <c r="BC139" s="27" t="n"/>
      <c r="BD139" s="27" t="n"/>
      <c r="BE139" s="27" t="n"/>
      <c r="BF139" s="27" t="n"/>
      <c r="BG139" s="27" t="n"/>
      <c r="BH139" s="27" t="n"/>
      <c r="BI139" s="29" t="n"/>
      <c r="BJ139" s="27" t="n"/>
      <c r="BK139" s="27" t="n"/>
      <c r="BL139" s="27" t="n"/>
      <c r="BM139" s="27" t="n"/>
    </row>
    <row r="140">
      <c r="A140" s="27" t="n"/>
      <c r="B140" s="27" t="n"/>
      <c r="C140" s="28">
        <f>IF(A140="","",$B$2)</f>
        <v/>
      </c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  <c r="AA140" s="27" t="n"/>
      <c r="AB140" s="27" t="n"/>
      <c r="AC140" s="27" t="n"/>
      <c r="AD140" s="27" t="n"/>
      <c r="AE140" s="27" t="n"/>
      <c r="AF140" s="27" t="n"/>
      <c r="AG140" s="27" t="n"/>
      <c r="AH140" s="27" t="n"/>
      <c r="AI140" s="27" t="n"/>
      <c r="AJ140" s="27" t="n"/>
      <c r="AK140" s="27" t="n"/>
      <c r="AL140" s="27" t="n"/>
      <c r="AM140" s="27" t="n"/>
      <c r="AN140" s="27" t="n"/>
      <c r="AO140" s="27" t="n"/>
      <c r="AP140" s="27" t="n"/>
      <c r="AQ140" s="27" t="n"/>
      <c r="AR140" s="27" t="n"/>
      <c r="AS140" s="27" t="n"/>
      <c r="AT140" s="27" t="n"/>
      <c r="AU140" s="27" t="n"/>
      <c r="AV140" s="27" t="n"/>
      <c r="AW140" s="27" t="n"/>
      <c r="AX140" s="27" t="n"/>
      <c r="AY140" s="27" t="n"/>
      <c r="AZ140" s="27" t="n"/>
      <c r="BA140" s="27" t="n"/>
      <c r="BB140" s="27" t="n"/>
      <c r="BC140" s="27" t="n"/>
      <c r="BD140" s="27" t="n"/>
      <c r="BE140" s="27" t="n"/>
      <c r="BF140" s="27" t="n"/>
      <c r="BG140" s="27" t="n"/>
      <c r="BH140" s="27" t="n"/>
      <c r="BI140" s="29" t="n"/>
      <c r="BJ140" s="27" t="n"/>
      <c r="BK140" s="27" t="n"/>
      <c r="BL140" s="27" t="n"/>
      <c r="BM140" s="27" t="n"/>
    </row>
    <row r="141">
      <c r="A141" s="27" t="n"/>
      <c r="B141" s="27" t="n"/>
      <c r="C141" s="28">
        <f>IF(A141="","",$B$2)</f>
        <v/>
      </c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  <c r="AA141" s="27" t="n"/>
      <c r="AB141" s="27" t="n"/>
      <c r="AC141" s="27" t="n"/>
      <c r="AD141" s="27" t="n"/>
      <c r="AE141" s="27" t="n"/>
      <c r="AF141" s="27" t="n"/>
      <c r="AG141" s="27" t="n"/>
      <c r="AH141" s="27" t="n"/>
      <c r="AI141" s="27" t="n"/>
      <c r="AJ141" s="27" t="n"/>
      <c r="AK141" s="27" t="n"/>
      <c r="AL141" s="27" t="n"/>
      <c r="AM141" s="27" t="n"/>
      <c r="AN141" s="27" t="n"/>
      <c r="AO141" s="27" t="n"/>
      <c r="AP141" s="27" t="n"/>
      <c r="AQ141" s="27" t="n"/>
      <c r="AR141" s="27" t="n"/>
      <c r="AS141" s="27" t="n"/>
      <c r="AT141" s="27" t="n"/>
      <c r="AU141" s="27" t="n"/>
      <c r="AV141" s="27" t="n"/>
      <c r="AW141" s="27" t="n"/>
      <c r="AX141" s="27" t="n"/>
      <c r="AY141" s="27" t="n"/>
      <c r="AZ141" s="27" t="n"/>
      <c r="BA141" s="27" t="n"/>
      <c r="BB141" s="27" t="n"/>
      <c r="BC141" s="27" t="n"/>
      <c r="BD141" s="27" t="n"/>
      <c r="BE141" s="27" t="n"/>
      <c r="BF141" s="27" t="n"/>
      <c r="BG141" s="27" t="n"/>
      <c r="BH141" s="27" t="n"/>
      <c r="BI141" s="29" t="n"/>
      <c r="BJ141" s="27" t="n"/>
      <c r="BK141" s="27" t="n"/>
      <c r="BL141" s="27" t="n"/>
      <c r="BM141" s="27" t="n"/>
    </row>
    <row r="142">
      <c r="A142" s="27" t="n"/>
      <c r="B142" s="27" t="n"/>
      <c r="C142" s="28">
        <f>IF(A142="","",$B$2)</f>
        <v/>
      </c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  <c r="AA142" s="27" t="n"/>
      <c r="AB142" s="27" t="n"/>
      <c r="AC142" s="27" t="n"/>
      <c r="AD142" s="27" t="n"/>
      <c r="AE142" s="27" t="n"/>
      <c r="AF142" s="27" t="n"/>
      <c r="AG142" s="27" t="n"/>
      <c r="AH142" s="27" t="n"/>
      <c r="AI142" s="27" t="n"/>
      <c r="AJ142" s="27" t="n"/>
      <c r="AK142" s="27" t="n"/>
      <c r="AL142" s="27" t="n"/>
      <c r="AM142" s="27" t="n"/>
      <c r="AN142" s="27" t="n"/>
      <c r="AO142" s="27" t="n"/>
      <c r="AP142" s="27" t="n"/>
      <c r="AQ142" s="27" t="n"/>
      <c r="AR142" s="27" t="n"/>
      <c r="AS142" s="27" t="n"/>
      <c r="AT142" s="27" t="n"/>
      <c r="AU142" s="27" t="n"/>
      <c r="AV142" s="27" t="n"/>
      <c r="AW142" s="27" t="n"/>
      <c r="AX142" s="27" t="n"/>
      <c r="AY142" s="27" t="n"/>
      <c r="AZ142" s="27" t="n"/>
      <c r="BA142" s="27" t="n"/>
      <c r="BB142" s="27" t="n"/>
      <c r="BC142" s="27" t="n"/>
      <c r="BD142" s="27" t="n"/>
      <c r="BE142" s="27" t="n"/>
      <c r="BF142" s="27" t="n"/>
      <c r="BG142" s="27" t="n"/>
      <c r="BH142" s="27" t="n"/>
      <c r="BI142" s="29" t="n"/>
      <c r="BJ142" s="27" t="n"/>
      <c r="BK142" s="27" t="n"/>
      <c r="BL142" s="27" t="n"/>
      <c r="BM142" s="27" t="n"/>
    </row>
    <row r="143">
      <c r="A143" s="27" t="n"/>
      <c r="B143" s="27" t="n"/>
      <c r="C143" s="28">
        <f>IF(A143="","",$B$2)</f>
        <v/>
      </c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  <c r="AA143" s="27" t="n"/>
      <c r="AB143" s="27" t="n"/>
      <c r="AC143" s="27" t="n"/>
      <c r="AD143" s="27" t="n"/>
      <c r="AE143" s="27" t="n"/>
      <c r="AF143" s="27" t="n"/>
      <c r="AG143" s="27" t="n"/>
      <c r="AH143" s="27" t="n"/>
      <c r="AI143" s="27" t="n"/>
      <c r="AJ143" s="27" t="n"/>
      <c r="AK143" s="27" t="n"/>
      <c r="AL143" s="27" t="n"/>
      <c r="AM143" s="27" t="n"/>
      <c r="AN143" s="27" t="n"/>
      <c r="AO143" s="27" t="n"/>
      <c r="AP143" s="27" t="n"/>
      <c r="AQ143" s="27" t="n"/>
      <c r="AR143" s="27" t="n"/>
      <c r="AS143" s="27" t="n"/>
      <c r="AT143" s="27" t="n"/>
      <c r="AU143" s="27" t="n"/>
      <c r="AV143" s="27" t="n"/>
      <c r="AW143" s="27" t="n"/>
      <c r="AX143" s="27" t="n"/>
      <c r="AY143" s="27" t="n"/>
      <c r="AZ143" s="27" t="n"/>
      <c r="BA143" s="27" t="n"/>
      <c r="BB143" s="27" t="n"/>
      <c r="BC143" s="27" t="n"/>
      <c r="BD143" s="27" t="n"/>
      <c r="BE143" s="27" t="n"/>
      <c r="BF143" s="27" t="n"/>
      <c r="BG143" s="27" t="n"/>
      <c r="BH143" s="27" t="n"/>
      <c r="BI143" s="29" t="n"/>
      <c r="BJ143" s="27" t="n"/>
      <c r="BK143" s="27" t="n"/>
      <c r="BL143" s="27" t="n"/>
      <c r="BM143" s="27" t="n"/>
    </row>
    <row r="144">
      <c r="A144" s="27" t="n"/>
      <c r="B144" s="27" t="n"/>
      <c r="C144" s="28">
        <f>IF(A144="","",$B$2)</f>
        <v/>
      </c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  <c r="AA144" s="27" t="n"/>
      <c r="AB144" s="27" t="n"/>
      <c r="AC144" s="27" t="n"/>
      <c r="AD144" s="27" t="n"/>
      <c r="AE144" s="27" t="n"/>
      <c r="AF144" s="27" t="n"/>
      <c r="AG144" s="27" t="n"/>
      <c r="AH144" s="27" t="n"/>
      <c r="AI144" s="27" t="n"/>
      <c r="AJ144" s="27" t="n"/>
      <c r="AK144" s="27" t="n"/>
      <c r="AL144" s="27" t="n"/>
      <c r="AM144" s="27" t="n"/>
      <c r="AN144" s="27" t="n"/>
      <c r="AO144" s="27" t="n"/>
      <c r="AP144" s="27" t="n"/>
      <c r="AQ144" s="27" t="n"/>
      <c r="AR144" s="27" t="n"/>
      <c r="AS144" s="27" t="n"/>
      <c r="AT144" s="27" t="n"/>
      <c r="AU144" s="27" t="n"/>
      <c r="AV144" s="27" t="n"/>
      <c r="AW144" s="27" t="n"/>
      <c r="AX144" s="27" t="n"/>
      <c r="AY144" s="27" t="n"/>
      <c r="AZ144" s="27" t="n"/>
      <c r="BA144" s="27" t="n"/>
      <c r="BB144" s="27" t="n"/>
      <c r="BC144" s="27" t="n"/>
      <c r="BD144" s="27" t="n"/>
      <c r="BE144" s="27" t="n"/>
      <c r="BF144" s="27" t="n"/>
      <c r="BG144" s="27" t="n"/>
      <c r="BH144" s="27" t="n"/>
      <c r="BI144" s="29" t="n"/>
      <c r="BJ144" s="27" t="n"/>
      <c r="BK144" s="27" t="n"/>
      <c r="BL144" s="27" t="n"/>
      <c r="BM144" s="27" t="n"/>
    </row>
    <row r="145">
      <c r="A145" s="27" t="n"/>
      <c r="B145" s="27" t="n"/>
      <c r="C145" s="28">
        <f>IF(A145="","",$B$2)</f>
        <v/>
      </c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  <c r="AA145" s="27" t="n"/>
      <c r="AB145" s="27" t="n"/>
      <c r="AC145" s="27" t="n"/>
      <c r="AD145" s="27" t="n"/>
      <c r="AE145" s="27" t="n"/>
      <c r="AF145" s="27" t="n"/>
      <c r="AG145" s="27" t="n"/>
      <c r="AH145" s="27" t="n"/>
      <c r="AI145" s="27" t="n"/>
      <c r="AJ145" s="27" t="n"/>
      <c r="AK145" s="27" t="n"/>
      <c r="AL145" s="27" t="n"/>
      <c r="AM145" s="27" t="n"/>
      <c r="AN145" s="27" t="n"/>
      <c r="AO145" s="27" t="n"/>
      <c r="AP145" s="27" t="n"/>
      <c r="AQ145" s="27" t="n"/>
      <c r="AR145" s="27" t="n"/>
      <c r="AS145" s="27" t="n"/>
      <c r="AT145" s="27" t="n"/>
      <c r="AU145" s="27" t="n"/>
      <c r="AV145" s="27" t="n"/>
      <c r="AW145" s="27" t="n"/>
      <c r="AX145" s="27" t="n"/>
      <c r="AY145" s="27" t="n"/>
      <c r="AZ145" s="27" t="n"/>
      <c r="BA145" s="27" t="n"/>
      <c r="BB145" s="27" t="n"/>
      <c r="BC145" s="27" t="n"/>
      <c r="BD145" s="27" t="n"/>
      <c r="BE145" s="27" t="n"/>
      <c r="BF145" s="27" t="n"/>
      <c r="BG145" s="27" t="n"/>
      <c r="BH145" s="27" t="n"/>
      <c r="BI145" s="29" t="n"/>
      <c r="BJ145" s="27" t="n"/>
      <c r="BK145" s="27" t="n"/>
      <c r="BL145" s="27" t="n"/>
      <c r="BM145" s="27" t="n"/>
    </row>
    <row r="146">
      <c r="A146" s="27" t="n"/>
      <c r="B146" s="27" t="n"/>
      <c r="C146" s="28">
        <f>IF(A146="","",$B$2)</f>
        <v/>
      </c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  <c r="AA146" s="27" t="n"/>
      <c r="AB146" s="27" t="n"/>
      <c r="AC146" s="27" t="n"/>
      <c r="AD146" s="27" t="n"/>
      <c r="AE146" s="27" t="n"/>
      <c r="AF146" s="27" t="n"/>
      <c r="AG146" s="27" t="n"/>
      <c r="AH146" s="27" t="n"/>
      <c r="AI146" s="27" t="n"/>
      <c r="AJ146" s="27" t="n"/>
      <c r="AK146" s="27" t="n"/>
      <c r="AL146" s="27" t="n"/>
      <c r="AM146" s="27" t="n"/>
      <c r="AN146" s="27" t="n"/>
      <c r="AO146" s="27" t="n"/>
      <c r="AP146" s="27" t="n"/>
      <c r="AQ146" s="27" t="n"/>
      <c r="AR146" s="27" t="n"/>
      <c r="AS146" s="27" t="n"/>
      <c r="AT146" s="27" t="n"/>
      <c r="AU146" s="27" t="n"/>
      <c r="AV146" s="27" t="n"/>
      <c r="AW146" s="27" t="n"/>
      <c r="AX146" s="27" t="n"/>
      <c r="AY146" s="27" t="n"/>
      <c r="AZ146" s="27" t="n"/>
      <c r="BA146" s="27" t="n"/>
      <c r="BB146" s="27" t="n"/>
      <c r="BC146" s="27" t="n"/>
      <c r="BD146" s="27" t="n"/>
      <c r="BE146" s="27" t="n"/>
      <c r="BF146" s="27" t="n"/>
      <c r="BG146" s="27" t="n"/>
      <c r="BH146" s="27" t="n"/>
      <c r="BI146" s="29" t="n"/>
      <c r="BJ146" s="27" t="n"/>
      <c r="BK146" s="27" t="n"/>
      <c r="BL146" s="27" t="n"/>
      <c r="BM146" s="27" t="n"/>
    </row>
    <row r="147">
      <c r="A147" s="27" t="n"/>
      <c r="B147" s="27" t="n"/>
      <c r="C147" s="28">
        <f>IF(A147="","",$B$2)</f>
        <v/>
      </c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  <c r="AA147" s="27" t="n"/>
      <c r="AB147" s="27" t="n"/>
      <c r="AC147" s="27" t="n"/>
      <c r="AD147" s="27" t="n"/>
      <c r="AE147" s="27" t="n"/>
      <c r="AF147" s="27" t="n"/>
      <c r="AG147" s="27" t="n"/>
      <c r="AH147" s="27" t="n"/>
      <c r="AI147" s="27" t="n"/>
      <c r="AJ147" s="27" t="n"/>
      <c r="AK147" s="27" t="n"/>
      <c r="AL147" s="27" t="n"/>
      <c r="AM147" s="27" t="n"/>
      <c r="AN147" s="27" t="n"/>
      <c r="AO147" s="27" t="n"/>
      <c r="AP147" s="27" t="n"/>
      <c r="AQ147" s="27" t="n"/>
      <c r="AR147" s="27" t="n"/>
      <c r="AS147" s="27" t="n"/>
      <c r="AT147" s="27" t="n"/>
      <c r="AU147" s="27" t="n"/>
      <c r="AV147" s="27" t="n"/>
      <c r="AW147" s="27" t="n"/>
      <c r="AX147" s="27" t="n"/>
      <c r="AY147" s="27" t="n"/>
      <c r="AZ147" s="27" t="n"/>
      <c r="BA147" s="27" t="n"/>
      <c r="BB147" s="27" t="n"/>
      <c r="BC147" s="27" t="n"/>
      <c r="BD147" s="27" t="n"/>
      <c r="BE147" s="27" t="n"/>
      <c r="BF147" s="27" t="n"/>
      <c r="BG147" s="27" t="n"/>
      <c r="BH147" s="27" t="n"/>
      <c r="BI147" s="29" t="n"/>
      <c r="BJ147" s="27" t="n"/>
      <c r="BK147" s="27" t="n"/>
      <c r="BL147" s="27" t="n"/>
      <c r="BM147" s="27" t="n"/>
    </row>
    <row r="148">
      <c r="A148" s="27" t="n"/>
      <c r="B148" s="27" t="n"/>
      <c r="C148" s="28">
        <f>IF(A148="","",$B$2)</f>
        <v/>
      </c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  <c r="AA148" s="27" t="n"/>
      <c r="AB148" s="27" t="n"/>
      <c r="AC148" s="27" t="n"/>
      <c r="AD148" s="27" t="n"/>
      <c r="AE148" s="27" t="n"/>
      <c r="AF148" s="27" t="n"/>
      <c r="AG148" s="27" t="n"/>
      <c r="AH148" s="27" t="n"/>
      <c r="AI148" s="27" t="n"/>
      <c r="AJ148" s="27" t="n"/>
      <c r="AK148" s="27" t="n"/>
      <c r="AL148" s="27" t="n"/>
      <c r="AM148" s="27" t="n"/>
      <c r="AN148" s="27" t="n"/>
      <c r="AO148" s="27" t="n"/>
      <c r="AP148" s="27" t="n"/>
      <c r="AQ148" s="27" t="n"/>
      <c r="AR148" s="27" t="n"/>
      <c r="AS148" s="27" t="n"/>
      <c r="AT148" s="27" t="n"/>
      <c r="AU148" s="27" t="n"/>
      <c r="AV148" s="27" t="n"/>
      <c r="AW148" s="27" t="n"/>
      <c r="AX148" s="27" t="n"/>
      <c r="AY148" s="27" t="n"/>
      <c r="AZ148" s="27" t="n"/>
      <c r="BA148" s="27" t="n"/>
      <c r="BB148" s="27" t="n"/>
      <c r="BC148" s="27" t="n"/>
      <c r="BD148" s="27" t="n"/>
      <c r="BE148" s="27" t="n"/>
      <c r="BF148" s="27" t="n"/>
      <c r="BG148" s="27" t="n"/>
      <c r="BH148" s="27" t="n"/>
      <c r="BI148" s="29" t="n"/>
      <c r="BJ148" s="27" t="n"/>
      <c r="BK148" s="27" t="n"/>
      <c r="BL148" s="27" t="n"/>
      <c r="BM148" s="27" t="n"/>
    </row>
    <row r="149">
      <c r="A149" s="27" t="n"/>
      <c r="B149" s="27" t="n"/>
      <c r="C149" s="28">
        <f>IF(A149="","",$B$2)</f>
        <v/>
      </c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  <c r="AA149" s="27" t="n"/>
      <c r="AB149" s="27" t="n"/>
      <c r="AC149" s="27" t="n"/>
      <c r="AD149" s="27" t="n"/>
      <c r="AE149" s="27" t="n"/>
      <c r="AF149" s="27" t="n"/>
      <c r="AG149" s="27" t="n"/>
      <c r="AH149" s="27" t="n"/>
      <c r="AI149" s="27" t="n"/>
      <c r="AJ149" s="27" t="n"/>
      <c r="AK149" s="27" t="n"/>
      <c r="AL149" s="27" t="n"/>
      <c r="AM149" s="27" t="n"/>
      <c r="AN149" s="27" t="n"/>
      <c r="AO149" s="27" t="n"/>
      <c r="AP149" s="27" t="n"/>
      <c r="AQ149" s="27" t="n"/>
      <c r="AR149" s="27" t="n"/>
      <c r="AS149" s="27" t="n"/>
      <c r="AT149" s="27" t="n"/>
      <c r="AU149" s="27" t="n"/>
      <c r="AV149" s="27" t="n"/>
      <c r="AW149" s="27" t="n"/>
      <c r="AX149" s="27" t="n"/>
      <c r="AY149" s="27" t="n"/>
      <c r="AZ149" s="27" t="n"/>
      <c r="BA149" s="27" t="n"/>
      <c r="BB149" s="27" t="n"/>
      <c r="BC149" s="27" t="n"/>
      <c r="BD149" s="27" t="n"/>
      <c r="BE149" s="27" t="n"/>
      <c r="BF149" s="27" t="n"/>
      <c r="BG149" s="27" t="n"/>
      <c r="BH149" s="27" t="n"/>
      <c r="BI149" s="29" t="n"/>
      <c r="BJ149" s="27" t="n"/>
      <c r="BK149" s="27" t="n"/>
      <c r="BL149" s="27" t="n"/>
      <c r="BM149" s="27" t="n"/>
    </row>
    <row r="150">
      <c r="A150" s="27" t="n"/>
      <c r="B150" s="27" t="n"/>
      <c r="C150" s="28">
        <f>IF(A150="","",$B$2)</f>
        <v/>
      </c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  <c r="AA150" s="27" t="n"/>
      <c r="AB150" s="27" t="n"/>
      <c r="AC150" s="27" t="n"/>
      <c r="AD150" s="27" t="n"/>
      <c r="AE150" s="27" t="n"/>
      <c r="AF150" s="27" t="n"/>
      <c r="AG150" s="27" t="n"/>
      <c r="AH150" s="27" t="n"/>
      <c r="AI150" s="27" t="n"/>
      <c r="AJ150" s="27" t="n"/>
      <c r="AK150" s="27" t="n"/>
      <c r="AL150" s="27" t="n"/>
      <c r="AM150" s="27" t="n"/>
      <c r="AN150" s="27" t="n"/>
      <c r="AO150" s="27" t="n"/>
      <c r="AP150" s="27" t="n"/>
      <c r="AQ150" s="27" t="n"/>
      <c r="AR150" s="27" t="n"/>
      <c r="AS150" s="27" t="n"/>
      <c r="AT150" s="27" t="n"/>
      <c r="AU150" s="27" t="n"/>
      <c r="AV150" s="27" t="n"/>
      <c r="AW150" s="27" t="n"/>
      <c r="AX150" s="27" t="n"/>
      <c r="AY150" s="27" t="n"/>
      <c r="AZ150" s="27" t="n"/>
      <c r="BA150" s="27" t="n"/>
      <c r="BB150" s="27" t="n"/>
      <c r="BC150" s="27" t="n"/>
      <c r="BD150" s="27" t="n"/>
      <c r="BE150" s="27" t="n"/>
      <c r="BF150" s="27" t="n"/>
      <c r="BG150" s="27" t="n"/>
      <c r="BH150" s="27" t="n"/>
      <c r="BI150" s="29" t="n"/>
      <c r="BJ150" s="27" t="n"/>
      <c r="BK150" s="27" t="n"/>
      <c r="BL150" s="27" t="n"/>
      <c r="BM150" s="27" t="n"/>
    </row>
    <row r="151">
      <c r="A151" s="27" t="n"/>
      <c r="B151" s="27" t="n"/>
      <c r="C151" s="28">
        <f>IF(A151="","",$B$2)</f>
        <v/>
      </c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  <c r="AA151" s="27" t="n"/>
      <c r="AB151" s="27" t="n"/>
      <c r="AC151" s="27" t="n"/>
      <c r="AD151" s="27" t="n"/>
      <c r="AE151" s="27" t="n"/>
      <c r="AF151" s="27" t="n"/>
      <c r="AG151" s="27" t="n"/>
      <c r="AH151" s="27" t="n"/>
      <c r="AI151" s="27" t="n"/>
      <c r="AJ151" s="27" t="n"/>
      <c r="AK151" s="27" t="n"/>
      <c r="AL151" s="27" t="n"/>
      <c r="AM151" s="27" t="n"/>
      <c r="AN151" s="27" t="n"/>
      <c r="AO151" s="27" t="n"/>
      <c r="AP151" s="27" t="n"/>
      <c r="AQ151" s="27" t="n"/>
      <c r="AR151" s="27" t="n"/>
      <c r="AS151" s="27" t="n"/>
      <c r="AT151" s="27" t="n"/>
      <c r="AU151" s="27" t="n"/>
      <c r="AV151" s="27" t="n"/>
      <c r="AW151" s="27" t="n"/>
      <c r="AX151" s="27" t="n"/>
      <c r="AY151" s="27" t="n"/>
      <c r="AZ151" s="27" t="n"/>
      <c r="BA151" s="27" t="n"/>
      <c r="BB151" s="27" t="n"/>
      <c r="BC151" s="27" t="n"/>
      <c r="BD151" s="27" t="n"/>
      <c r="BE151" s="27" t="n"/>
      <c r="BF151" s="27" t="n"/>
      <c r="BG151" s="27" t="n"/>
      <c r="BH151" s="27" t="n"/>
      <c r="BI151" s="29" t="n"/>
      <c r="BJ151" s="27" t="n"/>
      <c r="BK151" s="27" t="n"/>
      <c r="BL151" s="27" t="n"/>
      <c r="BM151" s="27" t="n"/>
    </row>
    <row r="152">
      <c r="A152" s="27" t="n"/>
      <c r="B152" s="27" t="n"/>
      <c r="C152" s="28">
        <f>IF(A152="","",$B$2)</f>
        <v/>
      </c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  <c r="AA152" s="27" t="n"/>
      <c r="AB152" s="27" t="n"/>
      <c r="AC152" s="27" t="n"/>
      <c r="AD152" s="27" t="n"/>
      <c r="AE152" s="27" t="n"/>
      <c r="AF152" s="27" t="n"/>
      <c r="AG152" s="27" t="n"/>
      <c r="AH152" s="27" t="n"/>
      <c r="AI152" s="27" t="n"/>
      <c r="AJ152" s="27" t="n"/>
      <c r="AK152" s="27" t="n"/>
      <c r="AL152" s="27" t="n"/>
      <c r="AM152" s="27" t="n"/>
      <c r="AN152" s="27" t="n"/>
      <c r="AO152" s="27" t="n"/>
      <c r="AP152" s="27" t="n"/>
      <c r="AQ152" s="27" t="n"/>
      <c r="AR152" s="27" t="n"/>
      <c r="AS152" s="27" t="n"/>
      <c r="AT152" s="27" t="n"/>
      <c r="AU152" s="27" t="n"/>
      <c r="AV152" s="27" t="n"/>
      <c r="AW152" s="27" t="n"/>
      <c r="AX152" s="27" t="n"/>
      <c r="AY152" s="27" t="n"/>
      <c r="AZ152" s="27" t="n"/>
      <c r="BA152" s="27" t="n"/>
      <c r="BB152" s="27" t="n"/>
      <c r="BC152" s="27" t="n"/>
      <c r="BD152" s="27" t="n"/>
      <c r="BE152" s="27" t="n"/>
      <c r="BF152" s="27" t="n"/>
      <c r="BG152" s="27" t="n"/>
      <c r="BH152" s="27" t="n"/>
      <c r="BI152" s="29" t="n"/>
      <c r="BJ152" s="27" t="n"/>
      <c r="BK152" s="27" t="n"/>
      <c r="BL152" s="27" t="n"/>
      <c r="BM152" s="27" t="n"/>
    </row>
    <row r="153">
      <c r="A153" s="27" t="n"/>
      <c r="B153" s="27" t="n"/>
      <c r="C153" s="28">
        <f>IF(A153="","",$B$2)</f>
        <v/>
      </c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  <c r="AA153" s="27" t="n"/>
      <c r="AB153" s="27" t="n"/>
      <c r="AC153" s="27" t="n"/>
      <c r="AD153" s="27" t="n"/>
      <c r="AE153" s="27" t="n"/>
      <c r="AF153" s="27" t="n"/>
      <c r="AG153" s="27" t="n"/>
      <c r="AH153" s="27" t="n"/>
      <c r="AI153" s="27" t="n"/>
      <c r="AJ153" s="27" t="n"/>
      <c r="AK153" s="27" t="n"/>
      <c r="AL153" s="27" t="n"/>
      <c r="AM153" s="27" t="n"/>
      <c r="AN153" s="27" t="n"/>
      <c r="AO153" s="27" t="n"/>
      <c r="AP153" s="27" t="n"/>
      <c r="AQ153" s="27" t="n"/>
      <c r="AR153" s="27" t="n"/>
      <c r="AS153" s="27" t="n"/>
      <c r="AT153" s="27" t="n"/>
      <c r="AU153" s="27" t="n"/>
      <c r="AV153" s="27" t="n"/>
      <c r="AW153" s="27" t="n"/>
      <c r="AX153" s="27" t="n"/>
      <c r="AY153" s="27" t="n"/>
      <c r="AZ153" s="27" t="n"/>
      <c r="BA153" s="27" t="n"/>
      <c r="BB153" s="27" t="n"/>
      <c r="BC153" s="27" t="n"/>
      <c r="BD153" s="27" t="n"/>
      <c r="BE153" s="27" t="n"/>
      <c r="BF153" s="27" t="n"/>
      <c r="BG153" s="27" t="n"/>
      <c r="BH153" s="27" t="n"/>
      <c r="BI153" s="29" t="n"/>
      <c r="BJ153" s="27" t="n"/>
      <c r="BK153" s="27" t="n"/>
      <c r="BL153" s="27" t="n"/>
      <c r="BM153" s="27" t="n"/>
    </row>
    <row r="154">
      <c r="A154" s="27" t="n"/>
      <c r="B154" s="27" t="n"/>
      <c r="C154" s="28">
        <f>IF(A154="","",$B$2)</f>
        <v/>
      </c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  <c r="AA154" s="27" t="n"/>
      <c r="AB154" s="27" t="n"/>
      <c r="AC154" s="27" t="n"/>
      <c r="AD154" s="27" t="n"/>
      <c r="AE154" s="27" t="n"/>
      <c r="AF154" s="27" t="n"/>
      <c r="AG154" s="27" t="n"/>
      <c r="AH154" s="27" t="n"/>
      <c r="AI154" s="27" t="n"/>
      <c r="AJ154" s="27" t="n"/>
      <c r="AK154" s="27" t="n"/>
      <c r="AL154" s="27" t="n"/>
      <c r="AM154" s="27" t="n"/>
      <c r="AN154" s="27" t="n"/>
      <c r="AO154" s="27" t="n"/>
      <c r="AP154" s="27" t="n"/>
      <c r="AQ154" s="27" t="n"/>
      <c r="AR154" s="27" t="n"/>
      <c r="AS154" s="27" t="n"/>
      <c r="AT154" s="27" t="n"/>
      <c r="AU154" s="27" t="n"/>
      <c r="AV154" s="27" t="n"/>
      <c r="AW154" s="27" t="n"/>
      <c r="AX154" s="27" t="n"/>
      <c r="AY154" s="27" t="n"/>
      <c r="AZ154" s="27" t="n"/>
      <c r="BA154" s="27" t="n"/>
      <c r="BB154" s="27" t="n"/>
      <c r="BC154" s="27" t="n"/>
      <c r="BD154" s="27" t="n"/>
      <c r="BE154" s="27" t="n"/>
      <c r="BF154" s="27" t="n"/>
      <c r="BG154" s="27" t="n"/>
      <c r="BH154" s="27" t="n"/>
      <c r="BI154" s="29" t="n"/>
      <c r="BJ154" s="27" t="n"/>
      <c r="BK154" s="27" t="n"/>
      <c r="BL154" s="27" t="n"/>
      <c r="BM154" s="27" t="n"/>
    </row>
    <row r="155">
      <c r="A155" s="27" t="n"/>
      <c r="B155" s="27" t="n"/>
      <c r="C155" s="28">
        <f>IF(A155="","",$B$2)</f>
        <v/>
      </c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  <c r="AA155" s="27" t="n"/>
      <c r="AB155" s="27" t="n"/>
      <c r="AC155" s="27" t="n"/>
      <c r="AD155" s="27" t="n"/>
      <c r="AE155" s="27" t="n"/>
      <c r="AF155" s="27" t="n"/>
      <c r="AG155" s="27" t="n"/>
      <c r="AH155" s="27" t="n"/>
      <c r="AI155" s="27" t="n"/>
      <c r="AJ155" s="27" t="n"/>
      <c r="AK155" s="27" t="n"/>
      <c r="AL155" s="27" t="n"/>
      <c r="AM155" s="27" t="n"/>
      <c r="AN155" s="27" t="n"/>
      <c r="AO155" s="27" t="n"/>
      <c r="AP155" s="27" t="n"/>
      <c r="AQ155" s="27" t="n"/>
      <c r="AR155" s="27" t="n"/>
      <c r="AS155" s="27" t="n"/>
      <c r="AT155" s="27" t="n"/>
      <c r="AU155" s="27" t="n"/>
      <c r="AV155" s="27" t="n"/>
      <c r="AW155" s="27" t="n"/>
      <c r="AX155" s="27" t="n"/>
      <c r="AY155" s="27" t="n"/>
      <c r="AZ155" s="27" t="n"/>
      <c r="BA155" s="27" t="n"/>
      <c r="BB155" s="27" t="n"/>
      <c r="BC155" s="27" t="n"/>
      <c r="BD155" s="27" t="n"/>
      <c r="BE155" s="27" t="n"/>
      <c r="BF155" s="27" t="n"/>
      <c r="BG155" s="27" t="n"/>
      <c r="BH155" s="27" t="n"/>
      <c r="BI155" s="29" t="n"/>
      <c r="BJ155" s="27" t="n"/>
      <c r="BK155" s="27" t="n"/>
      <c r="BL155" s="27" t="n"/>
      <c r="BM155" s="27" t="n"/>
    </row>
    <row r="156">
      <c r="A156" s="27" t="n"/>
      <c r="B156" s="27" t="n"/>
      <c r="C156" s="28">
        <f>IF(A156="","",$B$2)</f>
        <v/>
      </c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  <c r="AA156" s="27" t="n"/>
      <c r="AB156" s="27" t="n"/>
      <c r="AC156" s="27" t="n"/>
      <c r="AD156" s="27" t="n"/>
      <c r="AE156" s="27" t="n"/>
      <c r="AF156" s="27" t="n"/>
      <c r="AG156" s="27" t="n"/>
      <c r="AH156" s="27" t="n"/>
      <c r="AI156" s="27" t="n"/>
      <c r="AJ156" s="27" t="n"/>
      <c r="AK156" s="27" t="n"/>
      <c r="AL156" s="27" t="n"/>
      <c r="AM156" s="27" t="n"/>
      <c r="AN156" s="27" t="n"/>
      <c r="AO156" s="27" t="n"/>
      <c r="AP156" s="27" t="n"/>
      <c r="AQ156" s="27" t="n"/>
      <c r="AR156" s="27" t="n"/>
      <c r="AS156" s="27" t="n"/>
      <c r="AT156" s="27" t="n"/>
      <c r="AU156" s="27" t="n"/>
      <c r="AV156" s="27" t="n"/>
      <c r="AW156" s="27" t="n"/>
      <c r="AX156" s="27" t="n"/>
      <c r="AY156" s="27" t="n"/>
      <c r="AZ156" s="27" t="n"/>
      <c r="BA156" s="27" t="n"/>
      <c r="BB156" s="27" t="n"/>
      <c r="BC156" s="27" t="n"/>
      <c r="BD156" s="27" t="n"/>
      <c r="BE156" s="27" t="n"/>
      <c r="BF156" s="27" t="n"/>
      <c r="BG156" s="27" t="n"/>
      <c r="BH156" s="27" t="n"/>
      <c r="BI156" s="29" t="n"/>
      <c r="BJ156" s="27" t="n"/>
      <c r="BK156" s="27" t="n"/>
      <c r="BL156" s="27" t="n"/>
      <c r="BM156" s="27" t="n"/>
    </row>
    <row r="157">
      <c r="A157" s="27" t="n"/>
      <c r="B157" s="27" t="n"/>
      <c r="C157" s="28">
        <f>IF(A157="","",$B$2)</f>
        <v/>
      </c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  <c r="AA157" s="27" t="n"/>
      <c r="AB157" s="27" t="n"/>
      <c r="AC157" s="27" t="n"/>
      <c r="AD157" s="27" t="n"/>
      <c r="AE157" s="27" t="n"/>
      <c r="AF157" s="27" t="n"/>
      <c r="AG157" s="27" t="n"/>
      <c r="AH157" s="27" t="n"/>
      <c r="AI157" s="27" t="n"/>
      <c r="AJ157" s="27" t="n"/>
      <c r="AK157" s="27" t="n"/>
      <c r="AL157" s="27" t="n"/>
      <c r="AM157" s="27" t="n"/>
      <c r="AN157" s="27" t="n"/>
      <c r="AO157" s="27" t="n"/>
      <c r="AP157" s="27" t="n"/>
      <c r="AQ157" s="27" t="n"/>
      <c r="AR157" s="27" t="n"/>
      <c r="AS157" s="27" t="n"/>
      <c r="AT157" s="27" t="n"/>
      <c r="AU157" s="27" t="n"/>
      <c r="AV157" s="27" t="n"/>
      <c r="AW157" s="27" t="n"/>
      <c r="AX157" s="27" t="n"/>
      <c r="AY157" s="27" t="n"/>
      <c r="AZ157" s="27" t="n"/>
      <c r="BA157" s="27" t="n"/>
      <c r="BB157" s="27" t="n"/>
      <c r="BC157" s="27" t="n"/>
      <c r="BD157" s="27" t="n"/>
      <c r="BE157" s="27" t="n"/>
      <c r="BF157" s="27" t="n"/>
      <c r="BG157" s="27" t="n"/>
      <c r="BH157" s="27" t="n"/>
      <c r="BI157" s="29" t="n"/>
      <c r="BJ157" s="27" t="n"/>
      <c r="BK157" s="27" t="n"/>
      <c r="BL157" s="27" t="n"/>
      <c r="BM157" s="27" t="n"/>
    </row>
    <row r="158">
      <c r="A158" s="27" t="n"/>
      <c r="B158" s="27" t="n"/>
      <c r="C158" s="28">
        <f>IF(A158="","",$B$2)</f>
        <v/>
      </c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  <c r="AA158" s="27" t="n"/>
      <c r="AB158" s="27" t="n"/>
      <c r="AC158" s="27" t="n"/>
      <c r="AD158" s="27" t="n"/>
      <c r="AE158" s="27" t="n"/>
      <c r="AF158" s="27" t="n"/>
      <c r="AG158" s="27" t="n"/>
      <c r="AH158" s="27" t="n"/>
      <c r="AI158" s="27" t="n"/>
      <c r="AJ158" s="27" t="n"/>
      <c r="AK158" s="27" t="n"/>
      <c r="AL158" s="27" t="n"/>
      <c r="AM158" s="27" t="n"/>
      <c r="AN158" s="27" t="n"/>
      <c r="AO158" s="27" t="n"/>
      <c r="AP158" s="27" t="n"/>
      <c r="AQ158" s="27" t="n"/>
      <c r="AR158" s="27" t="n"/>
      <c r="AS158" s="27" t="n"/>
      <c r="AT158" s="27" t="n"/>
      <c r="AU158" s="27" t="n"/>
      <c r="AV158" s="27" t="n"/>
      <c r="AW158" s="27" t="n"/>
      <c r="AX158" s="27" t="n"/>
      <c r="AY158" s="27" t="n"/>
      <c r="AZ158" s="27" t="n"/>
      <c r="BA158" s="27" t="n"/>
      <c r="BB158" s="27" t="n"/>
      <c r="BC158" s="27" t="n"/>
      <c r="BD158" s="27" t="n"/>
      <c r="BE158" s="27" t="n"/>
      <c r="BF158" s="27" t="n"/>
      <c r="BG158" s="27" t="n"/>
      <c r="BH158" s="27" t="n"/>
      <c r="BI158" s="29" t="n"/>
      <c r="BJ158" s="27" t="n"/>
      <c r="BK158" s="27" t="n"/>
      <c r="BL158" s="27" t="n"/>
      <c r="BM158" s="27" t="n"/>
    </row>
    <row r="159">
      <c r="A159" s="27" t="n"/>
      <c r="B159" s="27" t="n"/>
      <c r="C159" s="28">
        <f>IF(A159="","",$B$2)</f>
        <v/>
      </c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  <c r="AA159" s="27" t="n"/>
      <c r="AB159" s="27" t="n"/>
      <c r="AC159" s="27" t="n"/>
      <c r="AD159" s="27" t="n"/>
      <c r="AE159" s="27" t="n"/>
      <c r="AF159" s="27" t="n"/>
      <c r="AG159" s="27" t="n"/>
      <c r="AH159" s="27" t="n"/>
      <c r="AI159" s="27" t="n"/>
      <c r="AJ159" s="27" t="n"/>
      <c r="AK159" s="27" t="n"/>
      <c r="AL159" s="27" t="n"/>
      <c r="AM159" s="27" t="n"/>
      <c r="AN159" s="27" t="n"/>
      <c r="AO159" s="27" t="n"/>
      <c r="AP159" s="27" t="n"/>
      <c r="AQ159" s="27" t="n"/>
      <c r="AR159" s="27" t="n"/>
      <c r="AS159" s="27" t="n"/>
      <c r="AT159" s="27" t="n"/>
      <c r="AU159" s="27" t="n"/>
      <c r="AV159" s="27" t="n"/>
      <c r="AW159" s="27" t="n"/>
      <c r="AX159" s="27" t="n"/>
      <c r="AY159" s="27" t="n"/>
      <c r="AZ159" s="27" t="n"/>
      <c r="BA159" s="27" t="n"/>
      <c r="BB159" s="27" t="n"/>
      <c r="BC159" s="27" t="n"/>
      <c r="BD159" s="27" t="n"/>
      <c r="BE159" s="27" t="n"/>
      <c r="BF159" s="27" t="n"/>
      <c r="BG159" s="27" t="n"/>
      <c r="BH159" s="27" t="n"/>
      <c r="BI159" s="29" t="n"/>
      <c r="BJ159" s="27" t="n"/>
      <c r="BK159" s="27" t="n"/>
      <c r="BL159" s="27" t="n"/>
      <c r="BM159" s="27" t="n"/>
    </row>
    <row r="160">
      <c r="A160" s="27" t="n"/>
      <c r="B160" s="27" t="n"/>
      <c r="C160" s="28">
        <f>IF(A160="","",$B$2)</f>
        <v/>
      </c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  <c r="AA160" s="27" t="n"/>
      <c r="AB160" s="27" t="n"/>
      <c r="AC160" s="27" t="n"/>
      <c r="AD160" s="27" t="n"/>
      <c r="AE160" s="27" t="n"/>
      <c r="AF160" s="27" t="n"/>
      <c r="AG160" s="27" t="n"/>
      <c r="AH160" s="27" t="n"/>
      <c r="AI160" s="27" t="n"/>
      <c r="AJ160" s="27" t="n"/>
      <c r="AK160" s="27" t="n"/>
      <c r="AL160" s="27" t="n"/>
      <c r="AM160" s="27" t="n"/>
      <c r="AN160" s="27" t="n"/>
      <c r="AO160" s="27" t="n"/>
      <c r="AP160" s="27" t="n"/>
      <c r="AQ160" s="27" t="n"/>
      <c r="AR160" s="27" t="n"/>
      <c r="AS160" s="27" t="n"/>
      <c r="AT160" s="27" t="n"/>
      <c r="AU160" s="27" t="n"/>
      <c r="AV160" s="27" t="n"/>
      <c r="AW160" s="27" t="n"/>
      <c r="AX160" s="27" t="n"/>
      <c r="AY160" s="27" t="n"/>
      <c r="AZ160" s="27" t="n"/>
      <c r="BA160" s="27" t="n"/>
      <c r="BB160" s="27" t="n"/>
      <c r="BC160" s="27" t="n"/>
      <c r="BD160" s="27" t="n"/>
      <c r="BE160" s="27" t="n"/>
      <c r="BF160" s="27" t="n"/>
      <c r="BG160" s="27" t="n"/>
      <c r="BH160" s="27" t="n"/>
      <c r="BI160" s="29" t="n"/>
      <c r="BJ160" s="27" t="n"/>
      <c r="BK160" s="27" t="n"/>
      <c r="BL160" s="27" t="n"/>
      <c r="BM160" s="27" t="n"/>
    </row>
    <row r="161">
      <c r="A161" s="27" t="n"/>
      <c r="B161" s="27" t="n"/>
      <c r="C161" s="28">
        <f>IF(A161="","",$B$2)</f>
        <v/>
      </c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  <c r="AA161" s="27" t="n"/>
      <c r="AB161" s="27" t="n"/>
      <c r="AC161" s="27" t="n"/>
      <c r="AD161" s="27" t="n"/>
      <c r="AE161" s="27" t="n"/>
      <c r="AF161" s="27" t="n"/>
      <c r="AG161" s="27" t="n"/>
      <c r="AH161" s="27" t="n"/>
      <c r="AI161" s="27" t="n"/>
      <c r="AJ161" s="27" t="n"/>
      <c r="AK161" s="27" t="n"/>
      <c r="AL161" s="27" t="n"/>
      <c r="AM161" s="27" t="n"/>
      <c r="AN161" s="27" t="n"/>
      <c r="AO161" s="27" t="n"/>
      <c r="AP161" s="27" t="n"/>
      <c r="AQ161" s="27" t="n"/>
      <c r="AR161" s="27" t="n"/>
      <c r="AS161" s="27" t="n"/>
      <c r="AT161" s="27" t="n"/>
      <c r="AU161" s="27" t="n"/>
      <c r="AV161" s="27" t="n"/>
      <c r="AW161" s="27" t="n"/>
      <c r="AX161" s="27" t="n"/>
      <c r="AY161" s="27" t="n"/>
      <c r="AZ161" s="27" t="n"/>
      <c r="BA161" s="27" t="n"/>
      <c r="BB161" s="27" t="n"/>
      <c r="BC161" s="27" t="n"/>
      <c r="BD161" s="27" t="n"/>
      <c r="BE161" s="27" t="n"/>
      <c r="BF161" s="27" t="n"/>
      <c r="BG161" s="27" t="n"/>
      <c r="BH161" s="27" t="n"/>
      <c r="BI161" s="29" t="n"/>
      <c r="BJ161" s="27" t="n"/>
      <c r="BK161" s="27" t="n"/>
      <c r="BL161" s="27" t="n"/>
      <c r="BM161" s="27" t="n"/>
    </row>
    <row r="162">
      <c r="A162" s="27" t="n"/>
      <c r="B162" s="27" t="n"/>
      <c r="C162" s="28">
        <f>IF(A162="","",$B$2)</f>
        <v/>
      </c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  <c r="AA162" s="27" t="n"/>
      <c r="AB162" s="27" t="n"/>
      <c r="AC162" s="27" t="n"/>
      <c r="AD162" s="27" t="n"/>
      <c r="AE162" s="27" t="n"/>
      <c r="AF162" s="27" t="n"/>
      <c r="AG162" s="27" t="n"/>
      <c r="AH162" s="27" t="n"/>
      <c r="AI162" s="27" t="n"/>
      <c r="AJ162" s="27" t="n"/>
      <c r="AK162" s="27" t="n"/>
      <c r="AL162" s="27" t="n"/>
      <c r="AM162" s="27" t="n"/>
      <c r="AN162" s="27" t="n"/>
      <c r="AO162" s="27" t="n"/>
      <c r="AP162" s="27" t="n"/>
      <c r="AQ162" s="27" t="n"/>
      <c r="AR162" s="27" t="n"/>
      <c r="AS162" s="27" t="n"/>
      <c r="AT162" s="27" t="n"/>
      <c r="AU162" s="27" t="n"/>
      <c r="AV162" s="27" t="n"/>
      <c r="AW162" s="27" t="n"/>
      <c r="AX162" s="27" t="n"/>
      <c r="AY162" s="27" t="n"/>
      <c r="AZ162" s="27" t="n"/>
      <c r="BA162" s="27" t="n"/>
      <c r="BB162" s="27" t="n"/>
      <c r="BC162" s="27" t="n"/>
      <c r="BD162" s="27" t="n"/>
      <c r="BE162" s="27" t="n"/>
      <c r="BF162" s="27" t="n"/>
      <c r="BG162" s="27" t="n"/>
      <c r="BH162" s="27" t="n"/>
      <c r="BI162" s="29" t="n"/>
      <c r="BJ162" s="27" t="n"/>
      <c r="BK162" s="27" t="n"/>
      <c r="BL162" s="27" t="n"/>
      <c r="BM162" s="27" t="n"/>
    </row>
    <row r="163">
      <c r="A163" s="27" t="n"/>
      <c r="B163" s="27" t="n"/>
      <c r="C163" s="28">
        <f>IF(A163="","",$B$2)</f>
        <v/>
      </c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  <c r="AA163" s="27" t="n"/>
      <c r="AB163" s="27" t="n"/>
      <c r="AC163" s="27" t="n"/>
      <c r="AD163" s="27" t="n"/>
      <c r="AE163" s="27" t="n"/>
      <c r="AF163" s="27" t="n"/>
      <c r="AG163" s="27" t="n"/>
      <c r="AH163" s="27" t="n"/>
      <c r="AI163" s="27" t="n"/>
      <c r="AJ163" s="27" t="n"/>
      <c r="AK163" s="27" t="n"/>
      <c r="AL163" s="27" t="n"/>
      <c r="AM163" s="27" t="n"/>
      <c r="AN163" s="27" t="n"/>
      <c r="AO163" s="27" t="n"/>
      <c r="AP163" s="27" t="n"/>
      <c r="AQ163" s="27" t="n"/>
      <c r="AR163" s="27" t="n"/>
      <c r="AS163" s="27" t="n"/>
      <c r="AT163" s="27" t="n"/>
      <c r="AU163" s="27" t="n"/>
      <c r="AV163" s="27" t="n"/>
      <c r="AW163" s="27" t="n"/>
      <c r="AX163" s="27" t="n"/>
      <c r="AY163" s="27" t="n"/>
      <c r="AZ163" s="27" t="n"/>
      <c r="BA163" s="27" t="n"/>
      <c r="BB163" s="27" t="n"/>
      <c r="BC163" s="27" t="n"/>
      <c r="BD163" s="27" t="n"/>
      <c r="BE163" s="27" t="n"/>
      <c r="BF163" s="27" t="n"/>
      <c r="BG163" s="27" t="n"/>
      <c r="BH163" s="27" t="n"/>
      <c r="BI163" s="29" t="n"/>
      <c r="BJ163" s="27" t="n"/>
      <c r="BK163" s="27" t="n"/>
      <c r="BL163" s="27" t="n"/>
      <c r="BM163" s="27" t="n"/>
    </row>
    <row r="164">
      <c r="A164" s="27" t="n"/>
      <c r="B164" s="27" t="n"/>
      <c r="C164" s="28">
        <f>IF(A164="","",$B$2)</f>
        <v/>
      </c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  <c r="AA164" s="27" t="n"/>
      <c r="AB164" s="27" t="n"/>
      <c r="AC164" s="27" t="n"/>
      <c r="AD164" s="27" t="n"/>
      <c r="AE164" s="27" t="n"/>
      <c r="AF164" s="27" t="n"/>
      <c r="AG164" s="27" t="n"/>
      <c r="AH164" s="27" t="n"/>
      <c r="AI164" s="27" t="n"/>
      <c r="AJ164" s="27" t="n"/>
      <c r="AK164" s="27" t="n"/>
      <c r="AL164" s="27" t="n"/>
      <c r="AM164" s="27" t="n"/>
      <c r="AN164" s="27" t="n"/>
      <c r="AO164" s="27" t="n"/>
      <c r="AP164" s="27" t="n"/>
      <c r="AQ164" s="27" t="n"/>
      <c r="AR164" s="27" t="n"/>
      <c r="AS164" s="27" t="n"/>
      <c r="AT164" s="27" t="n"/>
      <c r="AU164" s="27" t="n"/>
      <c r="AV164" s="27" t="n"/>
      <c r="AW164" s="27" t="n"/>
      <c r="AX164" s="27" t="n"/>
      <c r="AY164" s="27" t="n"/>
      <c r="AZ164" s="27" t="n"/>
      <c r="BA164" s="27" t="n"/>
      <c r="BB164" s="27" t="n"/>
      <c r="BC164" s="27" t="n"/>
      <c r="BD164" s="27" t="n"/>
      <c r="BE164" s="27" t="n"/>
      <c r="BF164" s="27" t="n"/>
      <c r="BG164" s="27" t="n"/>
      <c r="BH164" s="27" t="n"/>
      <c r="BI164" s="29" t="n"/>
      <c r="BJ164" s="27" t="n"/>
      <c r="BK164" s="27" t="n"/>
      <c r="BL164" s="27" t="n"/>
      <c r="BM164" s="27" t="n"/>
    </row>
    <row r="165">
      <c r="A165" s="27" t="n"/>
      <c r="B165" s="27" t="n"/>
      <c r="C165" s="28">
        <f>IF(A165="","",$B$2)</f>
        <v/>
      </c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  <c r="AA165" s="27" t="n"/>
      <c r="AB165" s="27" t="n"/>
      <c r="AC165" s="27" t="n"/>
      <c r="AD165" s="27" t="n"/>
      <c r="AE165" s="27" t="n"/>
      <c r="AF165" s="27" t="n"/>
      <c r="AG165" s="27" t="n"/>
      <c r="AH165" s="27" t="n"/>
      <c r="AI165" s="27" t="n"/>
      <c r="AJ165" s="27" t="n"/>
      <c r="AK165" s="27" t="n"/>
      <c r="AL165" s="27" t="n"/>
      <c r="AM165" s="27" t="n"/>
      <c r="AN165" s="27" t="n"/>
      <c r="AO165" s="27" t="n"/>
      <c r="AP165" s="27" t="n"/>
      <c r="AQ165" s="27" t="n"/>
      <c r="AR165" s="27" t="n"/>
      <c r="AS165" s="27" t="n"/>
      <c r="AT165" s="27" t="n"/>
      <c r="AU165" s="27" t="n"/>
      <c r="AV165" s="27" t="n"/>
      <c r="AW165" s="27" t="n"/>
      <c r="AX165" s="27" t="n"/>
      <c r="AY165" s="27" t="n"/>
      <c r="AZ165" s="27" t="n"/>
      <c r="BA165" s="27" t="n"/>
      <c r="BB165" s="27" t="n"/>
      <c r="BC165" s="27" t="n"/>
      <c r="BD165" s="27" t="n"/>
      <c r="BE165" s="27" t="n"/>
      <c r="BF165" s="27" t="n"/>
      <c r="BG165" s="27" t="n"/>
      <c r="BH165" s="27" t="n"/>
      <c r="BI165" s="29" t="n"/>
      <c r="BJ165" s="27" t="n"/>
      <c r="BK165" s="27" t="n"/>
      <c r="BL165" s="27" t="n"/>
      <c r="BM165" s="27" t="n"/>
    </row>
    <row r="166">
      <c r="A166" s="27" t="n"/>
      <c r="B166" s="27" t="n"/>
      <c r="C166" s="28">
        <f>IF(A166="","",$B$2)</f>
        <v/>
      </c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  <c r="AA166" s="27" t="n"/>
      <c r="AB166" s="27" t="n"/>
      <c r="AC166" s="27" t="n"/>
      <c r="AD166" s="27" t="n"/>
      <c r="AE166" s="27" t="n"/>
      <c r="AF166" s="27" t="n"/>
      <c r="AG166" s="27" t="n"/>
      <c r="AH166" s="27" t="n"/>
      <c r="AI166" s="27" t="n"/>
      <c r="AJ166" s="27" t="n"/>
      <c r="AK166" s="27" t="n"/>
      <c r="AL166" s="27" t="n"/>
      <c r="AM166" s="27" t="n"/>
      <c r="AN166" s="27" t="n"/>
      <c r="AO166" s="27" t="n"/>
      <c r="AP166" s="27" t="n"/>
      <c r="AQ166" s="27" t="n"/>
      <c r="AR166" s="27" t="n"/>
      <c r="AS166" s="27" t="n"/>
      <c r="AT166" s="27" t="n"/>
      <c r="AU166" s="27" t="n"/>
      <c r="AV166" s="27" t="n"/>
      <c r="AW166" s="27" t="n"/>
      <c r="AX166" s="27" t="n"/>
      <c r="AY166" s="27" t="n"/>
      <c r="AZ166" s="27" t="n"/>
      <c r="BA166" s="27" t="n"/>
      <c r="BB166" s="27" t="n"/>
      <c r="BC166" s="27" t="n"/>
      <c r="BD166" s="27" t="n"/>
      <c r="BE166" s="27" t="n"/>
      <c r="BF166" s="27" t="n"/>
      <c r="BG166" s="27" t="n"/>
      <c r="BH166" s="27" t="n"/>
      <c r="BI166" s="29" t="n"/>
      <c r="BJ166" s="27" t="n"/>
      <c r="BK166" s="27" t="n"/>
      <c r="BL166" s="27" t="n"/>
      <c r="BM166" s="27" t="n"/>
    </row>
    <row r="167">
      <c r="A167" s="27" t="n"/>
      <c r="B167" s="27" t="n"/>
      <c r="C167" s="28">
        <f>IF(A167="","",$B$2)</f>
        <v/>
      </c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  <c r="AA167" s="27" t="n"/>
      <c r="AB167" s="27" t="n"/>
      <c r="AC167" s="27" t="n"/>
      <c r="AD167" s="27" t="n"/>
      <c r="AE167" s="27" t="n"/>
      <c r="AF167" s="27" t="n"/>
      <c r="AG167" s="27" t="n"/>
      <c r="AH167" s="27" t="n"/>
      <c r="AI167" s="27" t="n"/>
      <c r="AJ167" s="27" t="n"/>
      <c r="AK167" s="27" t="n"/>
      <c r="AL167" s="27" t="n"/>
      <c r="AM167" s="27" t="n"/>
      <c r="AN167" s="27" t="n"/>
      <c r="AO167" s="27" t="n"/>
      <c r="AP167" s="27" t="n"/>
      <c r="AQ167" s="27" t="n"/>
      <c r="AR167" s="27" t="n"/>
      <c r="AS167" s="27" t="n"/>
      <c r="AT167" s="27" t="n"/>
      <c r="AU167" s="27" t="n"/>
      <c r="AV167" s="27" t="n"/>
      <c r="AW167" s="27" t="n"/>
      <c r="AX167" s="27" t="n"/>
      <c r="AY167" s="27" t="n"/>
      <c r="AZ167" s="27" t="n"/>
      <c r="BA167" s="27" t="n"/>
      <c r="BB167" s="27" t="n"/>
      <c r="BC167" s="27" t="n"/>
      <c r="BD167" s="27" t="n"/>
      <c r="BE167" s="27" t="n"/>
      <c r="BF167" s="27" t="n"/>
      <c r="BG167" s="27" t="n"/>
      <c r="BH167" s="27" t="n"/>
      <c r="BI167" s="29" t="n"/>
      <c r="BJ167" s="27" t="n"/>
      <c r="BK167" s="27" t="n"/>
      <c r="BL167" s="27" t="n"/>
      <c r="BM167" s="27" t="n"/>
    </row>
    <row r="168">
      <c r="A168" s="27" t="n"/>
      <c r="B168" s="27" t="n"/>
      <c r="C168" s="28">
        <f>IF(A168="","",$B$2)</f>
        <v/>
      </c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  <c r="AA168" s="27" t="n"/>
      <c r="AB168" s="27" t="n"/>
      <c r="AC168" s="27" t="n"/>
      <c r="AD168" s="27" t="n"/>
      <c r="AE168" s="27" t="n"/>
      <c r="AF168" s="27" t="n"/>
      <c r="AG168" s="27" t="n"/>
      <c r="AH168" s="27" t="n"/>
      <c r="AI168" s="27" t="n"/>
      <c r="AJ168" s="27" t="n"/>
      <c r="AK168" s="27" t="n"/>
      <c r="AL168" s="27" t="n"/>
      <c r="AM168" s="27" t="n"/>
      <c r="AN168" s="27" t="n"/>
      <c r="AO168" s="27" t="n"/>
      <c r="AP168" s="27" t="n"/>
      <c r="AQ168" s="27" t="n"/>
      <c r="AR168" s="27" t="n"/>
      <c r="AS168" s="27" t="n"/>
      <c r="AT168" s="27" t="n"/>
      <c r="AU168" s="27" t="n"/>
      <c r="AV168" s="27" t="n"/>
      <c r="AW168" s="27" t="n"/>
      <c r="AX168" s="27" t="n"/>
      <c r="AY168" s="27" t="n"/>
      <c r="AZ168" s="27" t="n"/>
      <c r="BA168" s="27" t="n"/>
      <c r="BB168" s="27" t="n"/>
      <c r="BC168" s="27" t="n"/>
      <c r="BD168" s="27" t="n"/>
      <c r="BE168" s="27" t="n"/>
      <c r="BF168" s="27" t="n"/>
      <c r="BG168" s="27" t="n"/>
      <c r="BH168" s="27" t="n"/>
      <c r="BI168" s="29" t="n"/>
      <c r="BJ168" s="27" t="n"/>
      <c r="BK168" s="27" t="n"/>
      <c r="BL168" s="27" t="n"/>
      <c r="BM168" s="27" t="n"/>
    </row>
    <row r="169">
      <c r="A169" s="27" t="n"/>
      <c r="B169" s="27" t="n"/>
      <c r="C169" s="28">
        <f>IF(A169="","",$B$2)</f>
        <v/>
      </c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  <c r="AA169" s="27" t="n"/>
      <c r="AB169" s="27" t="n"/>
      <c r="AC169" s="27" t="n"/>
      <c r="AD169" s="27" t="n"/>
      <c r="AE169" s="27" t="n"/>
      <c r="AF169" s="27" t="n"/>
      <c r="AG169" s="27" t="n"/>
      <c r="AH169" s="27" t="n"/>
      <c r="AI169" s="27" t="n"/>
      <c r="AJ169" s="27" t="n"/>
      <c r="AK169" s="27" t="n"/>
      <c r="AL169" s="27" t="n"/>
      <c r="AM169" s="27" t="n"/>
      <c r="AN169" s="27" t="n"/>
      <c r="AO169" s="27" t="n"/>
      <c r="AP169" s="27" t="n"/>
      <c r="AQ169" s="27" t="n"/>
      <c r="AR169" s="27" t="n"/>
      <c r="AS169" s="27" t="n"/>
      <c r="AT169" s="27" t="n"/>
      <c r="AU169" s="27" t="n"/>
      <c r="AV169" s="27" t="n"/>
      <c r="AW169" s="27" t="n"/>
      <c r="AX169" s="27" t="n"/>
      <c r="AY169" s="27" t="n"/>
      <c r="AZ169" s="27" t="n"/>
      <c r="BA169" s="27" t="n"/>
      <c r="BB169" s="27" t="n"/>
      <c r="BC169" s="27" t="n"/>
      <c r="BD169" s="27" t="n"/>
      <c r="BE169" s="27" t="n"/>
      <c r="BF169" s="27" t="n"/>
      <c r="BG169" s="27" t="n"/>
      <c r="BH169" s="27" t="n"/>
      <c r="BI169" s="29" t="n"/>
      <c r="BJ169" s="27" t="n"/>
      <c r="BK169" s="27" t="n"/>
      <c r="BL169" s="27" t="n"/>
      <c r="BM169" s="27" t="n"/>
    </row>
    <row r="170">
      <c r="A170" s="27" t="n"/>
      <c r="B170" s="27" t="n"/>
      <c r="C170" s="28">
        <f>IF(A170="","",$B$2)</f>
        <v/>
      </c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  <c r="AA170" s="27" t="n"/>
      <c r="AB170" s="27" t="n"/>
      <c r="AC170" s="27" t="n"/>
      <c r="AD170" s="27" t="n"/>
      <c r="AE170" s="27" t="n"/>
      <c r="AF170" s="27" t="n"/>
      <c r="AG170" s="27" t="n"/>
      <c r="AH170" s="27" t="n"/>
      <c r="AI170" s="27" t="n"/>
      <c r="AJ170" s="27" t="n"/>
      <c r="AK170" s="27" t="n"/>
      <c r="AL170" s="27" t="n"/>
      <c r="AM170" s="27" t="n"/>
      <c r="AN170" s="27" t="n"/>
      <c r="AO170" s="27" t="n"/>
      <c r="AP170" s="27" t="n"/>
      <c r="AQ170" s="27" t="n"/>
      <c r="AR170" s="27" t="n"/>
      <c r="AS170" s="27" t="n"/>
      <c r="AT170" s="27" t="n"/>
      <c r="AU170" s="27" t="n"/>
      <c r="AV170" s="27" t="n"/>
      <c r="AW170" s="27" t="n"/>
      <c r="AX170" s="27" t="n"/>
      <c r="AY170" s="27" t="n"/>
      <c r="AZ170" s="27" t="n"/>
      <c r="BA170" s="27" t="n"/>
      <c r="BB170" s="27" t="n"/>
      <c r="BC170" s="27" t="n"/>
      <c r="BD170" s="27" t="n"/>
      <c r="BE170" s="27" t="n"/>
      <c r="BF170" s="27" t="n"/>
      <c r="BG170" s="27" t="n"/>
      <c r="BH170" s="27" t="n"/>
      <c r="BI170" s="29" t="n"/>
      <c r="BJ170" s="27" t="n"/>
      <c r="BK170" s="27" t="n"/>
      <c r="BL170" s="27" t="n"/>
      <c r="BM170" s="27" t="n"/>
    </row>
    <row r="171">
      <c r="A171" s="27" t="n"/>
      <c r="B171" s="27" t="n"/>
      <c r="C171" s="28">
        <f>IF(A171="","",$B$2)</f>
        <v/>
      </c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  <c r="AA171" s="27" t="n"/>
      <c r="AB171" s="27" t="n"/>
      <c r="AC171" s="27" t="n"/>
      <c r="AD171" s="27" t="n"/>
      <c r="AE171" s="27" t="n"/>
      <c r="AF171" s="27" t="n"/>
      <c r="AG171" s="27" t="n"/>
      <c r="AH171" s="27" t="n"/>
      <c r="AI171" s="27" t="n"/>
      <c r="AJ171" s="27" t="n"/>
      <c r="AK171" s="27" t="n"/>
      <c r="AL171" s="27" t="n"/>
      <c r="AM171" s="27" t="n"/>
      <c r="AN171" s="27" t="n"/>
      <c r="AO171" s="27" t="n"/>
      <c r="AP171" s="27" t="n"/>
      <c r="AQ171" s="27" t="n"/>
      <c r="AR171" s="27" t="n"/>
      <c r="AS171" s="27" t="n"/>
      <c r="AT171" s="27" t="n"/>
      <c r="AU171" s="27" t="n"/>
      <c r="AV171" s="27" t="n"/>
      <c r="AW171" s="27" t="n"/>
      <c r="AX171" s="27" t="n"/>
      <c r="AY171" s="27" t="n"/>
      <c r="AZ171" s="27" t="n"/>
      <c r="BA171" s="27" t="n"/>
      <c r="BB171" s="27" t="n"/>
      <c r="BC171" s="27" t="n"/>
      <c r="BD171" s="27" t="n"/>
      <c r="BE171" s="27" t="n"/>
      <c r="BF171" s="27" t="n"/>
      <c r="BG171" s="27" t="n"/>
      <c r="BH171" s="27" t="n"/>
      <c r="BI171" s="29" t="n"/>
      <c r="BJ171" s="27" t="n"/>
      <c r="BK171" s="27" t="n"/>
      <c r="BL171" s="27" t="n"/>
      <c r="BM171" s="27" t="n"/>
    </row>
    <row r="172">
      <c r="A172" s="27" t="n"/>
      <c r="B172" s="27" t="n"/>
      <c r="C172" s="28">
        <f>IF(A172="","",$B$2)</f>
        <v/>
      </c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  <c r="AA172" s="27" t="n"/>
      <c r="AB172" s="27" t="n"/>
      <c r="AC172" s="27" t="n"/>
      <c r="AD172" s="27" t="n"/>
      <c r="AE172" s="27" t="n"/>
      <c r="AF172" s="27" t="n"/>
      <c r="AG172" s="27" t="n"/>
      <c r="AH172" s="27" t="n"/>
      <c r="AI172" s="27" t="n"/>
      <c r="AJ172" s="27" t="n"/>
      <c r="AK172" s="27" t="n"/>
      <c r="AL172" s="27" t="n"/>
      <c r="AM172" s="27" t="n"/>
      <c r="AN172" s="27" t="n"/>
      <c r="AO172" s="27" t="n"/>
      <c r="AP172" s="27" t="n"/>
      <c r="AQ172" s="27" t="n"/>
      <c r="AR172" s="27" t="n"/>
      <c r="AS172" s="27" t="n"/>
      <c r="AT172" s="27" t="n"/>
      <c r="AU172" s="27" t="n"/>
      <c r="AV172" s="27" t="n"/>
      <c r="AW172" s="27" t="n"/>
      <c r="AX172" s="27" t="n"/>
      <c r="AY172" s="27" t="n"/>
      <c r="AZ172" s="27" t="n"/>
      <c r="BA172" s="27" t="n"/>
      <c r="BB172" s="27" t="n"/>
      <c r="BC172" s="27" t="n"/>
      <c r="BD172" s="27" t="n"/>
      <c r="BE172" s="27" t="n"/>
      <c r="BF172" s="27" t="n"/>
      <c r="BG172" s="27" t="n"/>
      <c r="BH172" s="27" t="n"/>
      <c r="BI172" s="29" t="n"/>
      <c r="BJ172" s="27" t="n"/>
      <c r="BK172" s="27" t="n"/>
      <c r="BL172" s="27" t="n"/>
      <c r="BM172" s="27" t="n"/>
    </row>
    <row r="173">
      <c r="A173" s="27" t="n"/>
      <c r="B173" s="27" t="n"/>
      <c r="C173" s="28">
        <f>IF(A173="","",$B$2)</f>
        <v/>
      </c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  <c r="AA173" s="27" t="n"/>
      <c r="AB173" s="27" t="n"/>
      <c r="AC173" s="27" t="n"/>
      <c r="AD173" s="27" t="n"/>
      <c r="AE173" s="27" t="n"/>
      <c r="AF173" s="27" t="n"/>
      <c r="AG173" s="27" t="n"/>
      <c r="AH173" s="27" t="n"/>
      <c r="AI173" s="27" t="n"/>
      <c r="AJ173" s="27" t="n"/>
      <c r="AK173" s="27" t="n"/>
      <c r="AL173" s="27" t="n"/>
      <c r="AM173" s="27" t="n"/>
      <c r="AN173" s="27" t="n"/>
      <c r="AO173" s="27" t="n"/>
      <c r="AP173" s="27" t="n"/>
      <c r="AQ173" s="27" t="n"/>
      <c r="AR173" s="27" t="n"/>
      <c r="AS173" s="27" t="n"/>
      <c r="AT173" s="27" t="n"/>
      <c r="AU173" s="27" t="n"/>
      <c r="AV173" s="27" t="n"/>
      <c r="AW173" s="27" t="n"/>
      <c r="AX173" s="27" t="n"/>
      <c r="AY173" s="27" t="n"/>
      <c r="AZ173" s="27" t="n"/>
      <c r="BA173" s="27" t="n"/>
      <c r="BB173" s="27" t="n"/>
      <c r="BC173" s="27" t="n"/>
      <c r="BD173" s="27" t="n"/>
      <c r="BE173" s="27" t="n"/>
      <c r="BF173" s="27" t="n"/>
      <c r="BG173" s="27" t="n"/>
      <c r="BH173" s="27" t="n"/>
      <c r="BI173" s="29" t="n"/>
      <c r="BJ173" s="27" t="n"/>
      <c r="BK173" s="27" t="n"/>
      <c r="BL173" s="27" t="n"/>
      <c r="BM173" s="27" t="n"/>
    </row>
    <row r="174">
      <c r="A174" s="27" t="n"/>
      <c r="B174" s="27" t="n"/>
      <c r="C174" s="28">
        <f>IF(A174="","",$B$2)</f>
        <v/>
      </c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  <c r="AA174" s="27" t="n"/>
      <c r="AB174" s="27" t="n"/>
      <c r="AC174" s="27" t="n"/>
      <c r="AD174" s="27" t="n"/>
      <c r="AE174" s="27" t="n"/>
      <c r="AF174" s="27" t="n"/>
      <c r="AG174" s="27" t="n"/>
      <c r="AH174" s="27" t="n"/>
      <c r="AI174" s="27" t="n"/>
      <c r="AJ174" s="27" t="n"/>
      <c r="AK174" s="27" t="n"/>
      <c r="AL174" s="27" t="n"/>
      <c r="AM174" s="27" t="n"/>
      <c r="AN174" s="27" t="n"/>
      <c r="AO174" s="27" t="n"/>
      <c r="AP174" s="27" t="n"/>
      <c r="AQ174" s="27" t="n"/>
      <c r="AR174" s="27" t="n"/>
      <c r="AS174" s="27" t="n"/>
      <c r="AT174" s="27" t="n"/>
      <c r="AU174" s="27" t="n"/>
      <c r="AV174" s="27" t="n"/>
      <c r="AW174" s="27" t="n"/>
      <c r="AX174" s="27" t="n"/>
      <c r="AY174" s="27" t="n"/>
      <c r="AZ174" s="27" t="n"/>
      <c r="BA174" s="27" t="n"/>
      <c r="BB174" s="27" t="n"/>
      <c r="BC174" s="27" t="n"/>
      <c r="BD174" s="27" t="n"/>
      <c r="BE174" s="27" t="n"/>
      <c r="BF174" s="27" t="n"/>
      <c r="BG174" s="27" t="n"/>
      <c r="BH174" s="27" t="n"/>
      <c r="BI174" s="29" t="n"/>
      <c r="BJ174" s="27" t="n"/>
      <c r="BK174" s="27" t="n"/>
      <c r="BL174" s="27" t="n"/>
      <c r="BM174" s="27" t="n"/>
    </row>
    <row r="175">
      <c r="A175" s="27" t="n"/>
      <c r="B175" s="27" t="n"/>
      <c r="C175" s="28">
        <f>IF(A175="","",$B$2)</f>
        <v/>
      </c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  <c r="AA175" s="27" t="n"/>
      <c r="AB175" s="27" t="n"/>
      <c r="AC175" s="27" t="n"/>
      <c r="AD175" s="27" t="n"/>
      <c r="AE175" s="27" t="n"/>
      <c r="AF175" s="27" t="n"/>
      <c r="AG175" s="27" t="n"/>
      <c r="AH175" s="27" t="n"/>
      <c r="AI175" s="27" t="n"/>
      <c r="AJ175" s="27" t="n"/>
      <c r="AK175" s="27" t="n"/>
      <c r="AL175" s="27" t="n"/>
      <c r="AM175" s="27" t="n"/>
      <c r="AN175" s="27" t="n"/>
      <c r="AO175" s="27" t="n"/>
      <c r="AP175" s="27" t="n"/>
      <c r="AQ175" s="27" t="n"/>
      <c r="AR175" s="27" t="n"/>
      <c r="AS175" s="27" t="n"/>
      <c r="AT175" s="27" t="n"/>
      <c r="AU175" s="27" t="n"/>
      <c r="AV175" s="27" t="n"/>
      <c r="AW175" s="27" t="n"/>
      <c r="AX175" s="27" t="n"/>
      <c r="AY175" s="27" t="n"/>
      <c r="AZ175" s="27" t="n"/>
      <c r="BA175" s="27" t="n"/>
      <c r="BB175" s="27" t="n"/>
      <c r="BC175" s="27" t="n"/>
      <c r="BD175" s="27" t="n"/>
      <c r="BE175" s="27" t="n"/>
      <c r="BF175" s="27" t="n"/>
      <c r="BG175" s="27" t="n"/>
      <c r="BH175" s="27" t="n"/>
      <c r="BI175" s="29" t="n"/>
      <c r="BJ175" s="27" t="n"/>
      <c r="BK175" s="27" t="n"/>
      <c r="BL175" s="27" t="n"/>
      <c r="BM175" s="27" t="n"/>
    </row>
    <row r="176">
      <c r="A176" s="27" t="n"/>
      <c r="B176" s="27" t="n"/>
      <c r="C176" s="28">
        <f>IF(A176="","",$B$2)</f>
        <v/>
      </c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  <c r="AA176" s="27" t="n"/>
      <c r="AB176" s="27" t="n"/>
      <c r="AC176" s="27" t="n"/>
      <c r="AD176" s="27" t="n"/>
      <c r="AE176" s="27" t="n"/>
      <c r="AF176" s="27" t="n"/>
      <c r="AG176" s="27" t="n"/>
      <c r="AH176" s="27" t="n"/>
      <c r="AI176" s="27" t="n"/>
      <c r="AJ176" s="27" t="n"/>
      <c r="AK176" s="27" t="n"/>
      <c r="AL176" s="27" t="n"/>
      <c r="AM176" s="27" t="n"/>
      <c r="AN176" s="27" t="n"/>
      <c r="AO176" s="27" t="n"/>
      <c r="AP176" s="27" t="n"/>
      <c r="AQ176" s="27" t="n"/>
      <c r="AR176" s="27" t="n"/>
      <c r="AS176" s="27" t="n"/>
      <c r="AT176" s="27" t="n"/>
      <c r="AU176" s="27" t="n"/>
      <c r="AV176" s="27" t="n"/>
      <c r="AW176" s="27" t="n"/>
      <c r="AX176" s="27" t="n"/>
      <c r="AY176" s="27" t="n"/>
      <c r="AZ176" s="27" t="n"/>
      <c r="BA176" s="27" t="n"/>
      <c r="BB176" s="27" t="n"/>
      <c r="BC176" s="27" t="n"/>
      <c r="BD176" s="27" t="n"/>
      <c r="BE176" s="27" t="n"/>
      <c r="BF176" s="27" t="n"/>
      <c r="BG176" s="27" t="n"/>
      <c r="BH176" s="27" t="n"/>
      <c r="BI176" s="29" t="n"/>
      <c r="BJ176" s="27" t="n"/>
      <c r="BK176" s="27" t="n"/>
      <c r="BL176" s="27" t="n"/>
      <c r="BM176" s="27" t="n"/>
    </row>
    <row r="177">
      <c r="A177" s="27" t="n"/>
      <c r="B177" s="27" t="n"/>
      <c r="C177" s="28">
        <f>IF(A177="","",$B$2)</f>
        <v/>
      </c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  <c r="AA177" s="27" t="n"/>
      <c r="AB177" s="27" t="n"/>
      <c r="AC177" s="27" t="n"/>
      <c r="AD177" s="27" t="n"/>
      <c r="AE177" s="27" t="n"/>
      <c r="AF177" s="27" t="n"/>
      <c r="AG177" s="27" t="n"/>
      <c r="AH177" s="27" t="n"/>
      <c r="AI177" s="27" t="n"/>
      <c r="AJ177" s="27" t="n"/>
      <c r="AK177" s="27" t="n"/>
      <c r="AL177" s="27" t="n"/>
      <c r="AM177" s="27" t="n"/>
      <c r="AN177" s="27" t="n"/>
      <c r="AO177" s="27" t="n"/>
      <c r="AP177" s="27" t="n"/>
      <c r="AQ177" s="27" t="n"/>
      <c r="AR177" s="27" t="n"/>
      <c r="AS177" s="27" t="n"/>
      <c r="AT177" s="27" t="n"/>
      <c r="AU177" s="27" t="n"/>
      <c r="AV177" s="27" t="n"/>
      <c r="AW177" s="27" t="n"/>
      <c r="AX177" s="27" t="n"/>
      <c r="AY177" s="27" t="n"/>
      <c r="AZ177" s="27" t="n"/>
      <c r="BA177" s="27" t="n"/>
      <c r="BB177" s="27" t="n"/>
      <c r="BC177" s="27" t="n"/>
      <c r="BD177" s="27" t="n"/>
      <c r="BE177" s="27" t="n"/>
      <c r="BF177" s="27" t="n"/>
      <c r="BG177" s="27" t="n"/>
      <c r="BH177" s="27" t="n"/>
      <c r="BI177" s="29" t="n"/>
      <c r="BJ177" s="27" t="n"/>
      <c r="BK177" s="27" t="n"/>
      <c r="BL177" s="27" t="n"/>
      <c r="BM177" s="27" t="n"/>
    </row>
    <row r="178">
      <c r="A178" s="27" t="n"/>
      <c r="B178" s="27" t="n"/>
      <c r="C178" s="28">
        <f>IF(A178="","",$B$2)</f>
        <v/>
      </c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  <c r="AA178" s="27" t="n"/>
      <c r="AB178" s="27" t="n"/>
      <c r="AC178" s="27" t="n"/>
      <c r="AD178" s="27" t="n"/>
      <c r="AE178" s="27" t="n"/>
      <c r="AF178" s="27" t="n"/>
      <c r="AG178" s="27" t="n"/>
      <c r="AH178" s="27" t="n"/>
      <c r="AI178" s="27" t="n"/>
      <c r="AJ178" s="27" t="n"/>
      <c r="AK178" s="27" t="n"/>
      <c r="AL178" s="27" t="n"/>
      <c r="AM178" s="27" t="n"/>
      <c r="AN178" s="27" t="n"/>
      <c r="AO178" s="27" t="n"/>
      <c r="AP178" s="27" t="n"/>
      <c r="AQ178" s="27" t="n"/>
      <c r="AR178" s="27" t="n"/>
      <c r="AS178" s="27" t="n"/>
      <c r="AT178" s="27" t="n"/>
      <c r="AU178" s="27" t="n"/>
      <c r="AV178" s="27" t="n"/>
      <c r="AW178" s="27" t="n"/>
      <c r="AX178" s="27" t="n"/>
      <c r="AY178" s="27" t="n"/>
      <c r="AZ178" s="27" t="n"/>
      <c r="BA178" s="27" t="n"/>
      <c r="BB178" s="27" t="n"/>
      <c r="BC178" s="27" t="n"/>
      <c r="BD178" s="27" t="n"/>
      <c r="BE178" s="27" t="n"/>
      <c r="BF178" s="27" t="n"/>
      <c r="BG178" s="27" t="n"/>
      <c r="BH178" s="27" t="n"/>
      <c r="BI178" s="29" t="n"/>
      <c r="BJ178" s="27" t="n"/>
      <c r="BK178" s="27" t="n"/>
      <c r="BL178" s="27" t="n"/>
      <c r="BM178" s="27" t="n"/>
    </row>
    <row r="179">
      <c r="A179" s="27" t="n"/>
      <c r="B179" s="27" t="n"/>
      <c r="C179" s="28">
        <f>IF(A179="","",$B$2)</f>
        <v/>
      </c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  <c r="AA179" s="27" t="n"/>
      <c r="AB179" s="27" t="n"/>
      <c r="AC179" s="27" t="n"/>
      <c r="AD179" s="27" t="n"/>
      <c r="AE179" s="27" t="n"/>
      <c r="AF179" s="27" t="n"/>
      <c r="AG179" s="27" t="n"/>
      <c r="AH179" s="27" t="n"/>
      <c r="AI179" s="27" t="n"/>
      <c r="AJ179" s="27" t="n"/>
      <c r="AK179" s="27" t="n"/>
      <c r="AL179" s="27" t="n"/>
      <c r="AM179" s="27" t="n"/>
      <c r="AN179" s="27" t="n"/>
      <c r="AO179" s="27" t="n"/>
      <c r="AP179" s="27" t="n"/>
      <c r="AQ179" s="27" t="n"/>
      <c r="AR179" s="27" t="n"/>
      <c r="AS179" s="27" t="n"/>
      <c r="AT179" s="27" t="n"/>
      <c r="AU179" s="27" t="n"/>
      <c r="AV179" s="27" t="n"/>
      <c r="AW179" s="27" t="n"/>
      <c r="AX179" s="27" t="n"/>
      <c r="AY179" s="27" t="n"/>
      <c r="AZ179" s="27" t="n"/>
      <c r="BA179" s="27" t="n"/>
      <c r="BB179" s="27" t="n"/>
      <c r="BC179" s="27" t="n"/>
      <c r="BD179" s="27" t="n"/>
      <c r="BE179" s="27" t="n"/>
      <c r="BF179" s="27" t="n"/>
      <c r="BG179" s="27" t="n"/>
      <c r="BH179" s="27" t="n"/>
      <c r="BI179" s="29" t="n"/>
      <c r="BJ179" s="27" t="n"/>
      <c r="BK179" s="27" t="n"/>
      <c r="BL179" s="27" t="n"/>
      <c r="BM179" s="27" t="n"/>
    </row>
    <row r="180">
      <c r="A180" s="27" t="n"/>
      <c r="B180" s="27" t="n"/>
      <c r="C180" s="28">
        <f>IF(A180="","",$B$2)</f>
        <v/>
      </c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  <c r="AA180" s="27" t="n"/>
      <c r="AB180" s="27" t="n"/>
      <c r="AC180" s="27" t="n"/>
      <c r="AD180" s="27" t="n"/>
      <c r="AE180" s="27" t="n"/>
      <c r="AF180" s="27" t="n"/>
      <c r="AG180" s="27" t="n"/>
      <c r="AH180" s="27" t="n"/>
      <c r="AI180" s="27" t="n"/>
      <c r="AJ180" s="27" t="n"/>
      <c r="AK180" s="27" t="n"/>
      <c r="AL180" s="27" t="n"/>
      <c r="AM180" s="27" t="n"/>
      <c r="AN180" s="27" t="n"/>
      <c r="AO180" s="27" t="n"/>
      <c r="AP180" s="27" t="n"/>
      <c r="AQ180" s="27" t="n"/>
      <c r="AR180" s="27" t="n"/>
      <c r="AS180" s="27" t="n"/>
      <c r="AT180" s="27" t="n"/>
      <c r="AU180" s="27" t="n"/>
      <c r="AV180" s="27" t="n"/>
      <c r="AW180" s="27" t="n"/>
      <c r="AX180" s="27" t="n"/>
      <c r="AY180" s="27" t="n"/>
      <c r="AZ180" s="27" t="n"/>
      <c r="BA180" s="27" t="n"/>
      <c r="BB180" s="27" t="n"/>
      <c r="BC180" s="27" t="n"/>
      <c r="BD180" s="27" t="n"/>
      <c r="BE180" s="27" t="n"/>
      <c r="BF180" s="27" t="n"/>
      <c r="BG180" s="27" t="n"/>
      <c r="BH180" s="27" t="n"/>
      <c r="BI180" s="29" t="n"/>
      <c r="BJ180" s="27" t="n"/>
      <c r="BK180" s="27" t="n"/>
      <c r="BL180" s="27" t="n"/>
      <c r="BM180" s="27" t="n"/>
    </row>
    <row r="181">
      <c r="A181" s="27" t="n"/>
      <c r="B181" s="27" t="n"/>
      <c r="C181" s="28">
        <f>IF(A181="","",$B$2)</f>
        <v/>
      </c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  <c r="AA181" s="27" t="n"/>
      <c r="AB181" s="27" t="n"/>
      <c r="AC181" s="27" t="n"/>
      <c r="AD181" s="27" t="n"/>
      <c r="AE181" s="27" t="n"/>
      <c r="AF181" s="27" t="n"/>
      <c r="AG181" s="27" t="n"/>
      <c r="AH181" s="27" t="n"/>
      <c r="AI181" s="27" t="n"/>
      <c r="AJ181" s="27" t="n"/>
      <c r="AK181" s="27" t="n"/>
      <c r="AL181" s="27" t="n"/>
      <c r="AM181" s="27" t="n"/>
      <c r="AN181" s="27" t="n"/>
      <c r="AO181" s="27" t="n"/>
      <c r="AP181" s="27" t="n"/>
      <c r="AQ181" s="27" t="n"/>
      <c r="AR181" s="27" t="n"/>
      <c r="AS181" s="27" t="n"/>
      <c r="AT181" s="27" t="n"/>
      <c r="AU181" s="27" t="n"/>
      <c r="AV181" s="27" t="n"/>
      <c r="AW181" s="27" t="n"/>
      <c r="AX181" s="27" t="n"/>
      <c r="AY181" s="27" t="n"/>
      <c r="AZ181" s="27" t="n"/>
      <c r="BA181" s="27" t="n"/>
      <c r="BB181" s="27" t="n"/>
      <c r="BC181" s="27" t="n"/>
      <c r="BD181" s="27" t="n"/>
      <c r="BE181" s="27" t="n"/>
      <c r="BF181" s="27" t="n"/>
      <c r="BG181" s="27" t="n"/>
      <c r="BH181" s="27" t="n"/>
      <c r="BI181" s="29" t="n"/>
      <c r="BJ181" s="27" t="n"/>
      <c r="BK181" s="27" t="n"/>
      <c r="BL181" s="27" t="n"/>
      <c r="BM181" s="27" t="n"/>
    </row>
    <row r="182">
      <c r="A182" s="27" t="n"/>
      <c r="B182" s="27" t="n"/>
      <c r="C182" s="28">
        <f>IF(A182="","",$B$2)</f>
        <v/>
      </c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  <c r="AA182" s="27" t="n"/>
      <c r="AB182" s="27" t="n"/>
      <c r="AC182" s="27" t="n"/>
      <c r="AD182" s="27" t="n"/>
      <c r="AE182" s="27" t="n"/>
      <c r="AF182" s="27" t="n"/>
      <c r="AG182" s="27" t="n"/>
      <c r="AH182" s="27" t="n"/>
      <c r="AI182" s="27" t="n"/>
      <c r="AJ182" s="27" t="n"/>
      <c r="AK182" s="27" t="n"/>
      <c r="AL182" s="27" t="n"/>
      <c r="AM182" s="27" t="n"/>
      <c r="AN182" s="27" t="n"/>
      <c r="AO182" s="27" t="n"/>
      <c r="AP182" s="27" t="n"/>
      <c r="AQ182" s="27" t="n"/>
      <c r="AR182" s="27" t="n"/>
      <c r="AS182" s="27" t="n"/>
      <c r="AT182" s="27" t="n"/>
      <c r="AU182" s="27" t="n"/>
      <c r="AV182" s="27" t="n"/>
      <c r="AW182" s="27" t="n"/>
      <c r="AX182" s="27" t="n"/>
      <c r="AY182" s="27" t="n"/>
      <c r="AZ182" s="27" t="n"/>
      <c r="BA182" s="27" t="n"/>
      <c r="BB182" s="27" t="n"/>
      <c r="BC182" s="27" t="n"/>
      <c r="BD182" s="27" t="n"/>
      <c r="BE182" s="27" t="n"/>
      <c r="BF182" s="27" t="n"/>
      <c r="BG182" s="27" t="n"/>
      <c r="BH182" s="27" t="n"/>
      <c r="BI182" s="29" t="n"/>
      <c r="BJ182" s="27" t="n"/>
      <c r="BK182" s="27" t="n"/>
      <c r="BL182" s="27" t="n"/>
      <c r="BM182" s="27" t="n"/>
    </row>
    <row r="183">
      <c r="A183" s="27" t="n"/>
      <c r="B183" s="27" t="n"/>
      <c r="C183" s="28">
        <f>IF(A183="","",$B$2)</f>
        <v/>
      </c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  <c r="AA183" s="27" t="n"/>
      <c r="AB183" s="27" t="n"/>
      <c r="AC183" s="27" t="n"/>
      <c r="AD183" s="27" t="n"/>
      <c r="AE183" s="27" t="n"/>
      <c r="AF183" s="27" t="n"/>
      <c r="AG183" s="27" t="n"/>
      <c r="AH183" s="27" t="n"/>
      <c r="AI183" s="27" t="n"/>
      <c r="AJ183" s="27" t="n"/>
      <c r="AK183" s="27" t="n"/>
      <c r="AL183" s="27" t="n"/>
      <c r="AM183" s="27" t="n"/>
      <c r="AN183" s="27" t="n"/>
      <c r="AO183" s="27" t="n"/>
      <c r="AP183" s="27" t="n"/>
      <c r="AQ183" s="27" t="n"/>
      <c r="AR183" s="27" t="n"/>
      <c r="AS183" s="27" t="n"/>
      <c r="AT183" s="27" t="n"/>
      <c r="AU183" s="27" t="n"/>
      <c r="AV183" s="27" t="n"/>
      <c r="AW183" s="27" t="n"/>
      <c r="AX183" s="27" t="n"/>
      <c r="AY183" s="27" t="n"/>
      <c r="AZ183" s="27" t="n"/>
      <c r="BA183" s="27" t="n"/>
      <c r="BB183" s="27" t="n"/>
      <c r="BC183" s="27" t="n"/>
      <c r="BD183" s="27" t="n"/>
      <c r="BE183" s="27" t="n"/>
      <c r="BF183" s="27" t="n"/>
      <c r="BG183" s="27" t="n"/>
      <c r="BH183" s="27" t="n"/>
      <c r="BI183" s="29" t="n"/>
      <c r="BJ183" s="27" t="n"/>
      <c r="BK183" s="27" t="n"/>
      <c r="BL183" s="27" t="n"/>
      <c r="BM183" s="27" t="n"/>
    </row>
    <row r="184">
      <c r="A184" s="27" t="n"/>
      <c r="B184" s="27" t="n"/>
      <c r="C184" s="28">
        <f>IF(A184="","",$B$2)</f>
        <v/>
      </c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  <c r="AA184" s="27" t="n"/>
      <c r="AB184" s="27" t="n"/>
      <c r="AC184" s="27" t="n"/>
      <c r="AD184" s="27" t="n"/>
      <c r="AE184" s="27" t="n"/>
      <c r="AF184" s="27" t="n"/>
      <c r="AG184" s="27" t="n"/>
      <c r="AH184" s="27" t="n"/>
      <c r="AI184" s="27" t="n"/>
      <c r="AJ184" s="27" t="n"/>
      <c r="AK184" s="27" t="n"/>
      <c r="AL184" s="27" t="n"/>
      <c r="AM184" s="27" t="n"/>
      <c r="AN184" s="27" t="n"/>
      <c r="AO184" s="27" t="n"/>
      <c r="AP184" s="27" t="n"/>
      <c r="AQ184" s="27" t="n"/>
      <c r="AR184" s="27" t="n"/>
      <c r="AS184" s="27" t="n"/>
      <c r="AT184" s="27" t="n"/>
      <c r="AU184" s="27" t="n"/>
      <c r="AV184" s="27" t="n"/>
      <c r="AW184" s="27" t="n"/>
      <c r="AX184" s="27" t="n"/>
      <c r="AY184" s="27" t="n"/>
      <c r="AZ184" s="27" t="n"/>
      <c r="BA184" s="27" t="n"/>
      <c r="BB184" s="27" t="n"/>
      <c r="BC184" s="27" t="n"/>
      <c r="BD184" s="27" t="n"/>
      <c r="BE184" s="27" t="n"/>
      <c r="BF184" s="27" t="n"/>
      <c r="BG184" s="27" t="n"/>
      <c r="BH184" s="27" t="n"/>
      <c r="BI184" s="29" t="n"/>
      <c r="BJ184" s="27" t="n"/>
      <c r="BK184" s="27" t="n"/>
      <c r="BL184" s="27" t="n"/>
      <c r="BM184" s="27" t="n"/>
    </row>
    <row r="185">
      <c r="A185" s="27" t="n"/>
      <c r="B185" s="27" t="n"/>
      <c r="C185" s="28">
        <f>IF(A185="","",$B$2)</f>
        <v/>
      </c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  <c r="AA185" s="27" t="n"/>
      <c r="AB185" s="27" t="n"/>
      <c r="AC185" s="27" t="n"/>
      <c r="AD185" s="27" t="n"/>
      <c r="AE185" s="27" t="n"/>
      <c r="AF185" s="27" t="n"/>
      <c r="AG185" s="27" t="n"/>
      <c r="AH185" s="27" t="n"/>
      <c r="AI185" s="27" t="n"/>
      <c r="AJ185" s="27" t="n"/>
      <c r="AK185" s="27" t="n"/>
      <c r="AL185" s="27" t="n"/>
      <c r="AM185" s="27" t="n"/>
      <c r="AN185" s="27" t="n"/>
      <c r="AO185" s="27" t="n"/>
      <c r="AP185" s="27" t="n"/>
      <c r="AQ185" s="27" t="n"/>
      <c r="AR185" s="27" t="n"/>
      <c r="AS185" s="27" t="n"/>
      <c r="AT185" s="27" t="n"/>
      <c r="AU185" s="27" t="n"/>
      <c r="AV185" s="27" t="n"/>
      <c r="AW185" s="27" t="n"/>
      <c r="AX185" s="27" t="n"/>
      <c r="AY185" s="27" t="n"/>
      <c r="AZ185" s="27" t="n"/>
      <c r="BA185" s="27" t="n"/>
      <c r="BB185" s="27" t="n"/>
      <c r="BC185" s="27" t="n"/>
      <c r="BD185" s="27" t="n"/>
      <c r="BE185" s="27" t="n"/>
      <c r="BF185" s="27" t="n"/>
      <c r="BG185" s="27" t="n"/>
      <c r="BH185" s="27" t="n"/>
      <c r="BI185" s="29" t="n"/>
      <c r="BJ185" s="27" t="n"/>
      <c r="BK185" s="27" t="n"/>
      <c r="BL185" s="27" t="n"/>
      <c r="BM185" s="27" t="n"/>
    </row>
    <row r="186">
      <c r="A186" s="27" t="n"/>
      <c r="B186" s="27" t="n"/>
      <c r="C186" s="28">
        <f>IF(A186="","",$B$2)</f>
        <v/>
      </c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  <c r="AA186" s="27" t="n"/>
      <c r="AB186" s="27" t="n"/>
      <c r="AC186" s="27" t="n"/>
      <c r="AD186" s="27" t="n"/>
      <c r="AE186" s="27" t="n"/>
      <c r="AF186" s="27" t="n"/>
      <c r="AG186" s="27" t="n"/>
      <c r="AH186" s="27" t="n"/>
      <c r="AI186" s="27" t="n"/>
      <c r="AJ186" s="27" t="n"/>
      <c r="AK186" s="27" t="n"/>
      <c r="AL186" s="27" t="n"/>
      <c r="AM186" s="27" t="n"/>
      <c r="AN186" s="27" t="n"/>
      <c r="AO186" s="27" t="n"/>
      <c r="AP186" s="27" t="n"/>
      <c r="AQ186" s="27" t="n"/>
      <c r="AR186" s="27" t="n"/>
      <c r="AS186" s="27" t="n"/>
      <c r="AT186" s="27" t="n"/>
      <c r="AU186" s="27" t="n"/>
      <c r="AV186" s="27" t="n"/>
      <c r="AW186" s="27" t="n"/>
      <c r="AX186" s="27" t="n"/>
      <c r="AY186" s="27" t="n"/>
      <c r="AZ186" s="27" t="n"/>
      <c r="BA186" s="27" t="n"/>
      <c r="BB186" s="27" t="n"/>
      <c r="BC186" s="27" t="n"/>
      <c r="BD186" s="27" t="n"/>
      <c r="BE186" s="27" t="n"/>
      <c r="BF186" s="27" t="n"/>
      <c r="BG186" s="27" t="n"/>
      <c r="BH186" s="27" t="n"/>
      <c r="BI186" s="29" t="n"/>
      <c r="BJ186" s="27" t="n"/>
      <c r="BK186" s="27" t="n"/>
      <c r="BL186" s="27" t="n"/>
      <c r="BM186" s="27" t="n"/>
    </row>
    <row r="187">
      <c r="A187" s="27" t="n"/>
      <c r="B187" s="27" t="n"/>
      <c r="C187" s="28">
        <f>IF(A187="","",$B$2)</f>
        <v/>
      </c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  <c r="AA187" s="27" t="n"/>
      <c r="AB187" s="27" t="n"/>
      <c r="AC187" s="27" t="n"/>
      <c r="AD187" s="27" t="n"/>
      <c r="AE187" s="27" t="n"/>
      <c r="AF187" s="27" t="n"/>
      <c r="AG187" s="27" t="n"/>
      <c r="AH187" s="27" t="n"/>
      <c r="AI187" s="27" t="n"/>
      <c r="AJ187" s="27" t="n"/>
      <c r="AK187" s="27" t="n"/>
      <c r="AL187" s="27" t="n"/>
      <c r="AM187" s="27" t="n"/>
      <c r="AN187" s="27" t="n"/>
      <c r="AO187" s="27" t="n"/>
      <c r="AP187" s="27" t="n"/>
      <c r="AQ187" s="27" t="n"/>
      <c r="AR187" s="27" t="n"/>
      <c r="AS187" s="27" t="n"/>
      <c r="AT187" s="27" t="n"/>
      <c r="AU187" s="27" t="n"/>
      <c r="AV187" s="27" t="n"/>
      <c r="AW187" s="27" t="n"/>
      <c r="AX187" s="27" t="n"/>
      <c r="AY187" s="27" t="n"/>
      <c r="AZ187" s="27" t="n"/>
      <c r="BA187" s="27" t="n"/>
      <c r="BB187" s="27" t="n"/>
      <c r="BC187" s="27" t="n"/>
      <c r="BD187" s="27" t="n"/>
      <c r="BE187" s="27" t="n"/>
      <c r="BF187" s="27" t="n"/>
      <c r="BG187" s="27" t="n"/>
      <c r="BH187" s="27" t="n"/>
      <c r="BI187" s="29" t="n"/>
      <c r="BJ187" s="27" t="n"/>
      <c r="BK187" s="27" t="n"/>
      <c r="BL187" s="27" t="n"/>
      <c r="BM187" s="27" t="n"/>
    </row>
    <row r="188">
      <c r="A188" s="27" t="n"/>
      <c r="B188" s="27" t="n"/>
      <c r="C188" s="28">
        <f>IF(A188="","",$B$2)</f>
        <v/>
      </c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  <c r="AA188" s="27" t="n"/>
      <c r="AB188" s="27" t="n"/>
      <c r="AC188" s="27" t="n"/>
      <c r="AD188" s="27" t="n"/>
      <c r="AE188" s="27" t="n"/>
      <c r="AF188" s="27" t="n"/>
      <c r="AG188" s="27" t="n"/>
      <c r="AH188" s="27" t="n"/>
      <c r="AI188" s="27" t="n"/>
      <c r="AJ188" s="27" t="n"/>
      <c r="AK188" s="27" t="n"/>
      <c r="AL188" s="27" t="n"/>
      <c r="AM188" s="27" t="n"/>
      <c r="AN188" s="27" t="n"/>
      <c r="AO188" s="27" t="n"/>
      <c r="AP188" s="27" t="n"/>
      <c r="AQ188" s="27" t="n"/>
      <c r="AR188" s="27" t="n"/>
      <c r="AS188" s="27" t="n"/>
      <c r="AT188" s="27" t="n"/>
      <c r="AU188" s="27" t="n"/>
      <c r="AV188" s="27" t="n"/>
      <c r="AW188" s="27" t="n"/>
      <c r="AX188" s="27" t="n"/>
      <c r="AY188" s="27" t="n"/>
      <c r="AZ188" s="27" t="n"/>
      <c r="BA188" s="27" t="n"/>
      <c r="BB188" s="27" t="n"/>
      <c r="BC188" s="27" t="n"/>
      <c r="BD188" s="27" t="n"/>
      <c r="BE188" s="27" t="n"/>
      <c r="BF188" s="27" t="n"/>
      <c r="BG188" s="27" t="n"/>
      <c r="BH188" s="27" t="n"/>
      <c r="BI188" s="29" t="n"/>
      <c r="BJ188" s="27" t="n"/>
      <c r="BK188" s="27" t="n"/>
      <c r="BL188" s="27" t="n"/>
      <c r="BM188" s="27" t="n"/>
    </row>
    <row r="189">
      <c r="A189" s="27" t="n"/>
      <c r="B189" s="27" t="n"/>
      <c r="C189" s="28">
        <f>IF(A189="","",$B$2)</f>
        <v/>
      </c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  <c r="AA189" s="27" t="n"/>
      <c r="AB189" s="27" t="n"/>
      <c r="AC189" s="27" t="n"/>
      <c r="AD189" s="27" t="n"/>
      <c r="AE189" s="27" t="n"/>
      <c r="AF189" s="27" t="n"/>
      <c r="AG189" s="27" t="n"/>
      <c r="AH189" s="27" t="n"/>
      <c r="AI189" s="27" t="n"/>
      <c r="AJ189" s="27" t="n"/>
      <c r="AK189" s="27" t="n"/>
      <c r="AL189" s="27" t="n"/>
      <c r="AM189" s="27" t="n"/>
      <c r="AN189" s="27" t="n"/>
      <c r="AO189" s="27" t="n"/>
      <c r="AP189" s="27" t="n"/>
      <c r="AQ189" s="27" t="n"/>
      <c r="AR189" s="27" t="n"/>
      <c r="AS189" s="27" t="n"/>
      <c r="AT189" s="27" t="n"/>
      <c r="AU189" s="27" t="n"/>
      <c r="AV189" s="27" t="n"/>
      <c r="AW189" s="27" t="n"/>
      <c r="AX189" s="27" t="n"/>
      <c r="AY189" s="27" t="n"/>
      <c r="AZ189" s="27" t="n"/>
      <c r="BA189" s="27" t="n"/>
      <c r="BB189" s="27" t="n"/>
      <c r="BC189" s="27" t="n"/>
      <c r="BD189" s="27" t="n"/>
      <c r="BE189" s="27" t="n"/>
      <c r="BF189" s="27" t="n"/>
      <c r="BG189" s="27" t="n"/>
      <c r="BH189" s="27" t="n"/>
      <c r="BI189" s="29" t="n"/>
      <c r="BJ189" s="27" t="n"/>
      <c r="BK189" s="27" t="n"/>
      <c r="BL189" s="27" t="n"/>
      <c r="BM189" s="27" t="n"/>
    </row>
    <row r="190">
      <c r="A190" s="27" t="n"/>
      <c r="B190" s="27" t="n"/>
      <c r="C190" s="28">
        <f>IF(A190="","",$B$2)</f>
        <v/>
      </c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  <c r="AA190" s="27" t="n"/>
      <c r="AB190" s="27" t="n"/>
      <c r="AC190" s="27" t="n"/>
      <c r="AD190" s="27" t="n"/>
      <c r="AE190" s="27" t="n"/>
      <c r="AF190" s="27" t="n"/>
      <c r="AG190" s="27" t="n"/>
      <c r="AH190" s="27" t="n"/>
      <c r="AI190" s="27" t="n"/>
      <c r="AJ190" s="27" t="n"/>
      <c r="AK190" s="27" t="n"/>
      <c r="AL190" s="27" t="n"/>
      <c r="AM190" s="27" t="n"/>
      <c r="AN190" s="27" t="n"/>
      <c r="AO190" s="27" t="n"/>
      <c r="AP190" s="27" t="n"/>
      <c r="AQ190" s="27" t="n"/>
      <c r="AR190" s="27" t="n"/>
      <c r="AS190" s="27" t="n"/>
      <c r="AT190" s="27" t="n"/>
      <c r="AU190" s="27" t="n"/>
      <c r="AV190" s="27" t="n"/>
      <c r="AW190" s="27" t="n"/>
      <c r="AX190" s="27" t="n"/>
      <c r="AY190" s="27" t="n"/>
      <c r="AZ190" s="27" t="n"/>
      <c r="BA190" s="27" t="n"/>
      <c r="BB190" s="27" t="n"/>
      <c r="BC190" s="27" t="n"/>
      <c r="BD190" s="27" t="n"/>
      <c r="BE190" s="27" t="n"/>
      <c r="BF190" s="27" t="n"/>
      <c r="BG190" s="27" t="n"/>
      <c r="BH190" s="27" t="n"/>
      <c r="BI190" s="29" t="n"/>
      <c r="BJ190" s="27" t="n"/>
      <c r="BK190" s="27" t="n"/>
      <c r="BL190" s="27" t="n"/>
      <c r="BM190" s="27" t="n"/>
    </row>
    <row r="191">
      <c r="A191" s="27" t="n"/>
      <c r="B191" s="27" t="n"/>
      <c r="C191" s="28">
        <f>IF(A191="","",$B$2)</f>
        <v/>
      </c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  <c r="AA191" s="27" t="n"/>
      <c r="AB191" s="27" t="n"/>
      <c r="AC191" s="27" t="n"/>
      <c r="AD191" s="27" t="n"/>
      <c r="AE191" s="27" t="n"/>
      <c r="AF191" s="27" t="n"/>
      <c r="AG191" s="27" t="n"/>
      <c r="AH191" s="27" t="n"/>
      <c r="AI191" s="27" t="n"/>
      <c r="AJ191" s="27" t="n"/>
      <c r="AK191" s="27" t="n"/>
      <c r="AL191" s="27" t="n"/>
      <c r="AM191" s="27" t="n"/>
      <c r="AN191" s="27" t="n"/>
      <c r="AO191" s="27" t="n"/>
      <c r="AP191" s="27" t="n"/>
      <c r="AQ191" s="27" t="n"/>
      <c r="AR191" s="27" t="n"/>
      <c r="AS191" s="27" t="n"/>
      <c r="AT191" s="27" t="n"/>
      <c r="AU191" s="27" t="n"/>
      <c r="AV191" s="27" t="n"/>
      <c r="AW191" s="27" t="n"/>
      <c r="AX191" s="27" t="n"/>
      <c r="AY191" s="27" t="n"/>
      <c r="AZ191" s="27" t="n"/>
      <c r="BA191" s="27" t="n"/>
      <c r="BB191" s="27" t="n"/>
      <c r="BC191" s="27" t="n"/>
      <c r="BD191" s="27" t="n"/>
      <c r="BE191" s="27" t="n"/>
      <c r="BF191" s="27" t="n"/>
      <c r="BG191" s="27" t="n"/>
      <c r="BH191" s="27" t="n"/>
      <c r="BI191" s="29" t="n"/>
      <c r="BJ191" s="27" t="n"/>
      <c r="BK191" s="27" t="n"/>
      <c r="BL191" s="27" t="n"/>
      <c r="BM191" s="27" t="n"/>
    </row>
    <row r="192">
      <c r="A192" s="27" t="n"/>
      <c r="B192" s="27" t="n"/>
      <c r="C192" s="28">
        <f>IF(A192="","",$B$2)</f>
        <v/>
      </c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  <c r="AA192" s="27" t="n"/>
      <c r="AB192" s="27" t="n"/>
      <c r="AC192" s="27" t="n"/>
      <c r="AD192" s="27" t="n"/>
      <c r="AE192" s="27" t="n"/>
      <c r="AF192" s="27" t="n"/>
      <c r="AG192" s="27" t="n"/>
      <c r="AH192" s="27" t="n"/>
      <c r="AI192" s="27" t="n"/>
      <c r="AJ192" s="27" t="n"/>
      <c r="AK192" s="27" t="n"/>
      <c r="AL192" s="27" t="n"/>
      <c r="AM192" s="27" t="n"/>
      <c r="AN192" s="27" t="n"/>
      <c r="AO192" s="27" t="n"/>
      <c r="AP192" s="27" t="n"/>
      <c r="AQ192" s="27" t="n"/>
      <c r="AR192" s="27" t="n"/>
      <c r="AS192" s="27" t="n"/>
      <c r="AT192" s="27" t="n"/>
      <c r="AU192" s="27" t="n"/>
      <c r="AV192" s="27" t="n"/>
      <c r="AW192" s="27" t="n"/>
      <c r="AX192" s="27" t="n"/>
      <c r="AY192" s="27" t="n"/>
      <c r="AZ192" s="27" t="n"/>
      <c r="BA192" s="27" t="n"/>
      <c r="BB192" s="27" t="n"/>
      <c r="BC192" s="27" t="n"/>
      <c r="BD192" s="27" t="n"/>
      <c r="BE192" s="27" t="n"/>
      <c r="BF192" s="27" t="n"/>
      <c r="BG192" s="27" t="n"/>
      <c r="BH192" s="27" t="n"/>
      <c r="BI192" s="29" t="n"/>
      <c r="BJ192" s="27" t="n"/>
      <c r="BK192" s="27" t="n"/>
      <c r="BL192" s="27" t="n"/>
      <c r="BM192" s="27" t="n"/>
    </row>
    <row r="193">
      <c r="A193" s="27" t="n"/>
      <c r="B193" s="27" t="n"/>
      <c r="C193" s="28">
        <f>IF(A193="","",$B$2)</f>
        <v/>
      </c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  <c r="AA193" s="27" t="n"/>
      <c r="AB193" s="27" t="n"/>
      <c r="AC193" s="27" t="n"/>
      <c r="AD193" s="27" t="n"/>
      <c r="AE193" s="27" t="n"/>
      <c r="AF193" s="27" t="n"/>
      <c r="AG193" s="27" t="n"/>
      <c r="AH193" s="27" t="n"/>
      <c r="AI193" s="27" t="n"/>
      <c r="AJ193" s="27" t="n"/>
      <c r="AK193" s="27" t="n"/>
      <c r="AL193" s="27" t="n"/>
      <c r="AM193" s="27" t="n"/>
      <c r="AN193" s="27" t="n"/>
      <c r="AO193" s="27" t="n"/>
      <c r="AP193" s="27" t="n"/>
      <c r="AQ193" s="27" t="n"/>
      <c r="AR193" s="27" t="n"/>
      <c r="AS193" s="27" t="n"/>
      <c r="AT193" s="27" t="n"/>
      <c r="AU193" s="27" t="n"/>
      <c r="AV193" s="27" t="n"/>
      <c r="AW193" s="27" t="n"/>
      <c r="AX193" s="27" t="n"/>
      <c r="AY193" s="27" t="n"/>
      <c r="AZ193" s="27" t="n"/>
      <c r="BA193" s="27" t="n"/>
      <c r="BB193" s="27" t="n"/>
      <c r="BC193" s="27" t="n"/>
      <c r="BD193" s="27" t="n"/>
      <c r="BE193" s="27" t="n"/>
      <c r="BF193" s="27" t="n"/>
      <c r="BG193" s="27" t="n"/>
      <c r="BH193" s="27" t="n"/>
      <c r="BI193" s="29" t="n"/>
      <c r="BJ193" s="27" t="n"/>
      <c r="BK193" s="27" t="n"/>
      <c r="BL193" s="27" t="n"/>
      <c r="BM193" s="27" t="n"/>
    </row>
    <row r="194">
      <c r="A194" s="27" t="n"/>
      <c r="B194" s="27" t="n"/>
      <c r="C194" s="28">
        <f>IF(A194="","",$B$2)</f>
        <v/>
      </c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  <c r="AA194" s="27" t="n"/>
      <c r="AB194" s="27" t="n"/>
      <c r="AC194" s="27" t="n"/>
      <c r="AD194" s="27" t="n"/>
      <c r="AE194" s="27" t="n"/>
      <c r="AF194" s="27" t="n"/>
      <c r="AG194" s="27" t="n"/>
      <c r="AH194" s="27" t="n"/>
      <c r="AI194" s="27" t="n"/>
      <c r="AJ194" s="27" t="n"/>
      <c r="AK194" s="27" t="n"/>
      <c r="AL194" s="27" t="n"/>
      <c r="AM194" s="27" t="n"/>
      <c r="AN194" s="27" t="n"/>
      <c r="AO194" s="27" t="n"/>
      <c r="AP194" s="27" t="n"/>
      <c r="AQ194" s="27" t="n"/>
      <c r="AR194" s="27" t="n"/>
      <c r="AS194" s="27" t="n"/>
      <c r="AT194" s="27" t="n"/>
      <c r="AU194" s="27" t="n"/>
      <c r="AV194" s="27" t="n"/>
      <c r="AW194" s="27" t="n"/>
      <c r="AX194" s="27" t="n"/>
      <c r="AY194" s="27" t="n"/>
      <c r="AZ194" s="27" t="n"/>
      <c r="BA194" s="27" t="n"/>
      <c r="BB194" s="27" t="n"/>
      <c r="BC194" s="27" t="n"/>
      <c r="BD194" s="27" t="n"/>
      <c r="BE194" s="27" t="n"/>
      <c r="BF194" s="27" t="n"/>
      <c r="BG194" s="27" t="n"/>
      <c r="BH194" s="27" t="n"/>
      <c r="BI194" s="29" t="n"/>
      <c r="BJ194" s="27" t="n"/>
      <c r="BK194" s="27" t="n"/>
      <c r="BL194" s="27" t="n"/>
      <c r="BM194" s="27" t="n"/>
    </row>
    <row r="195">
      <c r="A195" s="27" t="n"/>
      <c r="B195" s="27" t="n"/>
      <c r="C195" s="28">
        <f>IF(A195="","",$B$2)</f>
        <v/>
      </c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  <c r="AA195" s="27" t="n"/>
      <c r="AB195" s="27" t="n"/>
      <c r="AC195" s="27" t="n"/>
      <c r="AD195" s="27" t="n"/>
      <c r="AE195" s="27" t="n"/>
      <c r="AF195" s="27" t="n"/>
      <c r="AG195" s="27" t="n"/>
      <c r="AH195" s="27" t="n"/>
      <c r="AI195" s="27" t="n"/>
      <c r="AJ195" s="27" t="n"/>
      <c r="AK195" s="27" t="n"/>
      <c r="AL195" s="27" t="n"/>
      <c r="AM195" s="27" t="n"/>
      <c r="AN195" s="27" t="n"/>
      <c r="AO195" s="27" t="n"/>
      <c r="AP195" s="27" t="n"/>
      <c r="AQ195" s="27" t="n"/>
      <c r="AR195" s="27" t="n"/>
      <c r="AS195" s="27" t="n"/>
      <c r="AT195" s="27" t="n"/>
      <c r="AU195" s="27" t="n"/>
      <c r="AV195" s="27" t="n"/>
      <c r="AW195" s="27" t="n"/>
      <c r="AX195" s="27" t="n"/>
      <c r="AY195" s="27" t="n"/>
      <c r="AZ195" s="27" t="n"/>
      <c r="BA195" s="27" t="n"/>
      <c r="BB195" s="27" t="n"/>
      <c r="BC195" s="27" t="n"/>
      <c r="BD195" s="27" t="n"/>
      <c r="BE195" s="27" t="n"/>
      <c r="BF195" s="27" t="n"/>
      <c r="BG195" s="27" t="n"/>
      <c r="BH195" s="27" t="n"/>
      <c r="BI195" s="29" t="n"/>
      <c r="BJ195" s="27" t="n"/>
      <c r="BK195" s="27" t="n"/>
      <c r="BL195" s="27" t="n"/>
      <c r="BM195" s="27" t="n"/>
    </row>
    <row r="196">
      <c r="A196" s="27" t="n"/>
      <c r="B196" s="27" t="n"/>
      <c r="C196" s="28">
        <f>IF(A196="","",$B$2)</f>
        <v/>
      </c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  <c r="AA196" s="27" t="n"/>
      <c r="AB196" s="27" t="n"/>
      <c r="AC196" s="27" t="n"/>
      <c r="AD196" s="27" t="n"/>
      <c r="AE196" s="27" t="n"/>
      <c r="AF196" s="27" t="n"/>
      <c r="AG196" s="27" t="n"/>
      <c r="AH196" s="27" t="n"/>
      <c r="AI196" s="27" t="n"/>
      <c r="AJ196" s="27" t="n"/>
      <c r="AK196" s="27" t="n"/>
      <c r="AL196" s="27" t="n"/>
      <c r="AM196" s="27" t="n"/>
      <c r="AN196" s="27" t="n"/>
      <c r="AO196" s="27" t="n"/>
      <c r="AP196" s="27" t="n"/>
      <c r="AQ196" s="27" t="n"/>
      <c r="AR196" s="27" t="n"/>
      <c r="AS196" s="27" t="n"/>
      <c r="AT196" s="27" t="n"/>
      <c r="AU196" s="27" t="n"/>
      <c r="AV196" s="27" t="n"/>
      <c r="AW196" s="27" t="n"/>
      <c r="AX196" s="27" t="n"/>
      <c r="AY196" s="27" t="n"/>
      <c r="AZ196" s="27" t="n"/>
      <c r="BA196" s="27" t="n"/>
      <c r="BB196" s="27" t="n"/>
      <c r="BC196" s="27" t="n"/>
      <c r="BD196" s="27" t="n"/>
      <c r="BE196" s="27" t="n"/>
      <c r="BF196" s="27" t="n"/>
      <c r="BG196" s="27" t="n"/>
      <c r="BH196" s="27" t="n"/>
      <c r="BI196" s="29" t="n"/>
      <c r="BJ196" s="27" t="n"/>
      <c r="BK196" s="27" t="n"/>
      <c r="BL196" s="27" t="n"/>
      <c r="BM196" s="27" t="n"/>
    </row>
    <row r="197">
      <c r="A197" s="27" t="n"/>
      <c r="B197" s="27" t="n"/>
      <c r="C197" s="28">
        <f>IF(A197="","",$B$2)</f>
        <v/>
      </c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  <c r="AA197" s="27" t="n"/>
      <c r="AB197" s="27" t="n"/>
      <c r="AC197" s="27" t="n"/>
      <c r="AD197" s="27" t="n"/>
      <c r="AE197" s="27" t="n"/>
      <c r="AF197" s="27" t="n"/>
      <c r="AG197" s="27" t="n"/>
      <c r="AH197" s="27" t="n"/>
      <c r="AI197" s="27" t="n"/>
      <c r="AJ197" s="27" t="n"/>
      <c r="AK197" s="27" t="n"/>
      <c r="AL197" s="27" t="n"/>
      <c r="AM197" s="27" t="n"/>
      <c r="AN197" s="27" t="n"/>
      <c r="AO197" s="27" t="n"/>
      <c r="AP197" s="27" t="n"/>
      <c r="AQ197" s="27" t="n"/>
      <c r="AR197" s="27" t="n"/>
      <c r="AS197" s="27" t="n"/>
      <c r="AT197" s="27" t="n"/>
      <c r="AU197" s="27" t="n"/>
      <c r="AV197" s="27" t="n"/>
      <c r="AW197" s="27" t="n"/>
      <c r="AX197" s="27" t="n"/>
      <c r="AY197" s="27" t="n"/>
      <c r="AZ197" s="27" t="n"/>
      <c r="BA197" s="27" t="n"/>
      <c r="BB197" s="27" t="n"/>
      <c r="BC197" s="27" t="n"/>
      <c r="BD197" s="27" t="n"/>
      <c r="BE197" s="27" t="n"/>
      <c r="BF197" s="27" t="n"/>
      <c r="BG197" s="27" t="n"/>
      <c r="BH197" s="27" t="n"/>
      <c r="BI197" s="29" t="n"/>
      <c r="BJ197" s="27" t="n"/>
      <c r="BK197" s="27" t="n"/>
      <c r="BL197" s="27" t="n"/>
      <c r="BM197" s="27" t="n"/>
    </row>
    <row r="198">
      <c r="A198" s="27" t="n"/>
      <c r="B198" s="27" t="n"/>
      <c r="C198" s="28">
        <f>IF(A198="","",$B$2)</f>
        <v/>
      </c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  <c r="AA198" s="27" t="n"/>
      <c r="AB198" s="27" t="n"/>
      <c r="AC198" s="27" t="n"/>
      <c r="AD198" s="27" t="n"/>
      <c r="AE198" s="27" t="n"/>
      <c r="AF198" s="27" t="n"/>
      <c r="AG198" s="27" t="n"/>
      <c r="AH198" s="27" t="n"/>
      <c r="AI198" s="27" t="n"/>
      <c r="AJ198" s="27" t="n"/>
      <c r="AK198" s="27" t="n"/>
      <c r="AL198" s="27" t="n"/>
      <c r="AM198" s="27" t="n"/>
      <c r="AN198" s="27" t="n"/>
      <c r="AO198" s="27" t="n"/>
      <c r="AP198" s="27" t="n"/>
      <c r="AQ198" s="27" t="n"/>
      <c r="AR198" s="27" t="n"/>
      <c r="AS198" s="27" t="n"/>
      <c r="AT198" s="27" t="n"/>
      <c r="AU198" s="27" t="n"/>
      <c r="AV198" s="27" t="n"/>
      <c r="AW198" s="27" t="n"/>
      <c r="AX198" s="27" t="n"/>
      <c r="AY198" s="27" t="n"/>
      <c r="AZ198" s="27" t="n"/>
      <c r="BA198" s="27" t="n"/>
      <c r="BB198" s="27" t="n"/>
      <c r="BC198" s="27" t="n"/>
      <c r="BD198" s="27" t="n"/>
      <c r="BE198" s="27" t="n"/>
      <c r="BF198" s="27" t="n"/>
      <c r="BG198" s="27" t="n"/>
      <c r="BH198" s="27" t="n"/>
      <c r="BI198" s="29" t="n"/>
      <c r="BJ198" s="27" t="n"/>
      <c r="BK198" s="27" t="n"/>
      <c r="BL198" s="27" t="n"/>
      <c r="BM198" s="27" t="n"/>
    </row>
    <row r="199">
      <c r="A199" s="27" t="n"/>
      <c r="B199" s="27" t="n"/>
      <c r="C199" s="28">
        <f>IF(A199="","",$B$2)</f>
        <v/>
      </c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  <c r="AA199" s="27" t="n"/>
      <c r="AB199" s="27" t="n"/>
      <c r="AC199" s="27" t="n"/>
      <c r="AD199" s="27" t="n"/>
      <c r="AE199" s="27" t="n"/>
      <c r="AF199" s="27" t="n"/>
      <c r="AG199" s="27" t="n"/>
      <c r="AH199" s="27" t="n"/>
      <c r="AI199" s="27" t="n"/>
      <c r="AJ199" s="27" t="n"/>
      <c r="AK199" s="27" t="n"/>
      <c r="AL199" s="27" t="n"/>
      <c r="AM199" s="27" t="n"/>
      <c r="AN199" s="27" t="n"/>
      <c r="AO199" s="27" t="n"/>
      <c r="AP199" s="27" t="n"/>
      <c r="AQ199" s="27" t="n"/>
      <c r="AR199" s="27" t="n"/>
      <c r="AS199" s="27" t="n"/>
      <c r="AT199" s="27" t="n"/>
      <c r="AU199" s="27" t="n"/>
      <c r="AV199" s="27" t="n"/>
      <c r="AW199" s="27" t="n"/>
      <c r="AX199" s="27" t="n"/>
      <c r="AY199" s="27" t="n"/>
      <c r="AZ199" s="27" t="n"/>
      <c r="BA199" s="27" t="n"/>
      <c r="BB199" s="27" t="n"/>
      <c r="BC199" s="27" t="n"/>
      <c r="BD199" s="27" t="n"/>
      <c r="BE199" s="27" t="n"/>
      <c r="BF199" s="27" t="n"/>
      <c r="BG199" s="27" t="n"/>
      <c r="BH199" s="27" t="n"/>
      <c r="BI199" s="29" t="n"/>
      <c r="BJ199" s="27" t="n"/>
      <c r="BK199" s="27" t="n"/>
      <c r="BL199" s="27" t="n"/>
      <c r="BM199" s="27" t="n"/>
    </row>
    <row r="200">
      <c r="A200" s="27" t="n"/>
      <c r="B200" s="27" t="n"/>
      <c r="C200" s="28">
        <f>IF(A200="","",$B$2)</f>
        <v/>
      </c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  <c r="AA200" s="27" t="n"/>
      <c r="AB200" s="27" t="n"/>
      <c r="AC200" s="27" t="n"/>
      <c r="AD200" s="27" t="n"/>
      <c r="AE200" s="27" t="n"/>
      <c r="AF200" s="27" t="n"/>
      <c r="AG200" s="27" t="n"/>
      <c r="AH200" s="27" t="n"/>
      <c r="AI200" s="27" t="n"/>
      <c r="AJ200" s="27" t="n"/>
      <c r="AK200" s="27" t="n"/>
      <c r="AL200" s="27" t="n"/>
      <c r="AM200" s="27" t="n"/>
      <c r="AN200" s="27" t="n"/>
      <c r="AO200" s="27" t="n"/>
      <c r="AP200" s="27" t="n"/>
      <c r="AQ200" s="27" t="n"/>
      <c r="AR200" s="27" t="n"/>
      <c r="AS200" s="27" t="n"/>
      <c r="AT200" s="27" t="n"/>
      <c r="AU200" s="27" t="n"/>
      <c r="AV200" s="27" t="n"/>
      <c r="AW200" s="27" t="n"/>
      <c r="AX200" s="27" t="n"/>
      <c r="AY200" s="27" t="n"/>
      <c r="AZ200" s="27" t="n"/>
      <c r="BA200" s="27" t="n"/>
      <c r="BB200" s="27" t="n"/>
      <c r="BC200" s="27" t="n"/>
      <c r="BD200" s="27" t="n"/>
      <c r="BE200" s="27" t="n"/>
      <c r="BF200" s="27" t="n"/>
      <c r="BG200" s="27" t="n"/>
      <c r="BH200" s="27" t="n"/>
      <c r="BI200" s="29" t="n"/>
      <c r="BJ200" s="27" t="n"/>
      <c r="BK200" s="27" t="n"/>
      <c r="BL200" s="27" t="n"/>
      <c r="BM200" s="27" t="n"/>
    </row>
    <row r="201">
      <c r="A201" s="27" t="n"/>
      <c r="B201" s="27" t="n"/>
      <c r="C201" s="28">
        <f>IF(A201="","",$B$2)</f>
        <v/>
      </c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  <c r="AA201" s="27" t="n"/>
      <c r="AB201" s="27" t="n"/>
      <c r="AC201" s="27" t="n"/>
      <c r="AD201" s="27" t="n"/>
      <c r="AE201" s="27" t="n"/>
      <c r="AF201" s="27" t="n"/>
      <c r="AG201" s="27" t="n"/>
      <c r="AH201" s="27" t="n"/>
      <c r="AI201" s="27" t="n"/>
      <c r="AJ201" s="27" t="n"/>
      <c r="AK201" s="27" t="n"/>
      <c r="AL201" s="27" t="n"/>
      <c r="AM201" s="27" t="n"/>
      <c r="AN201" s="27" t="n"/>
      <c r="AO201" s="27" t="n"/>
      <c r="AP201" s="27" t="n"/>
      <c r="AQ201" s="27" t="n"/>
      <c r="AR201" s="27" t="n"/>
      <c r="AS201" s="27" t="n"/>
      <c r="AT201" s="27" t="n"/>
      <c r="AU201" s="27" t="n"/>
      <c r="AV201" s="27" t="n"/>
      <c r="AW201" s="27" t="n"/>
      <c r="AX201" s="27" t="n"/>
      <c r="AY201" s="27" t="n"/>
      <c r="AZ201" s="27" t="n"/>
      <c r="BA201" s="27" t="n"/>
      <c r="BB201" s="27" t="n"/>
      <c r="BC201" s="27" t="n"/>
      <c r="BD201" s="27" t="n"/>
      <c r="BE201" s="27" t="n"/>
      <c r="BF201" s="27" t="n"/>
      <c r="BG201" s="27" t="n"/>
      <c r="BH201" s="27" t="n"/>
      <c r="BI201" s="29" t="n"/>
      <c r="BJ201" s="27" t="n"/>
      <c r="BK201" s="27" t="n"/>
      <c r="BL201" s="27" t="n"/>
      <c r="BM201" s="27" t="n"/>
    </row>
    <row r="202">
      <c r="A202" s="27" t="n"/>
      <c r="B202" s="27" t="n"/>
      <c r="C202" s="28">
        <f>IF(A202="","",$B$2)</f>
        <v/>
      </c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  <c r="AA202" s="27" t="n"/>
      <c r="AB202" s="27" t="n"/>
      <c r="AC202" s="27" t="n"/>
      <c r="AD202" s="27" t="n"/>
      <c r="AE202" s="27" t="n"/>
      <c r="AF202" s="27" t="n"/>
      <c r="AG202" s="27" t="n"/>
      <c r="AH202" s="27" t="n"/>
      <c r="AI202" s="27" t="n"/>
      <c r="AJ202" s="27" t="n"/>
      <c r="AK202" s="27" t="n"/>
      <c r="AL202" s="27" t="n"/>
      <c r="AM202" s="27" t="n"/>
      <c r="AN202" s="27" t="n"/>
      <c r="AO202" s="27" t="n"/>
      <c r="AP202" s="27" t="n"/>
      <c r="AQ202" s="27" t="n"/>
      <c r="AR202" s="27" t="n"/>
      <c r="AS202" s="27" t="n"/>
      <c r="AT202" s="27" t="n"/>
      <c r="AU202" s="27" t="n"/>
      <c r="AV202" s="27" t="n"/>
      <c r="AW202" s="27" t="n"/>
      <c r="AX202" s="27" t="n"/>
      <c r="AY202" s="27" t="n"/>
      <c r="AZ202" s="27" t="n"/>
      <c r="BA202" s="27" t="n"/>
      <c r="BB202" s="27" t="n"/>
      <c r="BC202" s="27" t="n"/>
      <c r="BD202" s="27" t="n"/>
      <c r="BE202" s="27" t="n"/>
      <c r="BF202" s="27" t="n"/>
      <c r="BG202" s="27" t="n"/>
      <c r="BH202" s="27" t="n"/>
      <c r="BI202" s="29" t="n"/>
      <c r="BJ202" s="27" t="n"/>
      <c r="BK202" s="27" t="n"/>
      <c r="BL202" s="27" t="n"/>
      <c r="BM202" s="27" t="n"/>
    </row>
    <row r="203">
      <c r="A203" s="27" t="n"/>
      <c r="B203" s="27" t="n"/>
      <c r="C203" s="28">
        <f>IF(A203="","",$B$2)</f>
        <v/>
      </c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  <c r="AA203" s="27" t="n"/>
      <c r="AB203" s="27" t="n"/>
      <c r="AC203" s="27" t="n"/>
      <c r="AD203" s="27" t="n"/>
      <c r="AE203" s="27" t="n"/>
      <c r="AF203" s="27" t="n"/>
      <c r="AG203" s="27" t="n"/>
      <c r="AH203" s="27" t="n"/>
      <c r="AI203" s="27" t="n"/>
      <c r="AJ203" s="27" t="n"/>
      <c r="AK203" s="27" t="n"/>
      <c r="AL203" s="27" t="n"/>
      <c r="AM203" s="27" t="n"/>
      <c r="AN203" s="27" t="n"/>
      <c r="AO203" s="27" t="n"/>
      <c r="AP203" s="27" t="n"/>
      <c r="AQ203" s="27" t="n"/>
      <c r="AR203" s="27" t="n"/>
      <c r="AS203" s="27" t="n"/>
      <c r="AT203" s="27" t="n"/>
      <c r="AU203" s="27" t="n"/>
      <c r="AV203" s="27" t="n"/>
      <c r="AW203" s="27" t="n"/>
      <c r="AX203" s="27" t="n"/>
      <c r="AY203" s="27" t="n"/>
      <c r="AZ203" s="27" t="n"/>
      <c r="BA203" s="27" t="n"/>
      <c r="BB203" s="27" t="n"/>
      <c r="BC203" s="27" t="n"/>
      <c r="BD203" s="27" t="n"/>
      <c r="BE203" s="27" t="n"/>
      <c r="BF203" s="27" t="n"/>
      <c r="BG203" s="27" t="n"/>
      <c r="BH203" s="27" t="n"/>
      <c r="BI203" s="29" t="n"/>
      <c r="BJ203" s="27" t="n"/>
      <c r="BK203" s="27" t="n"/>
      <c r="BL203" s="27" t="n"/>
      <c r="BM203" s="27" t="n"/>
    </row>
    <row r="204">
      <c r="A204" s="27" t="n"/>
      <c r="B204" s="27" t="n"/>
      <c r="C204" s="28">
        <f>IF(A204="","",$B$2)</f>
        <v/>
      </c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  <c r="AA204" s="27" t="n"/>
      <c r="AB204" s="27" t="n"/>
      <c r="AC204" s="27" t="n"/>
      <c r="AD204" s="27" t="n"/>
      <c r="AE204" s="27" t="n"/>
      <c r="AF204" s="27" t="n"/>
      <c r="AG204" s="27" t="n"/>
      <c r="AH204" s="27" t="n"/>
      <c r="AI204" s="27" t="n"/>
      <c r="AJ204" s="27" t="n"/>
      <c r="AK204" s="27" t="n"/>
      <c r="AL204" s="27" t="n"/>
      <c r="AM204" s="27" t="n"/>
      <c r="AN204" s="27" t="n"/>
      <c r="AO204" s="27" t="n"/>
      <c r="AP204" s="27" t="n"/>
      <c r="AQ204" s="27" t="n"/>
      <c r="AR204" s="27" t="n"/>
      <c r="AS204" s="27" t="n"/>
      <c r="AT204" s="27" t="n"/>
      <c r="AU204" s="27" t="n"/>
      <c r="AV204" s="27" t="n"/>
      <c r="AW204" s="27" t="n"/>
      <c r="AX204" s="27" t="n"/>
      <c r="AY204" s="27" t="n"/>
      <c r="AZ204" s="27" t="n"/>
      <c r="BA204" s="27" t="n"/>
      <c r="BB204" s="27" t="n"/>
      <c r="BC204" s="27" t="n"/>
      <c r="BD204" s="27" t="n"/>
      <c r="BE204" s="27" t="n"/>
      <c r="BF204" s="27" t="n"/>
      <c r="BG204" s="27" t="n"/>
      <c r="BH204" s="27" t="n"/>
      <c r="BI204" s="29" t="n"/>
      <c r="BJ204" s="27" t="n"/>
      <c r="BK204" s="27" t="n"/>
      <c r="BL204" s="27" t="n"/>
      <c r="BM204" s="27" t="n"/>
    </row>
    <row r="205">
      <c r="A205" s="27" t="n"/>
      <c r="B205" s="27" t="n"/>
      <c r="C205" s="28">
        <f>IF(A205="","",$B$2)</f>
        <v/>
      </c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  <c r="AA205" s="27" t="n"/>
      <c r="AB205" s="27" t="n"/>
      <c r="AC205" s="27" t="n"/>
      <c r="AD205" s="27" t="n"/>
      <c r="AE205" s="27" t="n"/>
      <c r="AF205" s="27" t="n"/>
      <c r="AG205" s="27" t="n"/>
      <c r="AH205" s="27" t="n"/>
      <c r="AI205" s="27" t="n"/>
      <c r="AJ205" s="27" t="n"/>
      <c r="AK205" s="27" t="n"/>
      <c r="AL205" s="27" t="n"/>
      <c r="AM205" s="27" t="n"/>
      <c r="AN205" s="27" t="n"/>
      <c r="AO205" s="27" t="n"/>
      <c r="AP205" s="27" t="n"/>
      <c r="AQ205" s="27" t="n"/>
      <c r="AR205" s="27" t="n"/>
      <c r="AS205" s="27" t="n"/>
      <c r="AT205" s="27" t="n"/>
      <c r="AU205" s="27" t="n"/>
      <c r="AV205" s="27" t="n"/>
      <c r="AW205" s="27" t="n"/>
      <c r="AX205" s="27" t="n"/>
      <c r="AY205" s="27" t="n"/>
      <c r="AZ205" s="27" t="n"/>
      <c r="BA205" s="27" t="n"/>
      <c r="BB205" s="27" t="n"/>
      <c r="BC205" s="27" t="n"/>
      <c r="BD205" s="27" t="n"/>
      <c r="BE205" s="27" t="n"/>
      <c r="BF205" s="27" t="n"/>
      <c r="BG205" s="27" t="n"/>
      <c r="BH205" s="27" t="n"/>
      <c r="BI205" s="29" t="n"/>
      <c r="BJ205" s="27" t="n"/>
      <c r="BK205" s="27" t="n"/>
      <c r="BL205" s="27" t="n"/>
      <c r="BM205" s="27" t="n"/>
    </row>
  </sheetData>
  <autoFilter ref="A5:BM205"/>
  <mergeCells count="21">
    <mergeCell ref="BH4:BH5"/>
    <mergeCell ref="C4:C5"/>
    <mergeCell ref="E4:E5"/>
    <mergeCell ref="BE4:BE5"/>
    <mergeCell ref="BG4:BG5"/>
    <mergeCell ref="BK4:BK5"/>
    <mergeCell ref="A3:F3"/>
    <mergeCell ref="D4:D5"/>
    <mergeCell ref="BE3:BH3"/>
    <mergeCell ref="BF4:BF5"/>
    <mergeCell ref="BL4:BL5"/>
    <mergeCell ref="BI3:BM3"/>
    <mergeCell ref="A4:A5"/>
    <mergeCell ref="BO4:DN4"/>
    <mergeCell ref="BI4:BI5"/>
    <mergeCell ref="BM4:BM5"/>
    <mergeCell ref="G3:BD3"/>
    <mergeCell ref="B4:B5"/>
    <mergeCell ref="F4:F5"/>
    <mergeCell ref="BJ4:BJ5"/>
    <mergeCell ref="B2:D2"/>
  </mergeCells>
  <dataValidations count="56">
    <dataValidation sqref="G6:G205" showDropDown="0" showInputMessage="0" showErrorMessage="0" allowBlank="1" type="list">
      <formula1>'テストケース9'!$BO$6:$BO$15</formula1>
    </dataValidation>
    <dataValidation sqref="H6:H205" showDropDown="0" showInputMessage="0" showErrorMessage="0" allowBlank="1" type="list">
      <formula1>'テストケース9'!$BP$6:$BP$15</formula1>
    </dataValidation>
    <dataValidation sqref="I6:I205" showDropDown="0" showInputMessage="0" showErrorMessage="0" allowBlank="1" type="list">
      <formula1>'テストケース9'!$BQ$6:$BQ$15</formula1>
    </dataValidation>
    <dataValidation sqref="J6:J205" showDropDown="0" showInputMessage="0" showErrorMessage="0" allowBlank="1" type="list">
      <formula1>'テストケース9'!$BR$6:$BR$15</formula1>
    </dataValidation>
    <dataValidation sqref="K6:K205" showDropDown="0" showInputMessage="0" showErrorMessage="0" allowBlank="1" type="list">
      <formula1>'テストケース9'!$BS$6:$BS$15</formula1>
    </dataValidation>
    <dataValidation sqref="L6:L205" showDropDown="0" showInputMessage="0" showErrorMessage="0" allowBlank="1" type="list">
      <formula1>'テストケース9'!$BT$6:$BT$15</formula1>
    </dataValidation>
    <dataValidation sqref="M6:M205" showDropDown="0" showInputMessage="0" showErrorMessage="0" allowBlank="1" type="list">
      <formula1>'テストケース9'!$BU$6:$BU$15</formula1>
    </dataValidation>
    <dataValidation sqref="N6:N205" showDropDown="0" showInputMessage="0" showErrorMessage="0" allowBlank="1" type="list">
      <formula1>'テストケース9'!$BV$6:$BV$15</formula1>
    </dataValidation>
    <dataValidation sqref="O6:O205" showDropDown="0" showInputMessage="0" showErrorMessage="0" allowBlank="1" type="list">
      <formula1>'テストケース9'!$BW$6:$BW$15</formula1>
    </dataValidation>
    <dataValidation sqref="P6:P205" showDropDown="0" showInputMessage="0" showErrorMessage="0" allowBlank="1" type="list">
      <formula1>'テストケース9'!$BX$6:$BX$15</formula1>
    </dataValidation>
    <dataValidation sqref="Q6:Q205" showDropDown="0" showInputMessage="0" showErrorMessage="0" allowBlank="1" type="list">
      <formula1>'テストケース9'!$BY$6:$BY$15</formula1>
    </dataValidation>
    <dataValidation sqref="R6:R205" showDropDown="0" showInputMessage="0" showErrorMessage="0" allowBlank="1" type="list">
      <formula1>'テストケース9'!$BZ$6:$BZ$15</formula1>
    </dataValidation>
    <dataValidation sqref="S6:S205" showDropDown="0" showInputMessage="0" showErrorMessage="0" allowBlank="1" type="list">
      <formula1>'テストケース9'!$CA$6:$CA$15</formula1>
    </dataValidation>
    <dataValidation sqref="T6:T205" showDropDown="0" showInputMessage="0" showErrorMessage="0" allowBlank="1" type="list">
      <formula1>'テストケース9'!$CB$6:$CB$15</formula1>
    </dataValidation>
    <dataValidation sqref="U6:U205" showDropDown="0" showInputMessage="0" showErrorMessage="0" allowBlank="1" type="list">
      <formula1>'テストケース9'!$CC$6:$CC$15</formula1>
    </dataValidation>
    <dataValidation sqref="V6:V205" showDropDown="0" showInputMessage="0" showErrorMessage="0" allowBlank="1" type="list">
      <formula1>'テストケース9'!$CD$6:$CD$15</formula1>
    </dataValidation>
    <dataValidation sqref="W6:W205" showDropDown="0" showInputMessage="0" showErrorMessage="0" allowBlank="1" type="list">
      <formula1>'テストケース9'!$CE$6:$CE$15</formula1>
    </dataValidation>
    <dataValidation sqref="X6:X205" showDropDown="0" showInputMessage="0" showErrorMessage="0" allowBlank="1" type="list">
      <formula1>'テストケース9'!$CF$6:$CF$15</formula1>
    </dataValidation>
    <dataValidation sqref="Y6:Y205" showDropDown="0" showInputMessage="0" showErrorMessage="0" allowBlank="1" type="list">
      <formula1>'テストケース9'!$CG$6:$CG$15</formula1>
    </dataValidation>
    <dataValidation sqref="Z6:Z205" showDropDown="0" showInputMessage="0" showErrorMessage="0" allowBlank="1" type="list">
      <formula1>'テストケース9'!$CH$6:$CH$15</formula1>
    </dataValidation>
    <dataValidation sqref="AA6:AA205" showDropDown="0" showInputMessage="0" showErrorMessage="0" allowBlank="1" type="list">
      <formula1>'テストケース9'!$CI$6:$CI$15</formula1>
    </dataValidation>
    <dataValidation sqref="AB6:AB205" showDropDown="0" showInputMessage="0" showErrorMessage="0" allowBlank="1" type="list">
      <formula1>'テストケース9'!$CJ$6:$CJ$15</formula1>
    </dataValidation>
    <dataValidation sqref="AC6:AC205" showDropDown="0" showInputMessage="0" showErrorMessage="0" allowBlank="1" type="list">
      <formula1>'テストケース9'!$CK$6:$CK$15</formula1>
    </dataValidation>
    <dataValidation sqref="AD6:AD205" showDropDown="0" showInputMessage="0" showErrorMessage="0" allowBlank="1" type="list">
      <formula1>'テストケース9'!$CL$6:$CL$15</formula1>
    </dataValidation>
    <dataValidation sqref="AE6:AE205" showDropDown="0" showInputMessage="0" showErrorMessage="0" allowBlank="1" type="list">
      <formula1>'テストケース9'!$CM$6:$CM$15</formula1>
    </dataValidation>
    <dataValidation sqref="AF6:AF205" showDropDown="0" showInputMessage="0" showErrorMessage="0" allowBlank="1" type="list">
      <formula1>'テストケース9'!$CN$6:$CN$15</formula1>
    </dataValidation>
    <dataValidation sqref="AG6:AG205" showDropDown="0" showInputMessage="0" showErrorMessage="0" allowBlank="1" type="list">
      <formula1>'テストケース9'!$CO$6:$CO$15</formula1>
    </dataValidation>
    <dataValidation sqref="AH6:AH205" showDropDown="0" showInputMessage="0" showErrorMessage="0" allowBlank="1" type="list">
      <formula1>'テストケース9'!$CP$6:$CP$15</formula1>
    </dataValidation>
    <dataValidation sqref="AI6:AI205" showDropDown="0" showInputMessage="0" showErrorMessage="0" allowBlank="1" type="list">
      <formula1>'テストケース9'!$CQ$6:$CQ$15</formula1>
    </dataValidation>
    <dataValidation sqref="AJ6:AJ205" showDropDown="0" showInputMessage="0" showErrorMessage="0" allowBlank="1" type="list">
      <formula1>'テストケース9'!$CR$6:$CR$15</formula1>
    </dataValidation>
    <dataValidation sqref="AK6:AK205" showDropDown="0" showInputMessage="0" showErrorMessage="0" allowBlank="1" type="list">
      <formula1>'テストケース9'!$CS$6:$CS$15</formula1>
    </dataValidation>
    <dataValidation sqref="AL6:AL205" showDropDown="0" showInputMessage="0" showErrorMessage="0" allowBlank="1" type="list">
      <formula1>'テストケース9'!$CT$6:$CT$15</formula1>
    </dataValidation>
    <dataValidation sqref="AM6:AM205" showDropDown="0" showInputMessage="0" showErrorMessage="0" allowBlank="1" type="list">
      <formula1>'テストケース9'!$CU$6:$CU$15</formula1>
    </dataValidation>
    <dataValidation sqref="AN6:AN205" showDropDown="0" showInputMessage="0" showErrorMessage="0" allowBlank="1" type="list">
      <formula1>'テストケース9'!$CV$6:$CV$15</formula1>
    </dataValidation>
    <dataValidation sqref="AO6:AO205" showDropDown="0" showInputMessage="0" showErrorMessage="0" allowBlank="1" type="list">
      <formula1>'テストケース9'!$CW$6:$CW$15</formula1>
    </dataValidation>
    <dataValidation sqref="AP6:AP205" showDropDown="0" showInputMessage="0" showErrorMessage="0" allowBlank="1" type="list">
      <formula1>'テストケース9'!$CX$6:$CX$15</formula1>
    </dataValidation>
    <dataValidation sqref="AQ6:AQ205" showDropDown="0" showInputMessage="0" showErrorMessage="0" allowBlank="1" type="list">
      <formula1>'テストケース9'!$CY$6:$CY$15</formula1>
    </dataValidation>
    <dataValidation sqref="AR6:AR205" showDropDown="0" showInputMessage="0" showErrorMessage="0" allowBlank="1" type="list">
      <formula1>'テストケース9'!$CZ$6:$CZ$15</formula1>
    </dataValidation>
    <dataValidation sqref="AS6:AS205" showDropDown="0" showInputMessage="0" showErrorMessage="0" allowBlank="1" type="list">
      <formula1>'テストケース9'!$DA$6:$DA$15</formula1>
    </dataValidation>
    <dataValidation sqref="AT6:AT205" showDropDown="0" showInputMessage="0" showErrorMessage="0" allowBlank="1" type="list">
      <formula1>'テストケース9'!$DB$6:$DB$15</formula1>
    </dataValidation>
    <dataValidation sqref="AU6:AU205" showDropDown="0" showInputMessage="0" showErrorMessage="0" allowBlank="1" type="list">
      <formula1>'テストケース9'!$DC$6:$DC$15</formula1>
    </dataValidation>
    <dataValidation sqref="AV6:AV205" showDropDown="0" showInputMessage="0" showErrorMessage="0" allowBlank="1" type="list">
      <formula1>'テストケース9'!$DD$6:$DD$15</formula1>
    </dataValidation>
    <dataValidation sqref="AW6:AW205" showDropDown="0" showInputMessage="0" showErrorMessage="0" allowBlank="1" type="list">
      <formula1>'テストケース9'!$DE$6:$DE$15</formula1>
    </dataValidation>
    <dataValidation sqref="AX6:AX205" showDropDown="0" showInputMessage="0" showErrorMessage="0" allowBlank="1" type="list">
      <formula1>'テストケース9'!$DF$6:$DF$15</formula1>
    </dataValidation>
    <dataValidation sqref="AY6:AY205" showDropDown="0" showInputMessage="0" showErrorMessage="0" allowBlank="1" type="list">
      <formula1>'テストケース9'!$DG$6:$DG$15</formula1>
    </dataValidation>
    <dataValidation sqref="AZ6:AZ205" showDropDown="0" showInputMessage="0" showErrorMessage="0" allowBlank="1" type="list">
      <formula1>'テストケース9'!$DH$6:$DH$15</formula1>
    </dataValidation>
    <dataValidation sqref="BA6:BA205" showDropDown="0" showInputMessage="0" showErrorMessage="0" allowBlank="1" type="list">
      <formula1>'テストケース9'!$DI$6:$DI$15</formula1>
    </dataValidation>
    <dataValidation sqref="BB6:BB205" showDropDown="0" showInputMessage="0" showErrorMessage="0" allowBlank="1" type="list">
      <formula1>'テストケース9'!$DJ$6:$DJ$15</formula1>
    </dataValidation>
    <dataValidation sqref="BC6:BC205" showDropDown="0" showInputMessage="0" showErrorMessage="0" allowBlank="1" type="list">
      <formula1>'テストケース9'!$DK$6:$DK$15</formula1>
    </dataValidation>
    <dataValidation sqref="BD6:BD205" showDropDown="0" showInputMessage="0" showErrorMessage="0" allowBlank="1" type="list">
      <formula1>'テストケース9'!$DL$6:$DL$15</formula1>
    </dataValidation>
    <dataValidation sqref="C6:C205" showDropDown="0" showInputMessage="0" showErrorMessage="0" allowBlank="1" type="list">
      <formula1>'テストケース9'!$DM$6:$DM$35</formula1>
    </dataValidation>
    <dataValidation sqref="B2" showDropDown="0" showInputMessage="0" showErrorMessage="0" allowBlank="1" type="list">
      <formula1>'テストケース9'!$DM$6:$DM$35</formula1>
    </dataValidation>
    <dataValidation sqref="B6:B205" showDropDown="0" showInputMessage="0" showErrorMessage="0" allowBlank="1" type="list">
      <formula1>'テストケース9'!$DN$6:$DN$105</formula1>
    </dataValidation>
    <dataValidation sqref="E6:E205" showDropDown="0" showInputMessage="0" showErrorMessage="0" allowBlank="1" type="list">
      <formula1>"高,中,低"</formula1>
    </dataValidation>
    <dataValidation sqref="BH6:BH205" showDropDown="0" showInputMessage="0" showErrorMessage="0" allowBlank="1" type="list">
      <formula1>"要,否,済"</formula1>
    </dataValidation>
    <dataValidation sqref="BK6:BK205" showDropDown="0" showInputMessage="0" showErrorMessage="0" allowBlank="1" type="list">
      <formula1>"OK,NG,保留,対象外"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N20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8" customWidth="1" min="4" max="4"/>
    <col width="7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30" customWidth="1" min="57" max="57"/>
    <col width="34" customWidth="1" min="58" max="58"/>
    <col width="14" customWidth="1" min="59" max="59"/>
    <col width="9" customWidth="1" min="60" max="60"/>
    <col width="11" customWidth="1" min="61" max="61"/>
    <col width="10" customWidth="1" min="62" max="62"/>
    <col width="9" customWidth="1" min="63" max="63"/>
    <col width="10" customWidth="1" min="64" max="64"/>
    <col width="24" customWidth="1" min="65" max="65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</cols>
  <sheetData>
    <row r="1">
      <c r="A1" s="1" t="inlineStr">
        <is>
          <t>テストケース</t>
        </is>
      </c>
      <c r="E1" s="2" t="inlineStr">
        <is>
          <t>2 行目でカテゴリを選ぶと、そのカテゴリの因子が左から自動で入ります。セルは水準のプルダウンから選べます。</t>
        </is>
      </c>
    </row>
    <row r="2">
      <c r="A2" s="11" t="inlineStr">
        <is>
          <t>カテゴリ</t>
        </is>
      </c>
      <c r="B2" s="8" t="n"/>
      <c r="C2" s="9" t="n"/>
      <c r="D2" s="10" t="n"/>
      <c r="E2" s="18">
        <f>IF($B$2="","",COUNTIF('因子水準表'!$B$5:$KO$5,$B$2)&amp;" 因子")</f>
        <v/>
      </c>
    </row>
    <row r="3">
      <c r="A3" s="21" t="inlineStr">
        <is>
          <t>テストケース</t>
        </is>
      </c>
      <c r="B3" s="9" t="n"/>
      <c r="C3" s="9" t="n"/>
      <c r="D3" s="9" t="n"/>
      <c r="E3" s="9" t="n"/>
      <c r="F3" s="10" t="n"/>
      <c r="G3" s="21" t="inlineStr">
        <is>
          <t>因子の水準（シートのカテゴリの因子が自動で入る）</t>
        </is>
      </c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  <c r="AQ3" s="9" t="n"/>
      <c r="AR3" s="9" t="n"/>
      <c r="AS3" s="9" t="n"/>
      <c r="AT3" s="9" t="n"/>
      <c r="AU3" s="9" t="n"/>
      <c r="AV3" s="9" t="n"/>
      <c r="AW3" s="9" t="n"/>
      <c r="AX3" s="9" t="n"/>
      <c r="AY3" s="9" t="n"/>
      <c r="AZ3" s="9" t="n"/>
      <c r="BA3" s="9" t="n"/>
      <c r="BB3" s="9" t="n"/>
      <c r="BC3" s="9" t="n"/>
      <c r="BD3" s="10" t="n"/>
      <c r="BE3" s="21" t="inlineStr">
        <is>
          <t>内容</t>
        </is>
      </c>
      <c r="BF3" s="9" t="n"/>
      <c r="BG3" s="9" t="n"/>
      <c r="BH3" s="10" t="n"/>
      <c r="BI3" s="21" t="inlineStr">
        <is>
          <t>実行結果</t>
        </is>
      </c>
      <c r="BJ3" s="9" t="n"/>
      <c r="BK3" s="9" t="n"/>
      <c r="BL3" s="9" t="n"/>
      <c r="BM3" s="10" t="n"/>
    </row>
    <row r="4">
      <c r="A4" s="12" t="inlineStr">
        <is>
          <t>ID</t>
        </is>
      </c>
      <c r="B4" s="12" t="inlineStr">
        <is>
          <t>条件ID</t>
        </is>
      </c>
      <c r="C4" s="12" t="inlineStr">
        <is>
          <t>カテゴリ</t>
        </is>
      </c>
      <c r="D4" s="12" t="inlineStr">
        <is>
          <t>テスト観点（目的）</t>
        </is>
      </c>
      <c r="E4" s="12" t="inlineStr">
        <is>
          <t>優先度</t>
        </is>
      </c>
      <c r="F4" s="12" t="inlineStr">
        <is>
          <t>事前条件</t>
        </is>
      </c>
      <c r="G4" s="22">
        <f>IF($B$2="","",IFERROR(INDEX('因子水準表'!$B$4:$KO$4,MATCH($B$2&amp;"|1",'因子水準表'!$B$20:$KO$20,0)),""))</f>
        <v/>
      </c>
      <c r="H4" s="22">
        <f>IF($B$2="","",IFERROR(INDEX('因子水準表'!$B$4:$KO$4,MATCH($B$2&amp;"|2",'因子水準表'!$B$20:$KO$20,0)),""))</f>
        <v/>
      </c>
      <c r="I4" s="22">
        <f>IF($B$2="","",IFERROR(INDEX('因子水準表'!$B$4:$KO$4,MATCH($B$2&amp;"|3",'因子水準表'!$B$20:$KO$20,0)),""))</f>
        <v/>
      </c>
      <c r="J4" s="22">
        <f>IF($B$2="","",IFERROR(INDEX('因子水準表'!$B$4:$KO$4,MATCH($B$2&amp;"|4",'因子水準表'!$B$20:$KO$20,0)),""))</f>
        <v/>
      </c>
      <c r="K4" s="22">
        <f>IF($B$2="","",IFERROR(INDEX('因子水準表'!$B$4:$KO$4,MATCH($B$2&amp;"|5",'因子水準表'!$B$20:$KO$20,0)),""))</f>
        <v/>
      </c>
      <c r="L4" s="22">
        <f>IF($B$2="","",IFERROR(INDEX('因子水準表'!$B$4:$KO$4,MATCH($B$2&amp;"|6",'因子水準表'!$B$20:$KO$20,0)),""))</f>
        <v/>
      </c>
      <c r="M4" s="22">
        <f>IF($B$2="","",IFERROR(INDEX('因子水準表'!$B$4:$KO$4,MATCH($B$2&amp;"|7",'因子水準表'!$B$20:$KO$20,0)),""))</f>
        <v/>
      </c>
      <c r="N4" s="22">
        <f>IF($B$2="","",IFERROR(INDEX('因子水準表'!$B$4:$KO$4,MATCH($B$2&amp;"|8",'因子水準表'!$B$20:$KO$20,0)),""))</f>
        <v/>
      </c>
      <c r="O4" s="22">
        <f>IF($B$2="","",IFERROR(INDEX('因子水準表'!$B$4:$KO$4,MATCH($B$2&amp;"|9",'因子水準表'!$B$20:$KO$20,0)),""))</f>
        <v/>
      </c>
      <c r="P4" s="22">
        <f>IF($B$2="","",IFERROR(INDEX('因子水準表'!$B$4:$KO$4,MATCH($B$2&amp;"|10",'因子水準表'!$B$20:$KO$20,0)),""))</f>
        <v/>
      </c>
      <c r="Q4" s="22">
        <f>IF($B$2="","",IFERROR(INDEX('因子水準表'!$B$4:$KO$4,MATCH($B$2&amp;"|11",'因子水準表'!$B$20:$KO$20,0)),""))</f>
        <v/>
      </c>
      <c r="R4" s="22">
        <f>IF($B$2="","",IFERROR(INDEX('因子水準表'!$B$4:$KO$4,MATCH($B$2&amp;"|12",'因子水準表'!$B$20:$KO$20,0)),""))</f>
        <v/>
      </c>
      <c r="S4" s="22">
        <f>IF($B$2="","",IFERROR(INDEX('因子水準表'!$B$4:$KO$4,MATCH($B$2&amp;"|13",'因子水準表'!$B$20:$KO$20,0)),""))</f>
        <v/>
      </c>
      <c r="T4" s="22">
        <f>IF($B$2="","",IFERROR(INDEX('因子水準表'!$B$4:$KO$4,MATCH($B$2&amp;"|14",'因子水準表'!$B$20:$KO$20,0)),""))</f>
        <v/>
      </c>
      <c r="U4" s="22">
        <f>IF($B$2="","",IFERROR(INDEX('因子水準表'!$B$4:$KO$4,MATCH($B$2&amp;"|15",'因子水準表'!$B$20:$KO$20,0)),""))</f>
        <v/>
      </c>
      <c r="V4" s="22">
        <f>IF($B$2="","",IFERROR(INDEX('因子水準表'!$B$4:$KO$4,MATCH($B$2&amp;"|16",'因子水準表'!$B$20:$KO$20,0)),""))</f>
        <v/>
      </c>
      <c r="W4" s="22">
        <f>IF($B$2="","",IFERROR(INDEX('因子水準表'!$B$4:$KO$4,MATCH($B$2&amp;"|17",'因子水準表'!$B$20:$KO$20,0)),""))</f>
        <v/>
      </c>
      <c r="X4" s="22">
        <f>IF($B$2="","",IFERROR(INDEX('因子水準表'!$B$4:$KO$4,MATCH($B$2&amp;"|18",'因子水準表'!$B$20:$KO$20,0)),""))</f>
        <v/>
      </c>
      <c r="Y4" s="22">
        <f>IF($B$2="","",IFERROR(INDEX('因子水準表'!$B$4:$KO$4,MATCH($B$2&amp;"|19",'因子水準表'!$B$20:$KO$20,0)),""))</f>
        <v/>
      </c>
      <c r="Z4" s="22">
        <f>IF($B$2="","",IFERROR(INDEX('因子水準表'!$B$4:$KO$4,MATCH($B$2&amp;"|20",'因子水準表'!$B$20:$KO$20,0)),""))</f>
        <v/>
      </c>
      <c r="AA4" s="22">
        <f>IF($B$2="","",IFERROR(INDEX('因子水準表'!$B$4:$KO$4,MATCH($B$2&amp;"|21",'因子水準表'!$B$20:$KO$20,0)),""))</f>
        <v/>
      </c>
      <c r="AB4" s="22">
        <f>IF($B$2="","",IFERROR(INDEX('因子水準表'!$B$4:$KO$4,MATCH($B$2&amp;"|22",'因子水準表'!$B$20:$KO$20,0)),""))</f>
        <v/>
      </c>
      <c r="AC4" s="22">
        <f>IF($B$2="","",IFERROR(INDEX('因子水準表'!$B$4:$KO$4,MATCH($B$2&amp;"|23",'因子水準表'!$B$20:$KO$20,0)),""))</f>
        <v/>
      </c>
      <c r="AD4" s="22">
        <f>IF($B$2="","",IFERROR(INDEX('因子水準表'!$B$4:$KO$4,MATCH($B$2&amp;"|24",'因子水準表'!$B$20:$KO$20,0)),""))</f>
        <v/>
      </c>
      <c r="AE4" s="22">
        <f>IF($B$2="","",IFERROR(INDEX('因子水準表'!$B$4:$KO$4,MATCH($B$2&amp;"|25",'因子水準表'!$B$20:$KO$20,0)),""))</f>
        <v/>
      </c>
      <c r="AF4" s="22">
        <f>IF($B$2="","",IFERROR(INDEX('因子水準表'!$B$4:$KO$4,MATCH($B$2&amp;"|26",'因子水準表'!$B$20:$KO$20,0)),""))</f>
        <v/>
      </c>
      <c r="AG4" s="22">
        <f>IF($B$2="","",IFERROR(INDEX('因子水準表'!$B$4:$KO$4,MATCH($B$2&amp;"|27",'因子水準表'!$B$20:$KO$20,0)),""))</f>
        <v/>
      </c>
      <c r="AH4" s="22">
        <f>IF($B$2="","",IFERROR(INDEX('因子水準表'!$B$4:$KO$4,MATCH($B$2&amp;"|28",'因子水準表'!$B$20:$KO$20,0)),""))</f>
        <v/>
      </c>
      <c r="AI4" s="22">
        <f>IF($B$2="","",IFERROR(INDEX('因子水準表'!$B$4:$KO$4,MATCH($B$2&amp;"|29",'因子水準表'!$B$20:$KO$20,0)),""))</f>
        <v/>
      </c>
      <c r="AJ4" s="22">
        <f>IF($B$2="","",IFERROR(INDEX('因子水準表'!$B$4:$KO$4,MATCH($B$2&amp;"|30",'因子水準表'!$B$20:$KO$20,0)),""))</f>
        <v/>
      </c>
      <c r="AK4" s="22">
        <f>IF($B$2="","",IFERROR(INDEX('因子水準表'!$B$4:$KO$4,MATCH($B$2&amp;"|31",'因子水準表'!$B$20:$KO$20,0)),""))</f>
        <v/>
      </c>
      <c r="AL4" s="22">
        <f>IF($B$2="","",IFERROR(INDEX('因子水準表'!$B$4:$KO$4,MATCH($B$2&amp;"|32",'因子水準表'!$B$20:$KO$20,0)),""))</f>
        <v/>
      </c>
      <c r="AM4" s="22">
        <f>IF($B$2="","",IFERROR(INDEX('因子水準表'!$B$4:$KO$4,MATCH($B$2&amp;"|33",'因子水準表'!$B$20:$KO$20,0)),""))</f>
        <v/>
      </c>
      <c r="AN4" s="22">
        <f>IF($B$2="","",IFERROR(INDEX('因子水準表'!$B$4:$KO$4,MATCH($B$2&amp;"|34",'因子水準表'!$B$20:$KO$20,0)),""))</f>
        <v/>
      </c>
      <c r="AO4" s="22">
        <f>IF($B$2="","",IFERROR(INDEX('因子水準表'!$B$4:$KO$4,MATCH($B$2&amp;"|35",'因子水準表'!$B$20:$KO$20,0)),""))</f>
        <v/>
      </c>
      <c r="AP4" s="22">
        <f>IF($B$2="","",IFERROR(INDEX('因子水準表'!$B$4:$KO$4,MATCH($B$2&amp;"|36",'因子水準表'!$B$20:$KO$20,0)),""))</f>
        <v/>
      </c>
      <c r="AQ4" s="22">
        <f>IF($B$2="","",IFERROR(INDEX('因子水準表'!$B$4:$KO$4,MATCH($B$2&amp;"|37",'因子水準表'!$B$20:$KO$20,0)),""))</f>
        <v/>
      </c>
      <c r="AR4" s="22">
        <f>IF($B$2="","",IFERROR(INDEX('因子水準表'!$B$4:$KO$4,MATCH($B$2&amp;"|38",'因子水準表'!$B$20:$KO$20,0)),""))</f>
        <v/>
      </c>
      <c r="AS4" s="22">
        <f>IF($B$2="","",IFERROR(INDEX('因子水準表'!$B$4:$KO$4,MATCH($B$2&amp;"|39",'因子水準表'!$B$20:$KO$20,0)),""))</f>
        <v/>
      </c>
      <c r="AT4" s="22">
        <f>IF($B$2="","",IFERROR(INDEX('因子水準表'!$B$4:$KO$4,MATCH($B$2&amp;"|40",'因子水準表'!$B$20:$KO$20,0)),""))</f>
        <v/>
      </c>
      <c r="AU4" s="22">
        <f>IF($B$2="","",IFERROR(INDEX('因子水準表'!$B$4:$KO$4,MATCH($B$2&amp;"|41",'因子水準表'!$B$20:$KO$20,0)),""))</f>
        <v/>
      </c>
      <c r="AV4" s="22">
        <f>IF($B$2="","",IFERROR(INDEX('因子水準表'!$B$4:$KO$4,MATCH($B$2&amp;"|42",'因子水準表'!$B$20:$KO$20,0)),""))</f>
        <v/>
      </c>
      <c r="AW4" s="22">
        <f>IF($B$2="","",IFERROR(INDEX('因子水準表'!$B$4:$KO$4,MATCH($B$2&amp;"|43",'因子水準表'!$B$20:$KO$20,0)),""))</f>
        <v/>
      </c>
      <c r="AX4" s="22">
        <f>IF($B$2="","",IFERROR(INDEX('因子水準表'!$B$4:$KO$4,MATCH($B$2&amp;"|44",'因子水準表'!$B$20:$KO$20,0)),""))</f>
        <v/>
      </c>
      <c r="AY4" s="22">
        <f>IF($B$2="","",IFERROR(INDEX('因子水準表'!$B$4:$KO$4,MATCH($B$2&amp;"|45",'因子水準表'!$B$20:$KO$20,0)),""))</f>
        <v/>
      </c>
      <c r="AZ4" s="22">
        <f>IF($B$2="","",IFERROR(INDEX('因子水準表'!$B$4:$KO$4,MATCH($B$2&amp;"|46",'因子水準表'!$B$20:$KO$20,0)),""))</f>
        <v/>
      </c>
      <c r="BA4" s="22">
        <f>IF($B$2="","",IFERROR(INDEX('因子水準表'!$B$4:$KO$4,MATCH($B$2&amp;"|47",'因子水準表'!$B$20:$KO$20,0)),""))</f>
        <v/>
      </c>
      <c r="BB4" s="22">
        <f>IF($B$2="","",IFERROR(INDEX('因子水準表'!$B$4:$KO$4,MATCH($B$2&amp;"|48",'因子水準表'!$B$20:$KO$20,0)),""))</f>
        <v/>
      </c>
      <c r="BC4" s="22">
        <f>IF($B$2="","",IFERROR(INDEX('因子水準表'!$B$4:$KO$4,MATCH($B$2&amp;"|49",'因子水準表'!$B$20:$KO$20,0)),""))</f>
        <v/>
      </c>
      <c r="BD4" s="22">
        <f>IF($B$2="","",IFERROR(INDEX('因子水準表'!$B$4:$KO$4,MATCH($B$2&amp;"|50",'因子水準表'!$B$20:$KO$20,0)),""))</f>
        <v/>
      </c>
      <c r="BE4" s="12" t="inlineStr">
        <is>
          <t>手順</t>
        </is>
      </c>
      <c r="BF4" s="12" t="inlineStr">
        <is>
          <t>期待結果</t>
        </is>
      </c>
      <c r="BG4" s="12" t="inlineStr">
        <is>
          <t>技法</t>
        </is>
      </c>
      <c r="BH4" s="12" t="inlineStr">
        <is>
          <t>自動化</t>
        </is>
      </c>
      <c r="BI4" s="12" t="inlineStr">
        <is>
          <t>実行日</t>
        </is>
      </c>
      <c r="BJ4" s="12" t="inlineStr">
        <is>
          <t>実行者</t>
        </is>
      </c>
      <c r="BK4" s="12" t="inlineStr">
        <is>
          <t>結果</t>
        </is>
      </c>
      <c r="BL4" s="12" t="inlineStr">
        <is>
          <t>欠陥ID</t>
        </is>
      </c>
      <c r="BM4" s="12" t="inlineStr">
        <is>
          <t>備考</t>
        </is>
      </c>
      <c r="BO4" s="21" t="inlineStr">
        <is>
          <t>プルダウン用（非表示・編集しない）</t>
        </is>
      </c>
      <c r="BP4" s="9" t="n"/>
      <c r="BQ4" s="9" t="n"/>
      <c r="BR4" s="9" t="n"/>
      <c r="BS4" s="9" t="n"/>
      <c r="BT4" s="9" t="n"/>
      <c r="BU4" s="9" t="n"/>
      <c r="BV4" s="9" t="n"/>
      <c r="BW4" s="9" t="n"/>
      <c r="BX4" s="9" t="n"/>
      <c r="BY4" s="9" t="n"/>
      <c r="BZ4" s="9" t="n"/>
      <c r="CA4" s="9" t="n"/>
      <c r="CB4" s="9" t="n"/>
      <c r="CC4" s="9" t="n"/>
      <c r="CD4" s="9" t="n"/>
      <c r="CE4" s="9" t="n"/>
      <c r="CF4" s="9" t="n"/>
      <c r="CG4" s="9" t="n"/>
      <c r="CH4" s="9" t="n"/>
      <c r="CI4" s="9" t="n"/>
      <c r="CJ4" s="9" t="n"/>
      <c r="CK4" s="9" t="n"/>
      <c r="CL4" s="9" t="n"/>
      <c r="CM4" s="9" t="n"/>
      <c r="CN4" s="9" t="n"/>
      <c r="CO4" s="9" t="n"/>
      <c r="CP4" s="9" t="n"/>
      <c r="CQ4" s="9" t="n"/>
      <c r="CR4" s="9" t="n"/>
      <c r="CS4" s="9" t="n"/>
      <c r="CT4" s="9" t="n"/>
      <c r="CU4" s="9" t="n"/>
      <c r="CV4" s="9" t="n"/>
      <c r="CW4" s="9" t="n"/>
      <c r="CX4" s="9" t="n"/>
      <c r="CY4" s="9" t="n"/>
      <c r="CZ4" s="9" t="n"/>
      <c r="DA4" s="9" t="n"/>
      <c r="DB4" s="9" t="n"/>
      <c r="DC4" s="9" t="n"/>
      <c r="DD4" s="9" t="n"/>
      <c r="DE4" s="9" t="n"/>
      <c r="DF4" s="9" t="n"/>
      <c r="DG4" s="9" t="n"/>
      <c r="DH4" s="9" t="n"/>
      <c r="DI4" s="9" t="n"/>
      <c r="DJ4" s="9" t="n"/>
      <c r="DK4" s="9" t="n"/>
      <c r="DL4" s="9" t="n"/>
      <c r="DM4" s="9" t="n"/>
      <c r="DN4" s="10" t="n"/>
    </row>
    <row r="5">
      <c r="A5" s="23" t="n"/>
      <c r="B5" s="23" t="n"/>
      <c r="C5" s="23" t="n"/>
      <c r="D5" s="23" t="n"/>
      <c r="E5" s="23" t="n"/>
      <c r="F5" s="23" t="n"/>
      <c r="G5" s="12">
        <f>IF(G4="","（未使用）",IFERROR(INDEX('因子水準表'!$B$6:$KO$6,MATCH(G4,'因子水準表'!$B$4:$KO$4,0)),"（ID不明）"))</f>
        <v/>
      </c>
      <c r="H5" s="12">
        <f>IF(H4="","（未使用）",IFERROR(INDEX('因子水準表'!$B$6:$KO$6,MATCH(H4,'因子水準表'!$B$4:$KO$4,0)),"（ID不明）"))</f>
        <v/>
      </c>
      <c r="I5" s="12">
        <f>IF(I4="","（未使用）",IFERROR(INDEX('因子水準表'!$B$6:$KO$6,MATCH(I4,'因子水準表'!$B$4:$KO$4,0)),"（ID不明）"))</f>
        <v/>
      </c>
      <c r="J5" s="12">
        <f>IF(J4="","（未使用）",IFERROR(INDEX('因子水準表'!$B$6:$KO$6,MATCH(J4,'因子水準表'!$B$4:$KO$4,0)),"（ID不明）"))</f>
        <v/>
      </c>
      <c r="K5" s="12">
        <f>IF(K4="","（未使用）",IFERROR(INDEX('因子水準表'!$B$6:$KO$6,MATCH(K4,'因子水準表'!$B$4:$KO$4,0)),"（ID不明）"))</f>
        <v/>
      </c>
      <c r="L5" s="12">
        <f>IF(L4="","（未使用）",IFERROR(INDEX('因子水準表'!$B$6:$KO$6,MATCH(L4,'因子水準表'!$B$4:$KO$4,0)),"（ID不明）"))</f>
        <v/>
      </c>
      <c r="M5" s="12">
        <f>IF(M4="","（未使用）",IFERROR(INDEX('因子水準表'!$B$6:$KO$6,MATCH(M4,'因子水準表'!$B$4:$KO$4,0)),"（ID不明）"))</f>
        <v/>
      </c>
      <c r="N5" s="12">
        <f>IF(N4="","（未使用）",IFERROR(INDEX('因子水準表'!$B$6:$KO$6,MATCH(N4,'因子水準表'!$B$4:$KO$4,0)),"（ID不明）"))</f>
        <v/>
      </c>
      <c r="O5" s="12">
        <f>IF(O4="","（未使用）",IFERROR(INDEX('因子水準表'!$B$6:$KO$6,MATCH(O4,'因子水準表'!$B$4:$KO$4,0)),"（ID不明）"))</f>
        <v/>
      </c>
      <c r="P5" s="12">
        <f>IF(P4="","（未使用）",IFERROR(INDEX('因子水準表'!$B$6:$KO$6,MATCH(P4,'因子水準表'!$B$4:$KO$4,0)),"（ID不明）"))</f>
        <v/>
      </c>
      <c r="Q5" s="12">
        <f>IF(Q4="","（未使用）",IFERROR(INDEX('因子水準表'!$B$6:$KO$6,MATCH(Q4,'因子水準表'!$B$4:$KO$4,0)),"（ID不明）"))</f>
        <v/>
      </c>
      <c r="R5" s="12">
        <f>IF(R4="","（未使用）",IFERROR(INDEX('因子水準表'!$B$6:$KO$6,MATCH(R4,'因子水準表'!$B$4:$KO$4,0)),"（ID不明）"))</f>
        <v/>
      </c>
      <c r="S5" s="12">
        <f>IF(S4="","（未使用）",IFERROR(INDEX('因子水準表'!$B$6:$KO$6,MATCH(S4,'因子水準表'!$B$4:$KO$4,0)),"（ID不明）"))</f>
        <v/>
      </c>
      <c r="T5" s="12">
        <f>IF(T4="","（未使用）",IFERROR(INDEX('因子水準表'!$B$6:$KO$6,MATCH(T4,'因子水準表'!$B$4:$KO$4,0)),"（ID不明）"))</f>
        <v/>
      </c>
      <c r="U5" s="12">
        <f>IF(U4="","（未使用）",IFERROR(INDEX('因子水準表'!$B$6:$KO$6,MATCH(U4,'因子水準表'!$B$4:$KO$4,0)),"（ID不明）"))</f>
        <v/>
      </c>
      <c r="V5" s="12">
        <f>IF(V4="","（未使用）",IFERROR(INDEX('因子水準表'!$B$6:$KO$6,MATCH(V4,'因子水準表'!$B$4:$KO$4,0)),"（ID不明）"))</f>
        <v/>
      </c>
      <c r="W5" s="12">
        <f>IF(W4="","（未使用）",IFERROR(INDEX('因子水準表'!$B$6:$KO$6,MATCH(W4,'因子水準表'!$B$4:$KO$4,0)),"（ID不明）"))</f>
        <v/>
      </c>
      <c r="X5" s="12">
        <f>IF(X4="","（未使用）",IFERROR(INDEX('因子水準表'!$B$6:$KO$6,MATCH(X4,'因子水準表'!$B$4:$KO$4,0)),"（ID不明）"))</f>
        <v/>
      </c>
      <c r="Y5" s="12">
        <f>IF(Y4="","（未使用）",IFERROR(INDEX('因子水準表'!$B$6:$KO$6,MATCH(Y4,'因子水準表'!$B$4:$KO$4,0)),"（ID不明）"))</f>
        <v/>
      </c>
      <c r="Z5" s="12">
        <f>IF(Z4="","（未使用）",IFERROR(INDEX('因子水準表'!$B$6:$KO$6,MATCH(Z4,'因子水準表'!$B$4:$KO$4,0)),"（ID不明）"))</f>
        <v/>
      </c>
      <c r="AA5" s="12">
        <f>IF(AA4="","（未使用）",IFERROR(INDEX('因子水準表'!$B$6:$KO$6,MATCH(AA4,'因子水準表'!$B$4:$KO$4,0)),"（ID不明）"))</f>
        <v/>
      </c>
      <c r="AB5" s="12">
        <f>IF(AB4="","（未使用）",IFERROR(INDEX('因子水準表'!$B$6:$KO$6,MATCH(AB4,'因子水準表'!$B$4:$KO$4,0)),"（ID不明）"))</f>
        <v/>
      </c>
      <c r="AC5" s="12">
        <f>IF(AC4="","（未使用）",IFERROR(INDEX('因子水準表'!$B$6:$KO$6,MATCH(AC4,'因子水準表'!$B$4:$KO$4,0)),"（ID不明）"))</f>
        <v/>
      </c>
      <c r="AD5" s="12">
        <f>IF(AD4="","（未使用）",IFERROR(INDEX('因子水準表'!$B$6:$KO$6,MATCH(AD4,'因子水準表'!$B$4:$KO$4,0)),"（ID不明）"))</f>
        <v/>
      </c>
      <c r="AE5" s="12">
        <f>IF(AE4="","（未使用）",IFERROR(INDEX('因子水準表'!$B$6:$KO$6,MATCH(AE4,'因子水準表'!$B$4:$KO$4,0)),"（ID不明）"))</f>
        <v/>
      </c>
      <c r="AF5" s="12">
        <f>IF(AF4="","（未使用）",IFERROR(INDEX('因子水準表'!$B$6:$KO$6,MATCH(AF4,'因子水準表'!$B$4:$KO$4,0)),"（ID不明）"))</f>
        <v/>
      </c>
      <c r="AG5" s="12">
        <f>IF(AG4="","（未使用）",IFERROR(INDEX('因子水準表'!$B$6:$KO$6,MATCH(AG4,'因子水準表'!$B$4:$KO$4,0)),"（ID不明）"))</f>
        <v/>
      </c>
      <c r="AH5" s="12">
        <f>IF(AH4="","（未使用）",IFERROR(INDEX('因子水準表'!$B$6:$KO$6,MATCH(AH4,'因子水準表'!$B$4:$KO$4,0)),"（ID不明）"))</f>
        <v/>
      </c>
      <c r="AI5" s="12">
        <f>IF(AI4="","（未使用）",IFERROR(INDEX('因子水準表'!$B$6:$KO$6,MATCH(AI4,'因子水準表'!$B$4:$KO$4,0)),"（ID不明）"))</f>
        <v/>
      </c>
      <c r="AJ5" s="12">
        <f>IF(AJ4="","（未使用）",IFERROR(INDEX('因子水準表'!$B$6:$KO$6,MATCH(AJ4,'因子水準表'!$B$4:$KO$4,0)),"（ID不明）"))</f>
        <v/>
      </c>
      <c r="AK5" s="12">
        <f>IF(AK4="","（未使用）",IFERROR(INDEX('因子水準表'!$B$6:$KO$6,MATCH(AK4,'因子水準表'!$B$4:$KO$4,0)),"（ID不明）"))</f>
        <v/>
      </c>
      <c r="AL5" s="12">
        <f>IF(AL4="","（未使用）",IFERROR(INDEX('因子水準表'!$B$6:$KO$6,MATCH(AL4,'因子水準表'!$B$4:$KO$4,0)),"（ID不明）"))</f>
        <v/>
      </c>
      <c r="AM5" s="12">
        <f>IF(AM4="","（未使用）",IFERROR(INDEX('因子水準表'!$B$6:$KO$6,MATCH(AM4,'因子水準表'!$B$4:$KO$4,0)),"（ID不明）"))</f>
        <v/>
      </c>
      <c r="AN5" s="12">
        <f>IF(AN4="","（未使用）",IFERROR(INDEX('因子水準表'!$B$6:$KO$6,MATCH(AN4,'因子水準表'!$B$4:$KO$4,0)),"（ID不明）"))</f>
        <v/>
      </c>
      <c r="AO5" s="12">
        <f>IF(AO4="","（未使用）",IFERROR(INDEX('因子水準表'!$B$6:$KO$6,MATCH(AO4,'因子水準表'!$B$4:$KO$4,0)),"（ID不明）"))</f>
        <v/>
      </c>
      <c r="AP5" s="12">
        <f>IF(AP4="","（未使用）",IFERROR(INDEX('因子水準表'!$B$6:$KO$6,MATCH(AP4,'因子水準表'!$B$4:$KO$4,0)),"（ID不明）"))</f>
        <v/>
      </c>
      <c r="AQ5" s="12">
        <f>IF(AQ4="","（未使用）",IFERROR(INDEX('因子水準表'!$B$6:$KO$6,MATCH(AQ4,'因子水準表'!$B$4:$KO$4,0)),"（ID不明）"))</f>
        <v/>
      </c>
      <c r="AR5" s="12">
        <f>IF(AR4="","（未使用）",IFERROR(INDEX('因子水準表'!$B$6:$KO$6,MATCH(AR4,'因子水準表'!$B$4:$KO$4,0)),"（ID不明）"))</f>
        <v/>
      </c>
      <c r="AS5" s="12">
        <f>IF(AS4="","（未使用）",IFERROR(INDEX('因子水準表'!$B$6:$KO$6,MATCH(AS4,'因子水準表'!$B$4:$KO$4,0)),"（ID不明）"))</f>
        <v/>
      </c>
      <c r="AT5" s="12">
        <f>IF(AT4="","（未使用）",IFERROR(INDEX('因子水準表'!$B$6:$KO$6,MATCH(AT4,'因子水準表'!$B$4:$KO$4,0)),"（ID不明）"))</f>
        <v/>
      </c>
      <c r="AU5" s="12">
        <f>IF(AU4="","（未使用）",IFERROR(INDEX('因子水準表'!$B$6:$KO$6,MATCH(AU4,'因子水準表'!$B$4:$KO$4,0)),"（ID不明）"))</f>
        <v/>
      </c>
      <c r="AV5" s="12">
        <f>IF(AV4="","（未使用）",IFERROR(INDEX('因子水準表'!$B$6:$KO$6,MATCH(AV4,'因子水準表'!$B$4:$KO$4,0)),"（ID不明）"))</f>
        <v/>
      </c>
      <c r="AW5" s="12">
        <f>IF(AW4="","（未使用）",IFERROR(INDEX('因子水準表'!$B$6:$KO$6,MATCH(AW4,'因子水準表'!$B$4:$KO$4,0)),"（ID不明）"))</f>
        <v/>
      </c>
      <c r="AX5" s="12">
        <f>IF(AX4="","（未使用）",IFERROR(INDEX('因子水準表'!$B$6:$KO$6,MATCH(AX4,'因子水準表'!$B$4:$KO$4,0)),"（ID不明）"))</f>
        <v/>
      </c>
      <c r="AY5" s="12">
        <f>IF(AY4="","（未使用）",IFERROR(INDEX('因子水準表'!$B$6:$KO$6,MATCH(AY4,'因子水準表'!$B$4:$KO$4,0)),"（ID不明）"))</f>
        <v/>
      </c>
      <c r="AZ5" s="12">
        <f>IF(AZ4="","（未使用）",IFERROR(INDEX('因子水準表'!$B$6:$KO$6,MATCH(AZ4,'因子水準表'!$B$4:$KO$4,0)),"（ID不明）"))</f>
        <v/>
      </c>
      <c r="BA5" s="12">
        <f>IF(BA4="","（未使用）",IFERROR(INDEX('因子水準表'!$B$6:$KO$6,MATCH(BA4,'因子水準表'!$B$4:$KO$4,0)),"（ID不明）"))</f>
        <v/>
      </c>
      <c r="BB5" s="12">
        <f>IF(BB4="","（未使用）",IFERROR(INDEX('因子水準表'!$B$6:$KO$6,MATCH(BB4,'因子水準表'!$B$4:$KO$4,0)),"（ID不明）"))</f>
        <v/>
      </c>
      <c r="BC5" s="12">
        <f>IF(BC4="","（未使用）",IFERROR(INDEX('因子水準表'!$B$6:$KO$6,MATCH(BC4,'因子水準表'!$B$4:$KO$4,0)),"（ID不明）"))</f>
        <v/>
      </c>
      <c r="BD5" s="12">
        <f>IF(BD4="","（未使用）",IFERROR(INDEX('因子水準表'!$B$6:$KO$6,MATCH(BD4,'因子水準表'!$B$4:$KO$4,0)),"（ID不明）"))</f>
        <v/>
      </c>
      <c r="BE5" s="23" t="n"/>
      <c r="BF5" s="23" t="n"/>
      <c r="BG5" s="23" t="n"/>
      <c r="BH5" s="23" t="n"/>
      <c r="BI5" s="23" t="n"/>
      <c r="BJ5" s="23" t="n"/>
      <c r="BK5" s="23" t="n"/>
      <c r="BL5" s="23" t="n"/>
      <c r="BM5" s="23" t="n"/>
      <c r="BO5" s="12" t="inlineStr">
        <is>
          <t>1列目の水準</t>
        </is>
      </c>
      <c r="BP5" s="12" t="inlineStr">
        <is>
          <t>2列目の水準</t>
        </is>
      </c>
      <c r="BQ5" s="12" t="inlineStr">
        <is>
          <t>3列目の水準</t>
        </is>
      </c>
      <c r="BR5" s="12" t="inlineStr">
        <is>
          <t>4列目の水準</t>
        </is>
      </c>
      <c r="BS5" s="12" t="inlineStr">
        <is>
          <t>5列目の水準</t>
        </is>
      </c>
      <c r="BT5" s="12" t="inlineStr">
        <is>
          <t>6列目の水準</t>
        </is>
      </c>
      <c r="BU5" s="12" t="inlineStr">
        <is>
          <t>7列目の水準</t>
        </is>
      </c>
      <c r="BV5" s="12" t="inlineStr">
        <is>
          <t>8列目の水準</t>
        </is>
      </c>
      <c r="BW5" s="12" t="inlineStr">
        <is>
          <t>9列目の水準</t>
        </is>
      </c>
      <c r="BX5" s="12" t="inlineStr">
        <is>
          <t>10列目の水準</t>
        </is>
      </c>
      <c r="BY5" s="12" t="inlineStr">
        <is>
          <t>11列目の水準</t>
        </is>
      </c>
      <c r="BZ5" s="12" t="inlineStr">
        <is>
          <t>12列目の水準</t>
        </is>
      </c>
      <c r="CA5" s="12" t="inlineStr">
        <is>
          <t>13列目の水準</t>
        </is>
      </c>
      <c r="CB5" s="12" t="inlineStr">
        <is>
          <t>14列目の水準</t>
        </is>
      </c>
      <c r="CC5" s="12" t="inlineStr">
        <is>
          <t>15列目の水準</t>
        </is>
      </c>
      <c r="CD5" s="12" t="inlineStr">
        <is>
          <t>16列目の水準</t>
        </is>
      </c>
      <c r="CE5" s="12" t="inlineStr">
        <is>
          <t>17列目の水準</t>
        </is>
      </c>
      <c r="CF5" s="12" t="inlineStr">
        <is>
          <t>18列目の水準</t>
        </is>
      </c>
      <c r="CG5" s="12" t="inlineStr">
        <is>
          <t>19列目の水準</t>
        </is>
      </c>
      <c r="CH5" s="12" t="inlineStr">
        <is>
          <t>20列目の水準</t>
        </is>
      </c>
      <c r="CI5" s="12" t="inlineStr">
        <is>
          <t>21列目の水準</t>
        </is>
      </c>
      <c r="CJ5" s="12" t="inlineStr">
        <is>
          <t>22列目の水準</t>
        </is>
      </c>
      <c r="CK5" s="12" t="inlineStr">
        <is>
          <t>23列目の水準</t>
        </is>
      </c>
      <c r="CL5" s="12" t="inlineStr">
        <is>
          <t>24列目の水準</t>
        </is>
      </c>
      <c r="CM5" s="12" t="inlineStr">
        <is>
          <t>25列目の水準</t>
        </is>
      </c>
      <c r="CN5" s="12" t="inlineStr">
        <is>
          <t>26列目の水準</t>
        </is>
      </c>
      <c r="CO5" s="12" t="inlineStr">
        <is>
          <t>27列目の水準</t>
        </is>
      </c>
      <c r="CP5" s="12" t="inlineStr">
        <is>
          <t>28列目の水準</t>
        </is>
      </c>
      <c r="CQ5" s="12" t="inlineStr">
        <is>
          <t>29列目の水準</t>
        </is>
      </c>
      <c r="CR5" s="12" t="inlineStr">
        <is>
          <t>30列目の水準</t>
        </is>
      </c>
      <c r="CS5" s="12" t="inlineStr">
        <is>
          <t>31列目の水準</t>
        </is>
      </c>
      <c r="CT5" s="12" t="inlineStr">
        <is>
          <t>32列目の水準</t>
        </is>
      </c>
      <c r="CU5" s="12" t="inlineStr">
        <is>
          <t>33列目の水準</t>
        </is>
      </c>
      <c r="CV5" s="12" t="inlineStr">
        <is>
          <t>34列目の水準</t>
        </is>
      </c>
      <c r="CW5" s="12" t="inlineStr">
        <is>
          <t>35列目の水準</t>
        </is>
      </c>
      <c r="CX5" s="12" t="inlineStr">
        <is>
          <t>36列目の水準</t>
        </is>
      </c>
      <c r="CY5" s="12" t="inlineStr">
        <is>
          <t>37列目の水準</t>
        </is>
      </c>
      <c r="CZ5" s="12" t="inlineStr">
        <is>
          <t>38列目の水準</t>
        </is>
      </c>
      <c r="DA5" s="12" t="inlineStr">
        <is>
          <t>39列目の水準</t>
        </is>
      </c>
      <c r="DB5" s="12" t="inlineStr">
        <is>
          <t>40列目の水準</t>
        </is>
      </c>
      <c r="DC5" s="12" t="inlineStr">
        <is>
          <t>41列目の水準</t>
        </is>
      </c>
      <c r="DD5" s="12" t="inlineStr">
        <is>
          <t>42列目の水準</t>
        </is>
      </c>
      <c r="DE5" s="12" t="inlineStr">
        <is>
          <t>43列目の水準</t>
        </is>
      </c>
      <c r="DF5" s="12" t="inlineStr">
        <is>
          <t>44列目の水準</t>
        </is>
      </c>
      <c r="DG5" s="12" t="inlineStr">
        <is>
          <t>45列目の水準</t>
        </is>
      </c>
      <c r="DH5" s="12" t="inlineStr">
        <is>
          <t>46列目の水準</t>
        </is>
      </c>
      <c r="DI5" s="12" t="inlineStr">
        <is>
          <t>47列目の水準</t>
        </is>
      </c>
      <c r="DJ5" s="12" t="inlineStr">
        <is>
          <t>48列目の水準</t>
        </is>
      </c>
      <c r="DK5" s="12" t="inlineStr">
        <is>
          <t>49列目の水準</t>
        </is>
      </c>
      <c r="DL5" s="12" t="inlineStr">
        <is>
          <t>50列目の水準</t>
        </is>
      </c>
      <c r="DM5" s="12" t="inlineStr">
        <is>
          <t>カテゴリ</t>
        </is>
      </c>
      <c r="DN5" s="12" t="inlineStr">
        <is>
          <t>条件ID</t>
        </is>
      </c>
    </row>
    <row r="6">
      <c r="A6" s="27" t="n"/>
      <c r="B6" s="27" t="n"/>
      <c r="C6" s="28">
        <f>IF(A6="","",$B$2)</f>
        <v/>
      </c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  <c r="AI6" s="27" t="n"/>
      <c r="AJ6" s="27" t="n"/>
      <c r="AK6" s="27" t="n"/>
      <c r="AL6" s="27" t="n"/>
      <c r="AM6" s="27" t="n"/>
      <c r="AN6" s="27" t="n"/>
      <c r="AO6" s="27" t="n"/>
      <c r="AP6" s="27" t="n"/>
      <c r="AQ6" s="27" t="n"/>
      <c r="AR6" s="27" t="n"/>
      <c r="AS6" s="27" t="n"/>
      <c r="AT6" s="27" t="n"/>
      <c r="AU6" s="27" t="n"/>
      <c r="AV6" s="27" t="n"/>
      <c r="AW6" s="27" t="n"/>
      <c r="AX6" s="27" t="n"/>
      <c r="AY6" s="27" t="n"/>
      <c r="AZ6" s="27" t="n"/>
      <c r="BA6" s="27" t="n"/>
      <c r="BB6" s="27" t="n"/>
      <c r="BC6" s="27" t="n"/>
      <c r="BD6" s="27" t="n"/>
      <c r="BE6" s="27" t="n"/>
      <c r="BF6" s="27" t="n"/>
      <c r="BG6" s="27" t="n"/>
      <c r="BH6" s="27" t="n"/>
      <c r="BI6" s="29" t="n"/>
      <c r="BJ6" s="27" t="n"/>
      <c r="BK6" s="27" t="n"/>
      <c r="BL6" s="27" t="n"/>
      <c r="BM6" s="27" t="n"/>
      <c r="BO6" s="26">
        <f>IF(G$4="","",IFERROR(INDEX('因子水準表'!$B$9:$KO$18,1,MATCH(G$4,'因子水準表'!$B$4:$KO$4,0))&amp;"",""))</f>
        <v/>
      </c>
      <c r="BP6" s="26">
        <f>IF(H$4="","",IFERROR(INDEX('因子水準表'!$B$9:$KO$18,1,MATCH(H$4,'因子水準表'!$B$4:$KO$4,0))&amp;"",""))</f>
        <v/>
      </c>
      <c r="BQ6" s="26">
        <f>IF(I$4="","",IFERROR(INDEX('因子水準表'!$B$9:$KO$18,1,MATCH(I$4,'因子水準表'!$B$4:$KO$4,0))&amp;"",""))</f>
        <v/>
      </c>
      <c r="BR6" s="26">
        <f>IF(J$4="","",IFERROR(INDEX('因子水準表'!$B$9:$KO$18,1,MATCH(J$4,'因子水準表'!$B$4:$KO$4,0))&amp;"",""))</f>
        <v/>
      </c>
      <c r="BS6" s="26">
        <f>IF(K$4="","",IFERROR(INDEX('因子水準表'!$B$9:$KO$18,1,MATCH(K$4,'因子水準表'!$B$4:$KO$4,0))&amp;"",""))</f>
        <v/>
      </c>
      <c r="BT6" s="26">
        <f>IF(L$4="","",IFERROR(INDEX('因子水準表'!$B$9:$KO$18,1,MATCH(L$4,'因子水準表'!$B$4:$KO$4,0))&amp;"",""))</f>
        <v/>
      </c>
      <c r="BU6" s="26">
        <f>IF(M$4="","",IFERROR(INDEX('因子水準表'!$B$9:$KO$18,1,MATCH(M$4,'因子水準表'!$B$4:$KO$4,0))&amp;"",""))</f>
        <v/>
      </c>
      <c r="BV6" s="26">
        <f>IF(N$4="","",IFERROR(INDEX('因子水準表'!$B$9:$KO$18,1,MATCH(N$4,'因子水準表'!$B$4:$KO$4,0))&amp;"",""))</f>
        <v/>
      </c>
      <c r="BW6" s="26">
        <f>IF(O$4="","",IFERROR(INDEX('因子水準表'!$B$9:$KO$18,1,MATCH(O$4,'因子水準表'!$B$4:$KO$4,0))&amp;"",""))</f>
        <v/>
      </c>
      <c r="BX6" s="26">
        <f>IF(P$4="","",IFERROR(INDEX('因子水準表'!$B$9:$KO$18,1,MATCH(P$4,'因子水準表'!$B$4:$KO$4,0))&amp;"",""))</f>
        <v/>
      </c>
      <c r="BY6" s="26">
        <f>IF(Q$4="","",IFERROR(INDEX('因子水準表'!$B$9:$KO$18,1,MATCH(Q$4,'因子水準表'!$B$4:$KO$4,0))&amp;"",""))</f>
        <v/>
      </c>
      <c r="BZ6" s="26">
        <f>IF(R$4="","",IFERROR(INDEX('因子水準表'!$B$9:$KO$18,1,MATCH(R$4,'因子水準表'!$B$4:$KO$4,0))&amp;"",""))</f>
        <v/>
      </c>
      <c r="CA6" s="26">
        <f>IF(S$4="","",IFERROR(INDEX('因子水準表'!$B$9:$KO$18,1,MATCH(S$4,'因子水準表'!$B$4:$KO$4,0))&amp;"",""))</f>
        <v/>
      </c>
      <c r="CB6" s="26">
        <f>IF(T$4="","",IFERROR(INDEX('因子水準表'!$B$9:$KO$18,1,MATCH(T$4,'因子水準表'!$B$4:$KO$4,0))&amp;"",""))</f>
        <v/>
      </c>
      <c r="CC6" s="26">
        <f>IF(U$4="","",IFERROR(INDEX('因子水準表'!$B$9:$KO$18,1,MATCH(U$4,'因子水準表'!$B$4:$KO$4,0))&amp;"",""))</f>
        <v/>
      </c>
      <c r="CD6" s="26">
        <f>IF(V$4="","",IFERROR(INDEX('因子水準表'!$B$9:$KO$18,1,MATCH(V$4,'因子水準表'!$B$4:$KO$4,0))&amp;"",""))</f>
        <v/>
      </c>
      <c r="CE6" s="26">
        <f>IF(W$4="","",IFERROR(INDEX('因子水準表'!$B$9:$KO$18,1,MATCH(W$4,'因子水準表'!$B$4:$KO$4,0))&amp;"",""))</f>
        <v/>
      </c>
      <c r="CF6" s="26">
        <f>IF(X$4="","",IFERROR(INDEX('因子水準表'!$B$9:$KO$18,1,MATCH(X$4,'因子水準表'!$B$4:$KO$4,0))&amp;"",""))</f>
        <v/>
      </c>
      <c r="CG6" s="26">
        <f>IF(Y$4="","",IFERROR(INDEX('因子水準表'!$B$9:$KO$18,1,MATCH(Y$4,'因子水準表'!$B$4:$KO$4,0))&amp;"",""))</f>
        <v/>
      </c>
      <c r="CH6" s="26">
        <f>IF(Z$4="","",IFERROR(INDEX('因子水準表'!$B$9:$KO$18,1,MATCH(Z$4,'因子水準表'!$B$4:$KO$4,0))&amp;"",""))</f>
        <v/>
      </c>
      <c r="CI6" s="26">
        <f>IF(AA$4="","",IFERROR(INDEX('因子水準表'!$B$9:$KO$18,1,MATCH(AA$4,'因子水準表'!$B$4:$KO$4,0))&amp;"",""))</f>
        <v/>
      </c>
      <c r="CJ6" s="26">
        <f>IF(AB$4="","",IFERROR(INDEX('因子水準表'!$B$9:$KO$18,1,MATCH(AB$4,'因子水準表'!$B$4:$KO$4,0))&amp;"",""))</f>
        <v/>
      </c>
      <c r="CK6" s="26">
        <f>IF(AC$4="","",IFERROR(INDEX('因子水準表'!$B$9:$KO$18,1,MATCH(AC$4,'因子水準表'!$B$4:$KO$4,0))&amp;"",""))</f>
        <v/>
      </c>
      <c r="CL6" s="26">
        <f>IF(AD$4="","",IFERROR(INDEX('因子水準表'!$B$9:$KO$18,1,MATCH(AD$4,'因子水準表'!$B$4:$KO$4,0))&amp;"",""))</f>
        <v/>
      </c>
      <c r="CM6" s="26">
        <f>IF(AE$4="","",IFERROR(INDEX('因子水準表'!$B$9:$KO$18,1,MATCH(AE$4,'因子水準表'!$B$4:$KO$4,0))&amp;"",""))</f>
        <v/>
      </c>
      <c r="CN6" s="26">
        <f>IF(AF$4="","",IFERROR(INDEX('因子水準表'!$B$9:$KO$18,1,MATCH(AF$4,'因子水準表'!$B$4:$KO$4,0))&amp;"",""))</f>
        <v/>
      </c>
      <c r="CO6" s="26">
        <f>IF(AG$4="","",IFERROR(INDEX('因子水準表'!$B$9:$KO$18,1,MATCH(AG$4,'因子水準表'!$B$4:$KO$4,0))&amp;"",""))</f>
        <v/>
      </c>
      <c r="CP6" s="26">
        <f>IF(AH$4="","",IFERROR(INDEX('因子水準表'!$B$9:$KO$18,1,MATCH(AH$4,'因子水準表'!$B$4:$KO$4,0))&amp;"",""))</f>
        <v/>
      </c>
      <c r="CQ6" s="26">
        <f>IF(AI$4="","",IFERROR(INDEX('因子水準表'!$B$9:$KO$18,1,MATCH(AI$4,'因子水準表'!$B$4:$KO$4,0))&amp;"",""))</f>
        <v/>
      </c>
      <c r="CR6" s="26">
        <f>IF(AJ$4="","",IFERROR(INDEX('因子水準表'!$B$9:$KO$18,1,MATCH(AJ$4,'因子水準表'!$B$4:$KO$4,0))&amp;"",""))</f>
        <v/>
      </c>
      <c r="CS6" s="26">
        <f>IF(AK$4="","",IFERROR(INDEX('因子水準表'!$B$9:$KO$18,1,MATCH(AK$4,'因子水準表'!$B$4:$KO$4,0))&amp;"",""))</f>
        <v/>
      </c>
      <c r="CT6" s="26">
        <f>IF(AL$4="","",IFERROR(INDEX('因子水準表'!$B$9:$KO$18,1,MATCH(AL$4,'因子水準表'!$B$4:$KO$4,0))&amp;"",""))</f>
        <v/>
      </c>
      <c r="CU6" s="26">
        <f>IF(AM$4="","",IFERROR(INDEX('因子水準表'!$B$9:$KO$18,1,MATCH(AM$4,'因子水準表'!$B$4:$KO$4,0))&amp;"",""))</f>
        <v/>
      </c>
      <c r="CV6" s="26">
        <f>IF(AN$4="","",IFERROR(INDEX('因子水準表'!$B$9:$KO$18,1,MATCH(AN$4,'因子水準表'!$B$4:$KO$4,0))&amp;"",""))</f>
        <v/>
      </c>
      <c r="CW6" s="26">
        <f>IF(AO$4="","",IFERROR(INDEX('因子水準表'!$B$9:$KO$18,1,MATCH(AO$4,'因子水準表'!$B$4:$KO$4,0))&amp;"",""))</f>
        <v/>
      </c>
      <c r="CX6" s="26">
        <f>IF(AP$4="","",IFERROR(INDEX('因子水準表'!$B$9:$KO$18,1,MATCH(AP$4,'因子水準表'!$B$4:$KO$4,0))&amp;"",""))</f>
        <v/>
      </c>
      <c r="CY6" s="26">
        <f>IF(AQ$4="","",IFERROR(INDEX('因子水準表'!$B$9:$KO$18,1,MATCH(AQ$4,'因子水準表'!$B$4:$KO$4,0))&amp;"",""))</f>
        <v/>
      </c>
      <c r="CZ6" s="26">
        <f>IF(AR$4="","",IFERROR(INDEX('因子水準表'!$B$9:$KO$18,1,MATCH(AR$4,'因子水準表'!$B$4:$KO$4,0))&amp;"",""))</f>
        <v/>
      </c>
      <c r="DA6" s="26">
        <f>IF(AS$4="","",IFERROR(INDEX('因子水準表'!$B$9:$KO$18,1,MATCH(AS$4,'因子水準表'!$B$4:$KO$4,0))&amp;"",""))</f>
        <v/>
      </c>
      <c r="DB6" s="26">
        <f>IF(AT$4="","",IFERROR(INDEX('因子水準表'!$B$9:$KO$18,1,MATCH(AT$4,'因子水準表'!$B$4:$KO$4,0))&amp;"",""))</f>
        <v/>
      </c>
      <c r="DC6" s="26">
        <f>IF(AU$4="","",IFERROR(INDEX('因子水準表'!$B$9:$KO$18,1,MATCH(AU$4,'因子水準表'!$B$4:$KO$4,0))&amp;"",""))</f>
        <v/>
      </c>
      <c r="DD6" s="26">
        <f>IF(AV$4="","",IFERROR(INDEX('因子水準表'!$B$9:$KO$18,1,MATCH(AV$4,'因子水準表'!$B$4:$KO$4,0))&amp;"",""))</f>
        <v/>
      </c>
      <c r="DE6" s="26">
        <f>IF(AW$4="","",IFERROR(INDEX('因子水準表'!$B$9:$KO$18,1,MATCH(AW$4,'因子水準表'!$B$4:$KO$4,0))&amp;"",""))</f>
        <v/>
      </c>
      <c r="DF6" s="26">
        <f>IF(AX$4="","",IFERROR(INDEX('因子水準表'!$B$9:$KO$18,1,MATCH(AX$4,'因子水準表'!$B$4:$KO$4,0))&amp;"",""))</f>
        <v/>
      </c>
      <c r="DG6" s="26">
        <f>IF(AY$4="","",IFERROR(INDEX('因子水準表'!$B$9:$KO$18,1,MATCH(AY$4,'因子水準表'!$B$4:$KO$4,0))&amp;"",""))</f>
        <v/>
      </c>
      <c r="DH6" s="26">
        <f>IF(AZ$4="","",IFERROR(INDEX('因子水準表'!$B$9:$KO$18,1,MATCH(AZ$4,'因子水準表'!$B$4:$KO$4,0))&amp;"",""))</f>
        <v/>
      </c>
      <c r="DI6" s="26">
        <f>IF(BA$4="","",IFERROR(INDEX('因子水準表'!$B$9:$KO$18,1,MATCH(BA$4,'因子水準表'!$B$4:$KO$4,0))&amp;"",""))</f>
        <v/>
      </c>
      <c r="DJ6" s="26">
        <f>IF(BB$4="","",IFERROR(INDEX('因子水準表'!$B$9:$KO$18,1,MATCH(BB$4,'因子水準表'!$B$4:$KO$4,0))&amp;"",""))</f>
        <v/>
      </c>
      <c r="DK6" s="26">
        <f>IF(BC$4="","",IFERROR(INDEX('因子水準表'!$B$9:$KO$18,1,MATCH(BC$4,'因子水準表'!$B$4:$KO$4,0))&amp;"",""))</f>
        <v/>
      </c>
      <c r="DL6" s="26">
        <f>IF(BD$4="","",IFERROR(INDEX('因子水準表'!$B$9:$KO$18,1,MATCH(BD$4,'因子水準表'!$B$4:$KO$4,0))&amp;"",""))</f>
        <v/>
      </c>
      <c r="DM6" s="26">
        <f>IF('因子水準表'!B29="","",'因子水準表'!B29)</f>
        <v/>
      </c>
      <c r="DN6" s="26">
        <f>IF('テスト条件'!A5="","",'テスト条件'!A5)</f>
        <v/>
      </c>
    </row>
    <row r="7">
      <c r="A7" s="27" t="n"/>
      <c r="B7" s="27" t="n"/>
      <c r="C7" s="28">
        <f>IF(A7="","",$B$2)</f>
        <v/>
      </c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7" t="n"/>
      <c r="BE7" s="27" t="n"/>
      <c r="BF7" s="27" t="n"/>
      <c r="BG7" s="27" t="n"/>
      <c r="BH7" s="27" t="n"/>
      <c r="BI7" s="29" t="n"/>
      <c r="BJ7" s="27" t="n"/>
      <c r="BK7" s="27" t="n"/>
      <c r="BL7" s="27" t="n"/>
      <c r="BM7" s="27" t="n"/>
      <c r="BO7" s="26">
        <f>IF(G$4="","",IFERROR(INDEX('因子水準表'!$B$9:$KO$18,2,MATCH(G$4,'因子水準表'!$B$4:$KO$4,0))&amp;"",""))</f>
        <v/>
      </c>
      <c r="BP7" s="26">
        <f>IF(H$4="","",IFERROR(INDEX('因子水準表'!$B$9:$KO$18,2,MATCH(H$4,'因子水準表'!$B$4:$KO$4,0))&amp;"",""))</f>
        <v/>
      </c>
      <c r="BQ7" s="26">
        <f>IF(I$4="","",IFERROR(INDEX('因子水準表'!$B$9:$KO$18,2,MATCH(I$4,'因子水準表'!$B$4:$KO$4,0))&amp;"",""))</f>
        <v/>
      </c>
      <c r="BR7" s="26">
        <f>IF(J$4="","",IFERROR(INDEX('因子水準表'!$B$9:$KO$18,2,MATCH(J$4,'因子水準表'!$B$4:$KO$4,0))&amp;"",""))</f>
        <v/>
      </c>
      <c r="BS7" s="26">
        <f>IF(K$4="","",IFERROR(INDEX('因子水準表'!$B$9:$KO$18,2,MATCH(K$4,'因子水準表'!$B$4:$KO$4,0))&amp;"",""))</f>
        <v/>
      </c>
      <c r="BT7" s="26">
        <f>IF(L$4="","",IFERROR(INDEX('因子水準表'!$B$9:$KO$18,2,MATCH(L$4,'因子水準表'!$B$4:$KO$4,0))&amp;"",""))</f>
        <v/>
      </c>
      <c r="BU7" s="26">
        <f>IF(M$4="","",IFERROR(INDEX('因子水準表'!$B$9:$KO$18,2,MATCH(M$4,'因子水準表'!$B$4:$KO$4,0))&amp;"",""))</f>
        <v/>
      </c>
      <c r="BV7" s="26">
        <f>IF(N$4="","",IFERROR(INDEX('因子水準表'!$B$9:$KO$18,2,MATCH(N$4,'因子水準表'!$B$4:$KO$4,0))&amp;"",""))</f>
        <v/>
      </c>
      <c r="BW7" s="26">
        <f>IF(O$4="","",IFERROR(INDEX('因子水準表'!$B$9:$KO$18,2,MATCH(O$4,'因子水準表'!$B$4:$KO$4,0))&amp;"",""))</f>
        <v/>
      </c>
      <c r="BX7" s="26">
        <f>IF(P$4="","",IFERROR(INDEX('因子水準表'!$B$9:$KO$18,2,MATCH(P$4,'因子水準表'!$B$4:$KO$4,0))&amp;"",""))</f>
        <v/>
      </c>
      <c r="BY7" s="26">
        <f>IF(Q$4="","",IFERROR(INDEX('因子水準表'!$B$9:$KO$18,2,MATCH(Q$4,'因子水準表'!$B$4:$KO$4,0))&amp;"",""))</f>
        <v/>
      </c>
      <c r="BZ7" s="26">
        <f>IF(R$4="","",IFERROR(INDEX('因子水準表'!$B$9:$KO$18,2,MATCH(R$4,'因子水準表'!$B$4:$KO$4,0))&amp;"",""))</f>
        <v/>
      </c>
      <c r="CA7" s="26">
        <f>IF(S$4="","",IFERROR(INDEX('因子水準表'!$B$9:$KO$18,2,MATCH(S$4,'因子水準表'!$B$4:$KO$4,0))&amp;"",""))</f>
        <v/>
      </c>
      <c r="CB7" s="26">
        <f>IF(T$4="","",IFERROR(INDEX('因子水準表'!$B$9:$KO$18,2,MATCH(T$4,'因子水準表'!$B$4:$KO$4,0))&amp;"",""))</f>
        <v/>
      </c>
      <c r="CC7" s="26">
        <f>IF(U$4="","",IFERROR(INDEX('因子水準表'!$B$9:$KO$18,2,MATCH(U$4,'因子水準表'!$B$4:$KO$4,0))&amp;"",""))</f>
        <v/>
      </c>
      <c r="CD7" s="26">
        <f>IF(V$4="","",IFERROR(INDEX('因子水準表'!$B$9:$KO$18,2,MATCH(V$4,'因子水準表'!$B$4:$KO$4,0))&amp;"",""))</f>
        <v/>
      </c>
      <c r="CE7" s="26">
        <f>IF(W$4="","",IFERROR(INDEX('因子水準表'!$B$9:$KO$18,2,MATCH(W$4,'因子水準表'!$B$4:$KO$4,0))&amp;"",""))</f>
        <v/>
      </c>
      <c r="CF7" s="26">
        <f>IF(X$4="","",IFERROR(INDEX('因子水準表'!$B$9:$KO$18,2,MATCH(X$4,'因子水準表'!$B$4:$KO$4,0))&amp;"",""))</f>
        <v/>
      </c>
      <c r="CG7" s="26">
        <f>IF(Y$4="","",IFERROR(INDEX('因子水準表'!$B$9:$KO$18,2,MATCH(Y$4,'因子水準表'!$B$4:$KO$4,0))&amp;"",""))</f>
        <v/>
      </c>
      <c r="CH7" s="26">
        <f>IF(Z$4="","",IFERROR(INDEX('因子水準表'!$B$9:$KO$18,2,MATCH(Z$4,'因子水準表'!$B$4:$KO$4,0))&amp;"",""))</f>
        <v/>
      </c>
      <c r="CI7" s="26">
        <f>IF(AA$4="","",IFERROR(INDEX('因子水準表'!$B$9:$KO$18,2,MATCH(AA$4,'因子水準表'!$B$4:$KO$4,0))&amp;"",""))</f>
        <v/>
      </c>
      <c r="CJ7" s="26">
        <f>IF(AB$4="","",IFERROR(INDEX('因子水準表'!$B$9:$KO$18,2,MATCH(AB$4,'因子水準表'!$B$4:$KO$4,0))&amp;"",""))</f>
        <v/>
      </c>
      <c r="CK7" s="26">
        <f>IF(AC$4="","",IFERROR(INDEX('因子水準表'!$B$9:$KO$18,2,MATCH(AC$4,'因子水準表'!$B$4:$KO$4,0))&amp;"",""))</f>
        <v/>
      </c>
      <c r="CL7" s="26">
        <f>IF(AD$4="","",IFERROR(INDEX('因子水準表'!$B$9:$KO$18,2,MATCH(AD$4,'因子水準表'!$B$4:$KO$4,0))&amp;"",""))</f>
        <v/>
      </c>
      <c r="CM7" s="26">
        <f>IF(AE$4="","",IFERROR(INDEX('因子水準表'!$B$9:$KO$18,2,MATCH(AE$4,'因子水準表'!$B$4:$KO$4,0))&amp;"",""))</f>
        <v/>
      </c>
      <c r="CN7" s="26">
        <f>IF(AF$4="","",IFERROR(INDEX('因子水準表'!$B$9:$KO$18,2,MATCH(AF$4,'因子水準表'!$B$4:$KO$4,0))&amp;"",""))</f>
        <v/>
      </c>
      <c r="CO7" s="26">
        <f>IF(AG$4="","",IFERROR(INDEX('因子水準表'!$B$9:$KO$18,2,MATCH(AG$4,'因子水準表'!$B$4:$KO$4,0))&amp;"",""))</f>
        <v/>
      </c>
      <c r="CP7" s="26">
        <f>IF(AH$4="","",IFERROR(INDEX('因子水準表'!$B$9:$KO$18,2,MATCH(AH$4,'因子水準表'!$B$4:$KO$4,0))&amp;"",""))</f>
        <v/>
      </c>
      <c r="CQ7" s="26">
        <f>IF(AI$4="","",IFERROR(INDEX('因子水準表'!$B$9:$KO$18,2,MATCH(AI$4,'因子水準表'!$B$4:$KO$4,0))&amp;"",""))</f>
        <v/>
      </c>
      <c r="CR7" s="26">
        <f>IF(AJ$4="","",IFERROR(INDEX('因子水準表'!$B$9:$KO$18,2,MATCH(AJ$4,'因子水準表'!$B$4:$KO$4,0))&amp;"",""))</f>
        <v/>
      </c>
      <c r="CS7" s="26">
        <f>IF(AK$4="","",IFERROR(INDEX('因子水準表'!$B$9:$KO$18,2,MATCH(AK$4,'因子水準表'!$B$4:$KO$4,0))&amp;"",""))</f>
        <v/>
      </c>
      <c r="CT7" s="26">
        <f>IF(AL$4="","",IFERROR(INDEX('因子水準表'!$B$9:$KO$18,2,MATCH(AL$4,'因子水準表'!$B$4:$KO$4,0))&amp;"",""))</f>
        <v/>
      </c>
      <c r="CU7" s="26">
        <f>IF(AM$4="","",IFERROR(INDEX('因子水準表'!$B$9:$KO$18,2,MATCH(AM$4,'因子水準表'!$B$4:$KO$4,0))&amp;"",""))</f>
        <v/>
      </c>
      <c r="CV7" s="26">
        <f>IF(AN$4="","",IFERROR(INDEX('因子水準表'!$B$9:$KO$18,2,MATCH(AN$4,'因子水準表'!$B$4:$KO$4,0))&amp;"",""))</f>
        <v/>
      </c>
      <c r="CW7" s="26">
        <f>IF(AO$4="","",IFERROR(INDEX('因子水準表'!$B$9:$KO$18,2,MATCH(AO$4,'因子水準表'!$B$4:$KO$4,0))&amp;"",""))</f>
        <v/>
      </c>
      <c r="CX7" s="26">
        <f>IF(AP$4="","",IFERROR(INDEX('因子水準表'!$B$9:$KO$18,2,MATCH(AP$4,'因子水準表'!$B$4:$KO$4,0))&amp;"",""))</f>
        <v/>
      </c>
      <c r="CY7" s="26">
        <f>IF(AQ$4="","",IFERROR(INDEX('因子水準表'!$B$9:$KO$18,2,MATCH(AQ$4,'因子水準表'!$B$4:$KO$4,0))&amp;"",""))</f>
        <v/>
      </c>
      <c r="CZ7" s="26">
        <f>IF(AR$4="","",IFERROR(INDEX('因子水準表'!$B$9:$KO$18,2,MATCH(AR$4,'因子水準表'!$B$4:$KO$4,0))&amp;"",""))</f>
        <v/>
      </c>
      <c r="DA7" s="26">
        <f>IF(AS$4="","",IFERROR(INDEX('因子水準表'!$B$9:$KO$18,2,MATCH(AS$4,'因子水準表'!$B$4:$KO$4,0))&amp;"",""))</f>
        <v/>
      </c>
      <c r="DB7" s="26">
        <f>IF(AT$4="","",IFERROR(INDEX('因子水準表'!$B$9:$KO$18,2,MATCH(AT$4,'因子水準表'!$B$4:$KO$4,0))&amp;"",""))</f>
        <v/>
      </c>
      <c r="DC7" s="26">
        <f>IF(AU$4="","",IFERROR(INDEX('因子水準表'!$B$9:$KO$18,2,MATCH(AU$4,'因子水準表'!$B$4:$KO$4,0))&amp;"",""))</f>
        <v/>
      </c>
      <c r="DD7" s="26">
        <f>IF(AV$4="","",IFERROR(INDEX('因子水準表'!$B$9:$KO$18,2,MATCH(AV$4,'因子水準表'!$B$4:$KO$4,0))&amp;"",""))</f>
        <v/>
      </c>
      <c r="DE7" s="26">
        <f>IF(AW$4="","",IFERROR(INDEX('因子水準表'!$B$9:$KO$18,2,MATCH(AW$4,'因子水準表'!$B$4:$KO$4,0))&amp;"",""))</f>
        <v/>
      </c>
      <c r="DF7" s="26">
        <f>IF(AX$4="","",IFERROR(INDEX('因子水準表'!$B$9:$KO$18,2,MATCH(AX$4,'因子水準表'!$B$4:$KO$4,0))&amp;"",""))</f>
        <v/>
      </c>
      <c r="DG7" s="26">
        <f>IF(AY$4="","",IFERROR(INDEX('因子水準表'!$B$9:$KO$18,2,MATCH(AY$4,'因子水準表'!$B$4:$KO$4,0))&amp;"",""))</f>
        <v/>
      </c>
      <c r="DH7" s="26">
        <f>IF(AZ$4="","",IFERROR(INDEX('因子水準表'!$B$9:$KO$18,2,MATCH(AZ$4,'因子水準表'!$B$4:$KO$4,0))&amp;"",""))</f>
        <v/>
      </c>
      <c r="DI7" s="26">
        <f>IF(BA$4="","",IFERROR(INDEX('因子水準表'!$B$9:$KO$18,2,MATCH(BA$4,'因子水準表'!$B$4:$KO$4,0))&amp;"",""))</f>
        <v/>
      </c>
      <c r="DJ7" s="26">
        <f>IF(BB$4="","",IFERROR(INDEX('因子水準表'!$B$9:$KO$18,2,MATCH(BB$4,'因子水準表'!$B$4:$KO$4,0))&amp;"",""))</f>
        <v/>
      </c>
      <c r="DK7" s="26">
        <f>IF(BC$4="","",IFERROR(INDEX('因子水準表'!$B$9:$KO$18,2,MATCH(BC$4,'因子水準表'!$B$4:$KO$4,0))&amp;"",""))</f>
        <v/>
      </c>
      <c r="DL7" s="26">
        <f>IF(BD$4="","",IFERROR(INDEX('因子水準表'!$B$9:$KO$18,2,MATCH(BD$4,'因子水準表'!$B$4:$KO$4,0))&amp;"",""))</f>
        <v/>
      </c>
      <c r="DM7" s="26">
        <f>IF('因子水準表'!B30="","",'因子水準表'!B30)</f>
        <v/>
      </c>
      <c r="DN7" s="26">
        <f>IF('テスト条件'!A6="","",'テスト条件'!A6)</f>
        <v/>
      </c>
    </row>
    <row r="8">
      <c r="A8" s="27" t="n"/>
      <c r="B8" s="27" t="n"/>
      <c r="C8" s="28">
        <f>IF(A8="","",$B$2)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  <c r="AJ8" s="27" t="n"/>
      <c r="AK8" s="27" t="n"/>
      <c r="AL8" s="27" t="n"/>
      <c r="AM8" s="27" t="n"/>
      <c r="AN8" s="27" t="n"/>
      <c r="AO8" s="27" t="n"/>
      <c r="AP8" s="27" t="n"/>
      <c r="AQ8" s="27" t="n"/>
      <c r="AR8" s="27" t="n"/>
      <c r="AS8" s="27" t="n"/>
      <c r="AT8" s="27" t="n"/>
      <c r="AU8" s="27" t="n"/>
      <c r="AV8" s="27" t="n"/>
      <c r="AW8" s="27" t="n"/>
      <c r="AX8" s="27" t="n"/>
      <c r="AY8" s="27" t="n"/>
      <c r="AZ8" s="27" t="n"/>
      <c r="BA8" s="27" t="n"/>
      <c r="BB8" s="27" t="n"/>
      <c r="BC8" s="27" t="n"/>
      <c r="BD8" s="27" t="n"/>
      <c r="BE8" s="27" t="n"/>
      <c r="BF8" s="27" t="n"/>
      <c r="BG8" s="27" t="n"/>
      <c r="BH8" s="27" t="n"/>
      <c r="BI8" s="29" t="n"/>
      <c r="BJ8" s="27" t="n"/>
      <c r="BK8" s="27" t="n"/>
      <c r="BL8" s="27" t="n"/>
      <c r="BM8" s="27" t="n"/>
      <c r="BO8" s="26">
        <f>IF(G$4="","",IFERROR(INDEX('因子水準表'!$B$9:$KO$18,3,MATCH(G$4,'因子水準表'!$B$4:$KO$4,0))&amp;"",""))</f>
        <v/>
      </c>
      <c r="BP8" s="26">
        <f>IF(H$4="","",IFERROR(INDEX('因子水準表'!$B$9:$KO$18,3,MATCH(H$4,'因子水準表'!$B$4:$KO$4,0))&amp;"",""))</f>
        <v/>
      </c>
      <c r="BQ8" s="26">
        <f>IF(I$4="","",IFERROR(INDEX('因子水準表'!$B$9:$KO$18,3,MATCH(I$4,'因子水準表'!$B$4:$KO$4,0))&amp;"",""))</f>
        <v/>
      </c>
      <c r="BR8" s="26">
        <f>IF(J$4="","",IFERROR(INDEX('因子水準表'!$B$9:$KO$18,3,MATCH(J$4,'因子水準表'!$B$4:$KO$4,0))&amp;"",""))</f>
        <v/>
      </c>
      <c r="BS8" s="26">
        <f>IF(K$4="","",IFERROR(INDEX('因子水準表'!$B$9:$KO$18,3,MATCH(K$4,'因子水準表'!$B$4:$KO$4,0))&amp;"",""))</f>
        <v/>
      </c>
      <c r="BT8" s="26">
        <f>IF(L$4="","",IFERROR(INDEX('因子水準表'!$B$9:$KO$18,3,MATCH(L$4,'因子水準表'!$B$4:$KO$4,0))&amp;"",""))</f>
        <v/>
      </c>
      <c r="BU8" s="26">
        <f>IF(M$4="","",IFERROR(INDEX('因子水準表'!$B$9:$KO$18,3,MATCH(M$4,'因子水準表'!$B$4:$KO$4,0))&amp;"",""))</f>
        <v/>
      </c>
      <c r="BV8" s="26">
        <f>IF(N$4="","",IFERROR(INDEX('因子水準表'!$B$9:$KO$18,3,MATCH(N$4,'因子水準表'!$B$4:$KO$4,0))&amp;"",""))</f>
        <v/>
      </c>
      <c r="BW8" s="26">
        <f>IF(O$4="","",IFERROR(INDEX('因子水準表'!$B$9:$KO$18,3,MATCH(O$4,'因子水準表'!$B$4:$KO$4,0))&amp;"",""))</f>
        <v/>
      </c>
      <c r="BX8" s="26">
        <f>IF(P$4="","",IFERROR(INDEX('因子水準表'!$B$9:$KO$18,3,MATCH(P$4,'因子水準表'!$B$4:$KO$4,0))&amp;"",""))</f>
        <v/>
      </c>
      <c r="BY8" s="26">
        <f>IF(Q$4="","",IFERROR(INDEX('因子水準表'!$B$9:$KO$18,3,MATCH(Q$4,'因子水準表'!$B$4:$KO$4,0))&amp;"",""))</f>
        <v/>
      </c>
      <c r="BZ8" s="26">
        <f>IF(R$4="","",IFERROR(INDEX('因子水準表'!$B$9:$KO$18,3,MATCH(R$4,'因子水準表'!$B$4:$KO$4,0))&amp;"",""))</f>
        <v/>
      </c>
      <c r="CA8" s="26">
        <f>IF(S$4="","",IFERROR(INDEX('因子水準表'!$B$9:$KO$18,3,MATCH(S$4,'因子水準表'!$B$4:$KO$4,0))&amp;"",""))</f>
        <v/>
      </c>
      <c r="CB8" s="26">
        <f>IF(T$4="","",IFERROR(INDEX('因子水準表'!$B$9:$KO$18,3,MATCH(T$4,'因子水準表'!$B$4:$KO$4,0))&amp;"",""))</f>
        <v/>
      </c>
      <c r="CC8" s="26">
        <f>IF(U$4="","",IFERROR(INDEX('因子水準表'!$B$9:$KO$18,3,MATCH(U$4,'因子水準表'!$B$4:$KO$4,0))&amp;"",""))</f>
        <v/>
      </c>
      <c r="CD8" s="26">
        <f>IF(V$4="","",IFERROR(INDEX('因子水準表'!$B$9:$KO$18,3,MATCH(V$4,'因子水準表'!$B$4:$KO$4,0))&amp;"",""))</f>
        <v/>
      </c>
      <c r="CE8" s="26">
        <f>IF(W$4="","",IFERROR(INDEX('因子水準表'!$B$9:$KO$18,3,MATCH(W$4,'因子水準表'!$B$4:$KO$4,0))&amp;"",""))</f>
        <v/>
      </c>
      <c r="CF8" s="26">
        <f>IF(X$4="","",IFERROR(INDEX('因子水準表'!$B$9:$KO$18,3,MATCH(X$4,'因子水準表'!$B$4:$KO$4,0))&amp;"",""))</f>
        <v/>
      </c>
      <c r="CG8" s="26">
        <f>IF(Y$4="","",IFERROR(INDEX('因子水準表'!$B$9:$KO$18,3,MATCH(Y$4,'因子水準表'!$B$4:$KO$4,0))&amp;"",""))</f>
        <v/>
      </c>
      <c r="CH8" s="26">
        <f>IF(Z$4="","",IFERROR(INDEX('因子水準表'!$B$9:$KO$18,3,MATCH(Z$4,'因子水準表'!$B$4:$KO$4,0))&amp;"",""))</f>
        <v/>
      </c>
      <c r="CI8" s="26">
        <f>IF(AA$4="","",IFERROR(INDEX('因子水準表'!$B$9:$KO$18,3,MATCH(AA$4,'因子水準表'!$B$4:$KO$4,0))&amp;"",""))</f>
        <v/>
      </c>
      <c r="CJ8" s="26">
        <f>IF(AB$4="","",IFERROR(INDEX('因子水準表'!$B$9:$KO$18,3,MATCH(AB$4,'因子水準表'!$B$4:$KO$4,0))&amp;"",""))</f>
        <v/>
      </c>
      <c r="CK8" s="26">
        <f>IF(AC$4="","",IFERROR(INDEX('因子水準表'!$B$9:$KO$18,3,MATCH(AC$4,'因子水準表'!$B$4:$KO$4,0))&amp;"",""))</f>
        <v/>
      </c>
      <c r="CL8" s="26">
        <f>IF(AD$4="","",IFERROR(INDEX('因子水準表'!$B$9:$KO$18,3,MATCH(AD$4,'因子水準表'!$B$4:$KO$4,0))&amp;"",""))</f>
        <v/>
      </c>
      <c r="CM8" s="26">
        <f>IF(AE$4="","",IFERROR(INDEX('因子水準表'!$B$9:$KO$18,3,MATCH(AE$4,'因子水準表'!$B$4:$KO$4,0))&amp;"",""))</f>
        <v/>
      </c>
      <c r="CN8" s="26">
        <f>IF(AF$4="","",IFERROR(INDEX('因子水準表'!$B$9:$KO$18,3,MATCH(AF$4,'因子水準表'!$B$4:$KO$4,0))&amp;"",""))</f>
        <v/>
      </c>
      <c r="CO8" s="26">
        <f>IF(AG$4="","",IFERROR(INDEX('因子水準表'!$B$9:$KO$18,3,MATCH(AG$4,'因子水準表'!$B$4:$KO$4,0))&amp;"",""))</f>
        <v/>
      </c>
      <c r="CP8" s="26">
        <f>IF(AH$4="","",IFERROR(INDEX('因子水準表'!$B$9:$KO$18,3,MATCH(AH$4,'因子水準表'!$B$4:$KO$4,0))&amp;"",""))</f>
        <v/>
      </c>
      <c r="CQ8" s="26">
        <f>IF(AI$4="","",IFERROR(INDEX('因子水準表'!$B$9:$KO$18,3,MATCH(AI$4,'因子水準表'!$B$4:$KO$4,0))&amp;"",""))</f>
        <v/>
      </c>
      <c r="CR8" s="26">
        <f>IF(AJ$4="","",IFERROR(INDEX('因子水準表'!$B$9:$KO$18,3,MATCH(AJ$4,'因子水準表'!$B$4:$KO$4,0))&amp;"",""))</f>
        <v/>
      </c>
      <c r="CS8" s="26">
        <f>IF(AK$4="","",IFERROR(INDEX('因子水準表'!$B$9:$KO$18,3,MATCH(AK$4,'因子水準表'!$B$4:$KO$4,0))&amp;"",""))</f>
        <v/>
      </c>
      <c r="CT8" s="26">
        <f>IF(AL$4="","",IFERROR(INDEX('因子水準表'!$B$9:$KO$18,3,MATCH(AL$4,'因子水準表'!$B$4:$KO$4,0))&amp;"",""))</f>
        <v/>
      </c>
      <c r="CU8" s="26">
        <f>IF(AM$4="","",IFERROR(INDEX('因子水準表'!$B$9:$KO$18,3,MATCH(AM$4,'因子水準表'!$B$4:$KO$4,0))&amp;"",""))</f>
        <v/>
      </c>
      <c r="CV8" s="26">
        <f>IF(AN$4="","",IFERROR(INDEX('因子水準表'!$B$9:$KO$18,3,MATCH(AN$4,'因子水準表'!$B$4:$KO$4,0))&amp;"",""))</f>
        <v/>
      </c>
      <c r="CW8" s="26">
        <f>IF(AO$4="","",IFERROR(INDEX('因子水準表'!$B$9:$KO$18,3,MATCH(AO$4,'因子水準表'!$B$4:$KO$4,0))&amp;"",""))</f>
        <v/>
      </c>
      <c r="CX8" s="26">
        <f>IF(AP$4="","",IFERROR(INDEX('因子水準表'!$B$9:$KO$18,3,MATCH(AP$4,'因子水準表'!$B$4:$KO$4,0))&amp;"",""))</f>
        <v/>
      </c>
      <c r="CY8" s="26">
        <f>IF(AQ$4="","",IFERROR(INDEX('因子水準表'!$B$9:$KO$18,3,MATCH(AQ$4,'因子水準表'!$B$4:$KO$4,0))&amp;"",""))</f>
        <v/>
      </c>
      <c r="CZ8" s="26">
        <f>IF(AR$4="","",IFERROR(INDEX('因子水準表'!$B$9:$KO$18,3,MATCH(AR$4,'因子水準表'!$B$4:$KO$4,0))&amp;"",""))</f>
        <v/>
      </c>
      <c r="DA8" s="26">
        <f>IF(AS$4="","",IFERROR(INDEX('因子水準表'!$B$9:$KO$18,3,MATCH(AS$4,'因子水準表'!$B$4:$KO$4,0))&amp;"",""))</f>
        <v/>
      </c>
      <c r="DB8" s="26">
        <f>IF(AT$4="","",IFERROR(INDEX('因子水準表'!$B$9:$KO$18,3,MATCH(AT$4,'因子水準表'!$B$4:$KO$4,0))&amp;"",""))</f>
        <v/>
      </c>
      <c r="DC8" s="26">
        <f>IF(AU$4="","",IFERROR(INDEX('因子水準表'!$B$9:$KO$18,3,MATCH(AU$4,'因子水準表'!$B$4:$KO$4,0))&amp;"",""))</f>
        <v/>
      </c>
      <c r="DD8" s="26">
        <f>IF(AV$4="","",IFERROR(INDEX('因子水準表'!$B$9:$KO$18,3,MATCH(AV$4,'因子水準表'!$B$4:$KO$4,0))&amp;"",""))</f>
        <v/>
      </c>
      <c r="DE8" s="26">
        <f>IF(AW$4="","",IFERROR(INDEX('因子水準表'!$B$9:$KO$18,3,MATCH(AW$4,'因子水準表'!$B$4:$KO$4,0))&amp;"",""))</f>
        <v/>
      </c>
      <c r="DF8" s="26">
        <f>IF(AX$4="","",IFERROR(INDEX('因子水準表'!$B$9:$KO$18,3,MATCH(AX$4,'因子水準表'!$B$4:$KO$4,0))&amp;"",""))</f>
        <v/>
      </c>
      <c r="DG8" s="26">
        <f>IF(AY$4="","",IFERROR(INDEX('因子水準表'!$B$9:$KO$18,3,MATCH(AY$4,'因子水準表'!$B$4:$KO$4,0))&amp;"",""))</f>
        <v/>
      </c>
      <c r="DH8" s="26">
        <f>IF(AZ$4="","",IFERROR(INDEX('因子水準表'!$B$9:$KO$18,3,MATCH(AZ$4,'因子水準表'!$B$4:$KO$4,0))&amp;"",""))</f>
        <v/>
      </c>
      <c r="DI8" s="26">
        <f>IF(BA$4="","",IFERROR(INDEX('因子水準表'!$B$9:$KO$18,3,MATCH(BA$4,'因子水準表'!$B$4:$KO$4,0))&amp;"",""))</f>
        <v/>
      </c>
      <c r="DJ8" s="26">
        <f>IF(BB$4="","",IFERROR(INDEX('因子水準表'!$B$9:$KO$18,3,MATCH(BB$4,'因子水準表'!$B$4:$KO$4,0))&amp;"",""))</f>
        <v/>
      </c>
      <c r="DK8" s="26">
        <f>IF(BC$4="","",IFERROR(INDEX('因子水準表'!$B$9:$KO$18,3,MATCH(BC$4,'因子水準表'!$B$4:$KO$4,0))&amp;"",""))</f>
        <v/>
      </c>
      <c r="DL8" s="26">
        <f>IF(BD$4="","",IFERROR(INDEX('因子水準表'!$B$9:$KO$18,3,MATCH(BD$4,'因子水準表'!$B$4:$KO$4,0))&amp;"",""))</f>
        <v/>
      </c>
      <c r="DM8" s="26">
        <f>IF('因子水準表'!B31="","",'因子水準表'!B31)</f>
        <v/>
      </c>
      <c r="DN8" s="26">
        <f>IF('テスト条件'!A7="","",'テスト条件'!A7)</f>
        <v/>
      </c>
    </row>
    <row r="9">
      <c r="A9" s="27" t="n"/>
      <c r="B9" s="27" t="n"/>
      <c r="C9" s="28">
        <f>IF(A9="","",$B$2)</f>
        <v/>
      </c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  <c r="AA9" s="27" t="n"/>
      <c r="AB9" s="27" t="n"/>
      <c r="AC9" s="27" t="n"/>
      <c r="AD9" s="27" t="n"/>
      <c r="AE9" s="27" t="n"/>
      <c r="AF9" s="27" t="n"/>
      <c r="AG9" s="27" t="n"/>
      <c r="AH9" s="27" t="n"/>
      <c r="AI9" s="27" t="n"/>
      <c r="AJ9" s="27" t="n"/>
      <c r="AK9" s="27" t="n"/>
      <c r="AL9" s="27" t="n"/>
      <c r="AM9" s="27" t="n"/>
      <c r="AN9" s="27" t="n"/>
      <c r="AO9" s="27" t="n"/>
      <c r="AP9" s="27" t="n"/>
      <c r="AQ9" s="27" t="n"/>
      <c r="AR9" s="27" t="n"/>
      <c r="AS9" s="27" t="n"/>
      <c r="AT9" s="27" t="n"/>
      <c r="AU9" s="27" t="n"/>
      <c r="AV9" s="27" t="n"/>
      <c r="AW9" s="27" t="n"/>
      <c r="AX9" s="27" t="n"/>
      <c r="AY9" s="27" t="n"/>
      <c r="AZ9" s="27" t="n"/>
      <c r="BA9" s="27" t="n"/>
      <c r="BB9" s="27" t="n"/>
      <c r="BC9" s="27" t="n"/>
      <c r="BD9" s="27" t="n"/>
      <c r="BE9" s="27" t="n"/>
      <c r="BF9" s="27" t="n"/>
      <c r="BG9" s="27" t="n"/>
      <c r="BH9" s="27" t="n"/>
      <c r="BI9" s="29" t="n"/>
      <c r="BJ9" s="27" t="n"/>
      <c r="BK9" s="27" t="n"/>
      <c r="BL9" s="27" t="n"/>
      <c r="BM9" s="27" t="n"/>
      <c r="BO9" s="26">
        <f>IF(G$4="","",IFERROR(INDEX('因子水準表'!$B$9:$KO$18,4,MATCH(G$4,'因子水準表'!$B$4:$KO$4,0))&amp;"",""))</f>
        <v/>
      </c>
      <c r="BP9" s="26">
        <f>IF(H$4="","",IFERROR(INDEX('因子水準表'!$B$9:$KO$18,4,MATCH(H$4,'因子水準表'!$B$4:$KO$4,0))&amp;"",""))</f>
        <v/>
      </c>
      <c r="BQ9" s="26">
        <f>IF(I$4="","",IFERROR(INDEX('因子水準表'!$B$9:$KO$18,4,MATCH(I$4,'因子水準表'!$B$4:$KO$4,0))&amp;"",""))</f>
        <v/>
      </c>
      <c r="BR9" s="26">
        <f>IF(J$4="","",IFERROR(INDEX('因子水準表'!$B$9:$KO$18,4,MATCH(J$4,'因子水準表'!$B$4:$KO$4,0))&amp;"",""))</f>
        <v/>
      </c>
      <c r="BS9" s="26">
        <f>IF(K$4="","",IFERROR(INDEX('因子水準表'!$B$9:$KO$18,4,MATCH(K$4,'因子水準表'!$B$4:$KO$4,0))&amp;"",""))</f>
        <v/>
      </c>
      <c r="BT9" s="26">
        <f>IF(L$4="","",IFERROR(INDEX('因子水準表'!$B$9:$KO$18,4,MATCH(L$4,'因子水準表'!$B$4:$KO$4,0))&amp;"",""))</f>
        <v/>
      </c>
      <c r="BU9" s="26">
        <f>IF(M$4="","",IFERROR(INDEX('因子水準表'!$B$9:$KO$18,4,MATCH(M$4,'因子水準表'!$B$4:$KO$4,0))&amp;"",""))</f>
        <v/>
      </c>
      <c r="BV9" s="26">
        <f>IF(N$4="","",IFERROR(INDEX('因子水準表'!$B$9:$KO$18,4,MATCH(N$4,'因子水準表'!$B$4:$KO$4,0))&amp;"",""))</f>
        <v/>
      </c>
      <c r="BW9" s="26">
        <f>IF(O$4="","",IFERROR(INDEX('因子水準表'!$B$9:$KO$18,4,MATCH(O$4,'因子水準表'!$B$4:$KO$4,0))&amp;"",""))</f>
        <v/>
      </c>
      <c r="BX9" s="26">
        <f>IF(P$4="","",IFERROR(INDEX('因子水準表'!$B$9:$KO$18,4,MATCH(P$4,'因子水準表'!$B$4:$KO$4,0))&amp;"",""))</f>
        <v/>
      </c>
      <c r="BY9" s="26">
        <f>IF(Q$4="","",IFERROR(INDEX('因子水準表'!$B$9:$KO$18,4,MATCH(Q$4,'因子水準表'!$B$4:$KO$4,0))&amp;"",""))</f>
        <v/>
      </c>
      <c r="BZ9" s="26">
        <f>IF(R$4="","",IFERROR(INDEX('因子水準表'!$B$9:$KO$18,4,MATCH(R$4,'因子水準表'!$B$4:$KO$4,0))&amp;"",""))</f>
        <v/>
      </c>
      <c r="CA9" s="26">
        <f>IF(S$4="","",IFERROR(INDEX('因子水準表'!$B$9:$KO$18,4,MATCH(S$4,'因子水準表'!$B$4:$KO$4,0))&amp;"",""))</f>
        <v/>
      </c>
      <c r="CB9" s="26">
        <f>IF(T$4="","",IFERROR(INDEX('因子水準表'!$B$9:$KO$18,4,MATCH(T$4,'因子水準表'!$B$4:$KO$4,0))&amp;"",""))</f>
        <v/>
      </c>
      <c r="CC9" s="26">
        <f>IF(U$4="","",IFERROR(INDEX('因子水準表'!$B$9:$KO$18,4,MATCH(U$4,'因子水準表'!$B$4:$KO$4,0))&amp;"",""))</f>
        <v/>
      </c>
      <c r="CD9" s="26">
        <f>IF(V$4="","",IFERROR(INDEX('因子水準表'!$B$9:$KO$18,4,MATCH(V$4,'因子水準表'!$B$4:$KO$4,0))&amp;"",""))</f>
        <v/>
      </c>
      <c r="CE9" s="26">
        <f>IF(W$4="","",IFERROR(INDEX('因子水準表'!$B$9:$KO$18,4,MATCH(W$4,'因子水準表'!$B$4:$KO$4,0))&amp;"",""))</f>
        <v/>
      </c>
      <c r="CF9" s="26">
        <f>IF(X$4="","",IFERROR(INDEX('因子水準表'!$B$9:$KO$18,4,MATCH(X$4,'因子水準表'!$B$4:$KO$4,0))&amp;"",""))</f>
        <v/>
      </c>
      <c r="CG9" s="26">
        <f>IF(Y$4="","",IFERROR(INDEX('因子水準表'!$B$9:$KO$18,4,MATCH(Y$4,'因子水準表'!$B$4:$KO$4,0))&amp;"",""))</f>
        <v/>
      </c>
      <c r="CH9" s="26">
        <f>IF(Z$4="","",IFERROR(INDEX('因子水準表'!$B$9:$KO$18,4,MATCH(Z$4,'因子水準表'!$B$4:$KO$4,0))&amp;"",""))</f>
        <v/>
      </c>
      <c r="CI9" s="26">
        <f>IF(AA$4="","",IFERROR(INDEX('因子水準表'!$B$9:$KO$18,4,MATCH(AA$4,'因子水準表'!$B$4:$KO$4,0))&amp;"",""))</f>
        <v/>
      </c>
      <c r="CJ9" s="26">
        <f>IF(AB$4="","",IFERROR(INDEX('因子水準表'!$B$9:$KO$18,4,MATCH(AB$4,'因子水準表'!$B$4:$KO$4,0))&amp;"",""))</f>
        <v/>
      </c>
      <c r="CK9" s="26">
        <f>IF(AC$4="","",IFERROR(INDEX('因子水準表'!$B$9:$KO$18,4,MATCH(AC$4,'因子水準表'!$B$4:$KO$4,0))&amp;"",""))</f>
        <v/>
      </c>
      <c r="CL9" s="26">
        <f>IF(AD$4="","",IFERROR(INDEX('因子水準表'!$B$9:$KO$18,4,MATCH(AD$4,'因子水準表'!$B$4:$KO$4,0))&amp;"",""))</f>
        <v/>
      </c>
      <c r="CM9" s="26">
        <f>IF(AE$4="","",IFERROR(INDEX('因子水準表'!$B$9:$KO$18,4,MATCH(AE$4,'因子水準表'!$B$4:$KO$4,0))&amp;"",""))</f>
        <v/>
      </c>
      <c r="CN9" s="26">
        <f>IF(AF$4="","",IFERROR(INDEX('因子水準表'!$B$9:$KO$18,4,MATCH(AF$4,'因子水準表'!$B$4:$KO$4,0))&amp;"",""))</f>
        <v/>
      </c>
      <c r="CO9" s="26">
        <f>IF(AG$4="","",IFERROR(INDEX('因子水準表'!$B$9:$KO$18,4,MATCH(AG$4,'因子水準表'!$B$4:$KO$4,0))&amp;"",""))</f>
        <v/>
      </c>
      <c r="CP9" s="26">
        <f>IF(AH$4="","",IFERROR(INDEX('因子水準表'!$B$9:$KO$18,4,MATCH(AH$4,'因子水準表'!$B$4:$KO$4,0))&amp;"",""))</f>
        <v/>
      </c>
      <c r="CQ9" s="26">
        <f>IF(AI$4="","",IFERROR(INDEX('因子水準表'!$B$9:$KO$18,4,MATCH(AI$4,'因子水準表'!$B$4:$KO$4,0))&amp;"",""))</f>
        <v/>
      </c>
      <c r="CR9" s="26">
        <f>IF(AJ$4="","",IFERROR(INDEX('因子水準表'!$B$9:$KO$18,4,MATCH(AJ$4,'因子水準表'!$B$4:$KO$4,0))&amp;"",""))</f>
        <v/>
      </c>
      <c r="CS9" s="26">
        <f>IF(AK$4="","",IFERROR(INDEX('因子水準表'!$B$9:$KO$18,4,MATCH(AK$4,'因子水準表'!$B$4:$KO$4,0))&amp;"",""))</f>
        <v/>
      </c>
      <c r="CT9" s="26">
        <f>IF(AL$4="","",IFERROR(INDEX('因子水準表'!$B$9:$KO$18,4,MATCH(AL$4,'因子水準表'!$B$4:$KO$4,0))&amp;"",""))</f>
        <v/>
      </c>
      <c r="CU9" s="26">
        <f>IF(AM$4="","",IFERROR(INDEX('因子水準表'!$B$9:$KO$18,4,MATCH(AM$4,'因子水準表'!$B$4:$KO$4,0))&amp;"",""))</f>
        <v/>
      </c>
      <c r="CV9" s="26">
        <f>IF(AN$4="","",IFERROR(INDEX('因子水準表'!$B$9:$KO$18,4,MATCH(AN$4,'因子水準表'!$B$4:$KO$4,0))&amp;"",""))</f>
        <v/>
      </c>
      <c r="CW9" s="26">
        <f>IF(AO$4="","",IFERROR(INDEX('因子水準表'!$B$9:$KO$18,4,MATCH(AO$4,'因子水準表'!$B$4:$KO$4,0))&amp;"",""))</f>
        <v/>
      </c>
      <c r="CX9" s="26">
        <f>IF(AP$4="","",IFERROR(INDEX('因子水準表'!$B$9:$KO$18,4,MATCH(AP$4,'因子水準表'!$B$4:$KO$4,0))&amp;"",""))</f>
        <v/>
      </c>
      <c r="CY9" s="26">
        <f>IF(AQ$4="","",IFERROR(INDEX('因子水準表'!$B$9:$KO$18,4,MATCH(AQ$4,'因子水準表'!$B$4:$KO$4,0))&amp;"",""))</f>
        <v/>
      </c>
      <c r="CZ9" s="26">
        <f>IF(AR$4="","",IFERROR(INDEX('因子水準表'!$B$9:$KO$18,4,MATCH(AR$4,'因子水準表'!$B$4:$KO$4,0))&amp;"",""))</f>
        <v/>
      </c>
      <c r="DA9" s="26">
        <f>IF(AS$4="","",IFERROR(INDEX('因子水準表'!$B$9:$KO$18,4,MATCH(AS$4,'因子水準表'!$B$4:$KO$4,0))&amp;"",""))</f>
        <v/>
      </c>
      <c r="DB9" s="26">
        <f>IF(AT$4="","",IFERROR(INDEX('因子水準表'!$B$9:$KO$18,4,MATCH(AT$4,'因子水準表'!$B$4:$KO$4,0))&amp;"",""))</f>
        <v/>
      </c>
      <c r="DC9" s="26">
        <f>IF(AU$4="","",IFERROR(INDEX('因子水準表'!$B$9:$KO$18,4,MATCH(AU$4,'因子水準表'!$B$4:$KO$4,0))&amp;"",""))</f>
        <v/>
      </c>
      <c r="DD9" s="26">
        <f>IF(AV$4="","",IFERROR(INDEX('因子水準表'!$B$9:$KO$18,4,MATCH(AV$4,'因子水準表'!$B$4:$KO$4,0))&amp;"",""))</f>
        <v/>
      </c>
      <c r="DE9" s="26">
        <f>IF(AW$4="","",IFERROR(INDEX('因子水準表'!$B$9:$KO$18,4,MATCH(AW$4,'因子水準表'!$B$4:$KO$4,0))&amp;"",""))</f>
        <v/>
      </c>
      <c r="DF9" s="26">
        <f>IF(AX$4="","",IFERROR(INDEX('因子水準表'!$B$9:$KO$18,4,MATCH(AX$4,'因子水準表'!$B$4:$KO$4,0))&amp;"",""))</f>
        <v/>
      </c>
      <c r="DG9" s="26">
        <f>IF(AY$4="","",IFERROR(INDEX('因子水準表'!$B$9:$KO$18,4,MATCH(AY$4,'因子水準表'!$B$4:$KO$4,0))&amp;"",""))</f>
        <v/>
      </c>
      <c r="DH9" s="26">
        <f>IF(AZ$4="","",IFERROR(INDEX('因子水準表'!$B$9:$KO$18,4,MATCH(AZ$4,'因子水準表'!$B$4:$KO$4,0))&amp;"",""))</f>
        <v/>
      </c>
      <c r="DI9" s="26">
        <f>IF(BA$4="","",IFERROR(INDEX('因子水準表'!$B$9:$KO$18,4,MATCH(BA$4,'因子水準表'!$B$4:$KO$4,0))&amp;"",""))</f>
        <v/>
      </c>
      <c r="DJ9" s="26">
        <f>IF(BB$4="","",IFERROR(INDEX('因子水準表'!$B$9:$KO$18,4,MATCH(BB$4,'因子水準表'!$B$4:$KO$4,0))&amp;"",""))</f>
        <v/>
      </c>
      <c r="DK9" s="26">
        <f>IF(BC$4="","",IFERROR(INDEX('因子水準表'!$B$9:$KO$18,4,MATCH(BC$4,'因子水準表'!$B$4:$KO$4,0))&amp;"",""))</f>
        <v/>
      </c>
      <c r="DL9" s="26">
        <f>IF(BD$4="","",IFERROR(INDEX('因子水準表'!$B$9:$KO$18,4,MATCH(BD$4,'因子水準表'!$B$4:$KO$4,0))&amp;"",""))</f>
        <v/>
      </c>
      <c r="DM9" s="26">
        <f>IF('因子水準表'!B32="","",'因子水準表'!B32)</f>
        <v/>
      </c>
      <c r="DN9" s="26">
        <f>IF('テスト条件'!A8="","",'テスト条件'!A8)</f>
        <v/>
      </c>
    </row>
    <row r="10">
      <c r="A10" s="27" t="n"/>
      <c r="B10" s="27" t="n"/>
      <c r="C10" s="28">
        <f>IF(A10="","",$B$2)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  <c r="AI10" s="27" t="n"/>
      <c r="AJ10" s="27" t="n"/>
      <c r="AK10" s="27" t="n"/>
      <c r="AL10" s="27" t="n"/>
      <c r="AM10" s="27" t="n"/>
      <c r="AN10" s="27" t="n"/>
      <c r="AO10" s="27" t="n"/>
      <c r="AP10" s="27" t="n"/>
      <c r="AQ10" s="27" t="n"/>
      <c r="AR10" s="27" t="n"/>
      <c r="AS10" s="27" t="n"/>
      <c r="AT10" s="27" t="n"/>
      <c r="AU10" s="27" t="n"/>
      <c r="AV10" s="27" t="n"/>
      <c r="AW10" s="27" t="n"/>
      <c r="AX10" s="27" t="n"/>
      <c r="AY10" s="27" t="n"/>
      <c r="AZ10" s="27" t="n"/>
      <c r="BA10" s="27" t="n"/>
      <c r="BB10" s="27" t="n"/>
      <c r="BC10" s="27" t="n"/>
      <c r="BD10" s="27" t="n"/>
      <c r="BE10" s="27" t="n"/>
      <c r="BF10" s="27" t="n"/>
      <c r="BG10" s="27" t="n"/>
      <c r="BH10" s="27" t="n"/>
      <c r="BI10" s="29" t="n"/>
      <c r="BJ10" s="27" t="n"/>
      <c r="BK10" s="27" t="n"/>
      <c r="BL10" s="27" t="n"/>
      <c r="BM10" s="27" t="n"/>
      <c r="BO10" s="26">
        <f>IF(G$4="","",IFERROR(INDEX('因子水準表'!$B$9:$KO$18,5,MATCH(G$4,'因子水準表'!$B$4:$KO$4,0))&amp;"",""))</f>
        <v/>
      </c>
      <c r="BP10" s="26">
        <f>IF(H$4="","",IFERROR(INDEX('因子水準表'!$B$9:$KO$18,5,MATCH(H$4,'因子水準表'!$B$4:$KO$4,0))&amp;"",""))</f>
        <v/>
      </c>
      <c r="BQ10" s="26">
        <f>IF(I$4="","",IFERROR(INDEX('因子水準表'!$B$9:$KO$18,5,MATCH(I$4,'因子水準表'!$B$4:$KO$4,0))&amp;"",""))</f>
        <v/>
      </c>
      <c r="BR10" s="26">
        <f>IF(J$4="","",IFERROR(INDEX('因子水準表'!$B$9:$KO$18,5,MATCH(J$4,'因子水準表'!$B$4:$KO$4,0))&amp;"",""))</f>
        <v/>
      </c>
      <c r="BS10" s="26">
        <f>IF(K$4="","",IFERROR(INDEX('因子水準表'!$B$9:$KO$18,5,MATCH(K$4,'因子水準表'!$B$4:$KO$4,0))&amp;"",""))</f>
        <v/>
      </c>
      <c r="BT10" s="26">
        <f>IF(L$4="","",IFERROR(INDEX('因子水準表'!$B$9:$KO$18,5,MATCH(L$4,'因子水準表'!$B$4:$KO$4,0))&amp;"",""))</f>
        <v/>
      </c>
      <c r="BU10" s="26">
        <f>IF(M$4="","",IFERROR(INDEX('因子水準表'!$B$9:$KO$18,5,MATCH(M$4,'因子水準表'!$B$4:$KO$4,0))&amp;"",""))</f>
        <v/>
      </c>
      <c r="BV10" s="26">
        <f>IF(N$4="","",IFERROR(INDEX('因子水準表'!$B$9:$KO$18,5,MATCH(N$4,'因子水準表'!$B$4:$KO$4,0))&amp;"",""))</f>
        <v/>
      </c>
      <c r="BW10" s="26">
        <f>IF(O$4="","",IFERROR(INDEX('因子水準表'!$B$9:$KO$18,5,MATCH(O$4,'因子水準表'!$B$4:$KO$4,0))&amp;"",""))</f>
        <v/>
      </c>
      <c r="BX10" s="26">
        <f>IF(P$4="","",IFERROR(INDEX('因子水準表'!$B$9:$KO$18,5,MATCH(P$4,'因子水準表'!$B$4:$KO$4,0))&amp;"",""))</f>
        <v/>
      </c>
      <c r="BY10" s="26">
        <f>IF(Q$4="","",IFERROR(INDEX('因子水準表'!$B$9:$KO$18,5,MATCH(Q$4,'因子水準表'!$B$4:$KO$4,0))&amp;"",""))</f>
        <v/>
      </c>
      <c r="BZ10" s="26">
        <f>IF(R$4="","",IFERROR(INDEX('因子水準表'!$B$9:$KO$18,5,MATCH(R$4,'因子水準表'!$B$4:$KO$4,0))&amp;"",""))</f>
        <v/>
      </c>
      <c r="CA10" s="26">
        <f>IF(S$4="","",IFERROR(INDEX('因子水準表'!$B$9:$KO$18,5,MATCH(S$4,'因子水準表'!$B$4:$KO$4,0))&amp;"",""))</f>
        <v/>
      </c>
      <c r="CB10" s="26">
        <f>IF(T$4="","",IFERROR(INDEX('因子水準表'!$B$9:$KO$18,5,MATCH(T$4,'因子水準表'!$B$4:$KO$4,0))&amp;"",""))</f>
        <v/>
      </c>
      <c r="CC10" s="26">
        <f>IF(U$4="","",IFERROR(INDEX('因子水準表'!$B$9:$KO$18,5,MATCH(U$4,'因子水準表'!$B$4:$KO$4,0))&amp;"",""))</f>
        <v/>
      </c>
      <c r="CD10" s="26">
        <f>IF(V$4="","",IFERROR(INDEX('因子水準表'!$B$9:$KO$18,5,MATCH(V$4,'因子水準表'!$B$4:$KO$4,0))&amp;"",""))</f>
        <v/>
      </c>
      <c r="CE10" s="26">
        <f>IF(W$4="","",IFERROR(INDEX('因子水準表'!$B$9:$KO$18,5,MATCH(W$4,'因子水準表'!$B$4:$KO$4,0))&amp;"",""))</f>
        <v/>
      </c>
      <c r="CF10" s="26">
        <f>IF(X$4="","",IFERROR(INDEX('因子水準表'!$B$9:$KO$18,5,MATCH(X$4,'因子水準表'!$B$4:$KO$4,0))&amp;"",""))</f>
        <v/>
      </c>
      <c r="CG10" s="26">
        <f>IF(Y$4="","",IFERROR(INDEX('因子水準表'!$B$9:$KO$18,5,MATCH(Y$4,'因子水準表'!$B$4:$KO$4,0))&amp;"",""))</f>
        <v/>
      </c>
      <c r="CH10" s="26">
        <f>IF(Z$4="","",IFERROR(INDEX('因子水準表'!$B$9:$KO$18,5,MATCH(Z$4,'因子水準表'!$B$4:$KO$4,0))&amp;"",""))</f>
        <v/>
      </c>
      <c r="CI10" s="26">
        <f>IF(AA$4="","",IFERROR(INDEX('因子水準表'!$B$9:$KO$18,5,MATCH(AA$4,'因子水準表'!$B$4:$KO$4,0))&amp;"",""))</f>
        <v/>
      </c>
      <c r="CJ10" s="26">
        <f>IF(AB$4="","",IFERROR(INDEX('因子水準表'!$B$9:$KO$18,5,MATCH(AB$4,'因子水準表'!$B$4:$KO$4,0))&amp;"",""))</f>
        <v/>
      </c>
      <c r="CK10" s="26">
        <f>IF(AC$4="","",IFERROR(INDEX('因子水準表'!$B$9:$KO$18,5,MATCH(AC$4,'因子水準表'!$B$4:$KO$4,0))&amp;"",""))</f>
        <v/>
      </c>
      <c r="CL10" s="26">
        <f>IF(AD$4="","",IFERROR(INDEX('因子水準表'!$B$9:$KO$18,5,MATCH(AD$4,'因子水準表'!$B$4:$KO$4,0))&amp;"",""))</f>
        <v/>
      </c>
      <c r="CM10" s="26">
        <f>IF(AE$4="","",IFERROR(INDEX('因子水準表'!$B$9:$KO$18,5,MATCH(AE$4,'因子水準表'!$B$4:$KO$4,0))&amp;"",""))</f>
        <v/>
      </c>
      <c r="CN10" s="26">
        <f>IF(AF$4="","",IFERROR(INDEX('因子水準表'!$B$9:$KO$18,5,MATCH(AF$4,'因子水準表'!$B$4:$KO$4,0))&amp;"",""))</f>
        <v/>
      </c>
      <c r="CO10" s="26">
        <f>IF(AG$4="","",IFERROR(INDEX('因子水準表'!$B$9:$KO$18,5,MATCH(AG$4,'因子水準表'!$B$4:$KO$4,0))&amp;"",""))</f>
        <v/>
      </c>
      <c r="CP10" s="26">
        <f>IF(AH$4="","",IFERROR(INDEX('因子水準表'!$B$9:$KO$18,5,MATCH(AH$4,'因子水準表'!$B$4:$KO$4,0))&amp;"",""))</f>
        <v/>
      </c>
      <c r="CQ10" s="26">
        <f>IF(AI$4="","",IFERROR(INDEX('因子水準表'!$B$9:$KO$18,5,MATCH(AI$4,'因子水準表'!$B$4:$KO$4,0))&amp;"",""))</f>
        <v/>
      </c>
      <c r="CR10" s="26">
        <f>IF(AJ$4="","",IFERROR(INDEX('因子水準表'!$B$9:$KO$18,5,MATCH(AJ$4,'因子水準表'!$B$4:$KO$4,0))&amp;"",""))</f>
        <v/>
      </c>
      <c r="CS10" s="26">
        <f>IF(AK$4="","",IFERROR(INDEX('因子水準表'!$B$9:$KO$18,5,MATCH(AK$4,'因子水準表'!$B$4:$KO$4,0))&amp;"",""))</f>
        <v/>
      </c>
      <c r="CT10" s="26">
        <f>IF(AL$4="","",IFERROR(INDEX('因子水準表'!$B$9:$KO$18,5,MATCH(AL$4,'因子水準表'!$B$4:$KO$4,0))&amp;"",""))</f>
        <v/>
      </c>
      <c r="CU10" s="26">
        <f>IF(AM$4="","",IFERROR(INDEX('因子水準表'!$B$9:$KO$18,5,MATCH(AM$4,'因子水準表'!$B$4:$KO$4,0))&amp;"",""))</f>
        <v/>
      </c>
      <c r="CV10" s="26">
        <f>IF(AN$4="","",IFERROR(INDEX('因子水準表'!$B$9:$KO$18,5,MATCH(AN$4,'因子水準表'!$B$4:$KO$4,0))&amp;"",""))</f>
        <v/>
      </c>
      <c r="CW10" s="26">
        <f>IF(AO$4="","",IFERROR(INDEX('因子水準表'!$B$9:$KO$18,5,MATCH(AO$4,'因子水準表'!$B$4:$KO$4,0))&amp;"",""))</f>
        <v/>
      </c>
      <c r="CX10" s="26">
        <f>IF(AP$4="","",IFERROR(INDEX('因子水準表'!$B$9:$KO$18,5,MATCH(AP$4,'因子水準表'!$B$4:$KO$4,0))&amp;"",""))</f>
        <v/>
      </c>
      <c r="CY10" s="26">
        <f>IF(AQ$4="","",IFERROR(INDEX('因子水準表'!$B$9:$KO$18,5,MATCH(AQ$4,'因子水準表'!$B$4:$KO$4,0))&amp;"",""))</f>
        <v/>
      </c>
      <c r="CZ10" s="26">
        <f>IF(AR$4="","",IFERROR(INDEX('因子水準表'!$B$9:$KO$18,5,MATCH(AR$4,'因子水準表'!$B$4:$KO$4,0))&amp;"",""))</f>
        <v/>
      </c>
      <c r="DA10" s="26">
        <f>IF(AS$4="","",IFERROR(INDEX('因子水準表'!$B$9:$KO$18,5,MATCH(AS$4,'因子水準表'!$B$4:$KO$4,0))&amp;"",""))</f>
        <v/>
      </c>
      <c r="DB10" s="26">
        <f>IF(AT$4="","",IFERROR(INDEX('因子水準表'!$B$9:$KO$18,5,MATCH(AT$4,'因子水準表'!$B$4:$KO$4,0))&amp;"",""))</f>
        <v/>
      </c>
      <c r="DC10" s="26">
        <f>IF(AU$4="","",IFERROR(INDEX('因子水準表'!$B$9:$KO$18,5,MATCH(AU$4,'因子水準表'!$B$4:$KO$4,0))&amp;"",""))</f>
        <v/>
      </c>
      <c r="DD10" s="26">
        <f>IF(AV$4="","",IFERROR(INDEX('因子水準表'!$B$9:$KO$18,5,MATCH(AV$4,'因子水準表'!$B$4:$KO$4,0))&amp;"",""))</f>
        <v/>
      </c>
      <c r="DE10" s="26">
        <f>IF(AW$4="","",IFERROR(INDEX('因子水準表'!$B$9:$KO$18,5,MATCH(AW$4,'因子水準表'!$B$4:$KO$4,0))&amp;"",""))</f>
        <v/>
      </c>
      <c r="DF10" s="26">
        <f>IF(AX$4="","",IFERROR(INDEX('因子水準表'!$B$9:$KO$18,5,MATCH(AX$4,'因子水準表'!$B$4:$KO$4,0))&amp;"",""))</f>
        <v/>
      </c>
      <c r="DG10" s="26">
        <f>IF(AY$4="","",IFERROR(INDEX('因子水準表'!$B$9:$KO$18,5,MATCH(AY$4,'因子水準表'!$B$4:$KO$4,0))&amp;"",""))</f>
        <v/>
      </c>
      <c r="DH10" s="26">
        <f>IF(AZ$4="","",IFERROR(INDEX('因子水準表'!$B$9:$KO$18,5,MATCH(AZ$4,'因子水準表'!$B$4:$KO$4,0))&amp;"",""))</f>
        <v/>
      </c>
      <c r="DI10" s="26">
        <f>IF(BA$4="","",IFERROR(INDEX('因子水準表'!$B$9:$KO$18,5,MATCH(BA$4,'因子水準表'!$B$4:$KO$4,0))&amp;"",""))</f>
        <v/>
      </c>
      <c r="DJ10" s="26">
        <f>IF(BB$4="","",IFERROR(INDEX('因子水準表'!$B$9:$KO$18,5,MATCH(BB$4,'因子水準表'!$B$4:$KO$4,0))&amp;"",""))</f>
        <v/>
      </c>
      <c r="DK10" s="26">
        <f>IF(BC$4="","",IFERROR(INDEX('因子水準表'!$B$9:$KO$18,5,MATCH(BC$4,'因子水準表'!$B$4:$KO$4,0))&amp;"",""))</f>
        <v/>
      </c>
      <c r="DL10" s="26">
        <f>IF(BD$4="","",IFERROR(INDEX('因子水準表'!$B$9:$KO$18,5,MATCH(BD$4,'因子水準表'!$B$4:$KO$4,0))&amp;"",""))</f>
        <v/>
      </c>
      <c r="DM10" s="26">
        <f>IF('因子水準表'!B33="","",'因子水準表'!B33)</f>
        <v/>
      </c>
      <c r="DN10" s="26">
        <f>IF('テスト条件'!A9="","",'テスト条件'!A9)</f>
        <v/>
      </c>
    </row>
    <row r="11">
      <c r="A11" s="27" t="n"/>
      <c r="B11" s="27" t="n"/>
      <c r="C11" s="28">
        <f>IF(A11="","",$B$2)</f>
        <v/>
      </c>
      <c r="D11" s="27" t="n"/>
      <c r="E11" s="27" t="n"/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  <c r="AA11" s="27" t="n"/>
      <c r="AB11" s="27" t="n"/>
      <c r="AC11" s="27" t="n"/>
      <c r="AD11" s="27" t="n"/>
      <c r="AE11" s="27" t="n"/>
      <c r="AF11" s="27" t="n"/>
      <c r="AG11" s="27" t="n"/>
      <c r="AH11" s="27" t="n"/>
      <c r="AI11" s="27" t="n"/>
      <c r="AJ11" s="27" t="n"/>
      <c r="AK11" s="27" t="n"/>
      <c r="AL11" s="27" t="n"/>
      <c r="AM11" s="27" t="n"/>
      <c r="AN11" s="27" t="n"/>
      <c r="AO11" s="27" t="n"/>
      <c r="AP11" s="27" t="n"/>
      <c r="AQ11" s="27" t="n"/>
      <c r="AR11" s="27" t="n"/>
      <c r="AS11" s="27" t="n"/>
      <c r="AT11" s="27" t="n"/>
      <c r="AU11" s="27" t="n"/>
      <c r="AV11" s="27" t="n"/>
      <c r="AW11" s="27" t="n"/>
      <c r="AX11" s="27" t="n"/>
      <c r="AY11" s="27" t="n"/>
      <c r="AZ11" s="27" t="n"/>
      <c r="BA11" s="27" t="n"/>
      <c r="BB11" s="27" t="n"/>
      <c r="BC11" s="27" t="n"/>
      <c r="BD11" s="27" t="n"/>
      <c r="BE11" s="27" t="n"/>
      <c r="BF11" s="27" t="n"/>
      <c r="BG11" s="27" t="n"/>
      <c r="BH11" s="27" t="n"/>
      <c r="BI11" s="29" t="n"/>
      <c r="BJ11" s="27" t="n"/>
      <c r="BK11" s="27" t="n"/>
      <c r="BL11" s="27" t="n"/>
      <c r="BM11" s="27" t="n"/>
      <c r="BO11" s="26">
        <f>IF(G$4="","",IFERROR(INDEX('因子水準表'!$B$9:$KO$18,6,MATCH(G$4,'因子水準表'!$B$4:$KO$4,0))&amp;"",""))</f>
        <v/>
      </c>
      <c r="BP11" s="26">
        <f>IF(H$4="","",IFERROR(INDEX('因子水準表'!$B$9:$KO$18,6,MATCH(H$4,'因子水準表'!$B$4:$KO$4,0))&amp;"",""))</f>
        <v/>
      </c>
      <c r="BQ11" s="26">
        <f>IF(I$4="","",IFERROR(INDEX('因子水準表'!$B$9:$KO$18,6,MATCH(I$4,'因子水準表'!$B$4:$KO$4,0))&amp;"",""))</f>
        <v/>
      </c>
      <c r="BR11" s="26">
        <f>IF(J$4="","",IFERROR(INDEX('因子水準表'!$B$9:$KO$18,6,MATCH(J$4,'因子水準表'!$B$4:$KO$4,0))&amp;"",""))</f>
        <v/>
      </c>
      <c r="BS11" s="26">
        <f>IF(K$4="","",IFERROR(INDEX('因子水準表'!$B$9:$KO$18,6,MATCH(K$4,'因子水準表'!$B$4:$KO$4,0))&amp;"",""))</f>
        <v/>
      </c>
      <c r="BT11" s="26">
        <f>IF(L$4="","",IFERROR(INDEX('因子水準表'!$B$9:$KO$18,6,MATCH(L$4,'因子水準表'!$B$4:$KO$4,0))&amp;"",""))</f>
        <v/>
      </c>
      <c r="BU11" s="26">
        <f>IF(M$4="","",IFERROR(INDEX('因子水準表'!$B$9:$KO$18,6,MATCH(M$4,'因子水準表'!$B$4:$KO$4,0))&amp;"",""))</f>
        <v/>
      </c>
      <c r="BV11" s="26">
        <f>IF(N$4="","",IFERROR(INDEX('因子水準表'!$B$9:$KO$18,6,MATCH(N$4,'因子水準表'!$B$4:$KO$4,0))&amp;"",""))</f>
        <v/>
      </c>
      <c r="BW11" s="26">
        <f>IF(O$4="","",IFERROR(INDEX('因子水準表'!$B$9:$KO$18,6,MATCH(O$4,'因子水準表'!$B$4:$KO$4,0))&amp;"",""))</f>
        <v/>
      </c>
      <c r="BX11" s="26">
        <f>IF(P$4="","",IFERROR(INDEX('因子水準表'!$B$9:$KO$18,6,MATCH(P$4,'因子水準表'!$B$4:$KO$4,0))&amp;"",""))</f>
        <v/>
      </c>
      <c r="BY11" s="26">
        <f>IF(Q$4="","",IFERROR(INDEX('因子水準表'!$B$9:$KO$18,6,MATCH(Q$4,'因子水準表'!$B$4:$KO$4,0))&amp;"",""))</f>
        <v/>
      </c>
      <c r="BZ11" s="26">
        <f>IF(R$4="","",IFERROR(INDEX('因子水準表'!$B$9:$KO$18,6,MATCH(R$4,'因子水準表'!$B$4:$KO$4,0))&amp;"",""))</f>
        <v/>
      </c>
      <c r="CA11" s="26">
        <f>IF(S$4="","",IFERROR(INDEX('因子水準表'!$B$9:$KO$18,6,MATCH(S$4,'因子水準表'!$B$4:$KO$4,0))&amp;"",""))</f>
        <v/>
      </c>
      <c r="CB11" s="26">
        <f>IF(T$4="","",IFERROR(INDEX('因子水準表'!$B$9:$KO$18,6,MATCH(T$4,'因子水準表'!$B$4:$KO$4,0))&amp;"",""))</f>
        <v/>
      </c>
      <c r="CC11" s="26">
        <f>IF(U$4="","",IFERROR(INDEX('因子水準表'!$B$9:$KO$18,6,MATCH(U$4,'因子水準表'!$B$4:$KO$4,0))&amp;"",""))</f>
        <v/>
      </c>
      <c r="CD11" s="26">
        <f>IF(V$4="","",IFERROR(INDEX('因子水準表'!$B$9:$KO$18,6,MATCH(V$4,'因子水準表'!$B$4:$KO$4,0))&amp;"",""))</f>
        <v/>
      </c>
      <c r="CE11" s="26">
        <f>IF(W$4="","",IFERROR(INDEX('因子水準表'!$B$9:$KO$18,6,MATCH(W$4,'因子水準表'!$B$4:$KO$4,0))&amp;"",""))</f>
        <v/>
      </c>
      <c r="CF11" s="26">
        <f>IF(X$4="","",IFERROR(INDEX('因子水準表'!$B$9:$KO$18,6,MATCH(X$4,'因子水準表'!$B$4:$KO$4,0))&amp;"",""))</f>
        <v/>
      </c>
      <c r="CG11" s="26">
        <f>IF(Y$4="","",IFERROR(INDEX('因子水準表'!$B$9:$KO$18,6,MATCH(Y$4,'因子水準表'!$B$4:$KO$4,0))&amp;"",""))</f>
        <v/>
      </c>
      <c r="CH11" s="26">
        <f>IF(Z$4="","",IFERROR(INDEX('因子水準表'!$B$9:$KO$18,6,MATCH(Z$4,'因子水準表'!$B$4:$KO$4,0))&amp;"",""))</f>
        <v/>
      </c>
      <c r="CI11" s="26">
        <f>IF(AA$4="","",IFERROR(INDEX('因子水準表'!$B$9:$KO$18,6,MATCH(AA$4,'因子水準表'!$B$4:$KO$4,0))&amp;"",""))</f>
        <v/>
      </c>
      <c r="CJ11" s="26">
        <f>IF(AB$4="","",IFERROR(INDEX('因子水準表'!$B$9:$KO$18,6,MATCH(AB$4,'因子水準表'!$B$4:$KO$4,0))&amp;"",""))</f>
        <v/>
      </c>
      <c r="CK11" s="26">
        <f>IF(AC$4="","",IFERROR(INDEX('因子水準表'!$B$9:$KO$18,6,MATCH(AC$4,'因子水準表'!$B$4:$KO$4,0))&amp;"",""))</f>
        <v/>
      </c>
      <c r="CL11" s="26">
        <f>IF(AD$4="","",IFERROR(INDEX('因子水準表'!$B$9:$KO$18,6,MATCH(AD$4,'因子水準表'!$B$4:$KO$4,0))&amp;"",""))</f>
        <v/>
      </c>
      <c r="CM11" s="26">
        <f>IF(AE$4="","",IFERROR(INDEX('因子水準表'!$B$9:$KO$18,6,MATCH(AE$4,'因子水準表'!$B$4:$KO$4,0))&amp;"",""))</f>
        <v/>
      </c>
      <c r="CN11" s="26">
        <f>IF(AF$4="","",IFERROR(INDEX('因子水準表'!$B$9:$KO$18,6,MATCH(AF$4,'因子水準表'!$B$4:$KO$4,0))&amp;"",""))</f>
        <v/>
      </c>
      <c r="CO11" s="26">
        <f>IF(AG$4="","",IFERROR(INDEX('因子水準表'!$B$9:$KO$18,6,MATCH(AG$4,'因子水準表'!$B$4:$KO$4,0))&amp;"",""))</f>
        <v/>
      </c>
      <c r="CP11" s="26">
        <f>IF(AH$4="","",IFERROR(INDEX('因子水準表'!$B$9:$KO$18,6,MATCH(AH$4,'因子水準表'!$B$4:$KO$4,0))&amp;"",""))</f>
        <v/>
      </c>
      <c r="CQ11" s="26">
        <f>IF(AI$4="","",IFERROR(INDEX('因子水準表'!$B$9:$KO$18,6,MATCH(AI$4,'因子水準表'!$B$4:$KO$4,0))&amp;"",""))</f>
        <v/>
      </c>
      <c r="CR11" s="26">
        <f>IF(AJ$4="","",IFERROR(INDEX('因子水準表'!$B$9:$KO$18,6,MATCH(AJ$4,'因子水準表'!$B$4:$KO$4,0))&amp;"",""))</f>
        <v/>
      </c>
      <c r="CS11" s="26">
        <f>IF(AK$4="","",IFERROR(INDEX('因子水準表'!$B$9:$KO$18,6,MATCH(AK$4,'因子水準表'!$B$4:$KO$4,0))&amp;"",""))</f>
        <v/>
      </c>
      <c r="CT11" s="26">
        <f>IF(AL$4="","",IFERROR(INDEX('因子水準表'!$B$9:$KO$18,6,MATCH(AL$4,'因子水準表'!$B$4:$KO$4,0))&amp;"",""))</f>
        <v/>
      </c>
      <c r="CU11" s="26">
        <f>IF(AM$4="","",IFERROR(INDEX('因子水準表'!$B$9:$KO$18,6,MATCH(AM$4,'因子水準表'!$B$4:$KO$4,0))&amp;"",""))</f>
        <v/>
      </c>
      <c r="CV11" s="26">
        <f>IF(AN$4="","",IFERROR(INDEX('因子水準表'!$B$9:$KO$18,6,MATCH(AN$4,'因子水準表'!$B$4:$KO$4,0))&amp;"",""))</f>
        <v/>
      </c>
      <c r="CW11" s="26">
        <f>IF(AO$4="","",IFERROR(INDEX('因子水準表'!$B$9:$KO$18,6,MATCH(AO$4,'因子水準表'!$B$4:$KO$4,0))&amp;"",""))</f>
        <v/>
      </c>
      <c r="CX11" s="26">
        <f>IF(AP$4="","",IFERROR(INDEX('因子水準表'!$B$9:$KO$18,6,MATCH(AP$4,'因子水準表'!$B$4:$KO$4,0))&amp;"",""))</f>
        <v/>
      </c>
      <c r="CY11" s="26">
        <f>IF(AQ$4="","",IFERROR(INDEX('因子水準表'!$B$9:$KO$18,6,MATCH(AQ$4,'因子水準表'!$B$4:$KO$4,0))&amp;"",""))</f>
        <v/>
      </c>
      <c r="CZ11" s="26">
        <f>IF(AR$4="","",IFERROR(INDEX('因子水準表'!$B$9:$KO$18,6,MATCH(AR$4,'因子水準表'!$B$4:$KO$4,0))&amp;"",""))</f>
        <v/>
      </c>
      <c r="DA11" s="26">
        <f>IF(AS$4="","",IFERROR(INDEX('因子水準表'!$B$9:$KO$18,6,MATCH(AS$4,'因子水準表'!$B$4:$KO$4,0))&amp;"",""))</f>
        <v/>
      </c>
      <c r="DB11" s="26">
        <f>IF(AT$4="","",IFERROR(INDEX('因子水準表'!$B$9:$KO$18,6,MATCH(AT$4,'因子水準表'!$B$4:$KO$4,0))&amp;"",""))</f>
        <v/>
      </c>
      <c r="DC11" s="26">
        <f>IF(AU$4="","",IFERROR(INDEX('因子水準表'!$B$9:$KO$18,6,MATCH(AU$4,'因子水準表'!$B$4:$KO$4,0))&amp;"",""))</f>
        <v/>
      </c>
      <c r="DD11" s="26">
        <f>IF(AV$4="","",IFERROR(INDEX('因子水準表'!$B$9:$KO$18,6,MATCH(AV$4,'因子水準表'!$B$4:$KO$4,0))&amp;"",""))</f>
        <v/>
      </c>
      <c r="DE11" s="26">
        <f>IF(AW$4="","",IFERROR(INDEX('因子水準表'!$B$9:$KO$18,6,MATCH(AW$4,'因子水準表'!$B$4:$KO$4,0))&amp;"",""))</f>
        <v/>
      </c>
      <c r="DF11" s="26">
        <f>IF(AX$4="","",IFERROR(INDEX('因子水準表'!$B$9:$KO$18,6,MATCH(AX$4,'因子水準表'!$B$4:$KO$4,0))&amp;"",""))</f>
        <v/>
      </c>
      <c r="DG11" s="26">
        <f>IF(AY$4="","",IFERROR(INDEX('因子水準表'!$B$9:$KO$18,6,MATCH(AY$4,'因子水準表'!$B$4:$KO$4,0))&amp;"",""))</f>
        <v/>
      </c>
      <c r="DH11" s="26">
        <f>IF(AZ$4="","",IFERROR(INDEX('因子水準表'!$B$9:$KO$18,6,MATCH(AZ$4,'因子水準表'!$B$4:$KO$4,0))&amp;"",""))</f>
        <v/>
      </c>
      <c r="DI11" s="26">
        <f>IF(BA$4="","",IFERROR(INDEX('因子水準表'!$B$9:$KO$18,6,MATCH(BA$4,'因子水準表'!$B$4:$KO$4,0))&amp;"",""))</f>
        <v/>
      </c>
      <c r="DJ11" s="26">
        <f>IF(BB$4="","",IFERROR(INDEX('因子水準表'!$B$9:$KO$18,6,MATCH(BB$4,'因子水準表'!$B$4:$KO$4,0))&amp;"",""))</f>
        <v/>
      </c>
      <c r="DK11" s="26">
        <f>IF(BC$4="","",IFERROR(INDEX('因子水準表'!$B$9:$KO$18,6,MATCH(BC$4,'因子水準表'!$B$4:$KO$4,0))&amp;"",""))</f>
        <v/>
      </c>
      <c r="DL11" s="26">
        <f>IF(BD$4="","",IFERROR(INDEX('因子水準表'!$B$9:$KO$18,6,MATCH(BD$4,'因子水準表'!$B$4:$KO$4,0))&amp;"",""))</f>
        <v/>
      </c>
      <c r="DM11" s="26">
        <f>IF('因子水準表'!B34="","",'因子水準表'!B34)</f>
        <v/>
      </c>
      <c r="DN11" s="26">
        <f>IF('テスト条件'!A10="","",'テスト条件'!A10)</f>
        <v/>
      </c>
    </row>
    <row r="12">
      <c r="A12" s="27" t="n"/>
      <c r="B12" s="27" t="n"/>
      <c r="C12" s="28">
        <f>IF(A12="","",$B$2)</f>
        <v/>
      </c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  <c r="AJ12" s="27" t="n"/>
      <c r="AK12" s="27" t="n"/>
      <c r="AL12" s="27" t="n"/>
      <c r="AM12" s="27" t="n"/>
      <c r="AN12" s="27" t="n"/>
      <c r="AO12" s="27" t="n"/>
      <c r="AP12" s="27" t="n"/>
      <c r="AQ12" s="27" t="n"/>
      <c r="AR12" s="27" t="n"/>
      <c r="AS12" s="27" t="n"/>
      <c r="AT12" s="27" t="n"/>
      <c r="AU12" s="27" t="n"/>
      <c r="AV12" s="27" t="n"/>
      <c r="AW12" s="27" t="n"/>
      <c r="AX12" s="27" t="n"/>
      <c r="AY12" s="27" t="n"/>
      <c r="AZ12" s="27" t="n"/>
      <c r="BA12" s="27" t="n"/>
      <c r="BB12" s="27" t="n"/>
      <c r="BC12" s="27" t="n"/>
      <c r="BD12" s="27" t="n"/>
      <c r="BE12" s="27" t="n"/>
      <c r="BF12" s="27" t="n"/>
      <c r="BG12" s="27" t="n"/>
      <c r="BH12" s="27" t="n"/>
      <c r="BI12" s="29" t="n"/>
      <c r="BJ12" s="27" t="n"/>
      <c r="BK12" s="27" t="n"/>
      <c r="BL12" s="27" t="n"/>
      <c r="BM12" s="27" t="n"/>
      <c r="BO12" s="26">
        <f>IF(G$4="","",IFERROR(INDEX('因子水準表'!$B$9:$KO$18,7,MATCH(G$4,'因子水準表'!$B$4:$KO$4,0))&amp;"",""))</f>
        <v/>
      </c>
      <c r="BP12" s="26">
        <f>IF(H$4="","",IFERROR(INDEX('因子水準表'!$B$9:$KO$18,7,MATCH(H$4,'因子水準表'!$B$4:$KO$4,0))&amp;"",""))</f>
        <v/>
      </c>
      <c r="BQ12" s="26">
        <f>IF(I$4="","",IFERROR(INDEX('因子水準表'!$B$9:$KO$18,7,MATCH(I$4,'因子水準表'!$B$4:$KO$4,0))&amp;"",""))</f>
        <v/>
      </c>
      <c r="BR12" s="26">
        <f>IF(J$4="","",IFERROR(INDEX('因子水準表'!$B$9:$KO$18,7,MATCH(J$4,'因子水準表'!$B$4:$KO$4,0))&amp;"",""))</f>
        <v/>
      </c>
      <c r="BS12" s="26">
        <f>IF(K$4="","",IFERROR(INDEX('因子水準表'!$B$9:$KO$18,7,MATCH(K$4,'因子水準表'!$B$4:$KO$4,0))&amp;"",""))</f>
        <v/>
      </c>
      <c r="BT12" s="26">
        <f>IF(L$4="","",IFERROR(INDEX('因子水準表'!$B$9:$KO$18,7,MATCH(L$4,'因子水準表'!$B$4:$KO$4,0))&amp;"",""))</f>
        <v/>
      </c>
      <c r="BU12" s="26">
        <f>IF(M$4="","",IFERROR(INDEX('因子水準表'!$B$9:$KO$18,7,MATCH(M$4,'因子水準表'!$B$4:$KO$4,0))&amp;"",""))</f>
        <v/>
      </c>
      <c r="BV12" s="26">
        <f>IF(N$4="","",IFERROR(INDEX('因子水準表'!$B$9:$KO$18,7,MATCH(N$4,'因子水準表'!$B$4:$KO$4,0))&amp;"",""))</f>
        <v/>
      </c>
      <c r="BW12" s="26">
        <f>IF(O$4="","",IFERROR(INDEX('因子水準表'!$B$9:$KO$18,7,MATCH(O$4,'因子水準表'!$B$4:$KO$4,0))&amp;"",""))</f>
        <v/>
      </c>
      <c r="BX12" s="26">
        <f>IF(P$4="","",IFERROR(INDEX('因子水準表'!$B$9:$KO$18,7,MATCH(P$4,'因子水準表'!$B$4:$KO$4,0))&amp;"",""))</f>
        <v/>
      </c>
      <c r="BY12" s="26">
        <f>IF(Q$4="","",IFERROR(INDEX('因子水準表'!$B$9:$KO$18,7,MATCH(Q$4,'因子水準表'!$B$4:$KO$4,0))&amp;"",""))</f>
        <v/>
      </c>
      <c r="BZ12" s="26">
        <f>IF(R$4="","",IFERROR(INDEX('因子水準表'!$B$9:$KO$18,7,MATCH(R$4,'因子水準表'!$B$4:$KO$4,0))&amp;"",""))</f>
        <v/>
      </c>
      <c r="CA12" s="26">
        <f>IF(S$4="","",IFERROR(INDEX('因子水準表'!$B$9:$KO$18,7,MATCH(S$4,'因子水準表'!$B$4:$KO$4,0))&amp;"",""))</f>
        <v/>
      </c>
      <c r="CB12" s="26">
        <f>IF(T$4="","",IFERROR(INDEX('因子水準表'!$B$9:$KO$18,7,MATCH(T$4,'因子水準表'!$B$4:$KO$4,0))&amp;"",""))</f>
        <v/>
      </c>
      <c r="CC12" s="26">
        <f>IF(U$4="","",IFERROR(INDEX('因子水準表'!$B$9:$KO$18,7,MATCH(U$4,'因子水準表'!$B$4:$KO$4,0))&amp;"",""))</f>
        <v/>
      </c>
      <c r="CD12" s="26">
        <f>IF(V$4="","",IFERROR(INDEX('因子水準表'!$B$9:$KO$18,7,MATCH(V$4,'因子水準表'!$B$4:$KO$4,0))&amp;"",""))</f>
        <v/>
      </c>
      <c r="CE12" s="26">
        <f>IF(W$4="","",IFERROR(INDEX('因子水準表'!$B$9:$KO$18,7,MATCH(W$4,'因子水準表'!$B$4:$KO$4,0))&amp;"",""))</f>
        <v/>
      </c>
      <c r="CF12" s="26">
        <f>IF(X$4="","",IFERROR(INDEX('因子水準表'!$B$9:$KO$18,7,MATCH(X$4,'因子水準表'!$B$4:$KO$4,0))&amp;"",""))</f>
        <v/>
      </c>
      <c r="CG12" s="26">
        <f>IF(Y$4="","",IFERROR(INDEX('因子水準表'!$B$9:$KO$18,7,MATCH(Y$4,'因子水準表'!$B$4:$KO$4,0))&amp;"",""))</f>
        <v/>
      </c>
      <c r="CH12" s="26">
        <f>IF(Z$4="","",IFERROR(INDEX('因子水準表'!$B$9:$KO$18,7,MATCH(Z$4,'因子水準表'!$B$4:$KO$4,0))&amp;"",""))</f>
        <v/>
      </c>
      <c r="CI12" s="26">
        <f>IF(AA$4="","",IFERROR(INDEX('因子水準表'!$B$9:$KO$18,7,MATCH(AA$4,'因子水準表'!$B$4:$KO$4,0))&amp;"",""))</f>
        <v/>
      </c>
      <c r="CJ12" s="26">
        <f>IF(AB$4="","",IFERROR(INDEX('因子水準表'!$B$9:$KO$18,7,MATCH(AB$4,'因子水準表'!$B$4:$KO$4,0))&amp;"",""))</f>
        <v/>
      </c>
      <c r="CK12" s="26">
        <f>IF(AC$4="","",IFERROR(INDEX('因子水準表'!$B$9:$KO$18,7,MATCH(AC$4,'因子水準表'!$B$4:$KO$4,0))&amp;"",""))</f>
        <v/>
      </c>
      <c r="CL12" s="26">
        <f>IF(AD$4="","",IFERROR(INDEX('因子水準表'!$B$9:$KO$18,7,MATCH(AD$4,'因子水準表'!$B$4:$KO$4,0))&amp;"",""))</f>
        <v/>
      </c>
      <c r="CM12" s="26">
        <f>IF(AE$4="","",IFERROR(INDEX('因子水準表'!$B$9:$KO$18,7,MATCH(AE$4,'因子水準表'!$B$4:$KO$4,0))&amp;"",""))</f>
        <v/>
      </c>
      <c r="CN12" s="26">
        <f>IF(AF$4="","",IFERROR(INDEX('因子水準表'!$B$9:$KO$18,7,MATCH(AF$4,'因子水準表'!$B$4:$KO$4,0))&amp;"",""))</f>
        <v/>
      </c>
      <c r="CO12" s="26">
        <f>IF(AG$4="","",IFERROR(INDEX('因子水準表'!$B$9:$KO$18,7,MATCH(AG$4,'因子水準表'!$B$4:$KO$4,0))&amp;"",""))</f>
        <v/>
      </c>
      <c r="CP12" s="26">
        <f>IF(AH$4="","",IFERROR(INDEX('因子水準表'!$B$9:$KO$18,7,MATCH(AH$4,'因子水準表'!$B$4:$KO$4,0))&amp;"",""))</f>
        <v/>
      </c>
      <c r="CQ12" s="26">
        <f>IF(AI$4="","",IFERROR(INDEX('因子水準表'!$B$9:$KO$18,7,MATCH(AI$4,'因子水準表'!$B$4:$KO$4,0))&amp;"",""))</f>
        <v/>
      </c>
      <c r="CR12" s="26">
        <f>IF(AJ$4="","",IFERROR(INDEX('因子水準表'!$B$9:$KO$18,7,MATCH(AJ$4,'因子水準表'!$B$4:$KO$4,0))&amp;"",""))</f>
        <v/>
      </c>
      <c r="CS12" s="26">
        <f>IF(AK$4="","",IFERROR(INDEX('因子水準表'!$B$9:$KO$18,7,MATCH(AK$4,'因子水準表'!$B$4:$KO$4,0))&amp;"",""))</f>
        <v/>
      </c>
      <c r="CT12" s="26">
        <f>IF(AL$4="","",IFERROR(INDEX('因子水準表'!$B$9:$KO$18,7,MATCH(AL$4,'因子水準表'!$B$4:$KO$4,0))&amp;"",""))</f>
        <v/>
      </c>
      <c r="CU12" s="26">
        <f>IF(AM$4="","",IFERROR(INDEX('因子水準表'!$B$9:$KO$18,7,MATCH(AM$4,'因子水準表'!$B$4:$KO$4,0))&amp;"",""))</f>
        <v/>
      </c>
      <c r="CV12" s="26">
        <f>IF(AN$4="","",IFERROR(INDEX('因子水準表'!$B$9:$KO$18,7,MATCH(AN$4,'因子水準表'!$B$4:$KO$4,0))&amp;"",""))</f>
        <v/>
      </c>
      <c r="CW12" s="26">
        <f>IF(AO$4="","",IFERROR(INDEX('因子水準表'!$B$9:$KO$18,7,MATCH(AO$4,'因子水準表'!$B$4:$KO$4,0))&amp;"",""))</f>
        <v/>
      </c>
      <c r="CX12" s="26">
        <f>IF(AP$4="","",IFERROR(INDEX('因子水準表'!$B$9:$KO$18,7,MATCH(AP$4,'因子水準表'!$B$4:$KO$4,0))&amp;"",""))</f>
        <v/>
      </c>
      <c r="CY12" s="26">
        <f>IF(AQ$4="","",IFERROR(INDEX('因子水準表'!$B$9:$KO$18,7,MATCH(AQ$4,'因子水準表'!$B$4:$KO$4,0))&amp;"",""))</f>
        <v/>
      </c>
      <c r="CZ12" s="26">
        <f>IF(AR$4="","",IFERROR(INDEX('因子水準表'!$B$9:$KO$18,7,MATCH(AR$4,'因子水準表'!$B$4:$KO$4,0))&amp;"",""))</f>
        <v/>
      </c>
      <c r="DA12" s="26">
        <f>IF(AS$4="","",IFERROR(INDEX('因子水準表'!$B$9:$KO$18,7,MATCH(AS$4,'因子水準表'!$B$4:$KO$4,0))&amp;"",""))</f>
        <v/>
      </c>
      <c r="DB12" s="26">
        <f>IF(AT$4="","",IFERROR(INDEX('因子水準表'!$B$9:$KO$18,7,MATCH(AT$4,'因子水準表'!$B$4:$KO$4,0))&amp;"",""))</f>
        <v/>
      </c>
      <c r="DC12" s="26">
        <f>IF(AU$4="","",IFERROR(INDEX('因子水準表'!$B$9:$KO$18,7,MATCH(AU$4,'因子水準表'!$B$4:$KO$4,0))&amp;"",""))</f>
        <v/>
      </c>
      <c r="DD12" s="26">
        <f>IF(AV$4="","",IFERROR(INDEX('因子水準表'!$B$9:$KO$18,7,MATCH(AV$4,'因子水準表'!$B$4:$KO$4,0))&amp;"",""))</f>
        <v/>
      </c>
      <c r="DE12" s="26">
        <f>IF(AW$4="","",IFERROR(INDEX('因子水準表'!$B$9:$KO$18,7,MATCH(AW$4,'因子水準表'!$B$4:$KO$4,0))&amp;"",""))</f>
        <v/>
      </c>
      <c r="DF12" s="26">
        <f>IF(AX$4="","",IFERROR(INDEX('因子水準表'!$B$9:$KO$18,7,MATCH(AX$4,'因子水準表'!$B$4:$KO$4,0))&amp;"",""))</f>
        <v/>
      </c>
      <c r="DG12" s="26">
        <f>IF(AY$4="","",IFERROR(INDEX('因子水準表'!$B$9:$KO$18,7,MATCH(AY$4,'因子水準表'!$B$4:$KO$4,0))&amp;"",""))</f>
        <v/>
      </c>
      <c r="DH12" s="26">
        <f>IF(AZ$4="","",IFERROR(INDEX('因子水準表'!$B$9:$KO$18,7,MATCH(AZ$4,'因子水準表'!$B$4:$KO$4,0))&amp;"",""))</f>
        <v/>
      </c>
      <c r="DI12" s="26">
        <f>IF(BA$4="","",IFERROR(INDEX('因子水準表'!$B$9:$KO$18,7,MATCH(BA$4,'因子水準表'!$B$4:$KO$4,0))&amp;"",""))</f>
        <v/>
      </c>
      <c r="DJ12" s="26">
        <f>IF(BB$4="","",IFERROR(INDEX('因子水準表'!$B$9:$KO$18,7,MATCH(BB$4,'因子水準表'!$B$4:$KO$4,0))&amp;"",""))</f>
        <v/>
      </c>
      <c r="DK12" s="26">
        <f>IF(BC$4="","",IFERROR(INDEX('因子水準表'!$B$9:$KO$18,7,MATCH(BC$4,'因子水準表'!$B$4:$KO$4,0))&amp;"",""))</f>
        <v/>
      </c>
      <c r="DL12" s="26">
        <f>IF(BD$4="","",IFERROR(INDEX('因子水準表'!$B$9:$KO$18,7,MATCH(BD$4,'因子水準表'!$B$4:$KO$4,0))&amp;"",""))</f>
        <v/>
      </c>
      <c r="DM12" s="26">
        <f>IF('因子水準表'!B35="","",'因子水準表'!B35)</f>
        <v/>
      </c>
      <c r="DN12" s="26">
        <f>IF('テスト条件'!A11="","",'テスト条件'!A11)</f>
        <v/>
      </c>
    </row>
    <row r="13">
      <c r="A13" s="27" t="n"/>
      <c r="B13" s="27" t="n"/>
      <c r="C13" s="28">
        <f>IF(A13="","",$B$2)</f>
        <v/>
      </c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  <c r="AA13" s="27" t="n"/>
      <c r="AB13" s="27" t="n"/>
      <c r="AC13" s="27" t="n"/>
      <c r="AD13" s="27" t="n"/>
      <c r="AE13" s="27" t="n"/>
      <c r="AF13" s="27" t="n"/>
      <c r="AG13" s="27" t="n"/>
      <c r="AH13" s="27" t="n"/>
      <c r="AI13" s="27" t="n"/>
      <c r="AJ13" s="27" t="n"/>
      <c r="AK13" s="27" t="n"/>
      <c r="AL13" s="27" t="n"/>
      <c r="AM13" s="27" t="n"/>
      <c r="AN13" s="27" t="n"/>
      <c r="AO13" s="27" t="n"/>
      <c r="AP13" s="27" t="n"/>
      <c r="AQ13" s="27" t="n"/>
      <c r="AR13" s="27" t="n"/>
      <c r="AS13" s="27" t="n"/>
      <c r="AT13" s="27" t="n"/>
      <c r="AU13" s="27" t="n"/>
      <c r="AV13" s="27" t="n"/>
      <c r="AW13" s="27" t="n"/>
      <c r="AX13" s="27" t="n"/>
      <c r="AY13" s="27" t="n"/>
      <c r="AZ13" s="27" t="n"/>
      <c r="BA13" s="27" t="n"/>
      <c r="BB13" s="27" t="n"/>
      <c r="BC13" s="27" t="n"/>
      <c r="BD13" s="27" t="n"/>
      <c r="BE13" s="27" t="n"/>
      <c r="BF13" s="27" t="n"/>
      <c r="BG13" s="27" t="n"/>
      <c r="BH13" s="27" t="n"/>
      <c r="BI13" s="29" t="n"/>
      <c r="BJ13" s="27" t="n"/>
      <c r="BK13" s="27" t="n"/>
      <c r="BL13" s="27" t="n"/>
      <c r="BM13" s="27" t="n"/>
      <c r="BO13" s="26">
        <f>IF(G$4="","",IFERROR(INDEX('因子水準表'!$B$9:$KO$18,8,MATCH(G$4,'因子水準表'!$B$4:$KO$4,0))&amp;"",""))</f>
        <v/>
      </c>
      <c r="BP13" s="26">
        <f>IF(H$4="","",IFERROR(INDEX('因子水準表'!$B$9:$KO$18,8,MATCH(H$4,'因子水準表'!$B$4:$KO$4,0))&amp;"",""))</f>
        <v/>
      </c>
      <c r="BQ13" s="26">
        <f>IF(I$4="","",IFERROR(INDEX('因子水準表'!$B$9:$KO$18,8,MATCH(I$4,'因子水準表'!$B$4:$KO$4,0))&amp;"",""))</f>
        <v/>
      </c>
      <c r="BR13" s="26">
        <f>IF(J$4="","",IFERROR(INDEX('因子水準表'!$B$9:$KO$18,8,MATCH(J$4,'因子水準表'!$B$4:$KO$4,0))&amp;"",""))</f>
        <v/>
      </c>
      <c r="BS13" s="26">
        <f>IF(K$4="","",IFERROR(INDEX('因子水準表'!$B$9:$KO$18,8,MATCH(K$4,'因子水準表'!$B$4:$KO$4,0))&amp;"",""))</f>
        <v/>
      </c>
      <c r="BT13" s="26">
        <f>IF(L$4="","",IFERROR(INDEX('因子水準表'!$B$9:$KO$18,8,MATCH(L$4,'因子水準表'!$B$4:$KO$4,0))&amp;"",""))</f>
        <v/>
      </c>
      <c r="BU13" s="26">
        <f>IF(M$4="","",IFERROR(INDEX('因子水準表'!$B$9:$KO$18,8,MATCH(M$4,'因子水準表'!$B$4:$KO$4,0))&amp;"",""))</f>
        <v/>
      </c>
      <c r="BV13" s="26">
        <f>IF(N$4="","",IFERROR(INDEX('因子水準表'!$B$9:$KO$18,8,MATCH(N$4,'因子水準表'!$B$4:$KO$4,0))&amp;"",""))</f>
        <v/>
      </c>
      <c r="BW13" s="26">
        <f>IF(O$4="","",IFERROR(INDEX('因子水準表'!$B$9:$KO$18,8,MATCH(O$4,'因子水準表'!$B$4:$KO$4,0))&amp;"",""))</f>
        <v/>
      </c>
      <c r="BX13" s="26">
        <f>IF(P$4="","",IFERROR(INDEX('因子水準表'!$B$9:$KO$18,8,MATCH(P$4,'因子水準表'!$B$4:$KO$4,0))&amp;"",""))</f>
        <v/>
      </c>
      <c r="BY13" s="26">
        <f>IF(Q$4="","",IFERROR(INDEX('因子水準表'!$B$9:$KO$18,8,MATCH(Q$4,'因子水準表'!$B$4:$KO$4,0))&amp;"",""))</f>
        <v/>
      </c>
      <c r="BZ13" s="26">
        <f>IF(R$4="","",IFERROR(INDEX('因子水準表'!$B$9:$KO$18,8,MATCH(R$4,'因子水準表'!$B$4:$KO$4,0))&amp;"",""))</f>
        <v/>
      </c>
      <c r="CA13" s="26">
        <f>IF(S$4="","",IFERROR(INDEX('因子水準表'!$B$9:$KO$18,8,MATCH(S$4,'因子水準表'!$B$4:$KO$4,0))&amp;"",""))</f>
        <v/>
      </c>
      <c r="CB13" s="26">
        <f>IF(T$4="","",IFERROR(INDEX('因子水準表'!$B$9:$KO$18,8,MATCH(T$4,'因子水準表'!$B$4:$KO$4,0))&amp;"",""))</f>
        <v/>
      </c>
      <c r="CC13" s="26">
        <f>IF(U$4="","",IFERROR(INDEX('因子水準表'!$B$9:$KO$18,8,MATCH(U$4,'因子水準表'!$B$4:$KO$4,0))&amp;"",""))</f>
        <v/>
      </c>
      <c r="CD13" s="26">
        <f>IF(V$4="","",IFERROR(INDEX('因子水準表'!$B$9:$KO$18,8,MATCH(V$4,'因子水準表'!$B$4:$KO$4,0))&amp;"",""))</f>
        <v/>
      </c>
      <c r="CE13" s="26">
        <f>IF(W$4="","",IFERROR(INDEX('因子水準表'!$B$9:$KO$18,8,MATCH(W$4,'因子水準表'!$B$4:$KO$4,0))&amp;"",""))</f>
        <v/>
      </c>
      <c r="CF13" s="26">
        <f>IF(X$4="","",IFERROR(INDEX('因子水準表'!$B$9:$KO$18,8,MATCH(X$4,'因子水準表'!$B$4:$KO$4,0))&amp;"",""))</f>
        <v/>
      </c>
      <c r="CG13" s="26">
        <f>IF(Y$4="","",IFERROR(INDEX('因子水準表'!$B$9:$KO$18,8,MATCH(Y$4,'因子水準表'!$B$4:$KO$4,0))&amp;"",""))</f>
        <v/>
      </c>
      <c r="CH13" s="26">
        <f>IF(Z$4="","",IFERROR(INDEX('因子水準表'!$B$9:$KO$18,8,MATCH(Z$4,'因子水準表'!$B$4:$KO$4,0))&amp;"",""))</f>
        <v/>
      </c>
      <c r="CI13" s="26">
        <f>IF(AA$4="","",IFERROR(INDEX('因子水準表'!$B$9:$KO$18,8,MATCH(AA$4,'因子水準表'!$B$4:$KO$4,0))&amp;"",""))</f>
        <v/>
      </c>
      <c r="CJ13" s="26">
        <f>IF(AB$4="","",IFERROR(INDEX('因子水準表'!$B$9:$KO$18,8,MATCH(AB$4,'因子水準表'!$B$4:$KO$4,0))&amp;"",""))</f>
        <v/>
      </c>
      <c r="CK13" s="26">
        <f>IF(AC$4="","",IFERROR(INDEX('因子水準表'!$B$9:$KO$18,8,MATCH(AC$4,'因子水準表'!$B$4:$KO$4,0))&amp;"",""))</f>
        <v/>
      </c>
      <c r="CL13" s="26">
        <f>IF(AD$4="","",IFERROR(INDEX('因子水準表'!$B$9:$KO$18,8,MATCH(AD$4,'因子水準表'!$B$4:$KO$4,0))&amp;"",""))</f>
        <v/>
      </c>
      <c r="CM13" s="26">
        <f>IF(AE$4="","",IFERROR(INDEX('因子水準表'!$B$9:$KO$18,8,MATCH(AE$4,'因子水準表'!$B$4:$KO$4,0))&amp;"",""))</f>
        <v/>
      </c>
      <c r="CN13" s="26">
        <f>IF(AF$4="","",IFERROR(INDEX('因子水準表'!$B$9:$KO$18,8,MATCH(AF$4,'因子水準表'!$B$4:$KO$4,0))&amp;"",""))</f>
        <v/>
      </c>
      <c r="CO13" s="26">
        <f>IF(AG$4="","",IFERROR(INDEX('因子水準表'!$B$9:$KO$18,8,MATCH(AG$4,'因子水準表'!$B$4:$KO$4,0))&amp;"",""))</f>
        <v/>
      </c>
      <c r="CP13" s="26">
        <f>IF(AH$4="","",IFERROR(INDEX('因子水準表'!$B$9:$KO$18,8,MATCH(AH$4,'因子水準表'!$B$4:$KO$4,0))&amp;"",""))</f>
        <v/>
      </c>
      <c r="CQ13" s="26">
        <f>IF(AI$4="","",IFERROR(INDEX('因子水準表'!$B$9:$KO$18,8,MATCH(AI$4,'因子水準表'!$B$4:$KO$4,0))&amp;"",""))</f>
        <v/>
      </c>
      <c r="CR13" s="26">
        <f>IF(AJ$4="","",IFERROR(INDEX('因子水準表'!$B$9:$KO$18,8,MATCH(AJ$4,'因子水準表'!$B$4:$KO$4,0))&amp;"",""))</f>
        <v/>
      </c>
      <c r="CS13" s="26">
        <f>IF(AK$4="","",IFERROR(INDEX('因子水準表'!$B$9:$KO$18,8,MATCH(AK$4,'因子水準表'!$B$4:$KO$4,0))&amp;"",""))</f>
        <v/>
      </c>
      <c r="CT13" s="26">
        <f>IF(AL$4="","",IFERROR(INDEX('因子水準表'!$B$9:$KO$18,8,MATCH(AL$4,'因子水準表'!$B$4:$KO$4,0))&amp;"",""))</f>
        <v/>
      </c>
      <c r="CU13" s="26">
        <f>IF(AM$4="","",IFERROR(INDEX('因子水準表'!$B$9:$KO$18,8,MATCH(AM$4,'因子水準表'!$B$4:$KO$4,0))&amp;"",""))</f>
        <v/>
      </c>
      <c r="CV13" s="26">
        <f>IF(AN$4="","",IFERROR(INDEX('因子水準表'!$B$9:$KO$18,8,MATCH(AN$4,'因子水準表'!$B$4:$KO$4,0))&amp;"",""))</f>
        <v/>
      </c>
      <c r="CW13" s="26">
        <f>IF(AO$4="","",IFERROR(INDEX('因子水準表'!$B$9:$KO$18,8,MATCH(AO$4,'因子水準表'!$B$4:$KO$4,0))&amp;"",""))</f>
        <v/>
      </c>
      <c r="CX13" s="26">
        <f>IF(AP$4="","",IFERROR(INDEX('因子水準表'!$B$9:$KO$18,8,MATCH(AP$4,'因子水準表'!$B$4:$KO$4,0))&amp;"",""))</f>
        <v/>
      </c>
      <c r="CY13" s="26">
        <f>IF(AQ$4="","",IFERROR(INDEX('因子水準表'!$B$9:$KO$18,8,MATCH(AQ$4,'因子水準表'!$B$4:$KO$4,0))&amp;"",""))</f>
        <v/>
      </c>
      <c r="CZ13" s="26">
        <f>IF(AR$4="","",IFERROR(INDEX('因子水準表'!$B$9:$KO$18,8,MATCH(AR$4,'因子水準表'!$B$4:$KO$4,0))&amp;"",""))</f>
        <v/>
      </c>
      <c r="DA13" s="26">
        <f>IF(AS$4="","",IFERROR(INDEX('因子水準表'!$B$9:$KO$18,8,MATCH(AS$4,'因子水準表'!$B$4:$KO$4,0))&amp;"",""))</f>
        <v/>
      </c>
      <c r="DB13" s="26">
        <f>IF(AT$4="","",IFERROR(INDEX('因子水準表'!$B$9:$KO$18,8,MATCH(AT$4,'因子水準表'!$B$4:$KO$4,0))&amp;"",""))</f>
        <v/>
      </c>
      <c r="DC13" s="26">
        <f>IF(AU$4="","",IFERROR(INDEX('因子水準表'!$B$9:$KO$18,8,MATCH(AU$4,'因子水準表'!$B$4:$KO$4,0))&amp;"",""))</f>
        <v/>
      </c>
      <c r="DD13" s="26">
        <f>IF(AV$4="","",IFERROR(INDEX('因子水準表'!$B$9:$KO$18,8,MATCH(AV$4,'因子水準表'!$B$4:$KO$4,0))&amp;"",""))</f>
        <v/>
      </c>
      <c r="DE13" s="26">
        <f>IF(AW$4="","",IFERROR(INDEX('因子水準表'!$B$9:$KO$18,8,MATCH(AW$4,'因子水準表'!$B$4:$KO$4,0))&amp;"",""))</f>
        <v/>
      </c>
      <c r="DF13" s="26">
        <f>IF(AX$4="","",IFERROR(INDEX('因子水準表'!$B$9:$KO$18,8,MATCH(AX$4,'因子水準表'!$B$4:$KO$4,0))&amp;"",""))</f>
        <v/>
      </c>
      <c r="DG13" s="26">
        <f>IF(AY$4="","",IFERROR(INDEX('因子水準表'!$B$9:$KO$18,8,MATCH(AY$4,'因子水準表'!$B$4:$KO$4,0))&amp;"",""))</f>
        <v/>
      </c>
      <c r="DH13" s="26">
        <f>IF(AZ$4="","",IFERROR(INDEX('因子水準表'!$B$9:$KO$18,8,MATCH(AZ$4,'因子水準表'!$B$4:$KO$4,0))&amp;"",""))</f>
        <v/>
      </c>
      <c r="DI13" s="26">
        <f>IF(BA$4="","",IFERROR(INDEX('因子水準表'!$B$9:$KO$18,8,MATCH(BA$4,'因子水準表'!$B$4:$KO$4,0))&amp;"",""))</f>
        <v/>
      </c>
      <c r="DJ13" s="26">
        <f>IF(BB$4="","",IFERROR(INDEX('因子水準表'!$B$9:$KO$18,8,MATCH(BB$4,'因子水準表'!$B$4:$KO$4,0))&amp;"",""))</f>
        <v/>
      </c>
      <c r="DK13" s="26">
        <f>IF(BC$4="","",IFERROR(INDEX('因子水準表'!$B$9:$KO$18,8,MATCH(BC$4,'因子水準表'!$B$4:$KO$4,0))&amp;"",""))</f>
        <v/>
      </c>
      <c r="DL13" s="26">
        <f>IF(BD$4="","",IFERROR(INDEX('因子水準表'!$B$9:$KO$18,8,MATCH(BD$4,'因子水準表'!$B$4:$KO$4,0))&amp;"",""))</f>
        <v/>
      </c>
      <c r="DM13" s="26">
        <f>IF('因子水準表'!B36="","",'因子水準表'!B36)</f>
        <v/>
      </c>
      <c r="DN13" s="26">
        <f>IF('テスト条件'!A12="","",'テスト条件'!A12)</f>
        <v/>
      </c>
    </row>
    <row r="14">
      <c r="A14" s="27" t="n"/>
      <c r="B14" s="27" t="n"/>
      <c r="C14" s="28">
        <f>IF(A14="","",$B$2)</f>
        <v/>
      </c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7" t="n"/>
      <c r="AO14" s="27" t="n"/>
      <c r="AP14" s="27" t="n"/>
      <c r="AQ14" s="27" t="n"/>
      <c r="AR14" s="27" t="n"/>
      <c r="AS14" s="27" t="n"/>
      <c r="AT14" s="27" t="n"/>
      <c r="AU14" s="27" t="n"/>
      <c r="AV14" s="27" t="n"/>
      <c r="AW14" s="27" t="n"/>
      <c r="AX14" s="27" t="n"/>
      <c r="AY14" s="27" t="n"/>
      <c r="AZ14" s="27" t="n"/>
      <c r="BA14" s="27" t="n"/>
      <c r="BB14" s="27" t="n"/>
      <c r="BC14" s="27" t="n"/>
      <c r="BD14" s="27" t="n"/>
      <c r="BE14" s="27" t="n"/>
      <c r="BF14" s="27" t="n"/>
      <c r="BG14" s="27" t="n"/>
      <c r="BH14" s="27" t="n"/>
      <c r="BI14" s="29" t="n"/>
      <c r="BJ14" s="27" t="n"/>
      <c r="BK14" s="27" t="n"/>
      <c r="BL14" s="27" t="n"/>
      <c r="BM14" s="27" t="n"/>
      <c r="BO14" s="26">
        <f>IF(G$4="","",IFERROR(INDEX('因子水準表'!$B$9:$KO$18,9,MATCH(G$4,'因子水準表'!$B$4:$KO$4,0))&amp;"",""))</f>
        <v/>
      </c>
      <c r="BP14" s="26">
        <f>IF(H$4="","",IFERROR(INDEX('因子水準表'!$B$9:$KO$18,9,MATCH(H$4,'因子水準表'!$B$4:$KO$4,0))&amp;"",""))</f>
        <v/>
      </c>
      <c r="BQ14" s="26">
        <f>IF(I$4="","",IFERROR(INDEX('因子水準表'!$B$9:$KO$18,9,MATCH(I$4,'因子水準表'!$B$4:$KO$4,0))&amp;"",""))</f>
        <v/>
      </c>
      <c r="BR14" s="26">
        <f>IF(J$4="","",IFERROR(INDEX('因子水準表'!$B$9:$KO$18,9,MATCH(J$4,'因子水準表'!$B$4:$KO$4,0))&amp;"",""))</f>
        <v/>
      </c>
      <c r="BS14" s="26">
        <f>IF(K$4="","",IFERROR(INDEX('因子水準表'!$B$9:$KO$18,9,MATCH(K$4,'因子水準表'!$B$4:$KO$4,0))&amp;"",""))</f>
        <v/>
      </c>
      <c r="BT14" s="26">
        <f>IF(L$4="","",IFERROR(INDEX('因子水準表'!$B$9:$KO$18,9,MATCH(L$4,'因子水準表'!$B$4:$KO$4,0))&amp;"",""))</f>
        <v/>
      </c>
      <c r="BU14" s="26">
        <f>IF(M$4="","",IFERROR(INDEX('因子水準表'!$B$9:$KO$18,9,MATCH(M$4,'因子水準表'!$B$4:$KO$4,0))&amp;"",""))</f>
        <v/>
      </c>
      <c r="BV14" s="26">
        <f>IF(N$4="","",IFERROR(INDEX('因子水準表'!$B$9:$KO$18,9,MATCH(N$4,'因子水準表'!$B$4:$KO$4,0))&amp;"",""))</f>
        <v/>
      </c>
      <c r="BW14" s="26">
        <f>IF(O$4="","",IFERROR(INDEX('因子水準表'!$B$9:$KO$18,9,MATCH(O$4,'因子水準表'!$B$4:$KO$4,0))&amp;"",""))</f>
        <v/>
      </c>
      <c r="BX14" s="26">
        <f>IF(P$4="","",IFERROR(INDEX('因子水準表'!$B$9:$KO$18,9,MATCH(P$4,'因子水準表'!$B$4:$KO$4,0))&amp;"",""))</f>
        <v/>
      </c>
      <c r="BY14" s="26">
        <f>IF(Q$4="","",IFERROR(INDEX('因子水準表'!$B$9:$KO$18,9,MATCH(Q$4,'因子水準表'!$B$4:$KO$4,0))&amp;"",""))</f>
        <v/>
      </c>
      <c r="BZ14" s="26">
        <f>IF(R$4="","",IFERROR(INDEX('因子水準表'!$B$9:$KO$18,9,MATCH(R$4,'因子水準表'!$B$4:$KO$4,0))&amp;"",""))</f>
        <v/>
      </c>
      <c r="CA14" s="26">
        <f>IF(S$4="","",IFERROR(INDEX('因子水準表'!$B$9:$KO$18,9,MATCH(S$4,'因子水準表'!$B$4:$KO$4,0))&amp;"",""))</f>
        <v/>
      </c>
      <c r="CB14" s="26">
        <f>IF(T$4="","",IFERROR(INDEX('因子水準表'!$B$9:$KO$18,9,MATCH(T$4,'因子水準表'!$B$4:$KO$4,0))&amp;"",""))</f>
        <v/>
      </c>
      <c r="CC14" s="26">
        <f>IF(U$4="","",IFERROR(INDEX('因子水準表'!$B$9:$KO$18,9,MATCH(U$4,'因子水準表'!$B$4:$KO$4,0))&amp;"",""))</f>
        <v/>
      </c>
      <c r="CD14" s="26">
        <f>IF(V$4="","",IFERROR(INDEX('因子水準表'!$B$9:$KO$18,9,MATCH(V$4,'因子水準表'!$B$4:$KO$4,0))&amp;"",""))</f>
        <v/>
      </c>
      <c r="CE14" s="26">
        <f>IF(W$4="","",IFERROR(INDEX('因子水準表'!$B$9:$KO$18,9,MATCH(W$4,'因子水準表'!$B$4:$KO$4,0))&amp;"",""))</f>
        <v/>
      </c>
      <c r="CF14" s="26">
        <f>IF(X$4="","",IFERROR(INDEX('因子水準表'!$B$9:$KO$18,9,MATCH(X$4,'因子水準表'!$B$4:$KO$4,0))&amp;"",""))</f>
        <v/>
      </c>
      <c r="CG14" s="26">
        <f>IF(Y$4="","",IFERROR(INDEX('因子水準表'!$B$9:$KO$18,9,MATCH(Y$4,'因子水準表'!$B$4:$KO$4,0))&amp;"",""))</f>
        <v/>
      </c>
      <c r="CH14" s="26">
        <f>IF(Z$4="","",IFERROR(INDEX('因子水準表'!$B$9:$KO$18,9,MATCH(Z$4,'因子水準表'!$B$4:$KO$4,0))&amp;"",""))</f>
        <v/>
      </c>
      <c r="CI14" s="26">
        <f>IF(AA$4="","",IFERROR(INDEX('因子水準表'!$B$9:$KO$18,9,MATCH(AA$4,'因子水準表'!$B$4:$KO$4,0))&amp;"",""))</f>
        <v/>
      </c>
      <c r="CJ14" s="26">
        <f>IF(AB$4="","",IFERROR(INDEX('因子水準表'!$B$9:$KO$18,9,MATCH(AB$4,'因子水準表'!$B$4:$KO$4,0))&amp;"",""))</f>
        <v/>
      </c>
      <c r="CK14" s="26">
        <f>IF(AC$4="","",IFERROR(INDEX('因子水準表'!$B$9:$KO$18,9,MATCH(AC$4,'因子水準表'!$B$4:$KO$4,0))&amp;"",""))</f>
        <v/>
      </c>
      <c r="CL14" s="26">
        <f>IF(AD$4="","",IFERROR(INDEX('因子水準表'!$B$9:$KO$18,9,MATCH(AD$4,'因子水準表'!$B$4:$KO$4,0))&amp;"",""))</f>
        <v/>
      </c>
      <c r="CM14" s="26">
        <f>IF(AE$4="","",IFERROR(INDEX('因子水準表'!$B$9:$KO$18,9,MATCH(AE$4,'因子水準表'!$B$4:$KO$4,0))&amp;"",""))</f>
        <v/>
      </c>
      <c r="CN14" s="26">
        <f>IF(AF$4="","",IFERROR(INDEX('因子水準表'!$B$9:$KO$18,9,MATCH(AF$4,'因子水準表'!$B$4:$KO$4,0))&amp;"",""))</f>
        <v/>
      </c>
      <c r="CO14" s="26">
        <f>IF(AG$4="","",IFERROR(INDEX('因子水準表'!$B$9:$KO$18,9,MATCH(AG$4,'因子水準表'!$B$4:$KO$4,0))&amp;"",""))</f>
        <v/>
      </c>
      <c r="CP14" s="26">
        <f>IF(AH$4="","",IFERROR(INDEX('因子水準表'!$B$9:$KO$18,9,MATCH(AH$4,'因子水準表'!$B$4:$KO$4,0))&amp;"",""))</f>
        <v/>
      </c>
      <c r="CQ14" s="26">
        <f>IF(AI$4="","",IFERROR(INDEX('因子水準表'!$B$9:$KO$18,9,MATCH(AI$4,'因子水準表'!$B$4:$KO$4,0))&amp;"",""))</f>
        <v/>
      </c>
      <c r="CR14" s="26">
        <f>IF(AJ$4="","",IFERROR(INDEX('因子水準表'!$B$9:$KO$18,9,MATCH(AJ$4,'因子水準表'!$B$4:$KO$4,0))&amp;"",""))</f>
        <v/>
      </c>
      <c r="CS14" s="26">
        <f>IF(AK$4="","",IFERROR(INDEX('因子水準表'!$B$9:$KO$18,9,MATCH(AK$4,'因子水準表'!$B$4:$KO$4,0))&amp;"",""))</f>
        <v/>
      </c>
      <c r="CT14" s="26">
        <f>IF(AL$4="","",IFERROR(INDEX('因子水準表'!$B$9:$KO$18,9,MATCH(AL$4,'因子水準表'!$B$4:$KO$4,0))&amp;"",""))</f>
        <v/>
      </c>
      <c r="CU14" s="26">
        <f>IF(AM$4="","",IFERROR(INDEX('因子水準表'!$B$9:$KO$18,9,MATCH(AM$4,'因子水準表'!$B$4:$KO$4,0))&amp;"",""))</f>
        <v/>
      </c>
      <c r="CV14" s="26">
        <f>IF(AN$4="","",IFERROR(INDEX('因子水準表'!$B$9:$KO$18,9,MATCH(AN$4,'因子水準表'!$B$4:$KO$4,0))&amp;"",""))</f>
        <v/>
      </c>
      <c r="CW14" s="26">
        <f>IF(AO$4="","",IFERROR(INDEX('因子水準表'!$B$9:$KO$18,9,MATCH(AO$4,'因子水準表'!$B$4:$KO$4,0))&amp;"",""))</f>
        <v/>
      </c>
      <c r="CX14" s="26">
        <f>IF(AP$4="","",IFERROR(INDEX('因子水準表'!$B$9:$KO$18,9,MATCH(AP$4,'因子水準表'!$B$4:$KO$4,0))&amp;"",""))</f>
        <v/>
      </c>
      <c r="CY14" s="26">
        <f>IF(AQ$4="","",IFERROR(INDEX('因子水準表'!$B$9:$KO$18,9,MATCH(AQ$4,'因子水準表'!$B$4:$KO$4,0))&amp;"",""))</f>
        <v/>
      </c>
      <c r="CZ14" s="26">
        <f>IF(AR$4="","",IFERROR(INDEX('因子水準表'!$B$9:$KO$18,9,MATCH(AR$4,'因子水準表'!$B$4:$KO$4,0))&amp;"",""))</f>
        <v/>
      </c>
      <c r="DA14" s="26">
        <f>IF(AS$4="","",IFERROR(INDEX('因子水準表'!$B$9:$KO$18,9,MATCH(AS$4,'因子水準表'!$B$4:$KO$4,0))&amp;"",""))</f>
        <v/>
      </c>
      <c r="DB14" s="26">
        <f>IF(AT$4="","",IFERROR(INDEX('因子水準表'!$B$9:$KO$18,9,MATCH(AT$4,'因子水準表'!$B$4:$KO$4,0))&amp;"",""))</f>
        <v/>
      </c>
      <c r="DC14" s="26">
        <f>IF(AU$4="","",IFERROR(INDEX('因子水準表'!$B$9:$KO$18,9,MATCH(AU$4,'因子水準表'!$B$4:$KO$4,0))&amp;"",""))</f>
        <v/>
      </c>
      <c r="DD14" s="26">
        <f>IF(AV$4="","",IFERROR(INDEX('因子水準表'!$B$9:$KO$18,9,MATCH(AV$4,'因子水準表'!$B$4:$KO$4,0))&amp;"",""))</f>
        <v/>
      </c>
      <c r="DE14" s="26">
        <f>IF(AW$4="","",IFERROR(INDEX('因子水準表'!$B$9:$KO$18,9,MATCH(AW$4,'因子水準表'!$B$4:$KO$4,0))&amp;"",""))</f>
        <v/>
      </c>
      <c r="DF14" s="26">
        <f>IF(AX$4="","",IFERROR(INDEX('因子水準表'!$B$9:$KO$18,9,MATCH(AX$4,'因子水準表'!$B$4:$KO$4,0))&amp;"",""))</f>
        <v/>
      </c>
      <c r="DG14" s="26">
        <f>IF(AY$4="","",IFERROR(INDEX('因子水準表'!$B$9:$KO$18,9,MATCH(AY$4,'因子水準表'!$B$4:$KO$4,0))&amp;"",""))</f>
        <v/>
      </c>
      <c r="DH14" s="26">
        <f>IF(AZ$4="","",IFERROR(INDEX('因子水準表'!$B$9:$KO$18,9,MATCH(AZ$4,'因子水準表'!$B$4:$KO$4,0))&amp;"",""))</f>
        <v/>
      </c>
      <c r="DI14" s="26">
        <f>IF(BA$4="","",IFERROR(INDEX('因子水準表'!$B$9:$KO$18,9,MATCH(BA$4,'因子水準表'!$B$4:$KO$4,0))&amp;"",""))</f>
        <v/>
      </c>
      <c r="DJ14" s="26">
        <f>IF(BB$4="","",IFERROR(INDEX('因子水準表'!$B$9:$KO$18,9,MATCH(BB$4,'因子水準表'!$B$4:$KO$4,0))&amp;"",""))</f>
        <v/>
      </c>
      <c r="DK14" s="26">
        <f>IF(BC$4="","",IFERROR(INDEX('因子水準表'!$B$9:$KO$18,9,MATCH(BC$4,'因子水準表'!$B$4:$KO$4,0))&amp;"",""))</f>
        <v/>
      </c>
      <c r="DL14" s="26">
        <f>IF(BD$4="","",IFERROR(INDEX('因子水準表'!$B$9:$KO$18,9,MATCH(BD$4,'因子水準表'!$B$4:$KO$4,0))&amp;"",""))</f>
        <v/>
      </c>
      <c r="DM14" s="26">
        <f>IF('因子水準表'!B37="","",'因子水準表'!B37)</f>
        <v/>
      </c>
      <c r="DN14" s="26">
        <f>IF('テスト条件'!A13="","",'テスト条件'!A13)</f>
        <v/>
      </c>
    </row>
    <row r="15">
      <c r="A15" s="27" t="n"/>
      <c r="B15" s="27" t="n"/>
      <c r="C15" s="28">
        <f>IF(A15="","",$B$2)</f>
        <v/>
      </c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  <c r="AI15" s="27" t="n"/>
      <c r="AJ15" s="27" t="n"/>
      <c r="AK15" s="27" t="n"/>
      <c r="AL15" s="27" t="n"/>
      <c r="AM15" s="27" t="n"/>
      <c r="AN15" s="27" t="n"/>
      <c r="AO15" s="27" t="n"/>
      <c r="AP15" s="27" t="n"/>
      <c r="AQ15" s="27" t="n"/>
      <c r="AR15" s="27" t="n"/>
      <c r="AS15" s="27" t="n"/>
      <c r="AT15" s="27" t="n"/>
      <c r="AU15" s="27" t="n"/>
      <c r="AV15" s="27" t="n"/>
      <c r="AW15" s="27" t="n"/>
      <c r="AX15" s="27" t="n"/>
      <c r="AY15" s="27" t="n"/>
      <c r="AZ15" s="27" t="n"/>
      <c r="BA15" s="27" t="n"/>
      <c r="BB15" s="27" t="n"/>
      <c r="BC15" s="27" t="n"/>
      <c r="BD15" s="27" t="n"/>
      <c r="BE15" s="27" t="n"/>
      <c r="BF15" s="27" t="n"/>
      <c r="BG15" s="27" t="n"/>
      <c r="BH15" s="27" t="n"/>
      <c r="BI15" s="29" t="n"/>
      <c r="BJ15" s="27" t="n"/>
      <c r="BK15" s="27" t="n"/>
      <c r="BL15" s="27" t="n"/>
      <c r="BM15" s="27" t="n"/>
      <c r="BO15" s="26">
        <f>IF(G$4="","",IFERROR(INDEX('因子水準表'!$B$9:$KO$18,10,MATCH(G$4,'因子水準表'!$B$4:$KO$4,0))&amp;"",""))</f>
        <v/>
      </c>
      <c r="BP15" s="26">
        <f>IF(H$4="","",IFERROR(INDEX('因子水準表'!$B$9:$KO$18,10,MATCH(H$4,'因子水準表'!$B$4:$KO$4,0))&amp;"",""))</f>
        <v/>
      </c>
      <c r="BQ15" s="26">
        <f>IF(I$4="","",IFERROR(INDEX('因子水準表'!$B$9:$KO$18,10,MATCH(I$4,'因子水準表'!$B$4:$KO$4,0))&amp;"",""))</f>
        <v/>
      </c>
      <c r="BR15" s="26">
        <f>IF(J$4="","",IFERROR(INDEX('因子水準表'!$B$9:$KO$18,10,MATCH(J$4,'因子水準表'!$B$4:$KO$4,0))&amp;"",""))</f>
        <v/>
      </c>
      <c r="BS15" s="26">
        <f>IF(K$4="","",IFERROR(INDEX('因子水準表'!$B$9:$KO$18,10,MATCH(K$4,'因子水準表'!$B$4:$KO$4,0))&amp;"",""))</f>
        <v/>
      </c>
      <c r="BT15" s="26">
        <f>IF(L$4="","",IFERROR(INDEX('因子水準表'!$B$9:$KO$18,10,MATCH(L$4,'因子水準表'!$B$4:$KO$4,0))&amp;"",""))</f>
        <v/>
      </c>
      <c r="BU15" s="26">
        <f>IF(M$4="","",IFERROR(INDEX('因子水準表'!$B$9:$KO$18,10,MATCH(M$4,'因子水準表'!$B$4:$KO$4,0))&amp;"",""))</f>
        <v/>
      </c>
      <c r="BV15" s="26">
        <f>IF(N$4="","",IFERROR(INDEX('因子水準表'!$B$9:$KO$18,10,MATCH(N$4,'因子水準表'!$B$4:$KO$4,0))&amp;"",""))</f>
        <v/>
      </c>
      <c r="BW15" s="26">
        <f>IF(O$4="","",IFERROR(INDEX('因子水準表'!$B$9:$KO$18,10,MATCH(O$4,'因子水準表'!$B$4:$KO$4,0))&amp;"",""))</f>
        <v/>
      </c>
      <c r="BX15" s="26">
        <f>IF(P$4="","",IFERROR(INDEX('因子水準表'!$B$9:$KO$18,10,MATCH(P$4,'因子水準表'!$B$4:$KO$4,0))&amp;"",""))</f>
        <v/>
      </c>
      <c r="BY15" s="26">
        <f>IF(Q$4="","",IFERROR(INDEX('因子水準表'!$B$9:$KO$18,10,MATCH(Q$4,'因子水準表'!$B$4:$KO$4,0))&amp;"",""))</f>
        <v/>
      </c>
      <c r="BZ15" s="26">
        <f>IF(R$4="","",IFERROR(INDEX('因子水準表'!$B$9:$KO$18,10,MATCH(R$4,'因子水準表'!$B$4:$KO$4,0))&amp;"",""))</f>
        <v/>
      </c>
      <c r="CA15" s="26">
        <f>IF(S$4="","",IFERROR(INDEX('因子水準表'!$B$9:$KO$18,10,MATCH(S$4,'因子水準表'!$B$4:$KO$4,0))&amp;"",""))</f>
        <v/>
      </c>
      <c r="CB15" s="26">
        <f>IF(T$4="","",IFERROR(INDEX('因子水準表'!$B$9:$KO$18,10,MATCH(T$4,'因子水準表'!$B$4:$KO$4,0))&amp;"",""))</f>
        <v/>
      </c>
      <c r="CC15" s="26">
        <f>IF(U$4="","",IFERROR(INDEX('因子水準表'!$B$9:$KO$18,10,MATCH(U$4,'因子水準表'!$B$4:$KO$4,0))&amp;"",""))</f>
        <v/>
      </c>
      <c r="CD15" s="26">
        <f>IF(V$4="","",IFERROR(INDEX('因子水準表'!$B$9:$KO$18,10,MATCH(V$4,'因子水準表'!$B$4:$KO$4,0))&amp;"",""))</f>
        <v/>
      </c>
      <c r="CE15" s="26">
        <f>IF(W$4="","",IFERROR(INDEX('因子水準表'!$B$9:$KO$18,10,MATCH(W$4,'因子水準表'!$B$4:$KO$4,0))&amp;"",""))</f>
        <v/>
      </c>
      <c r="CF15" s="26">
        <f>IF(X$4="","",IFERROR(INDEX('因子水準表'!$B$9:$KO$18,10,MATCH(X$4,'因子水準表'!$B$4:$KO$4,0))&amp;"",""))</f>
        <v/>
      </c>
      <c r="CG15" s="26">
        <f>IF(Y$4="","",IFERROR(INDEX('因子水準表'!$B$9:$KO$18,10,MATCH(Y$4,'因子水準表'!$B$4:$KO$4,0))&amp;"",""))</f>
        <v/>
      </c>
      <c r="CH15" s="26">
        <f>IF(Z$4="","",IFERROR(INDEX('因子水準表'!$B$9:$KO$18,10,MATCH(Z$4,'因子水準表'!$B$4:$KO$4,0))&amp;"",""))</f>
        <v/>
      </c>
      <c r="CI15" s="26">
        <f>IF(AA$4="","",IFERROR(INDEX('因子水準表'!$B$9:$KO$18,10,MATCH(AA$4,'因子水準表'!$B$4:$KO$4,0))&amp;"",""))</f>
        <v/>
      </c>
      <c r="CJ15" s="26">
        <f>IF(AB$4="","",IFERROR(INDEX('因子水準表'!$B$9:$KO$18,10,MATCH(AB$4,'因子水準表'!$B$4:$KO$4,0))&amp;"",""))</f>
        <v/>
      </c>
      <c r="CK15" s="26">
        <f>IF(AC$4="","",IFERROR(INDEX('因子水準表'!$B$9:$KO$18,10,MATCH(AC$4,'因子水準表'!$B$4:$KO$4,0))&amp;"",""))</f>
        <v/>
      </c>
      <c r="CL15" s="26">
        <f>IF(AD$4="","",IFERROR(INDEX('因子水準表'!$B$9:$KO$18,10,MATCH(AD$4,'因子水準表'!$B$4:$KO$4,0))&amp;"",""))</f>
        <v/>
      </c>
      <c r="CM15" s="26">
        <f>IF(AE$4="","",IFERROR(INDEX('因子水準表'!$B$9:$KO$18,10,MATCH(AE$4,'因子水準表'!$B$4:$KO$4,0))&amp;"",""))</f>
        <v/>
      </c>
      <c r="CN15" s="26">
        <f>IF(AF$4="","",IFERROR(INDEX('因子水準表'!$B$9:$KO$18,10,MATCH(AF$4,'因子水準表'!$B$4:$KO$4,0))&amp;"",""))</f>
        <v/>
      </c>
      <c r="CO15" s="26">
        <f>IF(AG$4="","",IFERROR(INDEX('因子水準表'!$B$9:$KO$18,10,MATCH(AG$4,'因子水準表'!$B$4:$KO$4,0))&amp;"",""))</f>
        <v/>
      </c>
      <c r="CP15" s="26">
        <f>IF(AH$4="","",IFERROR(INDEX('因子水準表'!$B$9:$KO$18,10,MATCH(AH$4,'因子水準表'!$B$4:$KO$4,0))&amp;"",""))</f>
        <v/>
      </c>
      <c r="CQ15" s="26">
        <f>IF(AI$4="","",IFERROR(INDEX('因子水準表'!$B$9:$KO$18,10,MATCH(AI$4,'因子水準表'!$B$4:$KO$4,0))&amp;"",""))</f>
        <v/>
      </c>
      <c r="CR15" s="26">
        <f>IF(AJ$4="","",IFERROR(INDEX('因子水準表'!$B$9:$KO$18,10,MATCH(AJ$4,'因子水準表'!$B$4:$KO$4,0))&amp;"",""))</f>
        <v/>
      </c>
      <c r="CS15" s="26">
        <f>IF(AK$4="","",IFERROR(INDEX('因子水準表'!$B$9:$KO$18,10,MATCH(AK$4,'因子水準表'!$B$4:$KO$4,0))&amp;"",""))</f>
        <v/>
      </c>
      <c r="CT15" s="26">
        <f>IF(AL$4="","",IFERROR(INDEX('因子水準表'!$B$9:$KO$18,10,MATCH(AL$4,'因子水準表'!$B$4:$KO$4,0))&amp;"",""))</f>
        <v/>
      </c>
      <c r="CU15" s="26">
        <f>IF(AM$4="","",IFERROR(INDEX('因子水準表'!$B$9:$KO$18,10,MATCH(AM$4,'因子水準表'!$B$4:$KO$4,0))&amp;"",""))</f>
        <v/>
      </c>
      <c r="CV15" s="26">
        <f>IF(AN$4="","",IFERROR(INDEX('因子水準表'!$B$9:$KO$18,10,MATCH(AN$4,'因子水準表'!$B$4:$KO$4,0))&amp;"",""))</f>
        <v/>
      </c>
      <c r="CW15" s="26">
        <f>IF(AO$4="","",IFERROR(INDEX('因子水準表'!$B$9:$KO$18,10,MATCH(AO$4,'因子水準表'!$B$4:$KO$4,0))&amp;"",""))</f>
        <v/>
      </c>
      <c r="CX15" s="26">
        <f>IF(AP$4="","",IFERROR(INDEX('因子水準表'!$B$9:$KO$18,10,MATCH(AP$4,'因子水準表'!$B$4:$KO$4,0))&amp;"",""))</f>
        <v/>
      </c>
      <c r="CY15" s="26">
        <f>IF(AQ$4="","",IFERROR(INDEX('因子水準表'!$B$9:$KO$18,10,MATCH(AQ$4,'因子水準表'!$B$4:$KO$4,0))&amp;"",""))</f>
        <v/>
      </c>
      <c r="CZ15" s="26">
        <f>IF(AR$4="","",IFERROR(INDEX('因子水準表'!$B$9:$KO$18,10,MATCH(AR$4,'因子水準表'!$B$4:$KO$4,0))&amp;"",""))</f>
        <v/>
      </c>
      <c r="DA15" s="26">
        <f>IF(AS$4="","",IFERROR(INDEX('因子水準表'!$B$9:$KO$18,10,MATCH(AS$4,'因子水準表'!$B$4:$KO$4,0))&amp;"",""))</f>
        <v/>
      </c>
      <c r="DB15" s="26">
        <f>IF(AT$4="","",IFERROR(INDEX('因子水準表'!$B$9:$KO$18,10,MATCH(AT$4,'因子水準表'!$B$4:$KO$4,0))&amp;"",""))</f>
        <v/>
      </c>
      <c r="DC15" s="26">
        <f>IF(AU$4="","",IFERROR(INDEX('因子水準表'!$B$9:$KO$18,10,MATCH(AU$4,'因子水準表'!$B$4:$KO$4,0))&amp;"",""))</f>
        <v/>
      </c>
      <c r="DD15" s="26">
        <f>IF(AV$4="","",IFERROR(INDEX('因子水準表'!$B$9:$KO$18,10,MATCH(AV$4,'因子水準表'!$B$4:$KO$4,0))&amp;"",""))</f>
        <v/>
      </c>
      <c r="DE15" s="26">
        <f>IF(AW$4="","",IFERROR(INDEX('因子水準表'!$B$9:$KO$18,10,MATCH(AW$4,'因子水準表'!$B$4:$KO$4,0))&amp;"",""))</f>
        <v/>
      </c>
      <c r="DF15" s="26">
        <f>IF(AX$4="","",IFERROR(INDEX('因子水準表'!$B$9:$KO$18,10,MATCH(AX$4,'因子水準表'!$B$4:$KO$4,0))&amp;"",""))</f>
        <v/>
      </c>
      <c r="DG15" s="26">
        <f>IF(AY$4="","",IFERROR(INDEX('因子水準表'!$B$9:$KO$18,10,MATCH(AY$4,'因子水準表'!$B$4:$KO$4,0))&amp;"",""))</f>
        <v/>
      </c>
      <c r="DH15" s="26">
        <f>IF(AZ$4="","",IFERROR(INDEX('因子水準表'!$B$9:$KO$18,10,MATCH(AZ$4,'因子水準表'!$B$4:$KO$4,0))&amp;"",""))</f>
        <v/>
      </c>
      <c r="DI15" s="26">
        <f>IF(BA$4="","",IFERROR(INDEX('因子水準表'!$B$9:$KO$18,10,MATCH(BA$4,'因子水準表'!$B$4:$KO$4,0))&amp;"",""))</f>
        <v/>
      </c>
      <c r="DJ15" s="26">
        <f>IF(BB$4="","",IFERROR(INDEX('因子水準表'!$B$9:$KO$18,10,MATCH(BB$4,'因子水準表'!$B$4:$KO$4,0))&amp;"",""))</f>
        <v/>
      </c>
      <c r="DK15" s="26">
        <f>IF(BC$4="","",IFERROR(INDEX('因子水準表'!$B$9:$KO$18,10,MATCH(BC$4,'因子水準表'!$B$4:$KO$4,0))&amp;"",""))</f>
        <v/>
      </c>
      <c r="DL15" s="26">
        <f>IF(BD$4="","",IFERROR(INDEX('因子水準表'!$B$9:$KO$18,10,MATCH(BD$4,'因子水準表'!$B$4:$KO$4,0))&amp;"",""))</f>
        <v/>
      </c>
      <c r="DM15" s="26">
        <f>IF('因子水準表'!B38="","",'因子水準表'!B38)</f>
        <v/>
      </c>
      <c r="DN15" s="26">
        <f>IF('テスト条件'!A14="","",'テスト条件'!A14)</f>
        <v/>
      </c>
    </row>
    <row r="16">
      <c r="A16" s="27" t="n"/>
      <c r="B16" s="27" t="n"/>
      <c r="C16" s="28">
        <f>IF(A16="","",$B$2)</f>
        <v/>
      </c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  <c r="AA16" s="27" t="n"/>
      <c r="AB16" s="27" t="n"/>
      <c r="AC16" s="27" t="n"/>
      <c r="AD16" s="27" t="n"/>
      <c r="AE16" s="27" t="n"/>
      <c r="AF16" s="27" t="n"/>
      <c r="AG16" s="27" t="n"/>
      <c r="AH16" s="27" t="n"/>
      <c r="AI16" s="27" t="n"/>
      <c r="AJ16" s="27" t="n"/>
      <c r="AK16" s="27" t="n"/>
      <c r="AL16" s="27" t="n"/>
      <c r="AM16" s="27" t="n"/>
      <c r="AN16" s="27" t="n"/>
      <c r="AO16" s="27" t="n"/>
      <c r="AP16" s="27" t="n"/>
      <c r="AQ16" s="27" t="n"/>
      <c r="AR16" s="27" t="n"/>
      <c r="AS16" s="27" t="n"/>
      <c r="AT16" s="27" t="n"/>
      <c r="AU16" s="27" t="n"/>
      <c r="AV16" s="27" t="n"/>
      <c r="AW16" s="27" t="n"/>
      <c r="AX16" s="27" t="n"/>
      <c r="AY16" s="27" t="n"/>
      <c r="AZ16" s="27" t="n"/>
      <c r="BA16" s="27" t="n"/>
      <c r="BB16" s="27" t="n"/>
      <c r="BC16" s="27" t="n"/>
      <c r="BD16" s="27" t="n"/>
      <c r="BE16" s="27" t="n"/>
      <c r="BF16" s="27" t="n"/>
      <c r="BG16" s="27" t="n"/>
      <c r="BH16" s="27" t="n"/>
      <c r="BI16" s="29" t="n"/>
      <c r="BJ16" s="27" t="n"/>
      <c r="BK16" s="27" t="n"/>
      <c r="BL16" s="27" t="n"/>
      <c r="BM16" s="27" t="n"/>
      <c r="DM16" s="26">
        <f>IF('因子水準表'!B39="","",'因子水準表'!B39)</f>
        <v/>
      </c>
      <c r="DN16" s="26">
        <f>IF('テスト条件'!A15="","",'テスト条件'!A15)</f>
        <v/>
      </c>
    </row>
    <row r="17">
      <c r="A17" s="27" t="n"/>
      <c r="B17" s="27" t="n"/>
      <c r="C17" s="28">
        <f>IF(A17="","",$B$2)</f>
        <v/>
      </c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  <c r="AI17" s="27" t="n"/>
      <c r="AJ17" s="27" t="n"/>
      <c r="AK17" s="27" t="n"/>
      <c r="AL17" s="27" t="n"/>
      <c r="AM17" s="27" t="n"/>
      <c r="AN17" s="27" t="n"/>
      <c r="AO17" s="27" t="n"/>
      <c r="AP17" s="27" t="n"/>
      <c r="AQ17" s="27" t="n"/>
      <c r="AR17" s="27" t="n"/>
      <c r="AS17" s="27" t="n"/>
      <c r="AT17" s="27" t="n"/>
      <c r="AU17" s="27" t="n"/>
      <c r="AV17" s="27" t="n"/>
      <c r="AW17" s="27" t="n"/>
      <c r="AX17" s="27" t="n"/>
      <c r="AY17" s="27" t="n"/>
      <c r="AZ17" s="27" t="n"/>
      <c r="BA17" s="27" t="n"/>
      <c r="BB17" s="27" t="n"/>
      <c r="BC17" s="27" t="n"/>
      <c r="BD17" s="27" t="n"/>
      <c r="BE17" s="27" t="n"/>
      <c r="BF17" s="27" t="n"/>
      <c r="BG17" s="27" t="n"/>
      <c r="BH17" s="27" t="n"/>
      <c r="BI17" s="29" t="n"/>
      <c r="BJ17" s="27" t="n"/>
      <c r="BK17" s="27" t="n"/>
      <c r="BL17" s="27" t="n"/>
      <c r="BM17" s="27" t="n"/>
      <c r="DM17" s="26">
        <f>IF('因子水準表'!B40="","",'因子水準表'!B40)</f>
        <v/>
      </c>
      <c r="DN17" s="26">
        <f>IF('テスト条件'!A16="","",'テスト条件'!A16)</f>
        <v/>
      </c>
    </row>
    <row r="18">
      <c r="A18" s="27" t="n"/>
      <c r="B18" s="27" t="n"/>
      <c r="C18" s="28">
        <f>IF(A18="","",$B$2)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  <c r="AJ18" s="27" t="n"/>
      <c r="AK18" s="27" t="n"/>
      <c r="AL18" s="27" t="n"/>
      <c r="AM18" s="27" t="n"/>
      <c r="AN18" s="27" t="n"/>
      <c r="AO18" s="27" t="n"/>
      <c r="AP18" s="27" t="n"/>
      <c r="AQ18" s="27" t="n"/>
      <c r="AR18" s="27" t="n"/>
      <c r="AS18" s="27" t="n"/>
      <c r="AT18" s="27" t="n"/>
      <c r="AU18" s="27" t="n"/>
      <c r="AV18" s="27" t="n"/>
      <c r="AW18" s="27" t="n"/>
      <c r="AX18" s="27" t="n"/>
      <c r="AY18" s="27" t="n"/>
      <c r="AZ18" s="27" t="n"/>
      <c r="BA18" s="27" t="n"/>
      <c r="BB18" s="27" t="n"/>
      <c r="BC18" s="27" t="n"/>
      <c r="BD18" s="27" t="n"/>
      <c r="BE18" s="27" t="n"/>
      <c r="BF18" s="27" t="n"/>
      <c r="BG18" s="27" t="n"/>
      <c r="BH18" s="27" t="n"/>
      <c r="BI18" s="29" t="n"/>
      <c r="BJ18" s="27" t="n"/>
      <c r="BK18" s="27" t="n"/>
      <c r="BL18" s="27" t="n"/>
      <c r="BM18" s="27" t="n"/>
      <c r="DM18" s="26">
        <f>IF('因子水準表'!B41="","",'因子水準表'!B41)</f>
        <v/>
      </c>
      <c r="DN18" s="26">
        <f>IF('テスト条件'!A17="","",'テスト条件'!A17)</f>
        <v/>
      </c>
    </row>
    <row r="19">
      <c r="A19" s="27" t="n"/>
      <c r="B19" s="27" t="n"/>
      <c r="C19" s="28">
        <f>IF(A19="","",$B$2)</f>
        <v/>
      </c>
      <c r="D19" s="27" t="n"/>
      <c r="E19" s="27" t="n"/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  <c r="AA19" s="27" t="n"/>
      <c r="AB19" s="27" t="n"/>
      <c r="AC19" s="27" t="n"/>
      <c r="AD19" s="27" t="n"/>
      <c r="AE19" s="27" t="n"/>
      <c r="AF19" s="27" t="n"/>
      <c r="AG19" s="27" t="n"/>
      <c r="AH19" s="27" t="n"/>
      <c r="AI19" s="27" t="n"/>
      <c r="AJ19" s="27" t="n"/>
      <c r="AK19" s="27" t="n"/>
      <c r="AL19" s="27" t="n"/>
      <c r="AM19" s="27" t="n"/>
      <c r="AN19" s="27" t="n"/>
      <c r="AO19" s="27" t="n"/>
      <c r="AP19" s="27" t="n"/>
      <c r="AQ19" s="27" t="n"/>
      <c r="AR19" s="27" t="n"/>
      <c r="AS19" s="27" t="n"/>
      <c r="AT19" s="27" t="n"/>
      <c r="AU19" s="27" t="n"/>
      <c r="AV19" s="27" t="n"/>
      <c r="AW19" s="27" t="n"/>
      <c r="AX19" s="27" t="n"/>
      <c r="AY19" s="27" t="n"/>
      <c r="AZ19" s="27" t="n"/>
      <c r="BA19" s="27" t="n"/>
      <c r="BB19" s="27" t="n"/>
      <c r="BC19" s="27" t="n"/>
      <c r="BD19" s="27" t="n"/>
      <c r="BE19" s="27" t="n"/>
      <c r="BF19" s="27" t="n"/>
      <c r="BG19" s="27" t="n"/>
      <c r="BH19" s="27" t="n"/>
      <c r="BI19" s="29" t="n"/>
      <c r="BJ19" s="27" t="n"/>
      <c r="BK19" s="27" t="n"/>
      <c r="BL19" s="27" t="n"/>
      <c r="BM19" s="27" t="n"/>
      <c r="DM19" s="26">
        <f>IF('因子水準表'!B42="","",'因子水準表'!B42)</f>
        <v/>
      </c>
      <c r="DN19" s="26">
        <f>IF('テスト条件'!A18="","",'テスト条件'!A18)</f>
        <v/>
      </c>
    </row>
    <row r="20">
      <c r="A20" s="27" t="n"/>
      <c r="B20" s="27" t="n"/>
      <c r="C20" s="28">
        <f>IF(A20="","",$B$2)</f>
        <v/>
      </c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7" t="n"/>
      <c r="AI20" s="27" t="n"/>
      <c r="AJ20" s="27" t="n"/>
      <c r="AK20" s="27" t="n"/>
      <c r="AL20" s="27" t="n"/>
      <c r="AM20" s="27" t="n"/>
      <c r="AN20" s="27" t="n"/>
      <c r="AO20" s="27" t="n"/>
      <c r="AP20" s="27" t="n"/>
      <c r="AQ20" s="27" t="n"/>
      <c r="AR20" s="27" t="n"/>
      <c r="AS20" s="27" t="n"/>
      <c r="AT20" s="27" t="n"/>
      <c r="AU20" s="27" t="n"/>
      <c r="AV20" s="27" t="n"/>
      <c r="AW20" s="27" t="n"/>
      <c r="AX20" s="27" t="n"/>
      <c r="AY20" s="27" t="n"/>
      <c r="AZ20" s="27" t="n"/>
      <c r="BA20" s="27" t="n"/>
      <c r="BB20" s="27" t="n"/>
      <c r="BC20" s="27" t="n"/>
      <c r="BD20" s="27" t="n"/>
      <c r="BE20" s="27" t="n"/>
      <c r="BF20" s="27" t="n"/>
      <c r="BG20" s="27" t="n"/>
      <c r="BH20" s="27" t="n"/>
      <c r="BI20" s="29" t="n"/>
      <c r="BJ20" s="27" t="n"/>
      <c r="BK20" s="27" t="n"/>
      <c r="BL20" s="27" t="n"/>
      <c r="BM20" s="27" t="n"/>
      <c r="DM20" s="26">
        <f>IF('因子水準表'!B43="","",'因子水準表'!B43)</f>
        <v/>
      </c>
      <c r="DN20" s="26">
        <f>IF('テスト条件'!A19="","",'テスト条件'!A19)</f>
        <v/>
      </c>
    </row>
    <row r="21">
      <c r="A21" s="27" t="n"/>
      <c r="B21" s="27" t="n"/>
      <c r="C21" s="28">
        <f>IF(A21="","",$B$2)</f>
        <v/>
      </c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  <c r="AI21" s="27" t="n"/>
      <c r="AJ21" s="27" t="n"/>
      <c r="AK21" s="27" t="n"/>
      <c r="AL21" s="27" t="n"/>
      <c r="AM21" s="27" t="n"/>
      <c r="AN21" s="27" t="n"/>
      <c r="AO21" s="27" t="n"/>
      <c r="AP21" s="27" t="n"/>
      <c r="AQ21" s="27" t="n"/>
      <c r="AR21" s="27" t="n"/>
      <c r="AS21" s="27" t="n"/>
      <c r="AT21" s="27" t="n"/>
      <c r="AU21" s="27" t="n"/>
      <c r="AV21" s="27" t="n"/>
      <c r="AW21" s="27" t="n"/>
      <c r="AX21" s="27" t="n"/>
      <c r="AY21" s="27" t="n"/>
      <c r="AZ21" s="27" t="n"/>
      <c r="BA21" s="27" t="n"/>
      <c r="BB21" s="27" t="n"/>
      <c r="BC21" s="27" t="n"/>
      <c r="BD21" s="27" t="n"/>
      <c r="BE21" s="27" t="n"/>
      <c r="BF21" s="27" t="n"/>
      <c r="BG21" s="27" t="n"/>
      <c r="BH21" s="27" t="n"/>
      <c r="BI21" s="29" t="n"/>
      <c r="BJ21" s="27" t="n"/>
      <c r="BK21" s="27" t="n"/>
      <c r="BL21" s="27" t="n"/>
      <c r="BM21" s="27" t="n"/>
      <c r="DM21" s="26">
        <f>IF('因子水準表'!B44="","",'因子水準表'!B44)</f>
        <v/>
      </c>
      <c r="DN21" s="26">
        <f>IF('テスト条件'!A20="","",'テスト条件'!A20)</f>
        <v/>
      </c>
    </row>
    <row r="22">
      <c r="A22" s="27" t="n"/>
      <c r="B22" s="27" t="n"/>
      <c r="C22" s="28">
        <f>IF(A22="","",$B$2)</f>
        <v/>
      </c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  <c r="AA22" s="27" t="n"/>
      <c r="AB22" s="27" t="n"/>
      <c r="AC22" s="27" t="n"/>
      <c r="AD22" s="27" t="n"/>
      <c r="AE22" s="27" t="n"/>
      <c r="AF22" s="27" t="n"/>
      <c r="AG22" s="27" t="n"/>
      <c r="AH22" s="27" t="n"/>
      <c r="AI22" s="27" t="n"/>
      <c r="AJ22" s="27" t="n"/>
      <c r="AK22" s="27" t="n"/>
      <c r="AL22" s="27" t="n"/>
      <c r="AM22" s="27" t="n"/>
      <c r="AN22" s="27" t="n"/>
      <c r="AO22" s="27" t="n"/>
      <c r="AP22" s="27" t="n"/>
      <c r="AQ22" s="27" t="n"/>
      <c r="AR22" s="27" t="n"/>
      <c r="AS22" s="27" t="n"/>
      <c r="AT22" s="27" t="n"/>
      <c r="AU22" s="27" t="n"/>
      <c r="AV22" s="27" t="n"/>
      <c r="AW22" s="27" t="n"/>
      <c r="AX22" s="27" t="n"/>
      <c r="AY22" s="27" t="n"/>
      <c r="AZ22" s="27" t="n"/>
      <c r="BA22" s="27" t="n"/>
      <c r="BB22" s="27" t="n"/>
      <c r="BC22" s="27" t="n"/>
      <c r="BD22" s="27" t="n"/>
      <c r="BE22" s="27" t="n"/>
      <c r="BF22" s="27" t="n"/>
      <c r="BG22" s="27" t="n"/>
      <c r="BH22" s="27" t="n"/>
      <c r="BI22" s="29" t="n"/>
      <c r="BJ22" s="27" t="n"/>
      <c r="BK22" s="27" t="n"/>
      <c r="BL22" s="27" t="n"/>
      <c r="BM22" s="27" t="n"/>
      <c r="DM22" s="26">
        <f>IF('因子水準表'!B45="","",'因子水準表'!B45)</f>
        <v/>
      </c>
      <c r="DN22" s="26">
        <f>IF('テスト条件'!A21="","",'テスト条件'!A21)</f>
        <v/>
      </c>
    </row>
    <row r="23">
      <c r="A23" s="27" t="n"/>
      <c r="B23" s="27" t="n"/>
      <c r="C23" s="28">
        <f>IF(A23="","",$B$2)</f>
        <v/>
      </c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  <c r="AI23" s="27" t="n"/>
      <c r="AJ23" s="27" t="n"/>
      <c r="AK23" s="27" t="n"/>
      <c r="AL23" s="27" t="n"/>
      <c r="AM23" s="27" t="n"/>
      <c r="AN23" s="27" t="n"/>
      <c r="AO23" s="27" t="n"/>
      <c r="AP23" s="27" t="n"/>
      <c r="AQ23" s="27" t="n"/>
      <c r="AR23" s="27" t="n"/>
      <c r="AS23" s="27" t="n"/>
      <c r="AT23" s="27" t="n"/>
      <c r="AU23" s="27" t="n"/>
      <c r="AV23" s="27" t="n"/>
      <c r="AW23" s="27" t="n"/>
      <c r="AX23" s="27" t="n"/>
      <c r="AY23" s="27" t="n"/>
      <c r="AZ23" s="27" t="n"/>
      <c r="BA23" s="27" t="n"/>
      <c r="BB23" s="27" t="n"/>
      <c r="BC23" s="27" t="n"/>
      <c r="BD23" s="27" t="n"/>
      <c r="BE23" s="27" t="n"/>
      <c r="BF23" s="27" t="n"/>
      <c r="BG23" s="27" t="n"/>
      <c r="BH23" s="27" t="n"/>
      <c r="BI23" s="29" t="n"/>
      <c r="BJ23" s="27" t="n"/>
      <c r="BK23" s="27" t="n"/>
      <c r="BL23" s="27" t="n"/>
      <c r="BM23" s="27" t="n"/>
      <c r="DM23" s="26">
        <f>IF('因子水準表'!B46="","",'因子水準表'!B46)</f>
        <v/>
      </c>
      <c r="DN23" s="26">
        <f>IF('テスト条件'!A22="","",'テスト条件'!A22)</f>
        <v/>
      </c>
    </row>
    <row r="24">
      <c r="A24" s="27" t="n"/>
      <c r="B24" s="27" t="n"/>
      <c r="C24" s="28">
        <f>IF(A24="","",$B$2)</f>
        <v/>
      </c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7" t="n"/>
      <c r="AB24" s="27" t="n"/>
      <c r="AC24" s="27" t="n"/>
      <c r="AD24" s="27" t="n"/>
      <c r="AE24" s="27" t="n"/>
      <c r="AF24" s="27" t="n"/>
      <c r="AG24" s="27" t="n"/>
      <c r="AH24" s="27" t="n"/>
      <c r="AI24" s="27" t="n"/>
      <c r="AJ24" s="27" t="n"/>
      <c r="AK24" s="27" t="n"/>
      <c r="AL24" s="27" t="n"/>
      <c r="AM24" s="27" t="n"/>
      <c r="AN24" s="27" t="n"/>
      <c r="AO24" s="27" t="n"/>
      <c r="AP24" s="27" t="n"/>
      <c r="AQ24" s="27" t="n"/>
      <c r="AR24" s="27" t="n"/>
      <c r="AS24" s="27" t="n"/>
      <c r="AT24" s="27" t="n"/>
      <c r="AU24" s="27" t="n"/>
      <c r="AV24" s="27" t="n"/>
      <c r="AW24" s="27" t="n"/>
      <c r="AX24" s="27" t="n"/>
      <c r="AY24" s="27" t="n"/>
      <c r="AZ24" s="27" t="n"/>
      <c r="BA24" s="27" t="n"/>
      <c r="BB24" s="27" t="n"/>
      <c r="BC24" s="27" t="n"/>
      <c r="BD24" s="27" t="n"/>
      <c r="BE24" s="27" t="n"/>
      <c r="BF24" s="27" t="n"/>
      <c r="BG24" s="27" t="n"/>
      <c r="BH24" s="27" t="n"/>
      <c r="BI24" s="29" t="n"/>
      <c r="BJ24" s="27" t="n"/>
      <c r="BK24" s="27" t="n"/>
      <c r="BL24" s="27" t="n"/>
      <c r="BM24" s="27" t="n"/>
      <c r="DM24" s="26">
        <f>IF('因子水準表'!B47="","",'因子水準表'!B47)</f>
        <v/>
      </c>
      <c r="DN24" s="26">
        <f>IF('テスト条件'!A23="","",'テスト条件'!A23)</f>
        <v/>
      </c>
    </row>
    <row r="25">
      <c r="A25" s="27" t="n"/>
      <c r="B25" s="27" t="n"/>
      <c r="C25" s="28">
        <f>IF(A25="","",$B$2)</f>
        <v/>
      </c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  <c r="AI25" s="27" t="n"/>
      <c r="AJ25" s="27" t="n"/>
      <c r="AK25" s="27" t="n"/>
      <c r="AL25" s="27" t="n"/>
      <c r="AM25" s="27" t="n"/>
      <c r="AN25" s="27" t="n"/>
      <c r="AO25" s="27" t="n"/>
      <c r="AP25" s="27" t="n"/>
      <c r="AQ25" s="27" t="n"/>
      <c r="AR25" s="27" t="n"/>
      <c r="AS25" s="27" t="n"/>
      <c r="AT25" s="27" t="n"/>
      <c r="AU25" s="27" t="n"/>
      <c r="AV25" s="27" t="n"/>
      <c r="AW25" s="27" t="n"/>
      <c r="AX25" s="27" t="n"/>
      <c r="AY25" s="27" t="n"/>
      <c r="AZ25" s="27" t="n"/>
      <c r="BA25" s="27" t="n"/>
      <c r="BB25" s="27" t="n"/>
      <c r="BC25" s="27" t="n"/>
      <c r="BD25" s="27" t="n"/>
      <c r="BE25" s="27" t="n"/>
      <c r="BF25" s="27" t="n"/>
      <c r="BG25" s="27" t="n"/>
      <c r="BH25" s="27" t="n"/>
      <c r="BI25" s="29" t="n"/>
      <c r="BJ25" s="27" t="n"/>
      <c r="BK25" s="27" t="n"/>
      <c r="BL25" s="27" t="n"/>
      <c r="BM25" s="27" t="n"/>
      <c r="DM25" s="26">
        <f>IF('因子水準表'!B48="","",'因子水準表'!B48)</f>
        <v/>
      </c>
      <c r="DN25" s="26">
        <f>IF('テスト条件'!A24="","",'テスト条件'!A24)</f>
        <v/>
      </c>
    </row>
    <row r="26">
      <c r="A26" s="27" t="n"/>
      <c r="B26" s="27" t="n"/>
      <c r="C26" s="28">
        <f>IF(A26="","",$B$2)</f>
        <v/>
      </c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  <c r="AA26" s="27" t="n"/>
      <c r="AB26" s="27" t="n"/>
      <c r="AC26" s="27" t="n"/>
      <c r="AD26" s="27" t="n"/>
      <c r="AE26" s="27" t="n"/>
      <c r="AF26" s="27" t="n"/>
      <c r="AG26" s="27" t="n"/>
      <c r="AH26" s="27" t="n"/>
      <c r="AI26" s="27" t="n"/>
      <c r="AJ26" s="27" t="n"/>
      <c r="AK26" s="27" t="n"/>
      <c r="AL26" s="27" t="n"/>
      <c r="AM26" s="27" t="n"/>
      <c r="AN26" s="27" t="n"/>
      <c r="AO26" s="27" t="n"/>
      <c r="AP26" s="27" t="n"/>
      <c r="AQ26" s="27" t="n"/>
      <c r="AR26" s="27" t="n"/>
      <c r="AS26" s="27" t="n"/>
      <c r="AT26" s="27" t="n"/>
      <c r="AU26" s="27" t="n"/>
      <c r="AV26" s="27" t="n"/>
      <c r="AW26" s="27" t="n"/>
      <c r="AX26" s="27" t="n"/>
      <c r="AY26" s="27" t="n"/>
      <c r="AZ26" s="27" t="n"/>
      <c r="BA26" s="27" t="n"/>
      <c r="BB26" s="27" t="n"/>
      <c r="BC26" s="27" t="n"/>
      <c r="BD26" s="27" t="n"/>
      <c r="BE26" s="27" t="n"/>
      <c r="BF26" s="27" t="n"/>
      <c r="BG26" s="27" t="n"/>
      <c r="BH26" s="27" t="n"/>
      <c r="BI26" s="29" t="n"/>
      <c r="BJ26" s="27" t="n"/>
      <c r="BK26" s="27" t="n"/>
      <c r="BL26" s="27" t="n"/>
      <c r="BM26" s="27" t="n"/>
      <c r="DM26" s="26">
        <f>IF('因子水準表'!B49="","",'因子水準表'!B49)</f>
        <v/>
      </c>
      <c r="DN26" s="26">
        <f>IF('テスト条件'!A25="","",'テスト条件'!A25)</f>
        <v/>
      </c>
    </row>
    <row r="27">
      <c r="A27" s="27" t="n"/>
      <c r="B27" s="27" t="n"/>
      <c r="C27" s="28">
        <f>IF(A27="","",$B$2)</f>
        <v/>
      </c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  <c r="AI27" s="27" t="n"/>
      <c r="AJ27" s="27" t="n"/>
      <c r="AK27" s="27" t="n"/>
      <c r="AL27" s="27" t="n"/>
      <c r="AM27" s="27" t="n"/>
      <c r="AN27" s="27" t="n"/>
      <c r="AO27" s="27" t="n"/>
      <c r="AP27" s="27" t="n"/>
      <c r="AQ27" s="27" t="n"/>
      <c r="AR27" s="27" t="n"/>
      <c r="AS27" s="27" t="n"/>
      <c r="AT27" s="27" t="n"/>
      <c r="AU27" s="27" t="n"/>
      <c r="AV27" s="27" t="n"/>
      <c r="AW27" s="27" t="n"/>
      <c r="AX27" s="27" t="n"/>
      <c r="AY27" s="27" t="n"/>
      <c r="AZ27" s="27" t="n"/>
      <c r="BA27" s="27" t="n"/>
      <c r="BB27" s="27" t="n"/>
      <c r="BC27" s="27" t="n"/>
      <c r="BD27" s="27" t="n"/>
      <c r="BE27" s="27" t="n"/>
      <c r="BF27" s="27" t="n"/>
      <c r="BG27" s="27" t="n"/>
      <c r="BH27" s="27" t="n"/>
      <c r="BI27" s="29" t="n"/>
      <c r="BJ27" s="27" t="n"/>
      <c r="BK27" s="27" t="n"/>
      <c r="BL27" s="27" t="n"/>
      <c r="BM27" s="27" t="n"/>
      <c r="DM27" s="26">
        <f>IF('因子水準表'!B50="","",'因子水準表'!B50)</f>
        <v/>
      </c>
      <c r="DN27" s="26">
        <f>IF('テスト条件'!A26="","",'テスト条件'!A26)</f>
        <v/>
      </c>
    </row>
    <row r="28">
      <c r="A28" s="27" t="n"/>
      <c r="B28" s="27" t="n"/>
      <c r="C28" s="28">
        <f>IF(A28="","",$B$2)</f>
        <v/>
      </c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  <c r="AA28" s="27" t="n"/>
      <c r="AB28" s="27" t="n"/>
      <c r="AC28" s="27" t="n"/>
      <c r="AD28" s="27" t="n"/>
      <c r="AE28" s="27" t="n"/>
      <c r="AF28" s="27" t="n"/>
      <c r="AG28" s="27" t="n"/>
      <c r="AH28" s="27" t="n"/>
      <c r="AI28" s="27" t="n"/>
      <c r="AJ28" s="27" t="n"/>
      <c r="AK28" s="27" t="n"/>
      <c r="AL28" s="27" t="n"/>
      <c r="AM28" s="27" t="n"/>
      <c r="AN28" s="27" t="n"/>
      <c r="AO28" s="27" t="n"/>
      <c r="AP28" s="27" t="n"/>
      <c r="AQ28" s="27" t="n"/>
      <c r="AR28" s="27" t="n"/>
      <c r="AS28" s="27" t="n"/>
      <c r="AT28" s="27" t="n"/>
      <c r="AU28" s="27" t="n"/>
      <c r="AV28" s="27" t="n"/>
      <c r="AW28" s="27" t="n"/>
      <c r="AX28" s="27" t="n"/>
      <c r="AY28" s="27" t="n"/>
      <c r="AZ28" s="27" t="n"/>
      <c r="BA28" s="27" t="n"/>
      <c r="BB28" s="27" t="n"/>
      <c r="BC28" s="27" t="n"/>
      <c r="BD28" s="27" t="n"/>
      <c r="BE28" s="27" t="n"/>
      <c r="BF28" s="27" t="n"/>
      <c r="BG28" s="27" t="n"/>
      <c r="BH28" s="27" t="n"/>
      <c r="BI28" s="29" t="n"/>
      <c r="BJ28" s="27" t="n"/>
      <c r="BK28" s="27" t="n"/>
      <c r="BL28" s="27" t="n"/>
      <c r="BM28" s="27" t="n"/>
      <c r="DM28" s="26">
        <f>IF('因子水準表'!B51="","",'因子水準表'!B51)</f>
        <v/>
      </c>
      <c r="DN28" s="26">
        <f>IF('テスト条件'!A27="","",'テスト条件'!A27)</f>
        <v/>
      </c>
    </row>
    <row r="29">
      <c r="A29" s="27" t="n"/>
      <c r="B29" s="27" t="n"/>
      <c r="C29" s="28">
        <f>IF(A29="","",$B$2)</f>
        <v/>
      </c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  <c r="AI29" s="27" t="n"/>
      <c r="AJ29" s="27" t="n"/>
      <c r="AK29" s="27" t="n"/>
      <c r="AL29" s="27" t="n"/>
      <c r="AM29" s="27" t="n"/>
      <c r="AN29" s="27" t="n"/>
      <c r="AO29" s="27" t="n"/>
      <c r="AP29" s="27" t="n"/>
      <c r="AQ29" s="27" t="n"/>
      <c r="AR29" s="27" t="n"/>
      <c r="AS29" s="27" t="n"/>
      <c r="AT29" s="27" t="n"/>
      <c r="AU29" s="27" t="n"/>
      <c r="AV29" s="27" t="n"/>
      <c r="AW29" s="27" t="n"/>
      <c r="AX29" s="27" t="n"/>
      <c r="AY29" s="27" t="n"/>
      <c r="AZ29" s="27" t="n"/>
      <c r="BA29" s="27" t="n"/>
      <c r="BB29" s="27" t="n"/>
      <c r="BC29" s="27" t="n"/>
      <c r="BD29" s="27" t="n"/>
      <c r="BE29" s="27" t="n"/>
      <c r="BF29" s="27" t="n"/>
      <c r="BG29" s="27" t="n"/>
      <c r="BH29" s="27" t="n"/>
      <c r="BI29" s="29" t="n"/>
      <c r="BJ29" s="27" t="n"/>
      <c r="BK29" s="27" t="n"/>
      <c r="BL29" s="27" t="n"/>
      <c r="BM29" s="27" t="n"/>
      <c r="DM29" s="26">
        <f>IF('因子水準表'!B52="","",'因子水準表'!B52)</f>
        <v/>
      </c>
      <c r="DN29" s="26">
        <f>IF('テスト条件'!A28="","",'テスト条件'!A28)</f>
        <v/>
      </c>
    </row>
    <row r="30">
      <c r="A30" s="27" t="n"/>
      <c r="B30" s="27" t="n"/>
      <c r="C30" s="28">
        <f>IF(A30="","",$B$2)</f>
        <v/>
      </c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7" t="n"/>
      <c r="AF30" s="27" t="n"/>
      <c r="AG30" s="27" t="n"/>
      <c r="AH30" s="27" t="n"/>
      <c r="AI30" s="27" t="n"/>
      <c r="AJ30" s="27" t="n"/>
      <c r="AK30" s="27" t="n"/>
      <c r="AL30" s="27" t="n"/>
      <c r="AM30" s="27" t="n"/>
      <c r="AN30" s="27" t="n"/>
      <c r="AO30" s="27" t="n"/>
      <c r="AP30" s="27" t="n"/>
      <c r="AQ30" s="27" t="n"/>
      <c r="AR30" s="27" t="n"/>
      <c r="AS30" s="27" t="n"/>
      <c r="AT30" s="27" t="n"/>
      <c r="AU30" s="27" t="n"/>
      <c r="AV30" s="27" t="n"/>
      <c r="AW30" s="27" t="n"/>
      <c r="AX30" s="27" t="n"/>
      <c r="AY30" s="27" t="n"/>
      <c r="AZ30" s="27" t="n"/>
      <c r="BA30" s="27" t="n"/>
      <c r="BB30" s="27" t="n"/>
      <c r="BC30" s="27" t="n"/>
      <c r="BD30" s="27" t="n"/>
      <c r="BE30" s="27" t="n"/>
      <c r="BF30" s="27" t="n"/>
      <c r="BG30" s="27" t="n"/>
      <c r="BH30" s="27" t="n"/>
      <c r="BI30" s="29" t="n"/>
      <c r="BJ30" s="27" t="n"/>
      <c r="BK30" s="27" t="n"/>
      <c r="BL30" s="27" t="n"/>
      <c r="BM30" s="27" t="n"/>
      <c r="DM30" s="26">
        <f>IF('因子水準表'!B53="","",'因子水準表'!B53)</f>
        <v/>
      </c>
      <c r="DN30" s="26">
        <f>IF('テスト条件'!A29="","",'テスト条件'!A29)</f>
        <v/>
      </c>
    </row>
    <row r="31">
      <c r="A31" s="27" t="n"/>
      <c r="B31" s="27" t="n"/>
      <c r="C31" s="28">
        <f>IF(A31="","",$B$2)</f>
        <v/>
      </c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27" t="n"/>
      <c r="AJ31" s="27" t="n"/>
      <c r="AK31" s="27" t="n"/>
      <c r="AL31" s="27" t="n"/>
      <c r="AM31" s="27" t="n"/>
      <c r="AN31" s="27" t="n"/>
      <c r="AO31" s="27" t="n"/>
      <c r="AP31" s="27" t="n"/>
      <c r="AQ31" s="27" t="n"/>
      <c r="AR31" s="27" t="n"/>
      <c r="AS31" s="27" t="n"/>
      <c r="AT31" s="27" t="n"/>
      <c r="AU31" s="27" t="n"/>
      <c r="AV31" s="27" t="n"/>
      <c r="AW31" s="27" t="n"/>
      <c r="AX31" s="27" t="n"/>
      <c r="AY31" s="27" t="n"/>
      <c r="AZ31" s="27" t="n"/>
      <c r="BA31" s="27" t="n"/>
      <c r="BB31" s="27" t="n"/>
      <c r="BC31" s="27" t="n"/>
      <c r="BD31" s="27" t="n"/>
      <c r="BE31" s="27" t="n"/>
      <c r="BF31" s="27" t="n"/>
      <c r="BG31" s="27" t="n"/>
      <c r="BH31" s="27" t="n"/>
      <c r="BI31" s="29" t="n"/>
      <c r="BJ31" s="27" t="n"/>
      <c r="BK31" s="27" t="n"/>
      <c r="BL31" s="27" t="n"/>
      <c r="BM31" s="27" t="n"/>
      <c r="DM31" s="26">
        <f>IF('因子水準表'!B54="","",'因子水準表'!B54)</f>
        <v/>
      </c>
      <c r="DN31" s="26">
        <f>IF('テスト条件'!A30="","",'テスト条件'!A30)</f>
        <v/>
      </c>
    </row>
    <row r="32">
      <c r="A32" s="27" t="n"/>
      <c r="B32" s="27" t="n"/>
      <c r="C32" s="28">
        <f>IF(A32="","",$B$2)</f>
        <v/>
      </c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27" t="n"/>
      <c r="AJ32" s="27" t="n"/>
      <c r="AK32" s="27" t="n"/>
      <c r="AL32" s="27" t="n"/>
      <c r="AM32" s="27" t="n"/>
      <c r="AN32" s="27" t="n"/>
      <c r="AO32" s="27" t="n"/>
      <c r="AP32" s="27" t="n"/>
      <c r="AQ32" s="27" t="n"/>
      <c r="AR32" s="27" t="n"/>
      <c r="AS32" s="27" t="n"/>
      <c r="AT32" s="27" t="n"/>
      <c r="AU32" s="27" t="n"/>
      <c r="AV32" s="27" t="n"/>
      <c r="AW32" s="27" t="n"/>
      <c r="AX32" s="27" t="n"/>
      <c r="AY32" s="27" t="n"/>
      <c r="AZ32" s="27" t="n"/>
      <c r="BA32" s="27" t="n"/>
      <c r="BB32" s="27" t="n"/>
      <c r="BC32" s="27" t="n"/>
      <c r="BD32" s="27" t="n"/>
      <c r="BE32" s="27" t="n"/>
      <c r="BF32" s="27" t="n"/>
      <c r="BG32" s="27" t="n"/>
      <c r="BH32" s="27" t="n"/>
      <c r="BI32" s="29" t="n"/>
      <c r="BJ32" s="27" t="n"/>
      <c r="BK32" s="27" t="n"/>
      <c r="BL32" s="27" t="n"/>
      <c r="BM32" s="27" t="n"/>
      <c r="DM32" s="26">
        <f>IF('因子水準表'!B55="","",'因子水準表'!B55)</f>
        <v/>
      </c>
      <c r="DN32" s="26">
        <f>IF('テスト条件'!A31="","",'テスト条件'!A31)</f>
        <v/>
      </c>
    </row>
    <row r="33">
      <c r="A33" s="27" t="n"/>
      <c r="B33" s="27" t="n"/>
      <c r="C33" s="28">
        <f>IF(A33="","",$B$2)</f>
        <v/>
      </c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  <c r="AJ33" s="27" t="n"/>
      <c r="AK33" s="27" t="n"/>
      <c r="AL33" s="27" t="n"/>
      <c r="AM33" s="27" t="n"/>
      <c r="AN33" s="27" t="n"/>
      <c r="AO33" s="27" t="n"/>
      <c r="AP33" s="27" t="n"/>
      <c r="AQ33" s="27" t="n"/>
      <c r="AR33" s="27" t="n"/>
      <c r="AS33" s="27" t="n"/>
      <c r="AT33" s="27" t="n"/>
      <c r="AU33" s="27" t="n"/>
      <c r="AV33" s="27" t="n"/>
      <c r="AW33" s="27" t="n"/>
      <c r="AX33" s="27" t="n"/>
      <c r="AY33" s="27" t="n"/>
      <c r="AZ33" s="27" t="n"/>
      <c r="BA33" s="27" t="n"/>
      <c r="BB33" s="27" t="n"/>
      <c r="BC33" s="27" t="n"/>
      <c r="BD33" s="27" t="n"/>
      <c r="BE33" s="27" t="n"/>
      <c r="BF33" s="27" t="n"/>
      <c r="BG33" s="27" t="n"/>
      <c r="BH33" s="27" t="n"/>
      <c r="BI33" s="29" t="n"/>
      <c r="BJ33" s="27" t="n"/>
      <c r="BK33" s="27" t="n"/>
      <c r="BL33" s="27" t="n"/>
      <c r="BM33" s="27" t="n"/>
      <c r="DM33" s="26">
        <f>IF('因子水準表'!B56="","",'因子水準表'!B56)</f>
        <v/>
      </c>
      <c r="DN33" s="26">
        <f>IF('テスト条件'!A32="","",'テスト条件'!A32)</f>
        <v/>
      </c>
    </row>
    <row r="34">
      <c r="A34" s="27" t="n"/>
      <c r="B34" s="27" t="n"/>
      <c r="C34" s="28">
        <f>IF(A34="","",$B$2)</f>
        <v/>
      </c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  <c r="AJ34" s="27" t="n"/>
      <c r="AK34" s="27" t="n"/>
      <c r="AL34" s="27" t="n"/>
      <c r="AM34" s="27" t="n"/>
      <c r="AN34" s="27" t="n"/>
      <c r="AO34" s="27" t="n"/>
      <c r="AP34" s="27" t="n"/>
      <c r="AQ34" s="27" t="n"/>
      <c r="AR34" s="27" t="n"/>
      <c r="AS34" s="27" t="n"/>
      <c r="AT34" s="27" t="n"/>
      <c r="AU34" s="27" t="n"/>
      <c r="AV34" s="27" t="n"/>
      <c r="AW34" s="27" t="n"/>
      <c r="AX34" s="27" t="n"/>
      <c r="AY34" s="27" t="n"/>
      <c r="AZ34" s="27" t="n"/>
      <c r="BA34" s="27" t="n"/>
      <c r="BB34" s="27" t="n"/>
      <c r="BC34" s="27" t="n"/>
      <c r="BD34" s="27" t="n"/>
      <c r="BE34" s="27" t="n"/>
      <c r="BF34" s="27" t="n"/>
      <c r="BG34" s="27" t="n"/>
      <c r="BH34" s="27" t="n"/>
      <c r="BI34" s="29" t="n"/>
      <c r="BJ34" s="27" t="n"/>
      <c r="BK34" s="27" t="n"/>
      <c r="BL34" s="27" t="n"/>
      <c r="BM34" s="27" t="n"/>
      <c r="DM34" s="26">
        <f>IF('因子水準表'!B57="","",'因子水準表'!B57)</f>
        <v/>
      </c>
      <c r="DN34" s="26">
        <f>IF('テスト条件'!A33="","",'テスト条件'!A33)</f>
        <v/>
      </c>
    </row>
    <row r="35">
      <c r="A35" s="27" t="n"/>
      <c r="B35" s="27" t="n"/>
      <c r="C35" s="28">
        <f>IF(A35="","",$B$2)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27" t="n"/>
      <c r="AJ35" s="27" t="n"/>
      <c r="AK35" s="27" t="n"/>
      <c r="AL35" s="27" t="n"/>
      <c r="AM35" s="27" t="n"/>
      <c r="AN35" s="27" t="n"/>
      <c r="AO35" s="27" t="n"/>
      <c r="AP35" s="27" t="n"/>
      <c r="AQ35" s="27" t="n"/>
      <c r="AR35" s="27" t="n"/>
      <c r="AS35" s="27" t="n"/>
      <c r="AT35" s="27" t="n"/>
      <c r="AU35" s="27" t="n"/>
      <c r="AV35" s="27" t="n"/>
      <c r="AW35" s="27" t="n"/>
      <c r="AX35" s="27" t="n"/>
      <c r="AY35" s="27" t="n"/>
      <c r="AZ35" s="27" t="n"/>
      <c r="BA35" s="27" t="n"/>
      <c r="BB35" s="27" t="n"/>
      <c r="BC35" s="27" t="n"/>
      <c r="BD35" s="27" t="n"/>
      <c r="BE35" s="27" t="n"/>
      <c r="BF35" s="27" t="n"/>
      <c r="BG35" s="27" t="n"/>
      <c r="BH35" s="27" t="n"/>
      <c r="BI35" s="29" t="n"/>
      <c r="BJ35" s="27" t="n"/>
      <c r="BK35" s="27" t="n"/>
      <c r="BL35" s="27" t="n"/>
      <c r="BM35" s="27" t="n"/>
      <c r="DM35" s="26">
        <f>IF('因子水準表'!B58="","",'因子水準表'!B58)</f>
        <v/>
      </c>
      <c r="DN35" s="26">
        <f>IF('テスト条件'!A34="","",'テスト条件'!A34)</f>
        <v/>
      </c>
    </row>
    <row r="36">
      <c r="A36" s="27" t="n"/>
      <c r="B36" s="27" t="n"/>
      <c r="C36" s="28">
        <f>IF(A36="","",$B$2)</f>
        <v/>
      </c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27" t="n"/>
      <c r="AJ36" s="27" t="n"/>
      <c r="AK36" s="27" t="n"/>
      <c r="AL36" s="27" t="n"/>
      <c r="AM36" s="27" t="n"/>
      <c r="AN36" s="27" t="n"/>
      <c r="AO36" s="27" t="n"/>
      <c r="AP36" s="27" t="n"/>
      <c r="AQ36" s="27" t="n"/>
      <c r="AR36" s="27" t="n"/>
      <c r="AS36" s="27" t="n"/>
      <c r="AT36" s="27" t="n"/>
      <c r="AU36" s="27" t="n"/>
      <c r="AV36" s="27" t="n"/>
      <c r="AW36" s="27" t="n"/>
      <c r="AX36" s="27" t="n"/>
      <c r="AY36" s="27" t="n"/>
      <c r="AZ36" s="27" t="n"/>
      <c r="BA36" s="27" t="n"/>
      <c r="BB36" s="27" t="n"/>
      <c r="BC36" s="27" t="n"/>
      <c r="BD36" s="27" t="n"/>
      <c r="BE36" s="27" t="n"/>
      <c r="BF36" s="27" t="n"/>
      <c r="BG36" s="27" t="n"/>
      <c r="BH36" s="27" t="n"/>
      <c r="BI36" s="29" t="n"/>
      <c r="BJ36" s="27" t="n"/>
      <c r="BK36" s="27" t="n"/>
      <c r="BL36" s="27" t="n"/>
      <c r="BM36" s="27" t="n"/>
      <c r="DN36" s="26">
        <f>IF('テスト条件'!A35="","",'テスト条件'!A35)</f>
        <v/>
      </c>
    </row>
    <row r="37">
      <c r="A37" s="27" t="n"/>
      <c r="B37" s="27" t="n"/>
      <c r="C37" s="28">
        <f>IF(A37="","",$B$2)</f>
        <v/>
      </c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27" t="n"/>
      <c r="AJ37" s="27" t="n"/>
      <c r="AK37" s="27" t="n"/>
      <c r="AL37" s="27" t="n"/>
      <c r="AM37" s="27" t="n"/>
      <c r="AN37" s="27" t="n"/>
      <c r="AO37" s="27" t="n"/>
      <c r="AP37" s="27" t="n"/>
      <c r="AQ37" s="27" t="n"/>
      <c r="AR37" s="27" t="n"/>
      <c r="AS37" s="27" t="n"/>
      <c r="AT37" s="27" t="n"/>
      <c r="AU37" s="27" t="n"/>
      <c r="AV37" s="27" t="n"/>
      <c r="AW37" s="27" t="n"/>
      <c r="AX37" s="27" t="n"/>
      <c r="AY37" s="27" t="n"/>
      <c r="AZ37" s="27" t="n"/>
      <c r="BA37" s="27" t="n"/>
      <c r="BB37" s="27" t="n"/>
      <c r="BC37" s="27" t="n"/>
      <c r="BD37" s="27" t="n"/>
      <c r="BE37" s="27" t="n"/>
      <c r="BF37" s="27" t="n"/>
      <c r="BG37" s="27" t="n"/>
      <c r="BH37" s="27" t="n"/>
      <c r="BI37" s="29" t="n"/>
      <c r="BJ37" s="27" t="n"/>
      <c r="BK37" s="27" t="n"/>
      <c r="BL37" s="27" t="n"/>
      <c r="BM37" s="27" t="n"/>
      <c r="DN37" s="26">
        <f>IF('テスト条件'!A36="","",'テスト条件'!A36)</f>
        <v/>
      </c>
    </row>
    <row r="38">
      <c r="A38" s="27" t="n"/>
      <c r="B38" s="27" t="n"/>
      <c r="C38" s="28">
        <f>IF(A38="","",$B$2)</f>
        <v/>
      </c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27" t="n"/>
      <c r="AJ38" s="27" t="n"/>
      <c r="AK38" s="27" t="n"/>
      <c r="AL38" s="27" t="n"/>
      <c r="AM38" s="27" t="n"/>
      <c r="AN38" s="27" t="n"/>
      <c r="AO38" s="27" t="n"/>
      <c r="AP38" s="27" t="n"/>
      <c r="AQ38" s="27" t="n"/>
      <c r="AR38" s="27" t="n"/>
      <c r="AS38" s="27" t="n"/>
      <c r="AT38" s="27" t="n"/>
      <c r="AU38" s="27" t="n"/>
      <c r="AV38" s="27" t="n"/>
      <c r="AW38" s="27" t="n"/>
      <c r="AX38" s="27" t="n"/>
      <c r="AY38" s="27" t="n"/>
      <c r="AZ38" s="27" t="n"/>
      <c r="BA38" s="27" t="n"/>
      <c r="BB38" s="27" t="n"/>
      <c r="BC38" s="27" t="n"/>
      <c r="BD38" s="27" t="n"/>
      <c r="BE38" s="27" t="n"/>
      <c r="BF38" s="27" t="n"/>
      <c r="BG38" s="27" t="n"/>
      <c r="BH38" s="27" t="n"/>
      <c r="BI38" s="29" t="n"/>
      <c r="BJ38" s="27" t="n"/>
      <c r="BK38" s="27" t="n"/>
      <c r="BL38" s="27" t="n"/>
      <c r="BM38" s="27" t="n"/>
      <c r="DN38" s="26">
        <f>IF('テスト条件'!A37="","",'テスト条件'!A37)</f>
        <v/>
      </c>
    </row>
    <row r="39">
      <c r="A39" s="27" t="n"/>
      <c r="B39" s="27" t="n"/>
      <c r="C39" s="28">
        <f>IF(A39="","",$B$2)</f>
        <v/>
      </c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27" t="n"/>
      <c r="AJ39" s="27" t="n"/>
      <c r="AK39" s="27" t="n"/>
      <c r="AL39" s="27" t="n"/>
      <c r="AM39" s="27" t="n"/>
      <c r="AN39" s="27" t="n"/>
      <c r="AO39" s="27" t="n"/>
      <c r="AP39" s="27" t="n"/>
      <c r="AQ39" s="27" t="n"/>
      <c r="AR39" s="27" t="n"/>
      <c r="AS39" s="27" t="n"/>
      <c r="AT39" s="27" t="n"/>
      <c r="AU39" s="27" t="n"/>
      <c r="AV39" s="27" t="n"/>
      <c r="AW39" s="27" t="n"/>
      <c r="AX39" s="27" t="n"/>
      <c r="AY39" s="27" t="n"/>
      <c r="AZ39" s="27" t="n"/>
      <c r="BA39" s="27" t="n"/>
      <c r="BB39" s="27" t="n"/>
      <c r="BC39" s="27" t="n"/>
      <c r="BD39" s="27" t="n"/>
      <c r="BE39" s="27" t="n"/>
      <c r="BF39" s="27" t="n"/>
      <c r="BG39" s="27" t="n"/>
      <c r="BH39" s="27" t="n"/>
      <c r="BI39" s="29" t="n"/>
      <c r="BJ39" s="27" t="n"/>
      <c r="BK39" s="27" t="n"/>
      <c r="BL39" s="27" t="n"/>
      <c r="BM39" s="27" t="n"/>
      <c r="DN39" s="26">
        <f>IF('テスト条件'!A38="","",'テスト条件'!A38)</f>
        <v/>
      </c>
    </row>
    <row r="40">
      <c r="A40" s="27" t="n"/>
      <c r="B40" s="27" t="n"/>
      <c r="C40" s="28">
        <f>IF(A40="","",$B$2)</f>
        <v/>
      </c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7" t="n"/>
      <c r="AJ40" s="27" t="n"/>
      <c r="AK40" s="27" t="n"/>
      <c r="AL40" s="27" t="n"/>
      <c r="AM40" s="27" t="n"/>
      <c r="AN40" s="27" t="n"/>
      <c r="AO40" s="27" t="n"/>
      <c r="AP40" s="27" t="n"/>
      <c r="AQ40" s="27" t="n"/>
      <c r="AR40" s="27" t="n"/>
      <c r="AS40" s="27" t="n"/>
      <c r="AT40" s="27" t="n"/>
      <c r="AU40" s="27" t="n"/>
      <c r="AV40" s="27" t="n"/>
      <c r="AW40" s="27" t="n"/>
      <c r="AX40" s="27" t="n"/>
      <c r="AY40" s="27" t="n"/>
      <c r="AZ40" s="27" t="n"/>
      <c r="BA40" s="27" t="n"/>
      <c r="BB40" s="27" t="n"/>
      <c r="BC40" s="27" t="n"/>
      <c r="BD40" s="27" t="n"/>
      <c r="BE40" s="27" t="n"/>
      <c r="BF40" s="27" t="n"/>
      <c r="BG40" s="27" t="n"/>
      <c r="BH40" s="27" t="n"/>
      <c r="BI40" s="29" t="n"/>
      <c r="BJ40" s="27" t="n"/>
      <c r="BK40" s="27" t="n"/>
      <c r="BL40" s="27" t="n"/>
      <c r="BM40" s="27" t="n"/>
      <c r="DN40" s="26">
        <f>IF('テスト条件'!A39="","",'テスト条件'!A39)</f>
        <v/>
      </c>
    </row>
    <row r="41">
      <c r="A41" s="27" t="n"/>
      <c r="B41" s="27" t="n"/>
      <c r="C41" s="28">
        <f>IF(A41="","",$B$2)</f>
        <v/>
      </c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27" t="n"/>
      <c r="AJ41" s="27" t="n"/>
      <c r="AK41" s="27" t="n"/>
      <c r="AL41" s="27" t="n"/>
      <c r="AM41" s="27" t="n"/>
      <c r="AN41" s="27" t="n"/>
      <c r="AO41" s="27" t="n"/>
      <c r="AP41" s="27" t="n"/>
      <c r="AQ41" s="27" t="n"/>
      <c r="AR41" s="27" t="n"/>
      <c r="AS41" s="27" t="n"/>
      <c r="AT41" s="27" t="n"/>
      <c r="AU41" s="27" t="n"/>
      <c r="AV41" s="27" t="n"/>
      <c r="AW41" s="27" t="n"/>
      <c r="AX41" s="27" t="n"/>
      <c r="AY41" s="27" t="n"/>
      <c r="AZ41" s="27" t="n"/>
      <c r="BA41" s="27" t="n"/>
      <c r="BB41" s="27" t="n"/>
      <c r="BC41" s="27" t="n"/>
      <c r="BD41" s="27" t="n"/>
      <c r="BE41" s="27" t="n"/>
      <c r="BF41" s="27" t="n"/>
      <c r="BG41" s="27" t="n"/>
      <c r="BH41" s="27" t="n"/>
      <c r="BI41" s="29" t="n"/>
      <c r="BJ41" s="27" t="n"/>
      <c r="BK41" s="27" t="n"/>
      <c r="BL41" s="27" t="n"/>
      <c r="BM41" s="27" t="n"/>
      <c r="DN41" s="26">
        <f>IF('テスト条件'!A40="","",'テスト条件'!A40)</f>
        <v/>
      </c>
    </row>
    <row r="42">
      <c r="A42" s="27" t="n"/>
      <c r="B42" s="27" t="n"/>
      <c r="C42" s="28">
        <f>IF(A42="","",$B$2)</f>
        <v/>
      </c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27" t="n"/>
      <c r="AJ42" s="27" t="n"/>
      <c r="AK42" s="27" t="n"/>
      <c r="AL42" s="27" t="n"/>
      <c r="AM42" s="27" t="n"/>
      <c r="AN42" s="27" t="n"/>
      <c r="AO42" s="27" t="n"/>
      <c r="AP42" s="27" t="n"/>
      <c r="AQ42" s="27" t="n"/>
      <c r="AR42" s="27" t="n"/>
      <c r="AS42" s="27" t="n"/>
      <c r="AT42" s="27" t="n"/>
      <c r="AU42" s="27" t="n"/>
      <c r="AV42" s="27" t="n"/>
      <c r="AW42" s="27" t="n"/>
      <c r="AX42" s="27" t="n"/>
      <c r="AY42" s="27" t="n"/>
      <c r="AZ42" s="27" t="n"/>
      <c r="BA42" s="27" t="n"/>
      <c r="BB42" s="27" t="n"/>
      <c r="BC42" s="27" t="n"/>
      <c r="BD42" s="27" t="n"/>
      <c r="BE42" s="27" t="n"/>
      <c r="BF42" s="27" t="n"/>
      <c r="BG42" s="27" t="n"/>
      <c r="BH42" s="27" t="n"/>
      <c r="BI42" s="29" t="n"/>
      <c r="BJ42" s="27" t="n"/>
      <c r="BK42" s="27" t="n"/>
      <c r="BL42" s="27" t="n"/>
      <c r="BM42" s="27" t="n"/>
      <c r="DN42" s="26">
        <f>IF('テスト条件'!A41="","",'テスト条件'!A41)</f>
        <v/>
      </c>
    </row>
    <row r="43">
      <c r="A43" s="27" t="n"/>
      <c r="B43" s="27" t="n"/>
      <c r="C43" s="28">
        <f>IF(A43="","",$B$2)</f>
        <v/>
      </c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27" t="n"/>
      <c r="AJ43" s="27" t="n"/>
      <c r="AK43" s="27" t="n"/>
      <c r="AL43" s="27" t="n"/>
      <c r="AM43" s="27" t="n"/>
      <c r="AN43" s="27" t="n"/>
      <c r="AO43" s="27" t="n"/>
      <c r="AP43" s="27" t="n"/>
      <c r="AQ43" s="27" t="n"/>
      <c r="AR43" s="27" t="n"/>
      <c r="AS43" s="27" t="n"/>
      <c r="AT43" s="27" t="n"/>
      <c r="AU43" s="27" t="n"/>
      <c r="AV43" s="27" t="n"/>
      <c r="AW43" s="27" t="n"/>
      <c r="AX43" s="27" t="n"/>
      <c r="AY43" s="27" t="n"/>
      <c r="AZ43" s="27" t="n"/>
      <c r="BA43" s="27" t="n"/>
      <c r="BB43" s="27" t="n"/>
      <c r="BC43" s="27" t="n"/>
      <c r="BD43" s="27" t="n"/>
      <c r="BE43" s="27" t="n"/>
      <c r="BF43" s="27" t="n"/>
      <c r="BG43" s="27" t="n"/>
      <c r="BH43" s="27" t="n"/>
      <c r="BI43" s="29" t="n"/>
      <c r="BJ43" s="27" t="n"/>
      <c r="BK43" s="27" t="n"/>
      <c r="BL43" s="27" t="n"/>
      <c r="BM43" s="27" t="n"/>
      <c r="DN43" s="26">
        <f>IF('テスト条件'!A42="","",'テスト条件'!A42)</f>
        <v/>
      </c>
    </row>
    <row r="44">
      <c r="A44" s="27" t="n"/>
      <c r="B44" s="27" t="n"/>
      <c r="C44" s="28">
        <f>IF(A44="","",$B$2)</f>
        <v/>
      </c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  <c r="AJ44" s="27" t="n"/>
      <c r="AK44" s="27" t="n"/>
      <c r="AL44" s="27" t="n"/>
      <c r="AM44" s="27" t="n"/>
      <c r="AN44" s="27" t="n"/>
      <c r="AO44" s="27" t="n"/>
      <c r="AP44" s="27" t="n"/>
      <c r="AQ44" s="27" t="n"/>
      <c r="AR44" s="27" t="n"/>
      <c r="AS44" s="27" t="n"/>
      <c r="AT44" s="27" t="n"/>
      <c r="AU44" s="27" t="n"/>
      <c r="AV44" s="27" t="n"/>
      <c r="AW44" s="27" t="n"/>
      <c r="AX44" s="27" t="n"/>
      <c r="AY44" s="27" t="n"/>
      <c r="AZ44" s="27" t="n"/>
      <c r="BA44" s="27" t="n"/>
      <c r="BB44" s="27" t="n"/>
      <c r="BC44" s="27" t="n"/>
      <c r="BD44" s="27" t="n"/>
      <c r="BE44" s="27" t="n"/>
      <c r="BF44" s="27" t="n"/>
      <c r="BG44" s="27" t="n"/>
      <c r="BH44" s="27" t="n"/>
      <c r="BI44" s="29" t="n"/>
      <c r="BJ44" s="27" t="n"/>
      <c r="BK44" s="27" t="n"/>
      <c r="BL44" s="27" t="n"/>
      <c r="BM44" s="27" t="n"/>
      <c r="DN44" s="26">
        <f>IF('テスト条件'!A43="","",'テスト条件'!A43)</f>
        <v/>
      </c>
    </row>
    <row r="45">
      <c r="A45" s="27" t="n"/>
      <c r="B45" s="27" t="n"/>
      <c r="C45" s="28">
        <f>IF(A45="","",$B$2)</f>
        <v/>
      </c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27" t="n"/>
      <c r="AJ45" s="27" t="n"/>
      <c r="AK45" s="27" t="n"/>
      <c r="AL45" s="27" t="n"/>
      <c r="AM45" s="27" t="n"/>
      <c r="AN45" s="27" t="n"/>
      <c r="AO45" s="27" t="n"/>
      <c r="AP45" s="27" t="n"/>
      <c r="AQ45" s="27" t="n"/>
      <c r="AR45" s="27" t="n"/>
      <c r="AS45" s="27" t="n"/>
      <c r="AT45" s="27" t="n"/>
      <c r="AU45" s="27" t="n"/>
      <c r="AV45" s="27" t="n"/>
      <c r="AW45" s="27" t="n"/>
      <c r="AX45" s="27" t="n"/>
      <c r="AY45" s="27" t="n"/>
      <c r="AZ45" s="27" t="n"/>
      <c r="BA45" s="27" t="n"/>
      <c r="BB45" s="27" t="n"/>
      <c r="BC45" s="27" t="n"/>
      <c r="BD45" s="27" t="n"/>
      <c r="BE45" s="27" t="n"/>
      <c r="BF45" s="27" t="n"/>
      <c r="BG45" s="27" t="n"/>
      <c r="BH45" s="27" t="n"/>
      <c r="BI45" s="29" t="n"/>
      <c r="BJ45" s="27" t="n"/>
      <c r="BK45" s="27" t="n"/>
      <c r="BL45" s="27" t="n"/>
      <c r="BM45" s="27" t="n"/>
      <c r="DN45" s="26">
        <f>IF('テスト条件'!A44="","",'テスト条件'!A44)</f>
        <v/>
      </c>
    </row>
    <row r="46">
      <c r="A46" s="27" t="n"/>
      <c r="B46" s="27" t="n"/>
      <c r="C46" s="28">
        <f>IF(A46="","",$B$2)</f>
        <v/>
      </c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  <c r="AJ46" s="27" t="n"/>
      <c r="AK46" s="27" t="n"/>
      <c r="AL46" s="27" t="n"/>
      <c r="AM46" s="27" t="n"/>
      <c r="AN46" s="27" t="n"/>
      <c r="AO46" s="27" t="n"/>
      <c r="AP46" s="27" t="n"/>
      <c r="AQ46" s="27" t="n"/>
      <c r="AR46" s="27" t="n"/>
      <c r="AS46" s="27" t="n"/>
      <c r="AT46" s="27" t="n"/>
      <c r="AU46" s="27" t="n"/>
      <c r="AV46" s="27" t="n"/>
      <c r="AW46" s="27" t="n"/>
      <c r="AX46" s="27" t="n"/>
      <c r="AY46" s="27" t="n"/>
      <c r="AZ46" s="27" t="n"/>
      <c r="BA46" s="27" t="n"/>
      <c r="BB46" s="27" t="n"/>
      <c r="BC46" s="27" t="n"/>
      <c r="BD46" s="27" t="n"/>
      <c r="BE46" s="27" t="n"/>
      <c r="BF46" s="27" t="n"/>
      <c r="BG46" s="27" t="n"/>
      <c r="BH46" s="27" t="n"/>
      <c r="BI46" s="29" t="n"/>
      <c r="BJ46" s="27" t="n"/>
      <c r="BK46" s="27" t="n"/>
      <c r="BL46" s="27" t="n"/>
      <c r="BM46" s="27" t="n"/>
      <c r="DN46" s="26">
        <f>IF('テスト条件'!A45="","",'テスト条件'!A45)</f>
        <v/>
      </c>
    </row>
    <row r="47">
      <c r="A47" s="27" t="n"/>
      <c r="B47" s="27" t="n"/>
      <c r="C47" s="28">
        <f>IF(A47="","",$B$2)</f>
        <v/>
      </c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  <c r="AJ47" s="27" t="n"/>
      <c r="AK47" s="27" t="n"/>
      <c r="AL47" s="27" t="n"/>
      <c r="AM47" s="27" t="n"/>
      <c r="AN47" s="27" t="n"/>
      <c r="AO47" s="27" t="n"/>
      <c r="AP47" s="27" t="n"/>
      <c r="AQ47" s="27" t="n"/>
      <c r="AR47" s="27" t="n"/>
      <c r="AS47" s="27" t="n"/>
      <c r="AT47" s="27" t="n"/>
      <c r="AU47" s="27" t="n"/>
      <c r="AV47" s="27" t="n"/>
      <c r="AW47" s="27" t="n"/>
      <c r="AX47" s="27" t="n"/>
      <c r="AY47" s="27" t="n"/>
      <c r="AZ47" s="27" t="n"/>
      <c r="BA47" s="27" t="n"/>
      <c r="BB47" s="27" t="n"/>
      <c r="BC47" s="27" t="n"/>
      <c r="BD47" s="27" t="n"/>
      <c r="BE47" s="27" t="n"/>
      <c r="BF47" s="27" t="n"/>
      <c r="BG47" s="27" t="n"/>
      <c r="BH47" s="27" t="n"/>
      <c r="BI47" s="29" t="n"/>
      <c r="BJ47" s="27" t="n"/>
      <c r="BK47" s="27" t="n"/>
      <c r="BL47" s="27" t="n"/>
      <c r="BM47" s="27" t="n"/>
      <c r="DN47" s="26">
        <f>IF('テスト条件'!A46="","",'テスト条件'!A46)</f>
        <v/>
      </c>
    </row>
    <row r="48">
      <c r="A48" s="27" t="n"/>
      <c r="B48" s="27" t="n"/>
      <c r="C48" s="28">
        <f>IF(A48="","",$B$2)</f>
        <v/>
      </c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27" t="n"/>
      <c r="AJ48" s="27" t="n"/>
      <c r="AK48" s="27" t="n"/>
      <c r="AL48" s="27" t="n"/>
      <c r="AM48" s="27" t="n"/>
      <c r="AN48" s="27" t="n"/>
      <c r="AO48" s="27" t="n"/>
      <c r="AP48" s="27" t="n"/>
      <c r="AQ48" s="27" t="n"/>
      <c r="AR48" s="27" t="n"/>
      <c r="AS48" s="27" t="n"/>
      <c r="AT48" s="27" t="n"/>
      <c r="AU48" s="27" t="n"/>
      <c r="AV48" s="27" t="n"/>
      <c r="AW48" s="27" t="n"/>
      <c r="AX48" s="27" t="n"/>
      <c r="AY48" s="27" t="n"/>
      <c r="AZ48" s="27" t="n"/>
      <c r="BA48" s="27" t="n"/>
      <c r="BB48" s="27" t="n"/>
      <c r="BC48" s="27" t="n"/>
      <c r="BD48" s="27" t="n"/>
      <c r="BE48" s="27" t="n"/>
      <c r="BF48" s="27" t="n"/>
      <c r="BG48" s="27" t="n"/>
      <c r="BH48" s="27" t="n"/>
      <c r="BI48" s="29" t="n"/>
      <c r="BJ48" s="27" t="n"/>
      <c r="BK48" s="27" t="n"/>
      <c r="BL48" s="27" t="n"/>
      <c r="BM48" s="27" t="n"/>
      <c r="DN48" s="26">
        <f>IF('テスト条件'!A47="","",'テスト条件'!A47)</f>
        <v/>
      </c>
    </row>
    <row r="49">
      <c r="A49" s="27" t="n"/>
      <c r="B49" s="27" t="n"/>
      <c r="C49" s="28">
        <f>IF(A49="","",$B$2)</f>
        <v/>
      </c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27" t="n"/>
      <c r="AJ49" s="27" t="n"/>
      <c r="AK49" s="27" t="n"/>
      <c r="AL49" s="27" t="n"/>
      <c r="AM49" s="27" t="n"/>
      <c r="AN49" s="27" t="n"/>
      <c r="AO49" s="27" t="n"/>
      <c r="AP49" s="27" t="n"/>
      <c r="AQ49" s="27" t="n"/>
      <c r="AR49" s="27" t="n"/>
      <c r="AS49" s="27" t="n"/>
      <c r="AT49" s="27" t="n"/>
      <c r="AU49" s="27" t="n"/>
      <c r="AV49" s="27" t="n"/>
      <c r="AW49" s="27" t="n"/>
      <c r="AX49" s="27" t="n"/>
      <c r="AY49" s="27" t="n"/>
      <c r="AZ49" s="27" t="n"/>
      <c r="BA49" s="27" t="n"/>
      <c r="BB49" s="27" t="n"/>
      <c r="BC49" s="27" t="n"/>
      <c r="BD49" s="27" t="n"/>
      <c r="BE49" s="27" t="n"/>
      <c r="BF49" s="27" t="n"/>
      <c r="BG49" s="27" t="n"/>
      <c r="BH49" s="27" t="n"/>
      <c r="BI49" s="29" t="n"/>
      <c r="BJ49" s="27" t="n"/>
      <c r="BK49" s="27" t="n"/>
      <c r="BL49" s="27" t="n"/>
      <c r="BM49" s="27" t="n"/>
      <c r="DN49" s="26">
        <f>IF('テスト条件'!A48="","",'テスト条件'!A48)</f>
        <v/>
      </c>
    </row>
    <row r="50">
      <c r="A50" s="27" t="n"/>
      <c r="B50" s="27" t="n"/>
      <c r="C50" s="28">
        <f>IF(A50="","",$B$2)</f>
        <v/>
      </c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27" t="n"/>
      <c r="AJ50" s="27" t="n"/>
      <c r="AK50" s="27" t="n"/>
      <c r="AL50" s="27" t="n"/>
      <c r="AM50" s="27" t="n"/>
      <c r="AN50" s="27" t="n"/>
      <c r="AO50" s="27" t="n"/>
      <c r="AP50" s="27" t="n"/>
      <c r="AQ50" s="27" t="n"/>
      <c r="AR50" s="27" t="n"/>
      <c r="AS50" s="27" t="n"/>
      <c r="AT50" s="27" t="n"/>
      <c r="AU50" s="27" t="n"/>
      <c r="AV50" s="27" t="n"/>
      <c r="AW50" s="27" t="n"/>
      <c r="AX50" s="27" t="n"/>
      <c r="AY50" s="27" t="n"/>
      <c r="AZ50" s="27" t="n"/>
      <c r="BA50" s="27" t="n"/>
      <c r="BB50" s="27" t="n"/>
      <c r="BC50" s="27" t="n"/>
      <c r="BD50" s="27" t="n"/>
      <c r="BE50" s="27" t="n"/>
      <c r="BF50" s="27" t="n"/>
      <c r="BG50" s="27" t="n"/>
      <c r="BH50" s="27" t="n"/>
      <c r="BI50" s="29" t="n"/>
      <c r="BJ50" s="27" t="n"/>
      <c r="BK50" s="27" t="n"/>
      <c r="BL50" s="27" t="n"/>
      <c r="BM50" s="27" t="n"/>
      <c r="DN50" s="26">
        <f>IF('テスト条件'!A49="","",'テスト条件'!A49)</f>
        <v/>
      </c>
    </row>
    <row r="51">
      <c r="A51" s="27" t="n"/>
      <c r="B51" s="27" t="n"/>
      <c r="C51" s="28">
        <f>IF(A51="","",$B$2)</f>
        <v/>
      </c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27" t="n"/>
      <c r="AJ51" s="27" t="n"/>
      <c r="AK51" s="27" t="n"/>
      <c r="AL51" s="27" t="n"/>
      <c r="AM51" s="27" t="n"/>
      <c r="AN51" s="27" t="n"/>
      <c r="AO51" s="27" t="n"/>
      <c r="AP51" s="27" t="n"/>
      <c r="AQ51" s="27" t="n"/>
      <c r="AR51" s="27" t="n"/>
      <c r="AS51" s="27" t="n"/>
      <c r="AT51" s="27" t="n"/>
      <c r="AU51" s="27" t="n"/>
      <c r="AV51" s="27" t="n"/>
      <c r="AW51" s="27" t="n"/>
      <c r="AX51" s="27" t="n"/>
      <c r="AY51" s="27" t="n"/>
      <c r="AZ51" s="27" t="n"/>
      <c r="BA51" s="27" t="n"/>
      <c r="BB51" s="27" t="n"/>
      <c r="BC51" s="27" t="n"/>
      <c r="BD51" s="27" t="n"/>
      <c r="BE51" s="27" t="n"/>
      <c r="BF51" s="27" t="n"/>
      <c r="BG51" s="27" t="n"/>
      <c r="BH51" s="27" t="n"/>
      <c r="BI51" s="29" t="n"/>
      <c r="BJ51" s="27" t="n"/>
      <c r="BK51" s="27" t="n"/>
      <c r="BL51" s="27" t="n"/>
      <c r="BM51" s="27" t="n"/>
      <c r="DN51" s="26">
        <f>IF('テスト条件'!A50="","",'テスト条件'!A50)</f>
        <v/>
      </c>
    </row>
    <row r="52">
      <c r="A52" s="27" t="n"/>
      <c r="B52" s="27" t="n"/>
      <c r="C52" s="28">
        <f>IF(A52="","",$B$2)</f>
        <v/>
      </c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27" t="n"/>
      <c r="AJ52" s="27" t="n"/>
      <c r="AK52" s="27" t="n"/>
      <c r="AL52" s="27" t="n"/>
      <c r="AM52" s="27" t="n"/>
      <c r="AN52" s="27" t="n"/>
      <c r="AO52" s="27" t="n"/>
      <c r="AP52" s="27" t="n"/>
      <c r="AQ52" s="27" t="n"/>
      <c r="AR52" s="27" t="n"/>
      <c r="AS52" s="27" t="n"/>
      <c r="AT52" s="27" t="n"/>
      <c r="AU52" s="27" t="n"/>
      <c r="AV52" s="27" t="n"/>
      <c r="AW52" s="27" t="n"/>
      <c r="AX52" s="27" t="n"/>
      <c r="AY52" s="27" t="n"/>
      <c r="AZ52" s="27" t="n"/>
      <c r="BA52" s="27" t="n"/>
      <c r="BB52" s="27" t="n"/>
      <c r="BC52" s="27" t="n"/>
      <c r="BD52" s="27" t="n"/>
      <c r="BE52" s="27" t="n"/>
      <c r="BF52" s="27" t="n"/>
      <c r="BG52" s="27" t="n"/>
      <c r="BH52" s="27" t="n"/>
      <c r="BI52" s="29" t="n"/>
      <c r="BJ52" s="27" t="n"/>
      <c r="BK52" s="27" t="n"/>
      <c r="BL52" s="27" t="n"/>
      <c r="BM52" s="27" t="n"/>
      <c r="DN52" s="26">
        <f>IF('テスト条件'!A51="","",'テスト条件'!A51)</f>
        <v/>
      </c>
    </row>
    <row r="53">
      <c r="A53" s="27" t="n"/>
      <c r="B53" s="27" t="n"/>
      <c r="C53" s="28">
        <f>IF(A53="","",$B$2)</f>
        <v/>
      </c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27" t="n"/>
      <c r="AJ53" s="27" t="n"/>
      <c r="AK53" s="27" t="n"/>
      <c r="AL53" s="27" t="n"/>
      <c r="AM53" s="27" t="n"/>
      <c r="AN53" s="27" t="n"/>
      <c r="AO53" s="27" t="n"/>
      <c r="AP53" s="27" t="n"/>
      <c r="AQ53" s="27" t="n"/>
      <c r="AR53" s="27" t="n"/>
      <c r="AS53" s="27" t="n"/>
      <c r="AT53" s="27" t="n"/>
      <c r="AU53" s="27" t="n"/>
      <c r="AV53" s="27" t="n"/>
      <c r="AW53" s="27" t="n"/>
      <c r="AX53" s="27" t="n"/>
      <c r="AY53" s="27" t="n"/>
      <c r="AZ53" s="27" t="n"/>
      <c r="BA53" s="27" t="n"/>
      <c r="BB53" s="27" t="n"/>
      <c r="BC53" s="27" t="n"/>
      <c r="BD53" s="27" t="n"/>
      <c r="BE53" s="27" t="n"/>
      <c r="BF53" s="27" t="n"/>
      <c r="BG53" s="27" t="n"/>
      <c r="BH53" s="27" t="n"/>
      <c r="BI53" s="29" t="n"/>
      <c r="BJ53" s="27" t="n"/>
      <c r="BK53" s="27" t="n"/>
      <c r="BL53" s="27" t="n"/>
      <c r="BM53" s="27" t="n"/>
      <c r="DN53" s="26">
        <f>IF('テスト条件'!A52="","",'テスト条件'!A52)</f>
        <v/>
      </c>
    </row>
    <row r="54">
      <c r="A54" s="27" t="n"/>
      <c r="B54" s="27" t="n"/>
      <c r="C54" s="28">
        <f>IF(A54="","",$B$2)</f>
        <v/>
      </c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27" t="n"/>
      <c r="AJ54" s="27" t="n"/>
      <c r="AK54" s="27" t="n"/>
      <c r="AL54" s="27" t="n"/>
      <c r="AM54" s="27" t="n"/>
      <c r="AN54" s="27" t="n"/>
      <c r="AO54" s="27" t="n"/>
      <c r="AP54" s="27" t="n"/>
      <c r="AQ54" s="27" t="n"/>
      <c r="AR54" s="27" t="n"/>
      <c r="AS54" s="27" t="n"/>
      <c r="AT54" s="27" t="n"/>
      <c r="AU54" s="27" t="n"/>
      <c r="AV54" s="27" t="n"/>
      <c r="AW54" s="27" t="n"/>
      <c r="AX54" s="27" t="n"/>
      <c r="AY54" s="27" t="n"/>
      <c r="AZ54" s="27" t="n"/>
      <c r="BA54" s="27" t="n"/>
      <c r="BB54" s="27" t="n"/>
      <c r="BC54" s="27" t="n"/>
      <c r="BD54" s="27" t="n"/>
      <c r="BE54" s="27" t="n"/>
      <c r="BF54" s="27" t="n"/>
      <c r="BG54" s="27" t="n"/>
      <c r="BH54" s="27" t="n"/>
      <c r="BI54" s="29" t="n"/>
      <c r="BJ54" s="27" t="n"/>
      <c r="BK54" s="27" t="n"/>
      <c r="BL54" s="27" t="n"/>
      <c r="BM54" s="27" t="n"/>
      <c r="DN54" s="26">
        <f>IF('テスト条件'!A53="","",'テスト条件'!A53)</f>
        <v/>
      </c>
    </row>
    <row r="55">
      <c r="A55" s="27" t="n"/>
      <c r="B55" s="27" t="n"/>
      <c r="C55" s="28">
        <f>IF(A55="","",$B$2)</f>
        <v/>
      </c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27" t="n"/>
      <c r="AJ55" s="27" t="n"/>
      <c r="AK55" s="27" t="n"/>
      <c r="AL55" s="27" t="n"/>
      <c r="AM55" s="27" t="n"/>
      <c r="AN55" s="27" t="n"/>
      <c r="AO55" s="27" t="n"/>
      <c r="AP55" s="27" t="n"/>
      <c r="AQ55" s="27" t="n"/>
      <c r="AR55" s="27" t="n"/>
      <c r="AS55" s="27" t="n"/>
      <c r="AT55" s="27" t="n"/>
      <c r="AU55" s="27" t="n"/>
      <c r="AV55" s="27" t="n"/>
      <c r="AW55" s="27" t="n"/>
      <c r="AX55" s="27" t="n"/>
      <c r="AY55" s="27" t="n"/>
      <c r="AZ55" s="27" t="n"/>
      <c r="BA55" s="27" t="n"/>
      <c r="BB55" s="27" t="n"/>
      <c r="BC55" s="27" t="n"/>
      <c r="BD55" s="27" t="n"/>
      <c r="BE55" s="27" t="n"/>
      <c r="BF55" s="27" t="n"/>
      <c r="BG55" s="27" t="n"/>
      <c r="BH55" s="27" t="n"/>
      <c r="BI55" s="29" t="n"/>
      <c r="BJ55" s="27" t="n"/>
      <c r="BK55" s="27" t="n"/>
      <c r="BL55" s="27" t="n"/>
      <c r="BM55" s="27" t="n"/>
      <c r="DN55" s="26">
        <f>IF('テスト条件'!A54="","",'テスト条件'!A54)</f>
        <v/>
      </c>
    </row>
    <row r="56">
      <c r="A56" s="27" t="n"/>
      <c r="B56" s="27" t="n"/>
      <c r="C56" s="28">
        <f>IF(A56="","",$B$2)</f>
        <v/>
      </c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  <c r="AJ56" s="27" t="n"/>
      <c r="AK56" s="27" t="n"/>
      <c r="AL56" s="27" t="n"/>
      <c r="AM56" s="27" t="n"/>
      <c r="AN56" s="27" t="n"/>
      <c r="AO56" s="27" t="n"/>
      <c r="AP56" s="27" t="n"/>
      <c r="AQ56" s="27" t="n"/>
      <c r="AR56" s="27" t="n"/>
      <c r="AS56" s="27" t="n"/>
      <c r="AT56" s="27" t="n"/>
      <c r="AU56" s="27" t="n"/>
      <c r="AV56" s="27" t="n"/>
      <c r="AW56" s="27" t="n"/>
      <c r="AX56" s="27" t="n"/>
      <c r="AY56" s="27" t="n"/>
      <c r="AZ56" s="27" t="n"/>
      <c r="BA56" s="27" t="n"/>
      <c r="BB56" s="27" t="n"/>
      <c r="BC56" s="27" t="n"/>
      <c r="BD56" s="27" t="n"/>
      <c r="BE56" s="27" t="n"/>
      <c r="BF56" s="27" t="n"/>
      <c r="BG56" s="27" t="n"/>
      <c r="BH56" s="27" t="n"/>
      <c r="BI56" s="29" t="n"/>
      <c r="BJ56" s="27" t="n"/>
      <c r="BK56" s="27" t="n"/>
      <c r="BL56" s="27" t="n"/>
      <c r="BM56" s="27" t="n"/>
      <c r="DN56" s="26">
        <f>IF('テスト条件'!A55="","",'テスト条件'!A55)</f>
        <v/>
      </c>
    </row>
    <row r="57">
      <c r="A57" s="27" t="n"/>
      <c r="B57" s="27" t="n"/>
      <c r="C57" s="28">
        <f>IF(A57="","",$B$2)</f>
        <v/>
      </c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  <c r="AA57" s="27" t="n"/>
      <c r="AB57" s="27" t="n"/>
      <c r="AC57" s="27" t="n"/>
      <c r="AD57" s="27" t="n"/>
      <c r="AE57" s="27" t="n"/>
      <c r="AF57" s="27" t="n"/>
      <c r="AG57" s="27" t="n"/>
      <c r="AH57" s="27" t="n"/>
      <c r="AI57" s="27" t="n"/>
      <c r="AJ57" s="27" t="n"/>
      <c r="AK57" s="27" t="n"/>
      <c r="AL57" s="27" t="n"/>
      <c r="AM57" s="27" t="n"/>
      <c r="AN57" s="27" t="n"/>
      <c r="AO57" s="27" t="n"/>
      <c r="AP57" s="27" t="n"/>
      <c r="AQ57" s="27" t="n"/>
      <c r="AR57" s="27" t="n"/>
      <c r="AS57" s="27" t="n"/>
      <c r="AT57" s="27" t="n"/>
      <c r="AU57" s="27" t="n"/>
      <c r="AV57" s="27" t="n"/>
      <c r="AW57" s="27" t="n"/>
      <c r="AX57" s="27" t="n"/>
      <c r="AY57" s="27" t="n"/>
      <c r="AZ57" s="27" t="n"/>
      <c r="BA57" s="27" t="n"/>
      <c r="BB57" s="27" t="n"/>
      <c r="BC57" s="27" t="n"/>
      <c r="BD57" s="27" t="n"/>
      <c r="BE57" s="27" t="n"/>
      <c r="BF57" s="27" t="n"/>
      <c r="BG57" s="27" t="n"/>
      <c r="BH57" s="27" t="n"/>
      <c r="BI57" s="29" t="n"/>
      <c r="BJ57" s="27" t="n"/>
      <c r="BK57" s="27" t="n"/>
      <c r="BL57" s="27" t="n"/>
      <c r="BM57" s="27" t="n"/>
      <c r="DN57" s="26">
        <f>IF('テスト条件'!A56="","",'テスト条件'!A56)</f>
        <v/>
      </c>
    </row>
    <row r="58">
      <c r="A58" s="27" t="n"/>
      <c r="B58" s="27" t="n"/>
      <c r="C58" s="28">
        <f>IF(A58="","",$B$2)</f>
        <v/>
      </c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27" t="n"/>
      <c r="AJ58" s="27" t="n"/>
      <c r="AK58" s="27" t="n"/>
      <c r="AL58" s="27" t="n"/>
      <c r="AM58" s="27" t="n"/>
      <c r="AN58" s="27" t="n"/>
      <c r="AO58" s="27" t="n"/>
      <c r="AP58" s="27" t="n"/>
      <c r="AQ58" s="27" t="n"/>
      <c r="AR58" s="27" t="n"/>
      <c r="AS58" s="27" t="n"/>
      <c r="AT58" s="27" t="n"/>
      <c r="AU58" s="27" t="n"/>
      <c r="AV58" s="27" t="n"/>
      <c r="AW58" s="27" t="n"/>
      <c r="AX58" s="27" t="n"/>
      <c r="AY58" s="27" t="n"/>
      <c r="AZ58" s="27" t="n"/>
      <c r="BA58" s="27" t="n"/>
      <c r="BB58" s="27" t="n"/>
      <c r="BC58" s="27" t="n"/>
      <c r="BD58" s="27" t="n"/>
      <c r="BE58" s="27" t="n"/>
      <c r="BF58" s="27" t="n"/>
      <c r="BG58" s="27" t="n"/>
      <c r="BH58" s="27" t="n"/>
      <c r="BI58" s="29" t="n"/>
      <c r="BJ58" s="27" t="n"/>
      <c r="BK58" s="27" t="n"/>
      <c r="BL58" s="27" t="n"/>
      <c r="BM58" s="27" t="n"/>
      <c r="DN58" s="26">
        <f>IF('テスト条件'!A57="","",'テスト条件'!A57)</f>
        <v/>
      </c>
    </row>
    <row r="59">
      <c r="A59" s="27" t="n"/>
      <c r="B59" s="27" t="n"/>
      <c r="C59" s="28">
        <f>IF(A59="","",$B$2)</f>
        <v/>
      </c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27" t="n"/>
      <c r="AJ59" s="27" t="n"/>
      <c r="AK59" s="27" t="n"/>
      <c r="AL59" s="27" t="n"/>
      <c r="AM59" s="27" t="n"/>
      <c r="AN59" s="27" t="n"/>
      <c r="AO59" s="27" t="n"/>
      <c r="AP59" s="27" t="n"/>
      <c r="AQ59" s="27" t="n"/>
      <c r="AR59" s="27" t="n"/>
      <c r="AS59" s="27" t="n"/>
      <c r="AT59" s="27" t="n"/>
      <c r="AU59" s="27" t="n"/>
      <c r="AV59" s="27" t="n"/>
      <c r="AW59" s="27" t="n"/>
      <c r="AX59" s="27" t="n"/>
      <c r="AY59" s="27" t="n"/>
      <c r="AZ59" s="27" t="n"/>
      <c r="BA59" s="27" t="n"/>
      <c r="BB59" s="27" t="n"/>
      <c r="BC59" s="27" t="n"/>
      <c r="BD59" s="27" t="n"/>
      <c r="BE59" s="27" t="n"/>
      <c r="BF59" s="27" t="n"/>
      <c r="BG59" s="27" t="n"/>
      <c r="BH59" s="27" t="n"/>
      <c r="BI59" s="29" t="n"/>
      <c r="BJ59" s="27" t="n"/>
      <c r="BK59" s="27" t="n"/>
      <c r="BL59" s="27" t="n"/>
      <c r="BM59" s="27" t="n"/>
      <c r="DN59" s="26">
        <f>IF('テスト条件'!A58="","",'テスト条件'!A58)</f>
        <v/>
      </c>
    </row>
    <row r="60">
      <c r="A60" s="27" t="n"/>
      <c r="B60" s="27" t="n"/>
      <c r="C60" s="28">
        <f>IF(A60="","",$B$2)</f>
        <v/>
      </c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27" t="n"/>
      <c r="AJ60" s="27" t="n"/>
      <c r="AK60" s="27" t="n"/>
      <c r="AL60" s="27" t="n"/>
      <c r="AM60" s="27" t="n"/>
      <c r="AN60" s="27" t="n"/>
      <c r="AO60" s="27" t="n"/>
      <c r="AP60" s="27" t="n"/>
      <c r="AQ60" s="27" t="n"/>
      <c r="AR60" s="27" t="n"/>
      <c r="AS60" s="27" t="n"/>
      <c r="AT60" s="27" t="n"/>
      <c r="AU60" s="27" t="n"/>
      <c r="AV60" s="27" t="n"/>
      <c r="AW60" s="27" t="n"/>
      <c r="AX60" s="27" t="n"/>
      <c r="AY60" s="27" t="n"/>
      <c r="AZ60" s="27" t="n"/>
      <c r="BA60" s="27" t="n"/>
      <c r="BB60" s="27" t="n"/>
      <c r="BC60" s="27" t="n"/>
      <c r="BD60" s="27" t="n"/>
      <c r="BE60" s="27" t="n"/>
      <c r="BF60" s="27" t="n"/>
      <c r="BG60" s="27" t="n"/>
      <c r="BH60" s="27" t="n"/>
      <c r="BI60" s="29" t="n"/>
      <c r="BJ60" s="27" t="n"/>
      <c r="BK60" s="27" t="n"/>
      <c r="BL60" s="27" t="n"/>
      <c r="BM60" s="27" t="n"/>
      <c r="DN60" s="26">
        <f>IF('テスト条件'!A59="","",'テスト条件'!A59)</f>
        <v/>
      </c>
    </row>
    <row r="61">
      <c r="A61" s="27" t="n"/>
      <c r="B61" s="27" t="n"/>
      <c r="C61" s="28">
        <f>IF(A61="","",$B$2)</f>
        <v/>
      </c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27" t="n"/>
      <c r="AJ61" s="27" t="n"/>
      <c r="AK61" s="27" t="n"/>
      <c r="AL61" s="27" t="n"/>
      <c r="AM61" s="27" t="n"/>
      <c r="AN61" s="27" t="n"/>
      <c r="AO61" s="27" t="n"/>
      <c r="AP61" s="27" t="n"/>
      <c r="AQ61" s="27" t="n"/>
      <c r="AR61" s="27" t="n"/>
      <c r="AS61" s="27" t="n"/>
      <c r="AT61" s="27" t="n"/>
      <c r="AU61" s="27" t="n"/>
      <c r="AV61" s="27" t="n"/>
      <c r="AW61" s="27" t="n"/>
      <c r="AX61" s="27" t="n"/>
      <c r="AY61" s="27" t="n"/>
      <c r="AZ61" s="27" t="n"/>
      <c r="BA61" s="27" t="n"/>
      <c r="BB61" s="27" t="n"/>
      <c r="BC61" s="27" t="n"/>
      <c r="BD61" s="27" t="n"/>
      <c r="BE61" s="27" t="n"/>
      <c r="BF61" s="27" t="n"/>
      <c r="BG61" s="27" t="n"/>
      <c r="BH61" s="27" t="n"/>
      <c r="BI61" s="29" t="n"/>
      <c r="BJ61" s="27" t="n"/>
      <c r="BK61" s="27" t="n"/>
      <c r="BL61" s="27" t="n"/>
      <c r="BM61" s="27" t="n"/>
      <c r="DN61" s="26">
        <f>IF('テスト条件'!A60="","",'テスト条件'!A60)</f>
        <v/>
      </c>
    </row>
    <row r="62">
      <c r="A62" s="27" t="n"/>
      <c r="B62" s="27" t="n"/>
      <c r="C62" s="28">
        <f>IF(A62="","",$B$2)</f>
        <v/>
      </c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27" t="n"/>
      <c r="AJ62" s="27" t="n"/>
      <c r="AK62" s="27" t="n"/>
      <c r="AL62" s="27" t="n"/>
      <c r="AM62" s="27" t="n"/>
      <c r="AN62" s="27" t="n"/>
      <c r="AO62" s="27" t="n"/>
      <c r="AP62" s="27" t="n"/>
      <c r="AQ62" s="27" t="n"/>
      <c r="AR62" s="27" t="n"/>
      <c r="AS62" s="27" t="n"/>
      <c r="AT62" s="27" t="n"/>
      <c r="AU62" s="27" t="n"/>
      <c r="AV62" s="27" t="n"/>
      <c r="AW62" s="27" t="n"/>
      <c r="AX62" s="27" t="n"/>
      <c r="AY62" s="27" t="n"/>
      <c r="AZ62" s="27" t="n"/>
      <c r="BA62" s="27" t="n"/>
      <c r="BB62" s="27" t="n"/>
      <c r="BC62" s="27" t="n"/>
      <c r="BD62" s="27" t="n"/>
      <c r="BE62" s="27" t="n"/>
      <c r="BF62" s="27" t="n"/>
      <c r="BG62" s="27" t="n"/>
      <c r="BH62" s="27" t="n"/>
      <c r="BI62" s="29" t="n"/>
      <c r="BJ62" s="27" t="n"/>
      <c r="BK62" s="27" t="n"/>
      <c r="BL62" s="27" t="n"/>
      <c r="BM62" s="27" t="n"/>
      <c r="DN62" s="26">
        <f>IF('テスト条件'!A61="","",'テスト条件'!A61)</f>
        <v/>
      </c>
    </row>
    <row r="63">
      <c r="A63" s="27" t="n"/>
      <c r="B63" s="27" t="n"/>
      <c r="C63" s="28">
        <f>IF(A63="","",$B$2)</f>
        <v/>
      </c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  <c r="AA63" s="27" t="n"/>
      <c r="AB63" s="27" t="n"/>
      <c r="AC63" s="27" t="n"/>
      <c r="AD63" s="27" t="n"/>
      <c r="AE63" s="27" t="n"/>
      <c r="AF63" s="27" t="n"/>
      <c r="AG63" s="27" t="n"/>
      <c r="AH63" s="27" t="n"/>
      <c r="AI63" s="27" t="n"/>
      <c r="AJ63" s="27" t="n"/>
      <c r="AK63" s="27" t="n"/>
      <c r="AL63" s="27" t="n"/>
      <c r="AM63" s="27" t="n"/>
      <c r="AN63" s="27" t="n"/>
      <c r="AO63" s="27" t="n"/>
      <c r="AP63" s="27" t="n"/>
      <c r="AQ63" s="27" t="n"/>
      <c r="AR63" s="27" t="n"/>
      <c r="AS63" s="27" t="n"/>
      <c r="AT63" s="27" t="n"/>
      <c r="AU63" s="27" t="n"/>
      <c r="AV63" s="27" t="n"/>
      <c r="AW63" s="27" t="n"/>
      <c r="AX63" s="27" t="n"/>
      <c r="AY63" s="27" t="n"/>
      <c r="AZ63" s="27" t="n"/>
      <c r="BA63" s="27" t="n"/>
      <c r="BB63" s="27" t="n"/>
      <c r="BC63" s="27" t="n"/>
      <c r="BD63" s="27" t="n"/>
      <c r="BE63" s="27" t="n"/>
      <c r="BF63" s="27" t="n"/>
      <c r="BG63" s="27" t="n"/>
      <c r="BH63" s="27" t="n"/>
      <c r="BI63" s="29" t="n"/>
      <c r="BJ63" s="27" t="n"/>
      <c r="BK63" s="27" t="n"/>
      <c r="BL63" s="27" t="n"/>
      <c r="BM63" s="27" t="n"/>
      <c r="DN63" s="26">
        <f>IF('テスト条件'!A62="","",'テスト条件'!A62)</f>
        <v/>
      </c>
    </row>
    <row r="64">
      <c r="A64" s="27" t="n"/>
      <c r="B64" s="27" t="n"/>
      <c r="C64" s="28">
        <f>IF(A64="","",$B$2)</f>
        <v/>
      </c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27" t="n"/>
      <c r="AJ64" s="27" t="n"/>
      <c r="AK64" s="27" t="n"/>
      <c r="AL64" s="27" t="n"/>
      <c r="AM64" s="27" t="n"/>
      <c r="AN64" s="27" t="n"/>
      <c r="AO64" s="27" t="n"/>
      <c r="AP64" s="27" t="n"/>
      <c r="AQ64" s="27" t="n"/>
      <c r="AR64" s="27" t="n"/>
      <c r="AS64" s="27" t="n"/>
      <c r="AT64" s="27" t="n"/>
      <c r="AU64" s="27" t="n"/>
      <c r="AV64" s="27" t="n"/>
      <c r="AW64" s="27" t="n"/>
      <c r="AX64" s="27" t="n"/>
      <c r="AY64" s="27" t="n"/>
      <c r="AZ64" s="27" t="n"/>
      <c r="BA64" s="27" t="n"/>
      <c r="BB64" s="27" t="n"/>
      <c r="BC64" s="27" t="n"/>
      <c r="BD64" s="27" t="n"/>
      <c r="BE64" s="27" t="n"/>
      <c r="BF64" s="27" t="n"/>
      <c r="BG64" s="27" t="n"/>
      <c r="BH64" s="27" t="n"/>
      <c r="BI64" s="29" t="n"/>
      <c r="BJ64" s="27" t="n"/>
      <c r="BK64" s="27" t="n"/>
      <c r="BL64" s="27" t="n"/>
      <c r="BM64" s="27" t="n"/>
      <c r="DN64" s="26">
        <f>IF('テスト条件'!A63="","",'テスト条件'!A63)</f>
        <v/>
      </c>
    </row>
    <row r="65">
      <c r="A65" s="27" t="n"/>
      <c r="B65" s="27" t="n"/>
      <c r="C65" s="28">
        <f>IF(A65="","",$B$2)</f>
        <v/>
      </c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27" t="n"/>
      <c r="AJ65" s="27" t="n"/>
      <c r="AK65" s="27" t="n"/>
      <c r="AL65" s="27" t="n"/>
      <c r="AM65" s="27" t="n"/>
      <c r="AN65" s="27" t="n"/>
      <c r="AO65" s="27" t="n"/>
      <c r="AP65" s="27" t="n"/>
      <c r="AQ65" s="27" t="n"/>
      <c r="AR65" s="27" t="n"/>
      <c r="AS65" s="27" t="n"/>
      <c r="AT65" s="27" t="n"/>
      <c r="AU65" s="27" t="n"/>
      <c r="AV65" s="27" t="n"/>
      <c r="AW65" s="27" t="n"/>
      <c r="AX65" s="27" t="n"/>
      <c r="AY65" s="27" t="n"/>
      <c r="AZ65" s="27" t="n"/>
      <c r="BA65" s="27" t="n"/>
      <c r="BB65" s="27" t="n"/>
      <c r="BC65" s="27" t="n"/>
      <c r="BD65" s="27" t="n"/>
      <c r="BE65" s="27" t="n"/>
      <c r="BF65" s="27" t="n"/>
      <c r="BG65" s="27" t="n"/>
      <c r="BH65" s="27" t="n"/>
      <c r="BI65" s="29" t="n"/>
      <c r="BJ65" s="27" t="n"/>
      <c r="BK65" s="27" t="n"/>
      <c r="BL65" s="27" t="n"/>
      <c r="BM65" s="27" t="n"/>
      <c r="DN65" s="26">
        <f>IF('テスト条件'!A64="","",'テスト条件'!A64)</f>
        <v/>
      </c>
    </row>
    <row r="66">
      <c r="A66" s="27" t="n"/>
      <c r="B66" s="27" t="n"/>
      <c r="C66" s="28">
        <f>IF(A66="","",$B$2)</f>
        <v/>
      </c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27" t="n"/>
      <c r="AJ66" s="27" t="n"/>
      <c r="AK66" s="27" t="n"/>
      <c r="AL66" s="27" t="n"/>
      <c r="AM66" s="27" t="n"/>
      <c r="AN66" s="27" t="n"/>
      <c r="AO66" s="27" t="n"/>
      <c r="AP66" s="27" t="n"/>
      <c r="AQ66" s="27" t="n"/>
      <c r="AR66" s="27" t="n"/>
      <c r="AS66" s="27" t="n"/>
      <c r="AT66" s="27" t="n"/>
      <c r="AU66" s="27" t="n"/>
      <c r="AV66" s="27" t="n"/>
      <c r="AW66" s="27" t="n"/>
      <c r="AX66" s="27" t="n"/>
      <c r="AY66" s="27" t="n"/>
      <c r="AZ66" s="27" t="n"/>
      <c r="BA66" s="27" t="n"/>
      <c r="BB66" s="27" t="n"/>
      <c r="BC66" s="27" t="n"/>
      <c r="BD66" s="27" t="n"/>
      <c r="BE66" s="27" t="n"/>
      <c r="BF66" s="27" t="n"/>
      <c r="BG66" s="27" t="n"/>
      <c r="BH66" s="27" t="n"/>
      <c r="BI66" s="29" t="n"/>
      <c r="BJ66" s="27" t="n"/>
      <c r="BK66" s="27" t="n"/>
      <c r="BL66" s="27" t="n"/>
      <c r="BM66" s="27" t="n"/>
      <c r="DN66" s="26">
        <f>IF('テスト条件'!A65="","",'テスト条件'!A65)</f>
        <v/>
      </c>
    </row>
    <row r="67">
      <c r="A67" s="27" t="n"/>
      <c r="B67" s="27" t="n"/>
      <c r="C67" s="28">
        <f>IF(A67="","",$B$2)</f>
        <v/>
      </c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  <c r="AA67" s="27" t="n"/>
      <c r="AB67" s="27" t="n"/>
      <c r="AC67" s="27" t="n"/>
      <c r="AD67" s="27" t="n"/>
      <c r="AE67" s="27" t="n"/>
      <c r="AF67" s="27" t="n"/>
      <c r="AG67" s="27" t="n"/>
      <c r="AH67" s="27" t="n"/>
      <c r="AI67" s="27" t="n"/>
      <c r="AJ67" s="27" t="n"/>
      <c r="AK67" s="27" t="n"/>
      <c r="AL67" s="27" t="n"/>
      <c r="AM67" s="27" t="n"/>
      <c r="AN67" s="27" t="n"/>
      <c r="AO67" s="27" t="n"/>
      <c r="AP67" s="27" t="n"/>
      <c r="AQ67" s="27" t="n"/>
      <c r="AR67" s="27" t="n"/>
      <c r="AS67" s="27" t="n"/>
      <c r="AT67" s="27" t="n"/>
      <c r="AU67" s="27" t="n"/>
      <c r="AV67" s="27" t="n"/>
      <c r="AW67" s="27" t="n"/>
      <c r="AX67" s="27" t="n"/>
      <c r="AY67" s="27" t="n"/>
      <c r="AZ67" s="27" t="n"/>
      <c r="BA67" s="27" t="n"/>
      <c r="BB67" s="27" t="n"/>
      <c r="BC67" s="27" t="n"/>
      <c r="BD67" s="27" t="n"/>
      <c r="BE67" s="27" t="n"/>
      <c r="BF67" s="27" t="n"/>
      <c r="BG67" s="27" t="n"/>
      <c r="BH67" s="27" t="n"/>
      <c r="BI67" s="29" t="n"/>
      <c r="BJ67" s="27" t="n"/>
      <c r="BK67" s="27" t="n"/>
      <c r="BL67" s="27" t="n"/>
      <c r="BM67" s="27" t="n"/>
      <c r="DN67" s="26">
        <f>IF('テスト条件'!A66="","",'テスト条件'!A66)</f>
        <v/>
      </c>
    </row>
    <row r="68">
      <c r="A68" s="27" t="n"/>
      <c r="B68" s="27" t="n"/>
      <c r="C68" s="28">
        <f>IF(A68="","",$B$2)</f>
        <v/>
      </c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  <c r="AA68" s="27" t="n"/>
      <c r="AB68" s="27" t="n"/>
      <c r="AC68" s="27" t="n"/>
      <c r="AD68" s="27" t="n"/>
      <c r="AE68" s="27" t="n"/>
      <c r="AF68" s="27" t="n"/>
      <c r="AG68" s="27" t="n"/>
      <c r="AH68" s="27" t="n"/>
      <c r="AI68" s="27" t="n"/>
      <c r="AJ68" s="27" t="n"/>
      <c r="AK68" s="27" t="n"/>
      <c r="AL68" s="27" t="n"/>
      <c r="AM68" s="27" t="n"/>
      <c r="AN68" s="27" t="n"/>
      <c r="AO68" s="27" t="n"/>
      <c r="AP68" s="27" t="n"/>
      <c r="AQ68" s="27" t="n"/>
      <c r="AR68" s="27" t="n"/>
      <c r="AS68" s="27" t="n"/>
      <c r="AT68" s="27" t="n"/>
      <c r="AU68" s="27" t="n"/>
      <c r="AV68" s="27" t="n"/>
      <c r="AW68" s="27" t="n"/>
      <c r="AX68" s="27" t="n"/>
      <c r="AY68" s="27" t="n"/>
      <c r="AZ68" s="27" t="n"/>
      <c r="BA68" s="27" t="n"/>
      <c r="BB68" s="27" t="n"/>
      <c r="BC68" s="27" t="n"/>
      <c r="BD68" s="27" t="n"/>
      <c r="BE68" s="27" t="n"/>
      <c r="BF68" s="27" t="n"/>
      <c r="BG68" s="27" t="n"/>
      <c r="BH68" s="27" t="n"/>
      <c r="BI68" s="29" t="n"/>
      <c r="BJ68" s="27" t="n"/>
      <c r="BK68" s="27" t="n"/>
      <c r="BL68" s="27" t="n"/>
      <c r="BM68" s="27" t="n"/>
      <c r="DN68" s="26">
        <f>IF('テスト条件'!A67="","",'テスト条件'!A67)</f>
        <v/>
      </c>
    </row>
    <row r="69">
      <c r="A69" s="27" t="n"/>
      <c r="B69" s="27" t="n"/>
      <c r="C69" s="28">
        <f>IF(A69="","",$B$2)</f>
        <v/>
      </c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  <c r="AA69" s="27" t="n"/>
      <c r="AB69" s="27" t="n"/>
      <c r="AC69" s="27" t="n"/>
      <c r="AD69" s="27" t="n"/>
      <c r="AE69" s="27" t="n"/>
      <c r="AF69" s="27" t="n"/>
      <c r="AG69" s="27" t="n"/>
      <c r="AH69" s="27" t="n"/>
      <c r="AI69" s="27" t="n"/>
      <c r="AJ69" s="27" t="n"/>
      <c r="AK69" s="27" t="n"/>
      <c r="AL69" s="27" t="n"/>
      <c r="AM69" s="27" t="n"/>
      <c r="AN69" s="27" t="n"/>
      <c r="AO69" s="27" t="n"/>
      <c r="AP69" s="27" t="n"/>
      <c r="AQ69" s="27" t="n"/>
      <c r="AR69" s="27" t="n"/>
      <c r="AS69" s="27" t="n"/>
      <c r="AT69" s="27" t="n"/>
      <c r="AU69" s="27" t="n"/>
      <c r="AV69" s="27" t="n"/>
      <c r="AW69" s="27" t="n"/>
      <c r="AX69" s="27" t="n"/>
      <c r="AY69" s="27" t="n"/>
      <c r="AZ69" s="27" t="n"/>
      <c r="BA69" s="27" t="n"/>
      <c r="BB69" s="27" t="n"/>
      <c r="BC69" s="27" t="n"/>
      <c r="BD69" s="27" t="n"/>
      <c r="BE69" s="27" t="n"/>
      <c r="BF69" s="27" t="n"/>
      <c r="BG69" s="27" t="n"/>
      <c r="BH69" s="27" t="n"/>
      <c r="BI69" s="29" t="n"/>
      <c r="BJ69" s="27" t="n"/>
      <c r="BK69" s="27" t="n"/>
      <c r="BL69" s="27" t="n"/>
      <c r="BM69" s="27" t="n"/>
      <c r="DN69" s="26">
        <f>IF('テスト条件'!A68="","",'テスト条件'!A68)</f>
        <v/>
      </c>
    </row>
    <row r="70">
      <c r="A70" s="27" t="n"/>
      <c r="B70" s="27" t="n"/>
      <c r="C70" s="28">
        <f>IF(A70="","",$B$2)</f>
        <v/>
      </c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  <c r="AA70" s="27" t="n"/>
      <c r="AB70" s="27" t="n"/>
      <c r="AC70" s="27" t="n"/>
      <c r="AD70" s="27" t="n"/>
      <c r="AE70" s="27" t="n"/>
      <c r="AF70" s="27" t="n"/>
      <c r="AG70" s="27" t="n"/>
      <c r="AH70" s="27" t="n"/>
      <c r="AI70" s="27" t="n"/>
      <c r="AJ70" s="27" t="n"/>
      <c r="AK70" s="27" t="n"/>
      <c r="AL70" s="27" t="n"/>
      <c r="AM70" s="27" t="n"/>
      <c r="AN70" s="27" t="n"/>
      <c r="AO70" s="27" t="n"/>
      <c r="AP70" s="27" t="n"/>
      <c r="AQ70" s="27" t="n"/>
      <c r="AR70" s="27" t="n"/>
      <c r="AS70" s="27" t="n"/>
      <c r="AT70" s="27" t="n"/>
      <c r="AU70" s="27" t="n"/>
      <c r="AV70" s="27" t="n"/>
      <c r="AW70" s="27" t="n"/>
      <c r="AX70" s="27" t="n"/>
      <c r="AY70" s="27" t="n"/>
      <c r="AZ70" s="27" t="n"/>
      <c r="BA70" s="27" t="n"/>
      <c r="BB70" s="27" t="n"/>
      <c r="BC70" s="27" t="n"/>
      <c r="BD70" s="27" t="n"/>
      <c r="BE70" s="27" t="n"/>
      <c r="BF70" s="27" t="n"/>
      <c r="BG70" s="27" t="n"/>
      <c r="BH70" s="27" t="n"/>
      <c r="BI70" s="29" t="n"/>
      <c r="BJ70" s="27" t="n"/>
      <c r="BK70" s="27" t="n"/>
      <c r="BL70" s="27" t="n"/>
      <c r="BM70" s="27" t="n"/>
      <c r="DN70" s="26">
        <f>IF('テスト条件'!A69="","",'テスト条件'!A69)</f>
        <v/>
      </c>
    </row>
    <row r="71">
      <c r="A71" s="27" t="n"/>
      <c r="B71" s="27" t="n"/>
      <c r="C71" s="28">
        <f>IF(A71="","",$B$2)</f>
        <v/>
      </c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  <c r="AA71" s="27" t="n"/>
      <c r="AB71" s="27" t="n"/>
      <c r="AC71" s="27" t="n"/>
      <c r="AD71" s="27" t="n"/>
      <c r="AE71" s="27" t="n"/>
      <c r="AF71" s="27" t="n"/>
      <c r="AG71" s="27" t="n"/>
      <c r="AH71" s="27" t="n"/>
      <c r="AI71" s="27" t="n"/>
      <c r="AJ71" s="27" t="n"/>
      <c r="AK71" s="27" t="n"/>
      <c r="AL71" s="27" t="n"/>
      <c r="AM71" s="27" t="n"/>
      <c r="AN71" s="27" t="n"/>
      <c r="AO71" s="27" t="n"/>
      <c r="AP71" s="27" t="n"/>
      <c r="AQ71" s="27" t="n"/>
      <c r="AR71" s="27" t="n"/>
      <c r="AS71" s="27" t="n"/>
      <c r="AT71" s="27" t="n"/>
      <c r="AU71" s="27" t="n"/>
      <c r="AV71" s="27" t="n"/>
      <c r="AW71" s="27" t="n"/>
      <c r="AX71" s="27" t="n"/>
      <c r="AY71" s="27" t="n"/>
      <c r="AZ71" s="27" t="n"/>
      <c r="BA71" s="27" t="n"/>
      <c r="BB71" s="27" t="n"/>
      <c r="BC71" s="27" t="n"/>
      <c r="BD71" s="27" t="n"/>
      <c r="BE71" s="27" t="n"/>
      <c r="BF71" s="27" t="n"/>
      <c r="BG71" s="27" t="n"/>
      <c r="BH71" s="27" t="n"/>
      <c r="BI71" s="29" t="n"/>
      <c r="BJ71" s="27" t="n"/>
      <c r="BK71" s="27" t="n"/>
      <c r="BL71" s="27" t="n"/>
      <c r="BM71" s="27" t="n"/>
      <c r="DN71" s="26">
        <f>IF('テスト条件'!A70="","",'テスト条件'!A70)</f>
        <v/>
      </c>
    </row>
    <row r="72">
      <c r="A72" s="27" t="n"/>
      <c r="B72" s="27" t="n"/>
      <c r="C72" s="28">
        <f>IF(A72="","",$B$2)</f>
        <v/>
      </c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  <c r="AA72" s="27" t="n"/>
      <c r="AB72" s="27" t="n"/>
      <c r="AC72" s="27" t="n"/>
      <c r="AD72" s="27" t="n"/>
      <c r="AE72" s="27" t="n"/>
      <c r="AF72" s="27" t="n"/>
      <c r="AG72" s="27" t="n"/>
      <c r="AH72" s="27" t="n"/>
      <c r="AI72" s="27" t="n"/>
      <c r="AJ72" s="27" t="n"/>
      <c r="AK72" s="27" t="n"/>
      <c r="AL72" s="27" t="n"/>
      <c r="AM72" s="27" t="n"/>
      <c r="AN72" s="27" t="n"/>
      <c r="AO72" s="27" t="n"/>
      <c r="AP72" s="27" t="n"/>
      <c r="AQ72" s="27" t="n"/>
      <c r="AR72" s="27" t="n"/>
      <c r="AS72" s="27" t="n"/>
      <c r="AT72" s="27" t="n"/>
      <c r="AU72" s="27" t="n"/>
      <c r="AV72" s="27" t="n"/>
      <c r="AW72" s="27" t="n"/>
      <c r="AX72" s="27" t="n"/>
      <c r="AY72" s="27" t="n"/>
      <c r="AZ72" s="27" t="n"/>
      <c r="BA72" s="27" t="n"/>
      <c r="BB72" s="27" t="n"/>
      <c r="BC72" s="27" t="n"/>
      <c r="BD72" s="27" t="n"/>
      <c r="BE72" s="27" t="n"/>
      <c r="BF72" s="27" t="n"/>
      <c r="BG72" s="27" t="n"/>
      <c r="BH72" s="27" t="n"/>
      <c r="BI72" s="29" t="n"/>
      <c r="BJ72" s="27" t="n"/>
      <c r="BK72" s="27" t="n"/>
      <c r="BL72" s="27" t="n"/>
      <c r="BM72" s="27" t="n"/>
      <c r="DN72" s="26">
        <f>IF('テスト条件'!A71="","",'テスト条件'!A71)</f>
        <v/>
      </c>
    </row>
    <row r="73">
      <c r="A73" s="27" t="n"/>
      <c r="B73" s="27" t="n"/>
      <c r="C73" s="28">
        <f>IF(A73="","",$B$2)</f>
        <v/>
      </c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  <c r="AA73" s="27" t="n"/>
      <c r="AB73" s="27" t="n"/>
      <c r="AC73" s="27" t="n"/>
      <c r="AD73" s="27" t="n"/>
      <c r="AE73" s="27" t="n"/>
      <c r="AF73" s="27" t="n"/>
      <c r="AG73" s="27" t="n"/>
      <c r="AH73" s="27" t="n"/>
      <c r="AI73" s="27" t="n"/>
      <c r="AJ73" s="27" t="n"/>
      <c r="AK73" s="27" t="n"/>
      <c r="AL73" s="27" t="n"/>
      <c r="AM73" s="27" t="n"/>
      <c r="AN73" s="27" t="n"/>
      <c r="AO73" s="27" t="n"/>
      <c r="AP73" s="27" t="n"/>
      <c r="AQ73" s="27" t="n"/>
      <c r="AR73" s="27" t="n"/>
      <c r="AS73" s="27" t="n"/>
      <c r="AT73" s="27" t="n"/>
      <c r="AU73" s="27" t="n"/>
      <c r="AV73" s="27" t="n"/>
      <c r="AW73" s="27" t="n"/>
      <c r="AX73" s="27" t="n"/>
      <c r="AY73" s="27" t="n"/>
      <c r="AZ73" s="27" t="n"/>
      <c r="BA73" s="27" t="n"/>
      <c r="BB73" s="27" t="n"/>
      <c r="BC73" s="27" t="n"/>
      <c r="BD73" s="27" t="n"/>
      <c r="BE73" s="27" t="n"/>
      <c r="BF73" s="27" t="n"/>
      <c r="BG73" s="27" t="n"/>
      <c r="BH73" s="27" t="n"/>
      <c r="BI73" s="29" t="n"/>
      <c r="BJ73" s="27" t="n"/>
      <c r="BK73" s="27" t="n"/>
      <c r="BL73" s="27" t="n"/>
      <c r="BM73" s="27" t="n"/>
      <c r="DN73" s="26">
        <f>IF('テスト条件'!A72="","",'テスト条件'!A72)</f>
        <v/>
      </c>
    </row>
    <row r="74">
      <c r="A74" s="27" t="n"/>
      <c r="B74" s="27" t="n"/>
      <c r="C74" s="28">
        <f>IF(A74="","",$B$2)</f>
        <v/>
      </c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  <c r="AA74" s="27" t="n"/>
      <c r="AB74" s="27" t="n"/>
      <c r="AC74" s="27" t="n"/>
      <c r="AD74" s="27" t="n"/>
      <c r="AE74" s="27" t="n"/>
      <c r="AF74" s="27" t="n"/>
      <c r="AG74" s="27" t="n"/>
      <c r="AH74" s="27" t="n"/>
      <c r="AI74" s="27" t="n"/>
      <c r="AJ74" s="27" t="n"/>
      <c r="AK74" s="27" t="n"/>
      <c r="AL74" s="27" t="n"/>
      <c r="AM74" s="27" t="n"/>
      <c r="AN74" s="27" t="n"/>
      <c r="AO74" s="27" t="n"/>
      <c r="AP74" s="27" t="n"/>
      <c r="AQ74" s="27" t="n"/>
      <c r="AR74" s="27" t="n"/>
      <c r="AS74" s="27" t="n"/>
      <c r="AT74" s="27" t="n"/>
      <c r="AU74" s="27" t="n"/>
      <c r="AV74" s="27" t="n"/>
      <c r="AW74" s="27" t="n"/>
      <c r="AX74" s="27" t="n"/>
      <c r="AY74" s="27" t="n"/>
      <c r="AZ74" s="27" t="n"/>
      <c r="BA74" s="27" t="n"/>
      <c r="BB74" s="27" t="n"/>
      <c r="BC74" s="27" t="n"/>
      <c r="BD74" s="27" t="n"/>
      <c r="BE74" s="27" t="n"/>
      <c r="BF74" s="27" t="n"/>
      <c r="BG74" s="27" t="n"/>
      <c r="BH74" s="27" t="n"/>
      <c r="BI74" s="29" t="n"/>
      <c r="BJ74" s="27" t="n"/>
      <c r="BK74" s="27" t="n"/>
      <c r="BL74" s="27" t="n"/>
      <c r="BM74" s="27" t="n"/>
      <c r="DN74" s="26">
        <f>IF('テスト条件'!A73="","",'テスト条件'!A73)</f>
        <v/>
      </c>
    </row>
    <row r="75">
      <c r="A75" s="27" t="n"/>
      <c r="B75" s="27" t="n"/>
      <c r="C75" s="28">
        <f>IF(A75="","",$B$2)</f>
        <v/>
      </c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  <c r="AA75" s="27" t="n"/>
      <c r="AB75" s="27" t="n"/>
      <c r="AC75" s="27" t="n"/>
      <c r="AD75" s="27" t="n"/>
      <c r="AE75" s="27" t="n"/>
      <c r="AF75" s="27" t="n"/>
      <c r="AG75" s="27" t="n"/>
      <c r="AH75" s="27" t="n"/>
      <c r="AI75" s="27" t="n"/>
      <c r="AJ75" s="27" t="n"/>
      <c r="AK75" s="27" t="n"/>
      <c r="AL75" s="27" t="n"/>
      <c r="AM75" s="27" t="n"/>
      <c r="AN75" s="27" t="n"/>
      <c r="AO75" s="27" t="n"/>
      <c r="AP75" s="27" t="n"/>
      <c r="AQ75" s="27" t="n"/>
      <c r="AR75" s="27" t="n"/>
      <c r="AS75" s="27" t="n"/>
      <c r="AT75" s="27" t="n"/>
      <c r="AU75" s="27" t="n"/>
      <c r="AV75" s="27" t="n"/>
      <c r="AW75" s="27" t="n"/>
      <c r="AX75" s="27" t="n"/>
      <c r="AY75" s="27" t="n"/>
      <c r="AZ75" s="27" t="n"/>
      <c r="BA75" s="27" t="n"/>
      <c r="BB75" s="27" t="n"/>
      <c r="BC75" s="27" t="n"/>
      <c r="BD75" s="27" t="n"/>
      <c r="BE75" s="27" t="n"/>
      <c r="BF75" s="27" t="n"/>
      <c r="BG75" s="27" t="n"/>
      <c r="BH75" s="27" t="n"/>
      <c r="BI75" s="29" t="n"/>
      <c r="BJ75" s="27" t="n"/>
      <c r="BK75" s="27" t="n"/>
      <c r="BL75" s="27" t="n"/>
      <c r="BM75" s="27" t="n"/>
      <c r="DN75" s="26">
        <f>IF('テスト条件'!A74="","",'テスト条件'!A74)</f>
        <v/>
      </c>
    </row>
    <row r="76">
      <c r="A76" s="27" t="n"/>
      <c r="B76" s="27" t="n"/>
      <c r="C76" s="28">
        <f>IF(A76="","",$B$2)</f>
        <v/>
      </c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  <c r="AA76" s="27" t="n"/>
      <c r="AB76" s="27" t="n"/>
      <c r="AC76" s="27" t="n"/>
      <c r="AD76" s="27" t="n"/>
      <c r="AE76" s="27" t="n"/>
      <c r="AF76" s="27" t="n"/>
      <c r="AG76" s="27" t="n"/>
      <c r="AH76" s="27" t="n"/>
      <c r="AI76" s="27" t="n"/>
      <c r="AJ76" s="27" t="n"/>
      <c r="AK76" s="27" t="n"/>
      <c r="AL76" s="27" t="n"/>
      <c r="AM76" s="27" t="n"/>
      <c r="AN76" s="27" t="n"/>
      <c r="AO76" s="27" t="n"/>
      <c r="AP76" s="27" t="n"/>
      <c r="AQ76" s="27" t="n"/>
      <c r="AR76" s="27" t="n"/>
      <c r="AS76" s="27" t="n"/>
      <c r="AT76" s="27" t="n"/>
      <c r="AU76" s="27" t="n"/>
      <c r="AV76" s="27" t="n"/>
      <c r="AW76" s="27" t="n"/>
      <c r="AX76" s="27" t="n"/>
      <c r="AY76" s="27" t="n"/>
      <c r="AZ76" s="27" t="n"/>
      <c r="BA76" s="27" t="n"/>
      <c r="BB76" s="27" t="n"/>
      <c r="BC76" s="27" t="n"/>
      <c r="BD76" s="27" t="n"/>
      <c r="BE76" s="27" t="n"/>
      <c r="BF76" s="27" t="n"/>
      <c r="BG76" s="27" t="n"/>
      <c r="BH76" s="27" t="n"/>
      <c r="BI76" s="29" t="n"/>
      <c r="BJ76" s="27" t="n"/>
      <c r="BK76" s="27" t="n"/>
      <c r="BL76" s="27" t="n"/>
      <c r="BM76" s="27" t="n"/>
      <c r="DN76" s="26">
        <f>IF('テスト条件'!A75="","",'テスト条件'!A75)</f>
        <v/>
      </c>
    </row>
    <row r="77">
      <c r="A77" s="27" t="n"/>
      <c r="B77" s="27" t="n"/>
      <c r="C77" s="28">
        <f>IF(A77="","",$B$2)</f>
        <v/>
      </c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  <c r="AA77" s="27" t="n"/>
      <c r="AB77" s="27" t="n"/>
      <c r="AC77" s="27" t="n"/>
      <c r="AD77" s="27" t="n"/>
      <c r="AE77" s="27" t="n"/>
      <c r="AF77" s="27" t="n"/>
      <c r="AG77" s="27" t="n"/>
      <c r="AH77" s="27" t="n"/>
      <c r="AI77" s="27" t="n"/>
      <c r="AJ77" s="27" t="n"/>
      <c r="AK77" s="27" t="n"/>
      <c r="AL77" s="27" t="n"/>
      <c r="AM77" s="27" t="n"/>
      <c r="AN77" s="27" t="n"/>
      <c r="AO77" s="27" t="n"/>
      <c r="AP77" s="27" t="n"/>
      <c r="AQ77" s="27" t="n"/>
      <c r="AR77" s="27" t="n"/>
      <c r="AS77" s="27" t="n"/>
      <c r="AT77" s="27" t="n"/>
      <c r="AU77" s="27" t="n"/>
      <c r="AV77" s="27" t="n"/>
      <c r="AW77" s="27" t="n"/>
      <c r="AX77" s="27" t="n"/>
      <c r="AY77" s="27" t="n"/>
      <c r="AZ77" s="27" t="n"/>
      <c r="BA77" s="27" t="n"/>
      <c r="BB77" s="27" t="n"/>
      <c r="BC77" s="27" t="n"/>
      <c r="BD77" s="27" t="n"/>
      <c r="BE77" s="27" t="n"/>
      <c r="BF77" s="27" t="n"/>
      <c r="BG77" s="27" t="n"/>
      <c r="BH77" s="27" t="n"/>
      <c r="BI77" s="29" t="n"/>
      <c r="BJ77" s="27" t="n"/>
      <c r="BK77" s="27" t="n"/>
      <c r="BL77" s="27" t="n"/>
      <c r="BM77" s="27" t="n"/>
      <c r="DN77" s="26">
        <f>IF('テスト条件'!A76="","",'テスト条件'!A76)</f>
        <v/>
      </c>
    </row>
    <row r="78">
      <c r="A78" s="27" t="n"/>
      <c r="B78" s="27" t="n"/>
      <c r="C78" s="28">
        <f>IF(A78="","",$B$2)</f>
        <v/>
      </c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  <c r="AA78" s="27" t="n"/>
      <c r="AB78" s="27" t="n"/>
      <c r="AC78" s="27" t="n"/>
      <c r="AD78" s="27" t="n"/>
      <c r="AE78" s="27" t="n"/>
      <c r="AF78" s="27" t="n"/>
      <c r="AG78" s="27" t="n"/>
      <c r="AH78" s="27" t="n"/>
      <c r="AI78" s="27" t="n"/>
      <c r="AJ78" s="27" t="n"/>
      <c r="AK78" s="27" t="n"/>
      <c r="AL78" s="27" t="n"/>
      <c r="AM78" s="27" t="n"/>
      <c r="AN78" s="27" t="n"/>
      <c r="AO78" s="27" t="n"/>
      <c r="AP78" s="27" t="n"/>
      <c r="AQ78" s="27" t="n"/>
      <c r="AR78" s="27" t="n"/>
      <c r="AS78" s="27" t="n"/>
      <c r="AT78" s="27" t="n"/>
      <c r="AU78" s="27" t="n"/>
      <c r="AV78" s="27" t="n"/>
      <c r="AW78" s="27" t="n"/>
      <c r="AX78" s="27" t="n"/>
      <c r="AY78" s="27" t="n"/>
      <c r="AZ78" s="27" t="n"/>
      <c r="BA78" s="27" t="n"/>
      <c r="BB78" s="27" t="n"/>
      <c r="BC78" s="27" t="n"/>
      <c r="BD78" s="27" t="n"/>
      <c r="BE78" s="27" t="n"/>
      <c r="BF78" s="27" t="n"/>
      <c r="BG78" s="27" t="n"/>
      <c r="BH78" s="27" t="n"/>
      <c r="BI78" s="29" t="n"/>
      <c r="BJ78" s="27" t="n"/>
      <c r="BK78" s="27" t="n"/>
      <c r="BL78" s="27" t="n"/>
      <c r="BM78" s="27" t="n"/>
      <c r="DN78" s="26">
        <f>IF('テスト条件'!A77="","",'テスト条件'!A77)</f>
        <v/>
      </c>
    </row>
    <row r="79">
      <c r="A79" s="27" t="n"/>
      <c r="B79" s="27" t="n"/>
      <c r="C79" s="28">
        <f>IF(A79="","",$B$2)</f>
        <v/>
      </c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  <c r="AA79" s="27" t="n"/>
      <c r="AB79" s="27" t="n"/>
      <c r="AC79" s="27" t="n"/>
      <c r="AD79" s="27" t="n"/>
      <c r="AE79" s="27" t="n"/>
      <c r="AF79" s="27" t="n"/>
      <c r="AG79" s="27" t="n"/>
      <c r="AH79" s="27" t="n"/>
      <c r="AI79" s="27" t="n"/>
      <c r="AJ79" s="27" t="n"/>
      <c r="AK79" s="27" t="n"/>
      <c r="AL79" s="27" t="n"/>
      <c r="AM79" s="27" t="n"/>
      <c r="AN79" s="27" t="n"/>
      <c r="AO79" s="27" t="n"/>
      <c r="AP79" s="27" t="n"/>
      <c r="AQ79" s="27" t="n"/>
      <c r="AR79" s="27" t="n"/>
      <c r="AS79" s="27" t="n"/>
      <c r="AT79" s="27" t="n"/>
      <c r="AU79" s="27" t="n"/>
      <c r="AV79" s="27" t="n"/>
      <c r="AW79" s="27" t="n"/>
      <c r="AX79" s="27" t="n"/>
      <c r="AY79" s="27" t="n"/>
      <c r="AZ79" s="27" t="n"/>
      <c r="BA79" s="27" t="n"/>
      <c r="BB79" s="27" t="n"/>
      <c r="BC79" s="27" t="n"/>
      <c r="BD79" s="27" t="n"/>
      <c r="BE79" s="27" t="n"/>
      <c r="BF79" s="27" t="n"/>
      <c r="BG79" s="27" t="n"/>
      <c r="BH79" s="27" t="n"/>
      <c r="BI79" s="29" t="n"/>
      <c r="BJ79" s="27" t="n"/>
      <c r="BK79" s="27" t="n"/>
      <c r="BL79" s="27" t="n"/>
      <c r="BM79" s="27" t="n"/>
      <c r="DN79" s="26">
        <f>IF('テスト条件'!A78="","",'テスト条件'!A78)</f>
        <v/>
      </c>
    </row>
    <row r="80">
      <c r="A80" s="27" t="n"/>
      <c r="B80" s="27" t="n"/>
      <c r="C80" s="28">
        <f>IF(A80="","",$B$2)</f>
        <v/>
      </c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27" t="n"/>
      <c r="AJ80" s="27" t="n"/>
      <c r="AK80" s="27" t="n"/>
      <c r="AL80" s="27" t="n"/>
      <c r="AM80" s="27" t="n"/>
      <c r="AN80" s="27" t="n"/>
      <c r="AO80" s="27" t="n"/>
      <c r="AP80" s="27" t="n"/>
      <c r="AQ80" s="27" t="n"/>
      <c r="AR80" s="27" t="n"/>
      <c r="AS80" s="27" t="n"/>
      <c r="AT80" s="27" t="n"/>
      <c r="AU80" s="27" t="n"/>
      <c r="AV80" s="27" t="n"/>
      <c r="AW80" s="27" t="n"/>
      <c r="AX80" s="27" t="n"/>
      <c r="AY80" s="27" t="n"/>
      <c r="AZ80" s="27" t="n"/>
      <c r="BA80" s="27" t="n"/>
      <c r="BB80" s="27" t="n"/>
      <c r="BC80" s="27" t="n"/>
      <c r="BD80" s="27" t="n"/>
      <c r="BE80" s="27" t="n"/>
      <c r="BF80" s="27" t="n"/>
      <c r="BG80" s="27" t="n"/>
      <c r="BH80" s="27" t="n"/>
      <c r="BI80" s="29" t="n"/>
      <c r="BJ80" s="27" t="n"/>
      <c r="BK80" s="27" t="n"/>
      <c r="BL80" s="27" t="n"/>
      <c r="BM80" s="27" t="n"/>
      <c r="DN80" s="26">
        <f>IF('テスト条件'!A79="","",'テスト条件'!A79)</f>
        <v/>
      </c>
    </row>
    <row r="81">
      <c r="A81" s="27" t="n"/>
      <c r="B81" s="27" t="n"/>
      <c r="C81" s="28">
        <f>IF(A81="","",$B$2)</f>
        <v/>
      </c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  <c r="AA81" s="27" t="n"/>
      <c r="AB81" s="27" t="n"/>
      <c r="AC81" s="27" t="n"/>
      <c r="AD81" s="27" t="n"/>
      <c r="AE81" s="27" t="n"/>
      <c r="AF81" s="27" t="n"/>
      <c r="AG81" s="27" t="n"/>
      <c r="AH81" s="27" t="n"/>
      <c r="AI81" s="27" t="n"/>
      <c r="AJ81" s="27" t="n"/>
      <c r="AK81" s="27" t="n"/>
      <c r="AL81" s="27" t="n"/>
      <c r="AM81" s="27" t="n"/>
      <c r="AN81" s="27" t="n"/>
      <c r="AO81" s="27" t="n"/>
      <c r="AP81" s="27" t="n"/>
      <c r="AQ81" s="27" t="n"/>
      <c r="AR81" s="27" t="n"/>
      <c r="AS81" s="27" t="n"/>
      <c r="AT81" s="27" t="n"/>
      <c r="AU81" s="27" t="n"/>
      <c r="AV81" s="27" t="n"/>
      <c r="AW81" s="27" t="n"/>
      <c r="AX81" s="27" t="n"/>
      <c r="AY81" s="27" t="n"/>
      <c r="AZ81" s="27" t="n"/>
      <c r="BA81" s="27" t="n"/>
      <c r="BB81" s="27" t="n"/>
      <c r="BC81" s="27" t="n"/>
      <c r="BD81" s="27" t="n"/>
      <c r="BE81" s="27" t="n"/>
      <c r="BF81" s="27" t="n"/>
      <c r="BG81" s="27" t="n"/>
      <c r="BH81" s="27" t="n"/>
      <c r="BI81" s="29" t="n"/>
      <c r="BJ81" s="27" t="n"/>
      <c r="BK81" s="27" t="n"/>
      <c r="BL81" s="27" t="n"/>
      <c r="BM81" s="27" t="n"/>
      <c r="DN81" s="26">
        <f>IF('テスト条件'!A80="","",'テスト条件'!A80)</f>
        <v/>
      </c>
    </row>
    <row r="82">
      <c r="A82" s="27" t="n"/>
      <c r="B82" s="27" t="n"/>
      <c r="C82" s="28">
        <f>IF(A82="","",$B$2)</f>
        <v/>
      </c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  <c r="AA82" s="27" t="n"/>
      <c r="AB82" s="27" t="n"/>
      <c r="AC82" s="27" t="n"/>
      <c r="AD82" s="27" t="n"/>
      <c r="AE82" s="27" t="n"/>
      <c r="AF82" s="27" t="n"/>
      <c r="AG82" s="27" t="n"/>
      <c r="AH82" s="27" t="n"/>
      <c r="AI82" s="27" t="n"/>
      <c r="AJ82" s="27" t="n"/>
      <c r="AK82" s="27" t="n"/>
      <c r="AL82" s="27" t="n"/>
      <c r="AM82" s="27" t="n"/>
      <c r="AN82" s="27" t="n"/>
      <c r="AO82" s="27" t="n"/>
      <c r="AP82" s="27" t="n"/>
      <c r="AQ82" s="27" t="n"/>
      <c r="AR82" s="27" t="n"/>
      <c r="AS82" s="27" t="n"/>
      <c r="AT82" s="27" t="n"/>
      <c r="AU82" s="27" t="n"/>
      <c r="AV82" s="27" t="n"/>
      <c r="AW82" s="27" t="n"/>
      <c r="AX82" s="27" t="n"/>
      <c r="AY82" s="27" t="n"/>
      <c r="AZ82" s="27" t="n"/>
      <c r="BA82" s="27" t="n"/>
      <c r="BB82" s="27" t="n"/>
      <c r="BC82" s="27" t="n"/>
      <c r="BD82" s="27" t="n"/>
      <c r="BE82" s="27" t="n"/>
      <c r="BF82" s="27" t="n"/>
      <c r="BG82" s="27" t="n"/>
      <c r="BH82" s="27" t="n"/>
      <c r="BI82" s="29" t="n"/>
      <c r="BJ82" s="27" t="n"/>
      <c r="BK82" s="27" t="n"/>
      <c r="BL82" s="27" t="n"/>
      <c r="BM82" s="27" t="n"/>
      <c r="DN82" s="26">
        <f>IF('テスト条件'!A81="","",'テスト条件'!A81)</f>
        <v/>
      </c>
    </row>
    <row r="83">
      <c r="A83" s="27" t="n"/>
      <c r="B83" s="27" t="n"/>
      <c r="C83" s="28">
        <f>IF(A83="","",$B$2)</f>
        <v/>
      </c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  <c r="AA83" s="27" t="n"/>
      <c r="AB83" s="27" t="n"/>
      <c r="AC83" s="27" t="n"/>
      <c r="AD83" s="27" t="n"/>
      <c r="AE83" s="27" t="n"/>
      <c r="AF83" s="27" t="n"/>
      <c r="AG83" s="27" t="n"/>
      <c r="AH83" s="27" t="n"/>
      <c r="AI83" s="27" t="n"/>
      <c r="AJ83" s="27" t="n"/>
      <c r="AK83" s="27" t="n"/>
      <c r="AL83" s="27" t="n"/>
      <c r="AM83" s="27" t="n"/>
      <c r="AN83" s="27" t="n"/>
      <c r="AO83" s="27" t="n"/>
      <c r="AP83" s="27" t="n"/>
      <c r="AQ83" s="27" t="n"/>
      <c r="AR83" s="27" t="n"/>
      <c r="AS83" s="27" t="n"/>
      <c r="AT83" s="27" t="n"/>
      <c r="AU83" s="27" t="n"/>
      <c r="AV83" s="27" t="n"/>
      <c r="AW83" s="27" t="n"/>
      <c r="AX83" s="27" t="n"/>
      <c r="AY83" s="27" t="n"/>
      <c r="AZ83" s="27" t="n"/>
      <c r="BA83" s="27" t="n"/>
      <c r="BB83" s="27" t="n"/>
      <c r="BC83" s="27" t="n"/>
      <c r="BD83" s="27" t="n"/>
      <c r="BE83" s="27" t="n"/>
      <c r="BF83" s="27" t="n"/>
      <c r="BG83" s="27" t="n"/>
      <c r="BH83" s="27" t="n"/>
      <c r="BI83" s="29" t="n"/>
      <c r="BJ83" s="27" t="n"/>
      <c r="BK83" s="27" t="n"/>
      <c r="BL83" s="27" t="n"/>
      <c r="BM83" s="27" t="n"/>
      <c r="DN83" s="26">
        <f>IF('テスト条件'!A82="","",'テスト条件'!A82)</f>
        <v/>
      </c>
    </row>
    <row r="84">
      <c r="A84" s="27" t="n"/>
      <c r="B84" s="27" t="n"/>
      <c r="C84" s="28">
        <f>IF(A84="","",$B$2)</f>
        <v/>
      </c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  <c r="AA84" s="27" t="n"/>
      <c r="AB84" s="27" t="n"/>
      <c r="AC84" s="27" t="n"/>
      <c r="AD84" s="27" t="n"/>
      <c r="AE84" s="27" t="n"/>
      <c r="AF84" s="27" t="n"/>
      <c r="AG84" s="27" t="n"/>
      <c r="AH84" s="27" t="n"/>
      <c r="AI84" s="27" t="n"/>
      <c r="AJ84" s="27" t="n"/>
      <c r="AK84" s="27" t="n"/>
      <c r="AL84" s="27" t="n"/>
      <c r="AM84" s="27" t="n"/>
      <c r="AN84" s="27" t="n"/>
      <c r="AO84" s="27" t="n"/>
      <c r="AP84" s="27" t="n"/>
      <c r="AQ84" s="27" t="n"/>
      <c r="AR84" s="27" t="n"/>
      <c r="AS84" s="27" t="n"/>
      <c r="AT84" s="27" t="n"/>
      <c r="AU84" s="27" t="n"/>
      <c r="AV84" s="27" t="n"/>
      <c r="AW84" s="27" t="n"/>
      <c r="AX84" s="27" t="n"/>
      <c r="AY84" s="27" t="n"/>
      <c r="AZ84" s="27" t="n"/>
      <c r="BA84" s="27" t="n"/>
      <c r="BB84" s="27" t="n"/>
      <c r="BC84" s="27" t="n"/>
      <c r="BD84" s="27" t="n"/>
      <c r="BE84" s="27" t="n"/>
      <c r="BF84" s="27" t="n"/>
      <c r="BG84" s="27" t="n"/>
      <c r="BH84" s="27" t="n"/>
      <c r="BI84" s="29" t="n"/>
      <c r="BJ84" s="27" t="n"/>
      <c r="BK84" s="27" t="n"/>
      <c r="BL84" s="27" t="n"/>
      <c r="BM84" s="27" t="n"/>
      <c r="DN84" s="26">
        <f>IF('テスト条件'!A83="","",'テスト条件'!A83)</f>
        <v/>
      </c>
    </row>
    <row r="85">
      <c r="A85" s="27" t="n"/>
      <c r="B85" s="27" t="n"/>
      <c r="C85" s="28">
        <f>IF(A85="","",$B$2)</f>
        <v/>
      </c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  <c r="AA85" s="27" t="n"/>
      <c r="AB85" s="27" t="n"/>
      <c r="AC85" s="27" t="n"/>
      <c r="AD85" s="27" t="n"/>
      <c r="AE85" s="27" t="n"/>
      <c r="AF85" s="27" t="n"/>
      <c r="AG85" s="27" t="n"/>
      <c r="AH85" s="27" t="n"/>
      <c r="AI85" s="27" t="n"/>
      <c r="AJ85" s="27" t="n"/>
      <c r="AK85" s="27" t="n"/>
      <c r="AL85" s="27" t="n"/>
      <c r="AM85" s="27" t="n"/>
      <c r="AN85" s="27" t="n"/>
      <c r="AO85" s="27" t="n"/>
      <c r="AP85" s="27" t="n"/>
      <c r="AQ85" s="27" t="n"/>
      <c r="AR85" s="27" t="n"/>
      <c r="AS85" s="27" t="n"/>
      <c r="AT85" s="27" t="n"/>
      <c r="AU85" s="27" t="n"/>
      <c r="AV85" s="27" t="n"/>
      <c r="AW85" s="27" t="n"/>
      <c r="AX85" s="27" t="n"/>
      <c r="AY85" s="27" t="n"/>
      <c r="AZ85" s="27" t="n"/>
      <c r="BA85" s="27" t="n"/>
      <c r="BB85" s="27" t="n"/>
      <c r="BC85" s="27" t="n"/>
      <c r="BD85" s="27" t="n"/>
      <c r="BE85" s="27" t="n"/>
      <c r="BF85" s="27" t="n"/>
      <c r="BG85" s="27" t="n"/>
      <c r="BH85" s="27" t="n"/>
      <c r="BI85" s="29" t="n"/>
      <c r="BJ85" s="27" t="n"/>
      <c r="BK85" s="27" t="n"/>
      <c r="BL85" s="27" t="n"/>
      <c r="BM85" s="27" t="n"/>
      <c r="DN85" s="26">
        <f>IF('テスト条件'!A84="","",'テスト条件'!A84)</f>
        <v/>
      </c>
    </row>
    <row r="86">
      <c r="A86" s="27" t="n"/>
      <c r="B86" s="27" t="n"/>
      <c r="C86" s="28">
        <f>IF(A86="","",$B$2)</f>
        <v/>
      </c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27" t="n"/>
      <c r="AJ86" s="27" t="n"/>
      <c r="AK86" s="27" t="n"/>
      <c r="AL86" s="27" t="n"/>
      <c r="AM86" s="27" t="n"/>
      <c r="AN86" s="27" t="n"/>
      <c r="AO86" s="27" t="n"/>
      <c r="AP86" s="27" t="n"/>
      <c r="AQ86" s="27" t="n"/>
      <c r="AR86" s="27" t="n"/>
      <c r="AS86" s="27" t="n"/>
      <c r="AT86" s="27" t="n"/>
      <c r="AU86" s="27" t="n"/>
      <c r="AV86" s="27" t="n"/>
      <c r="AW86" s="27" t="n"/>
      <c r="AX86" s="27" t="n"/>
      <c r="AY86" s="27" t="n"/>
      <c r="AZ86" s="27" t="n"/>
      <c r="BA86" s="27" t="n"/>
      <c r="BB86" s="27" t="n"/>
      <c r="BC86" s="27" t="n"/>
      <c r="BD86" s="27" t="n"/>
      <c r="BE86" s="27" t="n"/>
      <c r="BF86" s="27" t="n"/>
      <c r="BG86" s="27" t="n"/>
      <c r="BH86" s="27" t="n"/>
      <c r="BI86" s="29" t="n"/>
      <c r="BJ86" s="27" t="n"/>
      <c r="BK86" s="27" t="n"/>
      <c r="BL86" s="27" t="n"/>
      <c r="BM86" s="27" t="n"/>
      <c r="DN86" s="26">
        <f>IF('テスト条件'!A85="","",'テスト条件'!A85)</f>
        <v/>
      </c>
    </row>
    <row r="87">
      <c r="A87" s="27" t="n"/>
      <c r="B87" s="27" t="n"/>
      <c r="C87" s="28">
        <f>IF(A87="","",$B$2)</f>
        <v/>
      </c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  <c r="AA87" s="27" t="n"/>
      <c r="AB87" s="27" t="n"/>
      <c r="AC87" s="27" t="n"/>
      <c r="AD87" s="27" t="n"/>
      <c r="AE87" s="27" t="n"/>
      <c r="AF87" s="27" t="n"/>
      <c r="AG87" s="27" t="n"/>
      <c r="AH87" s="27" t="n"/>
      <c r="AI87" s="27" t="n"/>
      <c r="AJ87" s="27" t="n"/>
      <c r="AK87" s="27" t="n"/>
      <c r="AL87" s="27" t="n"/>
      <c r="AM87" s="27" t="n"/>
      <c r="AN87" s="27" t="n"/>
      <c r="AO87" s="27" t="n"/>
      <c r="AP87" s="27" t="n"/>
      <c r="AQ87" s="27" t="n"/>
      <c r="AR87" s="27" t="n"/>
      <c r="AS87" s="27" t="n"/>
      <c r="AT87" s="27" t="n"/>
      <c r="AU87" s="27" t="n"/>
      <c r="AV87" s="27" t="n"/>
      <c r="AW87" s="27" t="n"/>
      <c r="AX87" s="27" t="n"/>
      <c r="AY87" s="27" t="n"/>
      <c r="AZ87" s="27" t="n"/>
      <c r="BA87" s="27" t="n"/>
      <c r="BB87" s="27" t="n"/>
      <c r="BC87" s="27" t="n"/>
      <c r="BD87" s="27" t="n"/>
      <c r="BE87" s="27" t="n"/>
      <c r="BF87" s="27" t="n"/>
      <c r="BG87" s="27" t="n"/>
      <c r="BH87" s="27" t="n"/>
      <c r="BI87" s="29" t="n"/>
      <c r="BJ87" s="27" t="n"/>
      <c r="BK87" s="27" t="n"/>
      <c r="BL87" s="27" t="n"/>
      <c r="BM87" s="27" t="n"/>
      <c r="DN87" s="26">
        <f>IF('テスト条件'!A86="","",'テスト条件'!A86)</f>
        <v/>
      </c>
    </row>
    <row r="88">
      <c r="A88" s="27" t="n"/>
      <c r="B88" s="27" t="n"/>
      <c r="C88" s="28">
        <f>IF(A88="","",$B$2)</f>
        <v/>
      </c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  <c r="AA88" s="27" t="n"/>
      <c r="AB88" s="27" t="n"/>
      <c r="AC88" s="27" t="n"/>
      <c r="AD88" s="27" t="n"/>
      <c r="AE88" s="27" t="n"/>
      <c r="AF88" s="27" t="n"/>
      <c r="AG88" s="27" t="n"/>
      <c r="AH88" s="27" t="n"/>
      <c r="AI88" s="27" t="n"/>
      <c r="AJ88" s="27" t="n"/>
      <c r="AK88" s="27" t="n"/>
      <c r="AL88" s="27" t="n"/>
      <c r="AM88" s="27" t="n"/>
      <c r="AN88" s="27" t="n"/>
      <c r="AO88" s="27" t="n"/>
      <c r="AP88" s="27" t="n"/>
      <c r="AQ88" s="27" t="n"/>
      <c r="AR88" s="27" t="n"/>
      <c r="AS88" s="27" t="n"/>
      <c r="AT88" s="27" t="n"/>
      <c r="AU88" s="27" t="n"/>
      <c r="AV88" s="27" t="n"/>
      <c r="AW88" s="27" t="n"/>
      <c r="AX88" s="27" t="n"/>
      <c r="AY88" s="27" t="n"/>
      <c r="AZ88" s="27" t="n"/>
      <c r="BA88" s="27" t="n"/>
      <c r="BB88" s="27" t="n"/>
      <c r="BC88" s="27" t="n"/>
      <c r="BD88" s="27" t="n"/>
      <c r="BE88" s="27" t="n"/>
      <c r="BF88" s="27" t="n"/>
      <c r="BG88" s="27" t="n"/>
      <c r="BH88" s="27" t="n"/>
      <c r="BI88" s="29" t="n"/>
      <c r="BJ88" s="27" t="n"/>
      <c r="BK88" s="27" t="n"/>
      <c r="BL88" s="27" t="n"/>
      <c r="BM88" s="27" t="n"/>
      <c r="DN88" s="26">
        <f>IF('テスト条件'!A87="","",'テスト条件'!A87)</f>
        <v/>
      </c>
    </row>
    <row r="89">
      <c r="A89" s="27" t="n"/>
      <c r="B89" s="27" t="n"/>
      <c r="C89" s="28">
        <f>IF(A89="","",$B$2)</f>
        <v/>
      </c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27" t="n"/>
      <c r="AJ89" s="27" t="n"/>
      <c r="AK89" s="27" t="n"/>
      <c r="AL89" s="27" t="n"/>
      <c r="AM89" s="27" t="n"/>
      <c r="AN89" s="27" t="n"/>
      <c r="AO89" s="27" t="n"/>
      <c r="AP89" s="27" t="n"/>
      <c r="AQ89" s="27" t="n"/>
      <c r="AR89" s="27" t="n"/>
      <c r="AS89" s="27" t="n"/>
      <c r="AT89" s="27" t="n"/>
      <c r="AU89" s="27" t="n"/>
      <c r="AV89" s="27" t="n"/>
      <c r="AW89" s="27" t="n"/>
      <c r="AX89" s="27" t="n"/>
      <c r="AY89" s="27" t="n"/>
      <c r="AZ89" s="27" t="n"/>
      <c r="BA89" s="27" t="n"/>
      <c r="BB89" s="27" t="n"/>
      <c r="BC89" s="27" t="n"/>
      <c r="BD89" s="27" t="n"/>
      <c r="BE89" s="27" t="n"/>
      <c r="BF89" s="27" t="n"/>
      <c r="BG89" s="27" t="n"/>
      <c r="BH89" s="27" t="n"/>
      <c r="BI89" s="29" t="n"/>
      <c r="BJ89" s="27" t="n"/>
      <c r="BK89" s="27" t="n"/>
      <c r="BL89" s="27" t="n"/>
      <c r="BM89" s="27" t="n"/>
      <c r="DN89" s="26">
        <f>IF('テスト条件'!A88="","",'テスト条件'!A88)</f>
        <v/>
      </c>
    </row>
    <row r="90">
      <c r="A90" s="27" t="n"/>
      <c r="B90" s="27" t="n"/>
      <c r="C90" s="28">
        <f>IF(A90="","",$B$2)</f>
        <v/>
      </c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  <c r="AA90" s="27" t="n"/>
      <c r="AB90" s="27" t="n"/>
      <c r="AC90" s="27" t="n"/>
      <c r="AD90" s="27" t="n"/>
      <c r="AE90" s="27" t="n"/>
      <c r="AF90" s="27" t="n"/>
      <c r="AG90" s="27" t="n"/>
      <c r="AH90" s="27" t="n"/>
      <c r="AI90" s="27" t="n"/>
      <c r="AJ90" s="27" t="n"/>
      <c r="AK90" s="27" t="n"/>
      <c r="AL90" s="27" t="n"/>
      <c r="AM90" s="27" t="n"/>
      <c r="AN90" s="27" t="n"/>
      <c r="AO90" s="27" t="n"/>
      <c r="AP90" s="27" t="n"/>
      <c r="AQ90" s="27" t="n"/>
      <c r="AR90" s="27" t="n"/>
      <c r="AS90" s="27" t="n"/>
      <c r="AT90" s="27" t="n"/>
      <c r="AU90" s="27" t="n"/>
      <c r="AV90" s="27" t="n"/>
      <c r="AW90" s="27" t="n"/>
      <c r="AX90" s="27" t="n"/>
      <c r="AY90" s="27" t="n"/>
      <c r="AZ90" s="27" t="n"/>
      <c r="BA90" s="27" t="n"/>
      <c r="BB90" s="27" t="n"/>
      <c r="BC90" s="27" t="n"/>
      <c r="BD90" s="27" t="n"/>
      <c r="BE90" s="27" t="n"/>
      <c r="BF90" s="27" t="n"/>
      <c r="BG90" s="27" t="n"/>
      <c r="BH90" s="27" t="n"/>
      <c r="BI90" s="29" t="n"/>
      <c r="BJ90" s="27" t="n"/>
      <c r="BK90" s="27" t="n"/>
      <c r="BL90" s="27" t="n"/>
      <c r="BM90" s="27" t="n"/>
      <c r="DN90" s="26">
        <f>IF('テスト条件'!A89="","",'テスト条件'!A89)</f>
        <v/>
      </c>
    </row>
    <row r="91">
      <c r="A91" s="27" t="n"/>
      <c r="B91" s="27" t="n"/>
      <c r="C91" s="28">
        <f>IF(A91="","",$B$2)</f>
        <v/>
      </c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  <c r="AA91" s="27" t="n"/>
      <c r="AB91" s="27" t="n"/>
      <c r="AC91" s="27" t="n"/>
      <c r="AD91" s="27" t="n"/>
      <c r="AE91" s="27" t="n"/>
      <c r="AF91" s="27" t="n"/>
      <c r="AG91" s="27" t="n"/>
      <c r="AH91" s="27" t="n"/>
      <c r="AI91" s="27" t="n"/>
      <c r="AJ91" s="27" t="n"/>
      <c r="AK91" s="27" t="n"/>
      <c r="AL91" s="27" t="n"/>
      <c r="AM91" s="27" t="n"/>
      <c r="AN91" s="27" t="n"/>
      <c r="AO91" s="27" t="n"/>
      <c r="AP91" s="27" t="n"/>
      <c r="AQ91" s="27" t="n"/>
      <c r="AR91" s="27" t="n"/>
      <c r="AS91" s="27" t="n"/>
      <c r="AT91" s="27" t="n"/>
      <c r="AU91" s="27" t="n"/>
      <c r="AV91" s="27" t="n"/>
      <c r="AW91" s="27" t="n"/>
      <c r="AX91" s="27" t="n"/>
      <c r="AY91" s="27" t="n"/>
      <c r="AZ91" s="27" t="n"/>
      <c r="BA91" s="27" t="n"/>
      <c r="BB91" s="27" t="n"/>
      <c r="BC91" s="27" t="n"/>
      <c r="BD91" s="27" t="n"/>
      <c r="BE91" s="27" t="n"/>
      <c r="BF91" s="27" t="n"/>
      <c r="BG91" s="27" t="n"/>
      <c r="BH91" s="27" t="n"/>
      <c r="BI91" s="29" t="n"/>
      <c r="BJ91" s="27" t="n"/>
      <c r="BK91" s="27" t="n"/>
      <c r="BL91" s="27" t="n"/>
      <c r="BM91" s="27" t="n"/>
      <c r="DN91" s="26">
        <f>IF('テスト条件'!A90="","",'テスト条件'!A90)</f>
        <v/>
      </c>
    </row>
    <row r="92">
      <c r="A92" s="27" t="n"/>
      <c r="B92" s="27" t="n"/>
      <c r="C92" s="28">
        <f>IF(A92="","",$B$2)</f>
        <v/>
      </c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  <c r="AA92" s="27" t="n"/>
      <c r="AB92" s="27" t="n"/>
      <c r="AC92" s="27" t="n"/>
      <c r="AD92" s="27" t="n"/>
      <c r="AE92" s="27" t="n"/>
      <c r="AF92" s="27" t="n"/>
      <c r="AG92" s="27" t="n"/>
      <c r="AH92" s="27" t="n"/>
      <c r="AI92" s="27" t="n"/>
      <c r="AJ92" s="27" t="n"/>
      <c r="AK92" s="27" t="n"/>
      <c r="AL92" s="27" t="n"/>
      <c r="AM92" s="27" t="n"/>
      <c r="AN92" s="27" t="n"/>
      <c r="AO92" s="27" t="n"/>
      <c r="AP92" s="27" t="n"/>
      <c r="AQ92" s="27" t="n"/>
      <c r="AR92" s="27" t="n"/>
      <c r="AS92" s="27" t="n"/>
      <c r="AT92" s="27" t="n"/>
      <c r="AU92" s="27" t="n"/>
      <c r="AV92" s="27" t="n"/>
      <c r="AW92" s="27" t="n"/>
      <c r="AX92" s="27" t="n"/>
      <c r="AY92" s="27" t="n"/>
      <c r="AZ92" s="27" t="n"/>
      <c r="BA92" s="27" t="n"/>
      <c r="BB92" s="27" t="n"/>
      <c r="BC92" s="27" t="n"/>
      <c r="BD92" s="27" t="n"/>
      <c r="BE92" s="27" t="n"/>
      <c r="BF92" s="27" t="n"/>
      <c r="BG92" s="27" t="n"/>
      <c r="BH92" s="27" t="n"/>
      <c r="BI92" s="29" t="n"/>
      <c r="BJ92" s="27" t="n"/>
      <c r="BK92" s="27" t="n"/>
      <c r="BL92" s="27" t="n"/>
      <c r="BM92" s="27" t="n"/>
      <c r="DN92" s="26">
        <f>IF('テスト条件'!A91="","",'テスト条件'!A91)</f>
        <v/>
      </c>
    </row>
    <row r="93">
      <c r="A93" s="27" t="n"/>
      <c r="B93" s="27" t="n"/>
      <c r="C93" s="28">
        <f>IF(A93="","",$B$2)</f>
        <v/>
      </c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7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9" t="n"/>
      <c r="BJ93" s="27" t="n"/>
      <c r="BK93" s="27" t="n"/>
      <c r="BL93" s="27" t="n"/>
      <c r="BM93" s="27" t="n"/>
      <c r="DN93" s="26">
        <f>IF('テスト条件'!A92="","",'テスト条件'!A92)</f>
        <v/>
      </c>
    </row>
    <row r="94">
      <c r="A94" s="27" t="n"/>
      <c r="B94" s="27" t="n"/>
      <c r="C94" s="28">
        <f>IF(A94="","",$B$2)</f>
        <v/>
      </c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7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9" t="n"/>
      <c r="BJ94" s="27" t="n"/>
      <c r="BK94" s="27" t="n"/>
      <c r="BL94" s="27" t="n"/>
      <c r="BM94" s="27" t="n"/>
      <c r="DN94" s="26">
        <f>IF('テスト条件'!A93="","",'テスト条件'!A93)</f>
        <v/>
      </c>
    </row>
    <row r="95">
      <c r="A95" s="27" t="n"/>
      <c r="B95" s="27" t="n"/>
      <c r="C95" s="28">
        <f>IF(A95="","",$B$2)</f>
        <v/>
      </c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7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9" t="n"/>
      <c r="BJ95" s="27" t="n"/>
      <c r="BK95" s="27" t="n"/>
      <c r="BL95" s="27" t="n"/>
      <c r="BM95" s="27" t="n"/>
      <c r="DN95" s="26">
        <f>IF('テスト条件'!A94="","",'テスト条件'!A94)</f>
        <v/>
      </c>
    </row>
    <row r="96">
      <c r="A96" s="27" t="n"/>
      <c r="B96" s="27" t="n"/>
      <c r="C96" s="28">
        <f>IF(A96="","",$B$2)</f>
        <v/>
      </c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7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9" t="n"/>
      <c r="BJ96" s="27" t="n"/>
      <c r="BK96" s="27" t="n"/>
      <c r="BL96" s="27" t="n"/>
      <c r="BM96" s="27" t="n"/>
      <c r="DN96" s="26">
        <f>IF('テスト条件'!A95="","",'テスト条件'!A95)</f>
        <v/>
      </c>
    </row>
    <row r="97">
      <c r="A97" s="27" t="n"/>
      <c r="B97" s="27" t="n"/>
      <c r="C97" s="28">
        <f>IF(A97="","",$B$2)</f>
        <v/>
      </c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7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9" t="n"/>
      <c r="BJ97" s="27" t="n"/>
      <c r="BK97" s="27" t="n"/>
      <c r="BL97" s="27" t="n"/>
      <c r="BM97" s="27" t="n"/>
      <c r="DN97" s="26">
        <f>IF('テスト条件'!A96="","",'テスト条件'!A96)</f>
        <v/>
      </c>
    </row>
    <row r="98">
      <c r="A98" s="27" t="n"/>
      <c r="B98" s="27" t="n"/>
      <c r="C98" s="28">
        <f>IF(A98="","",$B$2)</f>
        <v/>
      </c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  <c r="AA98" s="27" t="n"/>
      <c r="AB98" s="27" t="n"/>
      <c r="AC98" s="27" t="n"/>
      <c r="AD98" s="27" t="n"/>
      <c r="AE98" s="27" t="n"/>
      <c r="AF98" s="27" t="n"/>
      <c r="AG98" s="27" t="n"/>
      <c r="AH98" s="27" t="n"/>
      <c r="AI98" s="27" t="n"/>
      <c r="AJ98" s="27" t="n"/>
      <c r="AK98" s="27" t="n"/>
      <c r="AL98" s="27" t="n"/>
      <c r="AM98" s="27" t="n"/>
      <c r="AN98" s="27" t="n"/>
      <c r="AO98" s="27" t="n"/>
      <c r="AP98" s="27" t="n"/>
      <c r="AQ98" s="27" t="n"/>
      <c r="AR98" s="27" t="n"/>
      <c r="AS98" s="27" t="n"/>
      <c r="AT98" s="27" t="n"/>
      <c r="AU98" s="27" t="n"/>
      <c r="AV98" s="27" t="n"/>
      <c r="AW98" s="27" t="n"/>
      <c r="AX98" s="27" t="n"/>
      <c r="AY98" s="27" t="n"/>
      <c r="AZ98" s="27" t="n"/>
      <c r="BA98" s="27" t="n"/>
      <c r="BB98" s="27" t="n"/>
      <c r="BC98" s="27" t="n"/>
      <c r="BD98" s="27" t="n"/>
      <c r="BE98" s="27" t="n"/>
      <c r="BF98" s="27" t="n"/>
      <c r="BG98" s="27" t="n"/>
      <c r="BH98" s="27" t="n"/>
      <c r="BI98" s="29" t="n"/>
      <c r="BJ98" s="27" t="n"/>
      <c r="BK98" s="27" t="n"/>
      <c r="BL98" s="27" t="n"/>
      <c r="BM98" s="27" t="n"/>
      <c r="DN98" s="26">
        <f>IF('テスト条件'!A97="","",'テスト条件'!A97)</f>
        <v/>
      </c>
    </row>
    <row r="99">
      <c r="A99" s="27" t="n"/>
      <c r="B99" s="27" t="n"/>
      <c r="C99" s="28">
        <f>IF(A99="","",$B$2)</f>
        <v/>
      </c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  <c r="AA99" s="27" t="n"/>
      <c r="AB99" s="27" t="n"/>
      <c r="AC99" s="27" t="n"/>
      <c r="AD99" s="27" t="n"/>
      <c r="AE99" s="27" t="n"/>
      <c r="AF99" s="27" t="n"/>
      <c r="AG99" s="27" t="n"/>
      <c r="AH99" s="27" t="n"/>
      <c r="AI99" s="27" t="n"/>
      <c r="AJ99" s="27" t="n"/>
      <c r="AK99" s="27" t="n"/>
      <c r="AL99" s="27" t="n"/>
      <c r="AM99" s="27" t="n"/>
      <c r="AN99" s="27" t="n"/>
      <c r="AO99" s="27" t="n"/>
      <c r="AP99" s="27" t="n"/>
      <c r="AQ99" s="27" t="n"/>
      <c r="AR99" s="27" t="n"/>
      <c r="AS99" s="27" t="n"/>
      <c r="AT99" s="27" t="n"/>
      <c r="AU99" s="27" t="n"/>
      <c r="AV99" s="27" t="n"/>
      <c r="AW99" s="27" t="n"/>
      <c r="AX99" s="27" t="n"/>
      <c r="AY99" s="27" t="n"/>
      <c r="AZ99" s="27" t="n"/>
      <c r="BA99" s="27" t="n"/>
      <c r="BB99" s="27" t="n"/>
      <c r="BC99" s="27" t="n"/>
      <c r="BD99" s="27" t="n"/>
      <c r="BE99" s="27" t="n"/>
      <c r="BF99" s="27" t="n"/>
      <c r="BG99" s="27" t="n"/>
      <c r="BH99" s="27" t="n"/>
      <c r="BI99" s="29" t="n"/>
      <c r="BJ99" s="27" t="n"/>
      <c r="BK99" s="27" t="n"/>
      <c r="BL99" s="27" t="n"/>
      <c r="BM99" s="27" t="n"/>
      <c r="DN99" s="26">
        <f>IF('テスト条件'!A98="","",'テスト条件'!A98)</f>
        <v/>
      </c>
    </row>
    <row r="100">
      <c r="A100" s="27" t="n"/>
      <c r="B100" s="27" t="n"/>
      <c r="C100" s="28">
        <f>IF(A100="","",$B$2)</f>
        <v/>
      </c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  <c r="AA100" s="27" t="n"/>
      <c r="AB100" s="27" t="n"/>
      <c r="AC100" s="27" t="n"/>
      <c r="AD100" s="27" t="n"/>
      <c r="AE100" s="27" t="n"/>
      <c r="AF100" s="27" t="n"/>
      <c r="AG100" s="27" t="n"/>
      <c r="AH100" s="27" t="n"/>
      <c r="AI100" s="27" t="n"/>
      <c r="AJ100" s="27" t="n"/>
      <c r="AK100" s="27" t="n"/>
      <c r="AL100" s="27" t="n"/>
      <c r="AM100" s="27" t="n"/>
      <c r="AN100" s="27" t="n"/>
      <c r="AO100" s="27" t="n"/>
      <c r="AP100" s="27" t="n"/>
      <c r="AQ100" s="27" t="n"/>
      <c r="AR100" s="27" t="n"/>
      <c r="AS100" s="27" t="n"/>
      <c r="AT100" s="27" t="n"/>
      <c r="AU100" s="27" t="n"/>
      <c r="AV100" s="27" t="n"/>
      <c r="AW100" s="27" t="n"/>
      <c r="AX100" s="27" t="n"/>
      <c r="AY100" s="27" t="n"/>
      <c r="AZ100" s="27" t="n"/>
      <c r="BA100" s="27" t="n"/>
      <c r="BB100" s="27" t="n"/>
      <c r="BC100" s="27" t="n"/>
      <c r="BD100" s="27" t="n"/>
      <c r="BE100" s="27" t="n"/>
      <c r="BF100" s="27" t="n"/>
      <c r="BG100" s="27" t="n"/>
      <c r="BH100" s="27" t="n"/>
      <c r="BI100" s="29" t="n"/>
      <c r="BJ100" s="27" t="n"/>
      <c r="BK100" s="27" t="n"/>
      <c r="BL100" s="27" t="n"/>
      <c r="BM100" s="27" t="n"/>
      <c r="DN100" s="26">
        <f>IF('テスト条件'!A99="","",'テスト条件'!A99)</f>
        <v/>
      </c>
    </row>
    <row r="101">
      <c r="A101" s="27" t="n"/>
      <c r="B101" s="27" t="n"/>
      <c r="C101" s="28">
        <f>IF(A101="","",$B$2)</f>
        <v/>
      </c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  <c r="AA101" s="27" t="n"/>
      <c r="AB101" s="27" t="n"/>
      <c r="AC101" s="27" t="n"/>
      <c r="AD101" s="27" t="n"/>
      <c r="AE101" s="27" t="n"/>
      <c r="AF101" s="27" t="n"/>
      <c r="AG101" s="27" t="n"/>
      <c r="AH101" s="27" t="n"/>
      <c r="AI101" s="27" t="n"/>
      <c r="AJ101" s="27" t="n"/>
      <c r="AK101" s="27" t="n"/>
      <c r="AL101" s="27" t="n"/>
      <c r="AM101" s="27" t="n"/>
      <c r="AN101" s="27" t="n"/>
      <c r="AO101" s="27" t="n"/>
      <c r="AP101" s="27" t="n"/>
      <c r="AQ101" s="27" t="n"/>
      <c r="AR101" s="27" t="n"/>
      <c r="AS101" s="27" t="n"/>
      <c r="AT101" s="27" t="n"/>
      <c r="AU101" s="27" t="n"/>
      <c r="AV101" s="27" t="n"/>
      <c r="AW101" s="27" t="n"/>
      <c r="AX101" s="27" t="n"/>
      <c r="AY101" s="27" t="n"/>
      <c r="AZ101" s="27" t="n"/>
      <c r="BA101" s="27" t="n"/>
      <c r="BB101" s="27" t="n"/>
      <c r="BC101" s="27" t="n"/>
      <c r="BD101" s="27" t="n"/>
      <c r="BE101" s="27" t="n"/>
      <c r="BF101" s="27" t="n"/>
      <c r="BG101" s="27" t="n"/>
      <c r="BH101" s="27" t="n"/>
      <c r="BI101" s="29" t="n"/>
      <c r="BJ101" s="27" t="n"/>
      <c r="BK101" s="27" t="n"/>
      <c r="BL101" s="27" t="n"/>
      <c r="BM101" s="27" t="n"/>
      <c r="DN101" s="26">
        <f>IF('テスト条件'!A100="","",'テスト条件'!A100)</f>
        <v/>
      </c>
    </row>
    <row r="102">
      <c r="A102" s="27" t="n"/>
      <c r="B102" s="27" t="n"/>
      <c r="C102" s="28">
        <f>IF(A102="","",$B$2)</f>
        <v/>
      </c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  <c r="AA102" s="27" t="n"/>
      <c r="AB102" s="27" t="n"/>
      <c r="AC102" s="27" t="n"/>
      <c r="AD102" s="27" t="n"/>
      <c r="AE102" s="27" t="n"/>
      <c r="AF102" s="27" t="n"/>
      <c r="AG102" s="27" t="n"/>
      <c r="AH102" s="27" t="n"/>
      <c r="AI102" s="27" t="n"/>
      <c r="AJ102" s="27" t="n"/>
      <c r="AK102" s="27" t="n"/>
      <c r="AL102" s="27" t="n"/>
      <c r="AM102" s="27" t="n"/>
      <c r="AN102" s="27" t="n"/>
      <c r="AO102" s="27" t="n"/>
      <c r="AP102" s="27" t="n"/>
      <c r="AQ102" s="27" t="n"/>
      <c r="AR102" s="27" t="n"/>
      <c r="AS102" s="27" t="n"/>
      <c r="AT102" s="27" t="n"/>
      <c r="AU102" s="27" t="n"/>
      <c r="AV102" s="27" t="n"/>
      <c r="AW102" s="27" t="n"/>
      <c r="AX102" s="27" t="n"/>
      <c r="AY102" s="27" t="n"/>
      <c r="AZ102" s="27" t="n"/>
      <c r="BA102" s="27" t="n"/>
      <c r="BB102" s="27" t="n"/>
      <c r="BC102" s="27" t="n"/>
      <c r="BD102" s="27" t="n"/>
      <c r="BE102" s="27" t="n"/>
      <c r="BF102" s="27" t="n"/>
      <c r="BG102" s="27" t="n"/>
      <c r="BH102" s="27" t="n"/>
      <c r="BI102" s="29" t="n"/>
      <c r="BJ102" s="27" t="n"/>
      <c r="BK102" s="27" t="n"/>
      <c r="BL102" s="27" t="n"/>
      <c r="BM102" s="27" t="n"/>
      <c r="DN102" s="26">
        <f>IF('テスト条件'!A101="","",'テスト条件'!A101)</f>
        <v/>
      </c>
    </row>
    <row r="103">
      <c r="A103" s="27" t="n"/>
      <c r="B103" s="27" t="n"/>
      <c r="C103" s="28">
        <f>IF(A103="","",$B$2)</f>
        <v/>
      </c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  <c r="AA103" s="27" t="n"/>
      <c r="AB103" s="27" t="n"/>
      <c r="AC103" s="27" t="n"/>
      <c r="AD103" s="27" t="n"/>
      <c r="AE103" s="27" t="n"/>
      <c r="AF103" s="27" t="n"/>
      <c r="AG103" s="27" t="n"/>
      <c r="AH103" s="27" t="n"/>
      <c r="AI103" s="27" t="n"/>
      <c r="AJ103" s="27" t="n"/>
      <c r="AK103" s="27" t="n"/>
      <c r="AL103" s="27" t="n"/>
      <c r="AM103" s="27" t="n"/>
      <c r="AN103" s="27" t="n"/>
      <c r="AO103" s="27" t="n"/>
      <c r="AP103" s="27" t="n"/>
      <c r="AQ103" s="27" t="n"/>
      <c r="AR103" s="27" t="n"/>
      <c r="AS103" s="27" t="n"/>
      <c r="AT103" s="27" t="n"/>
      <c r="AU103" s="27" t="n"/>
      <c r="AV103" s="27" t="n"/>
      <c r="AW103" s="27" t="n"/>
      <c r="AX103" s="27" t="n"/>
      <c r="AY103" s="27" t="n"/>
      <c r="AZ103" s="27" t="n"/>
      <c r="BA103" s="27" t="n"/>
      <c r="BB103" s="27" t="n"/>
      <c r="BC103" s="27" t="n"/>
      <c r="BD103" s="27" t="n"/>
      <c r="BE103" s="27" t="n"/>
      <c r="BF103" s="27" t="n"/>
      <c r="BG103" s="27" t="n"/>
      <c r="BH103" s="27" t="n"/>
      <c r="BI103" s="29" t="n"/>
      <c r="BJ103" s="27" t="n"/>
      <c r="BK103" s="27" t="n"/>
      <c r="BL103" s="27" t="n"/>
      <c r="BM103" s="27" t="n"/>
      <c r="DN103" s="26">
        <f>IF('テスト条件'!A102="","",'テスト条件'!A102)</f>
        <v/>
      </c>
    </row>
    <row r="104">
      <c r="A104" s="27" t="n"/>
      <c r="B104" s="27" t="n"/>
      <c r="C104" s="28">
        <f>IF(A104="","",$B$2)</f>
        <v/>
      </c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  <c r="AA104" s="27" t="n"/>
      <c r="AB104" s="27" t="n"/>
      <c r="AC104" s="27" t="n"/>
      <c r="AD104" s="27" t="n"/>
      <c r="AE104" s="27" t="n"/>
      <c r="AF104" s="27" t="n"/>
      <c r="AG104" s="27" t="n"/>
      <c r="AH104" s="27" t="n"/>
      <c r="AI104" s="27" t="n"/>
      <c r="AJ104" s="27" t="n"/>
      <c r="AK104" s="27" t="n"/>
      <c r="AL104" s="27" t="n"/>
      <c r="AM104" s="27" t="n"/>
      <c r="AN104" s="27" t="n"/>
      <c r="AO104" s="27" t="n"/>
      <c r="AP104" s="27" t="n"/>
      <c r="AQ104" s="27" t="n"/>
      <c r="AR104" s="27" t="n"/>
      <c r="AS104" s="27" t="n"/>
      <c r="AT104" s="27" t="n"/>
      <c r="AU104" s="27" t="n"/>
      <c r="AV104" s="27" t="n"/>
      <c r="AW104" s="27" t="n"/>
      <c r="AX104" s="27" t="n"/>
      <c r="AY104" s="27" t="n"/>
      <c r="AZ104" s="27" t="n"/>
      <c r="BA104" s="27" t="n"/>
      <c r="BB104" s="27" t="n"/>
      <c r="BC104" s="27" t="n"/>
      <c r="BD104" s="27" t="n"/>
      <c r="BE104" s="27" t="n"/>
      <c r="BF104" s="27" t="n"/>
      <c r="BG104" s="27" t="n"/>
      <c r="BH104" s="27" t="n"/>
      <c r="BI104" s="29" t="n"/>
      <c r="BJ104" s="27" t="n"/>
      <c r="BK104" s="27" t="n"/>
      <c r="BL104" s="27" t="n"/>
      <c r="BM104" s="27" t="n"/>
      <c r="DN104" s="26">
        <f>IF('テスト条件'!A103="","",'テスト条件'!A103)</f>
        <v/>
      </c>
    </row>
    <row r="105">
      <c r="A105" s="27" t="n"/>
      <c r="B105" s="27" t="n"/>
      <c r="C105" s="28">
        <f>IF(A105="","",$B$2)</f>
        <v/>
      </c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  <c r="AA105" s="27" t="n"/>
      <c r="AB105" s="27" t="n"/>
      <c r="AC105" s="27" t="n"/>
      <c r="AD105" s="27" t="n"/>
      <c r="AE105" s="27" t="n"/>
      <c r="AF105" s="27" t="n"/>
      <c r="AG105" s="27" t="n"/>
      <c r="AH105" s="27" t="n"/>
      <c r="AI105" s="27" t="n"/>
      <c r="AJ105" s="27" t="n"/>
      <c r="AK105" s="27" t="n"/>
      <c r="AL105" s="27" t="n"/>
      <c r="AM105" s="27" t="n"/>
      <c r="AN105" s="27" t="n"/>
      <c r="AO105" s="27" t="n"/>
      <c r="AP105" s="27" t="n"/>
      <c r="AQ105" s="27" t="n"/>
      <c r="AR105" s="27" t="n"/>
      <c r="AS105" s="27" t="n"/>
      <c r="AT105" s="27" t="n"/>
      <c r="AU105" s="27" t="n"/>
      <c r="AV105" s="27" t="n"/>
      <c r="AW105" s="27" t="n"/>
      <c r="AX105" s="27" t="n"/>
      <c r="AY105" s="27" t="n"/>
      <c r="AZ105" s="27" t="n"/>
      <c r="BA105" s="27" t="n"/>
      <c r="BB105" s="27" t="n"/>
      <c r="BC105" s="27" t="n"/>
      <c r="BD105" s="27" t="n"/>
      <c r="BE105" s="27" t="n"/>
      <c r="BF105" s="27" t="n"/>
      <c r="BG105" s="27" t="n"/>
      <c r="BH105" s="27" t="n"/>
      <c r="BI105" s="29" t="n"/>
      <c r="BJ105" s="27" t="n"/>
      <c r="BK105" s="27" t="n"/>
      <c r="BL105" s="27" t="n"/>
      <c r="BM105" s="27" t="n"/>
      <c r="DN105" s="26">
        <f>IF('テスト条件'!A104="","",'テスト条件'!A104)</f>
        <v/>
      </c>
    </row>
    <row r="106">
      <c r="A106" s="27" t="n"/>
      <c r="B106" s="27" t="n"/>
      <c r="C106" s="28">
        <f>IF(A106="","",$B$2)</f>
        <v/>
      </c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  <c r="AA106" s="27" t="n"/>
      <c r="AB106" s="27" t="n"/>
      <c r="AC106" s="27" t="n"/>
      <c r="AD106" s="27" t="n"/>
      <c r="AE106" s="27" t="n"/>
      <c r="AF106" s="27" t="n"/>
      <c r="AG106" s="27" t="n"/>
      <c r="AH106" s="27" t="n"/>
      <c r="AI106" s="27" t="n"/>
      <c r="AJ106" s="27" t="n"/>
      <c r="AK106" s="27" t="n"/>
      <c r="AL106" s="27" t="n"/>
      <c r="AM106" s="27" t="n"/>
      <c r="AN106" s="27" t="n"/>
      <c r="AO106" s="27" t="n"/>
      <c r="AP106" s="27" t="n"/>
      <c r="AQ106" s="27" t="n"/>
      <c r="AR106" s="27" t="n"/>
      <c r="AS106" s="27" t="n"/>
      <c r="AT106" s="27" t="n"/>
      <c r="AU106" s="27" t="n"/>
      <c r="AV106" s="27" t="n"/>
      <c r="AW106" s="27" t="n"/>
      <c r="AX106" s="27" t="n"/>
      <c r="AY106" s="27" t="n"/>
      <c r="AZ106" s="27" t="n"/>
      <c r="BA106" s="27" t="n"/>
      <c r="BB106" s="27" t="n"/>
      <c r="BC106" s="27" t="n"/>
      <c r="BD106" s="27" t="n"/>
      <c r="BE106" s="27" t="n"/>
      <c r="BF106" s="27" t="n"/>
      <c r="BG106" s="27" t="n"/>
      <c r="BH106" s="27" t="n"/>
      <c r="BI106" s="29" t="n"/>
      <c r="BJ106" s="27" t="n"/>
      <c r="BK106" s="27" t="n"/>
      <c r="BL106" s="27" t="n"/>
      <c r="BM106" s="27" t="n"/>
    </row>
    <row r="107">
      <c r="A107" s="27" t="n"/>
      <c r="B107" s="27" t="n"/>
      <c r="C107" s="28">
        <f>IF(A107="","",$B$2)</f>
        <v/>
      </c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  <c r="AA107" s="27" t="n"/>
      <c r="AB107" s="27" t="n"/>
      <c r="AC107" s="27" t="n"/>
      <c r="AD107" s="27" t="n"/>
      <c r="AE107" s="27" t="n"/>
      <c r="AF107" s="27" t="n"/>
      <c r="AG107" s="27" t="n"/>
      <c r="AH107" s="27" t="n"/>
      <c r="AI107" s="27" t="n"/>
      <c r="AJ107" s="27" t="n"/>
      <c r="AK107" s="27" t="n"/>
      <c r="AL107" s="27" t="n"/>
      <c r="AM107" s="27" t="n"/>
      <c r="AN107" s="27" t="n"/>
      <c r="AO107" s="27" t="n"/>
      <c r="AP107" s="27" t="n"/>
      <c r="AQ107" s="27" t="n"/>
      <c r="AR107" s="27" t="n"/>
      <c r="AS107" s="27" t="n"/>
      <c r="AT107" s="27" t="n"/>
      <c r="AU107" s="27" t="n"/>
      <c r="AV107" s="27" t="n"/>
      <c r="AW107" s="27" t="n"/>
      <c r="AX107" s="27" t="n"/>
      <c r="AY107" s="27" t="n"/>
      <c r="AZ107" s="27" t="n"/>
      <c r="BA107" s="27" t="n"/>
      <c r="BB107" s="27" t="n"/>
      <c r="BC107" s="27" t="n"/>
      <c r="BD107" s="27" t="n"/>
      <c r="BE107" s="27" t="n"/>
      <c r="BF107" s="27" t="n"/>
      <c r="BG107" s="27" t="n"/>
      <c r="BH107" s="27" t="n"/>
      <c r="BI107" s="29" t="n"/>
      <c r="BJ107" s="27" t="n"/>
      <c r="BK107" s="27" t="n"/>
      <c r="BL107" s="27" t="n"/>
      <c r="BM107" s="27" t="n"/>
    </row>
    <row r="108">
      <c r="A108" s="27" t="n"/>
      <c r="B108" s="27" t="n"/>
      <c r="C108" s="28">
        <f>IF(A108="","",$B$2)</f>
        <v/>
      </c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  <c r="AA108" s="27" t="n"/>
      <c r="AB108" s="27" t="n"/>
      <c r="AC108" s="27" t="n"/>
      <c r="AD108" s="27" t="n"/>
      <c r="AE108" s="27" t="n"/>
      <c r="AF108" s="27" t="n"/>
      <c r="AG108" s="27" t="n"/>
      <c r="AH108" s="27" t="n"/>
      <c r="AI108" s="27" t="n"/>
      <c r="AJ108" s="27" t="n"/>
      <c r="AK108" s="27" t="n"/>
      <c r="AL108" s="27" t="n"/>
      <c r="AM108" s="27" t="n"/>
      <c r="AN108" s="27" t="n"/>
      <c r="AO108" s="27" t="n"/>
      <c r="AP108" s="27" t="n"/>
      <c r="AQ108" s="27" t="n"/>
      <c r="AR108" s="27" t="n"/>
      <c r="AS108" s="27" t="n"/>
      <c r="AT108" s="27" t="n"/>
      <c r="AU108" s="27" t="n"/>
      <c r="AV108" s="27" t="n"/>
      <c r="AW108" s="27" t="n"/>
      <c r="AX108" s="27" t="n"/>
      <c r="AY108" s="27" t="n"/>
      <c r="AZ108" s="27" t="n"/>
      <c r="BA108" s="27" t="n"/>
      <c r="BB108" s="27" t="n"/>
      <c r="BC108" s="27" t="n"/>
      <c r="BD108" s="27" t="n"/>
      <c r="BE108" s="27" t="n"/>
      <c r="BF108" s="27" t="n"/>
      <c r="BG108" s="27" t="n"/>
      <c r="BH108" s="27" t="n"/>
      <c r="BI108" s="29" t="n"/>
      <c r="BJ108" s="27" t="n"/>
      <c r="BK108" s="27" t="n"/>
      <c r="BL108" s="27" t="n"/>
      <c r="BM108" s="27" t="n"/>
    </row>
    <row r="109">
      <c r="A109" s="27" t="n"/>
      <c r="B109" s="27" t="n"/>
      <c r="C109" s="28">
        <f>IF(A109="","",$B$2)</f>
        <v/>
      </c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  <c r="AA109" s="27" t="n"/>
      <c r="AB109" s="27" t="n"/>
      <c r="AC109" s="27" t="n"/>
      <c r="AD109" s="27" t="n"/>
      <c r="AE109" s="27" t="n"/>
      <c r="AF109" s="27" t="n"/>
      <c r="AG109" s="27" t="n"/>
      <c r="AH109" s="27" t="n"/>
      <c r="AI109" s="27" t="n"/>
      <c r="AJ109" s="27" t="n"/>
      <c r="AK109" s="27" t="n"/>
      <c r="AL109" s="27" t="n"/>
      <c r="AM109" s="27" t="n"/>
      <c r="AN109" s="27" t="n"/>
      <c r="AO109" s="27" t="n"/>
      <c r="AP109" s="27" t="n"/>
      <c r="AQ109" s="27" t="n"/>
      <c r="AR109" s="27" t="n"/>
      <c r="AS109" s="27" t="n"/>
      <c r="AT109" s="27" t="n"/>
      <c r="AU109" s="27" t="n"/>
      <c r="AV109" s="27" t="n"/>
      <c r="AW109" s="27" t="n"/>
      <c r="AX109" s="27" t="n"/>
      <c r="AY109" s="27" t="n"/>
      <c r="AZ109" s="27" t="n"/>
      <c r="BA109" s="27" t="n"/>
      <c r="BB109" s="27" t="n"/>
      <c r="BC109" s="27" t="n"/>
      <c r="BD109" s="27" t="n"/>
      <c r="BE109" s="27" t="n"/>
      <c r="BF109" s="27" t="n"/>
      <c r="BG109" s="27" t="n"/>
      <c r="BH109" s="27" t="n"/>
      <c r="BI109" s="29" t="n"/>
      <c r="BJ109" s="27" t="n"/>
      <c r="BK109" s="27" t="n"/>
      <c r="BL109" s="27" t="n"/>
      <c r="BM109" s="27" t="n"/>
    </row>
    <row r="110">
      <c r="A110" s="27" t="n"/>
      <c r="B110" s="27" t="n"/>
      <c r="C110" s="28">
        <f>IF(A110="","",$B$2)</f>
        <v/>
      </c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  <c r="AA110" s="27" t="n"/>
      <c r="AB110" s="27" t="n"/>
      <c r="AC110" s="27" t="n"/>
      <c r="AD110" s="27" t="n"/>
      <c r="AE110" s="27" t="n"/>
      <c r="AF110" s="27" t="n"/>
      <c r="AG110" s="27" t="n"/>
      <c r="AH110" s="27" t="n"/>
      <c r="AI110" s="27" t="n"/>
      <c r="AJ110" s="27" t="n"/>
      <c r="AK110" s="27" t="n"/>
      <c r="AL110" s="27" t="n"/>
      <c r="AM110" s="27" t="n"/>
      <c r="AN110" s="27" t="n"/>
      <c r="AO110" s="27" t="n"/>
      <c r="AP110" s="27" t="n"/>
      <c r="AQ110" s="27" t="n"/>
      <c r="AR110" s="27" t="n"/>
      <c r="AS110" s="27" t="n"/>
      <c r="AT110" s="27" t="n"/>
      <c r="AU110" s="27" t="n"/>
      <c r="AV110" s="27" t="n"/>
      <c r="AW110" s="27" t="n"/>
      <c r="AX110" s="27" t="n"/>
      <c r="AY110" s="27" t="n"/>
      <c r="AZ110" s="27" t="n"/>
      <c r="BA110" s="27" t="n"/>
      <c r="BB110" s="27" t="n"/>
      <c r="BC110" s="27" t="n"/>
      <c r="BD110" s="27" t="n"/>
      <c r="BE110" s="27" t="n"/>
      <c r="BF110" s="27" t="n"/>
      <c r="BG110" s="27" t="n"/>
      <c r="BH110" s="27" t="n"/>
      <c r="BI110" s="29" t="n"/>
      <c r="BJ110" s="27" t="n"/>
      <c r="BK110" s="27" t="n"/>
      <c r="BL110" s="27" t="n"/>
      <c r="BM110" s="27" t="n"/>
    </row>
    <row r="111">
      <c r="A111" s="27" t="n"/>
      <c r="B111" s="27" t="n"/>
      <c r="C111" s="28">
        <f>IF(A111="","",$B$2)</f>
        <v/>
      </c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  <c r="AA111" s="27" t="n"/>
      <c r="AB111" s="27" t="n"/>
      <c r="AC111" s="27" t="n"/>
      <c r="AD111" s="27" t="n"/>
      <c r="AE111" s="27" t="n"/>
      <c r="AF111" s="27" t="n"/>
      <c r="AG111" s="27" t="n"/>
      <c r="AH111" s="27" t="n"/>
      <c r="AI111" s="27" t="n"/>
      <c r="AJ111" s="27" t="n"/>
      <c r="AK111" s="27" t="n"/>
      <c r="AL111" s="27" t="n"/>
      <c r="AM111" s="27" t="n"/>
      <c r="AN111" s="27" t="n"/>
      <c r="AO111" s="27" t="n"/>
      <c r="AP111" s="27" t="n"/>
      <c r="AQ111" s="27" t="n"/>
      <c r="AR111" s="27" t="n"/>
      <c r="AS111" s="27" t="n"/>
      <c r="AT111" s="27" t="n"/>
      <c r="AU111" s="27" t="n"/>
      <c r="AV111" s="27" t="n"/>
      <c r="AW111" s="27" t="n"/>
      <c r="AX111" s="27" t="n"/>
      <c r="AY111" s="27" t="n"/>
      <c r="AZ111" s="27" t="n"/>
      <c r="BA111" s="27" t="n"/>
      <c r="BB111" s="27" t="n"/>
      <c r="BC111" s="27" t="n"/>
      <c r="BD111" s="27" t="n"/>
      <c r="BE111" s="27" t="n"/>
      <c r="BF111" s="27" t="n"/>
      <c r="BG111" s="27" t="n"/>
      <c r="BH111" s="27" t="n"/>
      <c r="BI111" s="29" t="n"/>
      <c r="BJ111" s="27" t="n"/>
      <c r="BK111" s="27" t="n"/>
      <c r="BL111" s="27" t="n"/>
      <c r="BM111" s="27" t="n"/>
    </row>
    <row r="112">
      <c r="A112" s="27" t="n"/>
      <c r="B112" s="27" t="n"/>
      <c r="C112" s="28">
        <f>IF(A112="","",$B$2)</f>
        <v/>
      </c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  <c r="AA112" s="27" t="n"/>
      <c r="AB112" s="27" t="n"/>
      <c r="AC112" s="27" t="n"/>
      <c r="AD112" s="27" t="n"/>
      <c r="AE112" s="27" t="n"/>
      <c r="AF112" s="27" t="n"/>
      <c r="AG112" s="27" t="n"/>
      <c r="AH112" s="27" t="n"/>
      <c r="AI112" s="27" t="n"/>
      <c r="AJ112" s="27" t="n"/>
      <c r="AK112" s="27" t="n"/>
      <c r="AL112" s="27" t="n"/>
      <c r="AM112" s="27" t="n"/>
      <c r="AN112" s="27" t="n"/>
      <c r="AO112" s="27" t="n"/>
      <c r="AP112" s="27" t="n"/>
      <c r="AQ112" s="27" t="n"/>
      <c r="AR112" s="27" t="n"/>
      <c r="AS112" s="27" t="n"/>
      <c r="AT112" s="27" t="n"/>
      <c r="AU112" s="27" t="n"/>
      <c r="AV112" s="27" t="n"/>
      <c r="AW112" s="27" t="n"/>
      <c r="AX112" s="27" t="n"/>
      <c r="AY112" s="27" t="n"/>
      <c r="AZ112" s="27" t="n"/>
      <c r="BA112" s="27" t="n"/>
      <c r="BB112" s="27" t="n"/>
      <c r="BC112" s="27" t="n"/>
      <c r="BD112" s="27" t="n"/>
      <c r="BE112" s="27" t="n"/>
      <c r="BF112" s="27" t="n"/>
      <c r="BG112" s="27" t="n"/>
      <c r="BH112" s="27" t="n"/>
      <c r="BI112" s="29" t="n"/>
      <c r="BJ112" s="27" t="n"/>
      <c r="BK112" s="27" t="n"/>
      <c r="BL112" s="27" t="n"/>
      <c r="BM112" s="27" t="n"/>
    </row>
    <row r="113">
      <c r="A113" s="27" t="n"/>
      <c r="B113" s="27" t="n"/>
      <c r="C113" s="28">
        <f>IF(A113="","",$B$2)</f>
        <v/>
      </c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  <c r="AA113" s="27" t="n"/>
      <c r="AB113" s="27" t="n"/>
      <c r="AC113" s="27" t="n"/>
      <c r="AD113" s="27" t="n"/>
      <c r="AE113" s="27" t="n"/>
      <c r="AF113" s="27" t="n"/>
      <c r="AG113" s="27" t="n"/>
      <c r="AH113" s="27" t="n"/>
      <c r="AI113" s="27" t="n"/>
      <c r="AJ113" s="27" t="n"/>
      <c r="AK113" s="27" t="n"/>
      <c r="AL113" s="27" t="n"/>
      <c r="AM113" s="27" t="n"/>
      <c r="AN113" s="27" t="n"/>
      <c r="AO113" s="27" t="n"/>
      <c r="AP113" s="27" t="n"/>
      <c r="AQ113" s="27" t="n"/>
      <c r="AR113" s="27" t="n"/>
      <c r="AS113" s="27" t="n"/>
      <c r="AT113" s="27" t="n"/>
      <c r="AU113" s="27" t="n"/>
      <c r="AV113" s="27" t="n"/>
      <c r="AW113" s="27" t="n"/>
      <c r="AX113" s="27" t="n"/>
      <c r="AY113" s="27" t="n"/>
      <c r="AZ113" s="27" t="n"/>
      <c r="BA113" s="27" t="n"/>
      <c r="BB113" s="27" t="n"/>
      <c r="BC113" s="27" t="n"/>
      <c r="BD113" s="27" t="n"/>
      <c r="BE113" s="27" t="n"/>
      <c r="BF113" s="27" t="n"/>
      <c r="BG113" s="27" t="n"/>
      <c r="BH113" s="27" t="n"/>
      <c r="BI113" s="29" t="n"/>
      <c r="BJ113" s="27" t="n"/>
      <c r="BK113" s="27" t="n"/>
      <c r="BL113" s="27" t="n"/>
      <c r="BM113" s="27" t="n"/>
    </row>
    <row r="114">
      <c r="A114" s="27" t="n"/>
      <c r="B114" s="27" t="n"/>
      <c r="C114" s="28">
        <f>IF(A114="","",$B$2)</f>
        <v/>
      </c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  <c r="AA114" s="27" t="n"/>
      <c r="AB114" s="27" t="n"/>
      <c r="AC114" s="27" t="n"/>
      <c r="AD114" s="27" t="n"/>
      <c r="AE114" s="27" t="n"/>
      <c r="AF114" s="27" t="n"/>
      <c r="AG114" s="27" t="n"/>
      <c r="AH114" s="27" t="n"/>
      <c r="AI114" s="27" t="n"/>
      <c r="AJ114" s="27" t="n"/>
      <c r="AK114" s="27" t="n"/>
      <c r="AL114" s="27" t="n"/>
      <c r="AM114" s="27" t="n"/>
      <c r="AN114" s="27" t="n"/>
      <c r="AO114" s="27" t="n"/>
      <c r="AP114" s="27" t="n"/>
      <c r="AQ114" s="27" t="n"/>
      <c r="AR114" s="27" t="n"/>
      <c r="AS114" s="27" t="n"/>
      <c r="AT114" s="27" t="n"/>
      <c r="AU114" s="27" t="n"/>
      <c r="AV114" s="27" t="n"/>
      <c r="AW114" s="27" t="n"/>
      <c r="AX114" s="27" t="n"/>
      <c r="AY114" s="27" t="n"/>
      <c r="AZ114" s="27" t="n"/>
      <c r="BA114" s="27" t="n"/>
      <c r="BB114" s="27" t="n"/>
      <c r="BC114" s="27" t="n"/>
      <c r="BD114" s="27" t="n"/>
      <c r="BE114" s="27" t="n"/>
      <c r="BF114" s="27" t="n"/>
      <c r="BG114" s="27" t="n"/>
      <c r="BH114" s="27" t="n"/>
      <c r="BI114" s="29" t="n"/>
      <c r="BJ114" s="27" t="n"/>
      <c r="BK114" s="27" t="n"/>
      <c r="BL114" s="27" t="n"/>
      <c r="BM114" s="27" t="n"/>
    </row>
    <row r="115">
      <c r="A115" s="27" t="n"/>
      <c r="B115" s="27" t="n"/>
      <c r="C115" s="28">
        <f>IF(A115="","",$B$2)</f>
        <v/>
      </c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  <c r="AA115" s="27" t="n"/>
      <c r="AB115" s="27" t="n"/>
      <c r="AC115" s="27" t="n"/>
      <c r="AD115" s="27" t="n"/>
      <c r="AE115" s="27" t="n"/>
      <c r="AF115" s="27" t="n"/>
      <c r="AG115" s="27" t="n"/>
      <c r="AH115" s="27" t="n"/>
      <c r="AI115" s="27" t="n"/>
      <c r="AJ115" s="27" t="n"/>
      <c r="AK115" s="27" t="n"/>
      <c r="AL115" s="27" t="n"/>
      <c r="AM115" s="27" t="n"/>
      <c r="AN115" s="27" t="n"/>
      <c r="AO115" s="27" t="n"/>
      <c r="AP115" s="27" t="n"/>
      <c r="AQ115" s="27" t="n"/>
      <c r="AR115" s="27" t="n"/>
      <c r="AS115" s="27" t="n"/>
      <c r="AT115" s="27" t="n"/>
      <c r="AU115" s="27" t="n"/>
      <c r="AV115" s="27" t="n"/>
      <c r="AW115" s="27" t="n"/>
      <c r="AX115" s="27" t="n"/>
      <c r="AY115" s="27" t="n"/>
      <c r="AZ115" s="27" t="n"/>
      <c r="BA115" s="27" t="n"/>
      <c r="BB115" s="27" t="n"/>
      <c r="BC115" s="27" t="n"/>
      <c r="BD115" s="27" t="n"/>
      <c r="BE115" s="27" t="n"/>
      <c r="BF115" s="27" t="n"/>
      <c r="BG115" s="27" t="n"/>
      <c r="BH115" s="27" t="n"/>
      <c r="BI115" s="29" t="n"/>
      <c r="BJ115" s="27" t="n"/>
      <c r="BK115" s="27" t="n"/>
      <c r="BL115" s="27" t="n"/>
      <c r="BM115" s="27" t="n"/>
    </row>
    <row r="116">
      <c r="A116" s="27" t="n"/>
      <c r="B116" s="27" t="n"/>
      <c r="C116" s="28">
        <f>IF(A116="","",$B$2)</f>
        <v/>
      </c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  <c r="AA116" s="27" t="n"/>
      <c r="AB116" s="27" t="n"/>
      <c r="AC116" s="27" t="n"/>
      <c r="AD116" s="27" t="n"/>
      <c r="AE116" s="27" t="n"/>
      <c r="AF116" s="27" t="n"/>
      <c r="AG116" s="27" t="n"/>
      <c r="AH116" s="27" t="n"/>
      <c r="AI116" s="27" t="n"/>
      <c r="AJ116" s="27" t="n"/>
      <c r="AK116" s="27" t="n"/>
      <c r="AL116" s="27" t="n"/>
      <c r="AM116" s="27" t="n"/>
      <c r="AN116" s="27" t="n"/>
      <c r="AO116" s="27" t="n"/>
      <c r="AP116" s="27" t="n"/>
      <c r="AQ116" s="27" t="n"/>
      <c r="AR116" s="27" t="n"/>
      <c r="AS116" s="27" t="n"/>
      <c r="AT116" s="27" t="n"/>
      <c r="AU116" s="27" t="n"/>
      <c r="AV116" s="27" t="n"/>
      <c r="AW116" s="27" t="n"/>
      <c r="AX116" s="27" t="n"/>
      <c r="AY116" s="27" t="n"/>
      <c r="AZ116" s="27" t="n"/>
      <c r="BA116" s="27" t="n"/>
      <c r="BB116" s="27" t="n"/>
      <c r="BC116" s="27" t="n"/>
      <c r="BD116" s="27" t="n"/>
      <c r="BE116" s="27" t="n"/>
      <c r="BF116" s="27" t="n"/>
      <c r="BG116" s="27" t="n"/>
      <c r="BH116" s="27" t="n"/>
      <c r="BI116" s="29" t="n"/>
      <c r="BJ116" s="27" t="n"/>
      <c r="BK116" s="27" t="n"/>
      <c r="BL116" s="27" t="n"/>
      <c r="BM116" s="27" t="n"/>
    </row>
    <row r="117">
      <c r="A117" s="27" t="n"/>
      <c r="B117" s="27" t="n"/>
      <c r="C117" s="28">
        <f>IF(A117="","",$B$2)</f>
        <v/>
      </c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  <c r="AA117" s="27" t="n"/>
      <c r="AB117" s="27" t="n"/>
      <c r="AC117" s="27" t="n"/>
      <c r="AD117" s="27" t="n"/>
      <c r="AE117" s="27" t="n"/>
      <c r="AF117" s="27" t="n"/>
      <c r="AG117" s="27" t="n"/>
      <c r="AH117" s="27" t="n"/>
      <c r="AI117" s="27" t="n"/>
      <c r="AJ117" s="27" t="n"/>
      <c r="AK117" s="27" t="n"/>
      <c r="AL117" s="27" t="n"/>
      <c r="AM117" s="27" t="n"/>
      <c r="AN117" s="27" t="n"/>
      <c r="AO117" s="27" t="n"/>
      <c r="AP117" s="27" t="n"/>
      <c r="AQ117" s="27" t="n"/>
      <c r="AR117" s="27" t="n"/>
      <c r="AS117" s="27" t="n"/>
      <c r="AT117" s="27" t="n"/>
      <c r="AU117" s="27" t="n"/>
      <c r="AV117" s="27" t="n"/>
      <c r="AW117" s="27" t="n"/>
      <c r="AX117" s="27" t="n"/>
      <c r="AY117" s="27" t="n"/>
      <c r="AZ117" s="27" t="n"/>
      <c r="BA117" s="27" t="n"/>
      <c r="BB117" s="27" t="n"/>
      <c r="BC117" s="27" t="n"/>
      <c r="BD117" s="27" t="n"/>
      <c r="BE117" s="27" t="n"/>
      <c r="BF117" s="27" t="n"/>
      <c r="BG117" s="27" t="n"/>
      <c r="BH117" s="27" t="n"/>
      <c r="BI117" s="29" t="n"/>
      <c r="BJ117" s="27" t="n"/>
      <c r="BK117" s="27" t="n"/>
      <c r="BL117" s="27" t="n"/>
      <c r="BM117" s="27" t="n"/>
    </row>
    <row r="118">
      <c r="A118" s="27" t="n"/>
      <c r="B118" s="27" t="n"/>
      <c r="C118" s="28">
        <f>IF(A118="","",$B$2)</f>
        <v/>
      </c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  <c r="AA118" s="27" t="n"/>
      <c r="AB118" s="27" t="n"/>
      <c r="AC118" s="27" t="n"/>
      <c r="AD118" s="27" t="n"/>
      <c r="AE118" s="27" t="n"/>
      <c r="AF118" s="27" t="n"/>
      <c r="AG118" s="27" t="n"/>
      <c r="AH118" s="27" t="n"/>
      <c r="AI118" s="27" t="n"/>
      <c r="AJ118" s="27" t="n"/>
      <c r="AK118" s="27" t="n"/>
      <c r="AL118" s="27" t="n"/>
      <c r="AM118" s="27" t="n"/>
      <c r="AN118" s="27" t="n"/>
      <c r="AO118" s="27" t="n"/>
      <c r="AP118" s="27" t="n"/>
      <c r="AQ118" s="27" t="n"/>
      <c r="AR118" s="27" t="n"/>
      <c r="AS118" s="27" t="n"/>
      <c r="AT118" s="27" t="n"/>
      <c r="AU118" s="27" t="n"/>
      <c r="AV118" s="27" t="n"/>
      <c r="AW118" s="27" t="n"/>
      <c r="AX118" s="27" t="n"/>
      <c r="AY118" s="27" t="n"/>
      <c r="AZ118" s="27" t="n"/>
      <c r="BA118" s="27" t="n"/>
      <c r="BB118" s="27" t="n"/>
      <c r="BC118" s="27" t="n"/>
      <c r="BD118" s="27" t="n"/>
      <c r="BE118" s="27" t="n"/>
      <c r="BF118" s="27" t="n"/>
      <c r="BG118" s="27" t="n"/>
      <c r="BH118" s="27" t="n"/>
      <c r="BI118" s="29" t="n"/>
      <c r="BJ118" s="27" t="n"/>
      <c r="BK118" s="27" t="n"/>
      <c r="BL118" s="27" t="n"/>
      <c r="BM118" s="27" t="n"/>
    </row>
    <row r="119">
      <c r="A119" s="27" t="n"/>
      <c r="B119" s="27" t="n"/>
      <c r="C119" s="28">
        <f>IF(A119="","",$B$2)</f>
        <v/>
      </c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  <c r="AA119" s="27" t="n"/>
      <c r="AB119" s="27" t="n"/>
      <c r="AC119" s="27" t="n"/>
      <c r="AD119" s="27" t="n"/>
      <c r="AE119" s="27" t="n"/>
      <c r="AF119" s="27" t="n"/>
      <c r="AG119" s="27" t="n"/>
      <c r="AH119" s="27" t="n"/>
      <c r="AI119" s="27" t="n"/>
      <c r="AJ119" s="27" t="n"/>
      <c r="AK119" s="27" t="n"/>
      <c r="AL119" s="27" t="n"/>
      <c r="AM119" s="27" t="n"/>
      <c r="AN119" s="27" t="n"/>
      <c r="AO119" s="27" t="n"/>
      <c r="AP119" s="27" t="n"/>
      <c r="AQ119" s="27" t="n"/>
      <c r="AR119" s="27" t="n"/>
      <c r="AS119" s="27" t="n"/>
      <c r="AT119" s="27" t="n"/>
      <c r="AU119" s="27" t="n"/>
      <c r="AV119" s="27" t="n"/>
      <c r="AW119" s="27" t="n"/>
      <c r="AX119" s="27" t="n"/>
      <c r="AY119" s="27" t="n"/>
      <c r="AZ119" s="27" t="n"/>
      <c r="BA119" s="27" t="n"/>
      <c r="BB119" s="27" t="n"/>
      <c r="BC119" s="27" t="n"/>
      <c r="BD119" s="27" t="n"/>
      <c r="BE119" s="27" t="n"/>
      <c r="BF119" s="27" t="n"/>
      <c r="BG119" s="27" t="n"/>
      <c r="BH119" s="27" t="n"/>
      <c r="BI119" s="29" t="n"/>
      <c r="BJ119" s="27" t="n"/>
      <c r="BK119" s="27" t="n"/>
      <c r="BL119" s="27" t="n"/>
      <c r="BM119" s="27" t="n"/>
    </row>
    <row r="120">
      <c r="A120" s="27" t="n"/>
      <c r="B120" s="27" t="n"/>
      <c r="C120" s="28">
        <f>IF(A120="","",$B$2)</f>
        <v/>
      </c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  <c r="AA120" s="27" t="n"/>
      <c r="AB120" s="27" t="n"/>
      <c r="AC120" s="27" t="n"/>
      <c r="AD120" s="27" t="n"/>
      <c r="AE120" s="27" t="n"/>
      <c r="AF120" s="27" t="n"/>
      <c r="AG120" s="27" t="n"/>
      <c r="AH120" s="27" t="n"/>
      <c r="AI120" s="27" t="n"/>
      <c r="AJ120" s="27" t="n"/>
      <c r="AK120" s="27" t="n"/>
      <c r="AL120" s="27" t="n"/>
      <c r="AM120" s="27" t="n"/>
      <c r="AN120" s="27" t="n"/>
      <c r="AO120" s="27" t="n"/>
      <c r="AP120" s="27" t="n"/>
      <c r="AQ120" s="27" t="n"/>
      <c r="AR120" s="27" t="n"/>
      <c r="AS120" s="27" t="n"/>
      <c r="AT120" s="27" t="n"/>
      <c r="AU120" s="27" t="n"/>
      <c r="AV120" s="27" t="n"/>
      <c r="AW120" s="27" t="n"/>
      <c r="AX120" s="27" t="n"/>
      <c r="AY120" s="27" t="n"/>
      <c r="AZ120" s="27" t="n"/>
      <c r="BA120" s="27" t="n"/>
      <c r="BB120" s="27" t="n"/>
      <c r="BC120" s="27" t="n"/>
      <c r="BD120" s="27" t="n"/>
      <c r="BE120" s="27" t="n"/>
      <c r="BF120" s="27" t="n"/>
      <c r="BG120" s="27" t="n"/>
      <c r="BH120" s="27" t="n"/>
      <c r="BI120" s="29" t="n"/>
      <c r="BJ120" s="27" t="n"/>
      <c r="BK120" s="27" t="n"/>
      <c r="BL120" s="27" t="n"/>
      <c r="BM120" s="27" t="n"/>
    </row>
    <row r="121">
      <c r="A121" s="27" t="n"/>
      <c r="B121" s="27" t="n"/>
      <c r="C121" s="28">
        <f>IF(A121="","",$B$2)</f>
        <v/>
      </c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  <c r="AA121" s="27" t="n"/>
      <c r="AB121" s="27" t="n"/>
      <c r="AC121" s="27" t="n"/>
      <c r="AD121" s="27" t="n"/>
      <c r="AE121" s="27" t="n"/>
      <c r="AF121" s="27" t="n"/>
      <c r="AG121" s="27" t="n"/>
      <c r="AH121" s="27" t="n"/>
      <c r="AI121" s="27" t="n"/>
      <c r="AJ121" s="27" t="n"/>
      <c r="AK121" s="27" t="n"/>
      <c r="AL121" s="27" t="n"/>
      <c r="AM121" s="27" t="n"/>
      <c r="AN121" s="27" t="n"/>
      <c r="AO121" s="27" t="n"/>
      <c r="AP121" s="27" t="n"/>
      <c r="AQ121" s="27" t="n"/>
      <c r="AR121" s="27" t="n"/>
      <c r="AS121" s="27" t="n"/>
      <c r="AT121" s="27" t="n"/>
      <c r="AU121" s="27" t="n"/>
      <c r="AV121" s="27" t="n"/>
      <c r="AW121" s="27" t="n"/>
      <c r="AX121" s="27" t="n"/>
      <c r="AY121" s="27" t="n"/>
      <c r="AZ121" s="27" t="n"/>
      <c r="BA121" s="27" t="n"/>
      <c r="BB121" s="27" t="n"/>
      <c r="BC121" s="27" t="n"/>
      <c r="BD121" s="27" t="n"/>
      <c r="BE121" s="27" t="n"/>
      <c r="BF121" s="27" t="n"/>
      <c r="BG121" s="27" t="n"/>
      <c r="BH121" s="27" t="n"/>
      <c r="BI121" s="29" t="n"/>
      <c r="BJ121" s="27" t="n"/>
      <c r="BK121" s="27" t="n"/>
      <c r="BL121" s="27" t="n"/>
      <c r="BM121" s="27" t="n"/>
    </row>
    <row r="122">
      <c r="A122" s="27" t="n"/>
      <c r="B122" s="27" t="n"/>
      <c r="C122" s="28">
        <f>IF(A122="","",$B$2)</f>
        <v/>
      </c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  <c r="AA122" s="27" t="n"/>
      <c r="AB122" s="27" t="n"/>
      <c r="AC122" s="27" t="n"/>
      <c r="AD122" s="27" t="n"/>
      <c r="AE122" s="27" t="n"/>
      <c r="AF122" s="27" t="n"/>
      <c r="AG122" s="27" t="n"/>
      <c r="AH122" s="27" t="n"/>
      <c r="AI122" s="27" t="n"/>
      <c r="AJ122" s="27" t="n"/>
      <c r="AK122" s="27" t="n"/>
      <c r="AL122" s="27" t="n"/>
      <c r="AM122" s="27" t="n"/>
      <c r="AN122" s="27" t="n"/>
      <c r="AO122" s="27" t="n"/>
      <c r="AP122" s="27" t="n"/>
      <c r="AQ122" s="27" t="n"/>
      <c r="AR122" s="27" t="n"/>
      <c r="AS122" s="27" t="n"/>
      <c r="AT122" s="27" t="n"/>
      <c r="AU122" s="27" t="n"/>
      <c r="AV122" s="27" t="n"/>
      <c r="AW122" s="27" t="n"/>
      <c r="AX122" s="27" t="n"/>
      <c r="AY122" s="27" t="n"/>
      <c r="AZ122" s="27" t="n"/>
      <c r="BA122" s="27" t="n"/>
      <c r="BB122" s="27" t="n"/>
      <c r="BC122" s="27" t="n"/>
      <c r="BD122" s="27" t="n"/>
      <c r="BE122" s="27" t="n"/>
      <c r="BF122" s="27" t="n"/>
      <c r="BG122" s="27" t="n"/>
      <c r="BH122" s="27" t="n"/>
      <c r="BI122" s="29" t="n"/>
      <c r="BJ122" s="27" t="n"/>
      <c r="BK122" s="27" t="n"/>
      <c r="BL122" s="27" t="n"/>
      <c r="BM122" s="27" t="n"/>
    </row>
    <row r="123">
      <c r="A123" s="27" t="n"/>
      <c r="B123" s="27" t="n"/>
      <c r="C123" s="28">
        <f>IF(A123="","",$B$2)</f>
        <v/>
      </c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  <c r="AA123" s="27" t="n"/>
      <c r="AB123" s="27" t="n"/>
      <c r="AC123" s="27" t="n"/>
      <c r="AD123" s="27" t="n"/>
      <c r="AE123" s="27" t="n"/>
      <c r="AF123" s="27" t="n"/>
      <c r="AG123" s="27" t="n"/>
      <c r="AH123" s="27" t="n"/>
      <c r="AI123" s="27" t="n"/>
      <c r="AJ123" s="27" t="n"/>
      <c r="AK123" s="27" t="n"/>
      <c r="AL123" s="27" t="n"/>
      <c r="AM123" s="27" t="n"/>
      <c r="AN123" s="27" t="n"/>
      <c r="AO123" s="27" t="n"/>
      <c r="AP123" s="27" t="n"/>
      <c r="AQ123" s="27" t="n"/>
      <c r="AR123" s="27" t="n"/>
      <c r="AS123" s="27" t="n"/>
      <c r="AT123" s="27" t="n"/>
      <c r="AU123" s="27" t="n"/>
      <c r="AV123" s="27" t="n"/>
      <c r="AW123" s="27" t="n"/>
      <c r="AX123" s="27" t="n"/>
      <c r="AY123" s="27" t="n"/>
      <c r="AZ123" s="27" t="n"/>
      <c r="BA123" s="27" t="n"/>
      <c r="BB123" s="27" t="n"/>
      <c r="BC123" s="27" t="n"/>
      <c r="BD123" s="27" t="n"/>
      <c r="BE123" s="27" t="n"/>
      <c r="BF123" s="27" t="n"/>
      <c r="BG123" s="27" t="n"/>
      <c r="BH123" s="27" t="n"/>
      <c r="BI123" s="29" t="n"/>
      <c r="BJ123" s="27" t="n"/>
      <c r="BK123" s="27" t="n"/>
      <c r="BL123" s="27" t="n"/>
      <c r="BM123" s="27" t="n"/>
    </row>
    <row r="124">
      <c r="A124" s="27" t="n"/>
      <c r="B124" s="27" t="n"/>
      <c r="C124" s="28">
        <f>IF(A124="","",$B$2)</f>
        <v/>
      </c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  <c r="AA124" s="27" t="n"/>
      <c r="AB124" s="27" t="n"/>
      <c r="AC124" s="27" t="n"/>
      <c r="AD124" s="27" t="n"/>
      <c r="AE124" s="27" t="n"/>
      <c r="AF124" s="27" t="n"/>
      <c r="AG124" s="27" t="n"/>
      <c r="AH124" s="27" t="n"/>
      <c r="AI124" s="27" t="n"/>
      <c r="AJ124" s="27" t="n"/>
      <c r="AK124" s="27" t="n"/>
      <c r="AL124" s="27" t="n"/>
      <c r="AM124" s="27" t="n"/>
      <c r="AN124" s="27" t="n"/>
      <c r="AO124" s="27" t="n"/>
      <c r="AP124" s="27" t="n"/>
      <c r="AQ124" s="27" t="n"/>
      <c r="AR124" s="27" t="n"/>
      <c r="AS124" s="27" t="n"/>
      <c r="AT124" s="27" t="n"/>
      <c r="AU124" s="27" t="n"/>
      <c r="AV124" s="27" t="n"/>
      <c r="AW124" s="27" t="n"/>
      <c r="AX124" s="27" t="n"/>
      <c r="AY124" s="27" t="n"/>
      <c r="AZ124" s="27" t="n"/>
      <c r="BA124" s="27" t="n"/>
      <c r="BB124" s="27" t="n"/>
      <c r="BC124" s="27" t="n"/>
      <c r="BD124" s="27" t="n"/>
      <c r="BE124" s="27" t="n"/>
      <c r="BF124" s="27" t="n"/>
      <c r="BG124" s="27" t="n"/>
      <c r="BH124" s="27" t="n"/>
      <c r="BI124" s="29" t="n"/>
      <c r="BJ124" s="27" t="n"/>
      <c r="BK124" s="27" t="n"/>
      <c r="BL124" s="27" t="n"/>
      <c r="BM124" s="27" t="n"/>
    </row>
    <row r="125">
      <c r="A125" s="27" t="n"/>
      <c r="B125" s="27" t="n"/>
      <c r="C125" s="28">
        <f>IF(A125="","",$B$2)</f>
        <v/>
      </c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  <c r="AA125" s="27" t="n"/>
      <c r="AB125" s="27" t="n"/>
      <c r="AC125" s="27" t="n"/>
      <c r="AD125" s="27" t="n"/>
      <c r="AE125" s="27" t="n"/>
      <c r="AF125" s="27" t="n"/>
      <c r="AG125" s="27" t="n"/>
      <c r="AH125" s="27" t="n"/>
      <c r="AI125" s="27" t="n"/>
      <c r="AJ125" s="27" t="n"/>
      <c r="AK125" s="27" t="n"/>
      <c r="AL125" s="27" t="n"/>
      <c r="AM125" s="27" t="n"/>
      <c r="AN125" s="27" t="n"/>
      <c r="AO125" s="27" t="n"/>
      <c r="AP125" s="27" t="n"/>
      <c r="AQ125" s="27" t="n"/>
      <c r="AR125" s="27" t="n"/>
      <c r="AS125" s="27" t="n"/>
      <c r="AT125" s="27" t="n"/>
      <c r="AU125" s="27" t="n"/>
      <c r="AV125" s="27" t="n"/>
      <c r="AW125" s="27" t="n"/>
      <c r="AX125" s="27" t="n"/>
      <c r="AY125" s="27" t="n"/>
      <c r="AZ125" s="27" t="n"/>
      <c r="BA125" s="27" t="n"/>
      <c r="BB125" s="27" t="n"/>
      <c r="BC125" s="27" t="n"/>
      <c r="BD125" s="27" t="n"/>
      <c r="BE125" s="27" t="n"/>
      <c r="BF125" s="27" t="n"/>
      <c r="BG125" s="27" t="n"/>
      <c r="BH125" s="27" t="n"/>
      <c r="BI125" s="29" t="n"/>
      <c r="BJ125" s="27" t="n"/>
      <c r="BK125" s="27" t="n"/>
      <c r="BL125" s="27" t="n"/>
      <c r="BM125" s="27" t="n"/>
    </row>
    <row r="126">
      <c r="A126" s="27" t="n"/>
      <c r="B126" s="27" t="n"/>
      <c r="C126" s="28">
        <f>IF(A126="","",$B$2)</f>
        <v/>
      </c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  <c r="AA126" s="27" t="n"/>
      <c r="AB126" s="27" t="n"/>
      <c r="AC126" s="27" t="n"/>
      <c r="AD126" s="27" t="n"/>
      <c r="AE126" s="27" t="n"/>
      <c r="AF126" s="27" t="n"/>
      <c r="AG126" s="27" t="n"/>
      <c r="AH126" s="27" t="n"/>
      <c r="AI126" s="27" t="n"/>
      <c r="AJ126" s="27" t="n"/>
      <c r="AK126" s="27" t="n"/>
      <c r="AL126" s="27" t="n"/>
      <c r="AM126" s="27" t="n"/>
      <c r="AN126" s="27" t="n"/>
      <c r="AO126" s="27" t="n"/>
      <c r="AP126" s="27" t="n"/>
      <c r="AQ126" s="27" t="n"/>
      <c r="AR126" s="27" t="n"/>
      <c r="AS126" s="27" t="n"/>
      <c r="AT126" s="27" t="n"/>
      <c r="AU126" s="27" t="n"/>
      <c r="AV126" s="27" t="n"/>
      <c r="AW126" s="27" t="n"/>
      <c r="AX126" s="27" t="n"/>
      <c r="AY126" s="27" t="n"/>
      <c r="AZ126" s="27" t="n"/>
      <c r="BA126" s="27" t="n"/>
      <c r="BB126" s="27" t="n"/>
      <c r="BC126" s="27" t="n"/>
      <c r="BD126" s="27" t="n"/>
      <c r="BE126" s="27" t="n"/>
      <c r="BF126" s="27" t="n"/>
      <c r="BG126" s="27" t="n"/>
      <c r="BH126" s="27" t="n"/>
      <c r="BI126" s="29" t="n"/>
      <c r="BJ126" s="27" t="n"/>
      <c r="BK126" s="27" t="n"/>
      <c r="BL126" s="27" t="n"/>
      <c r="BM126" s="27" t="n"/>
    </row>
    <row r="127">
      <c r="A127" s="27" t="n"/>
      <c r="B127" s="27" t="n"/>
      <c r="C127" s="28">
        <f>IF(A127="","",$B$2)</f>
        <v/>
      </c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  <c r="AA127" s="27" t="n"/>
      <c r="AB127" s="27" t="n"/>
      <c r="AC127" s="27" t="n"/>
      <c r="AD127" s="27" t="n"/>
      <c r="AE127" s="27" t="n"/>
      <c r="AF127" s="27" t="n"/>
      <c r="AG127" s="27" t="n"/>
      <c r="AH127" s="27" t="n"/>
      <c r="AI127" s="27" t="n"/>
      <c r="AJ127" s="27" t="n"/>
      <c r="AK127" s="27" t="n"/>
      <c r="AL127" s="27" t="n"/>
      <c r="AM127" s="27" t="n"/>
      <c r="AN127" s="27" t="n"/>
      <c r="AO127" s="27" t="n"/>
      <c r="AP127" s="27" t="n"/>
      <c r="AQ127" s="27" t="n"/>
      <c r="AR127" s="27" t="n"/>
      <c r="AS127" s="27" t="n"/>
      <c r="AT127" s="27" t="n"/>
      <c r="AU127" s="27" t="n"/>
      <c r="AV127" s="27" t="n"/>
      <c r="AW127" s="27" t="n"/>
      <c r="AX127" s="27" t="n"/>
      <c r="AY127" s="27" t="n"/>
      <c r="AZ127" s="27" t="n"/>
      <c r="BA127" s="27" t="n"/>
      <c r="BB127" s="27" t="n"/>
      <c r="BC127" s="27" t="n"/>
      <c r="BD127" s="27" t="n"/>
      <c r="BE127" s="27" t="n"/>
      <c r="BF127" s="27" t="n"/>
      <c r="BG127" s="27" t="n"/>
      <c r="BH127" s="27" t="n"/>
      <c r="BI127" s="29" t="n"/>
      <c r="BJ127" s="27" t="n"/>
      <c r="BK127" s="27" t="n"/>
      <c r="BL127" s="27" t="n"/>
      <c r="BM127" s="27" t="n"/>
    </row>
    <row r="128">
      <c r="A128" s="27" t="n"/>
      <c r="B128" s="27" t="n"/>
      <c r="C128" s="28">
        <f>IF(A128="","",$B$2)</f>
        <v/>
      </c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  <c r="AA128" s="27" t="n"/>
      <c r="AB128" s="27" t="n"/>
      <c r="AC128" s="27" t="n"/>
      <c r="AD128" s="27" t="n"/>
      <c r="AE128" s="27" t="n"/>
      <c r="AF128" s="27" t="n"/>
      <c r="AG128" s="27" t="n"/>
      <c r="AH128" s="27" t="n"/>
      <c r="AI128" s="27" t="n"/>
      <c r="AJ128" s="27" t="n"/>
      <c r="AK128" s="27" t="n"/>
      <c r="AL128" s="27" t="n"/>
      <c r="AM128" s="27" t="n"/>
      <c r="AN128" s="27" t="n"/>
      <c r="AO128" s="27" t="n"/>
      <c r="AP128" s="27" t="n"/>
      <c r="AQ128" s="27" t="n"/>
      <c r="AR128" s="27" t="n"/>
      <c r="AS128" s="27" t="n"/>
      <c r="AT128" s="27" t="n"/>
      <c r="AU128" s="27" t="n"/>
      <c r="AV128" s="27" t="n"/>
      <c r="AW128" s="27" t="n"/>
      <c r="AX128" s="27" t="n"/>
      <c r="AY128" s="27" t="n"/>
      <c r="AZ128" s="27" t="n"/>
      <c r="BA128" s="27" t="n"/>
      <c r="BB128" s="27" t="n"/>
      <c r="BC128" s="27" t="n"/>
      <c r="BD128" s="27" t="n"/>
      <c r="BE128" s="27" t="n"/>
      <c r="BF128" s="27" t="n"/>
      <c r="BG128" s="27" t="n"/>
      <c r="BH128" s="27" t="n"/>
      <c r="BI128" s="29" t="n"/>
      <c r="BJ128" s="27" t="n"/>
      <c r="BK128" s="27" t="n"/>
      <c r="BL128" s="27" t="n"/>
      <c r="BM128" s="27" t="n"/>
    </row>
    <row r="129">
      <c r="A129" s="27" t="n"/>
      <c r="B129" s="27" t="n"/>
      <c r="C129" s="28">
        <f>IF(A129="","",$B$2)</f>
        <v/>
      </c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  <c r="AA129" s="27" t="n"/>
      <c r="AB129" s="27" t="n"/>
      <c r="AC129" s="27" t="n"/>
      <c r="AD129" s="27" t="n"/>
      <c r="AE129" s="27" t="n"/>
      <c r="AF129" s="27" t="n"/>
      <c r="AG129" s="27" t="n"/>
      <c r="AH129" s="27" t="n"/>
      <c r="AI129" s="27" t="n"/>
      <c r="AJ129" s="27" t="n"/>
      <c r="AK129" s="27" t="n"/>
      <c r="AL129" s="27" t="n"/>
      <c r="AM129" s="27" t="n"/>
      <c r="AN129" s="27" t="n"/>
      <c r="AO129" s="27" t="n"/>
      <c r="AP129" s="27" t="n"/>
      <c r="AQ129" s="27" t="n"/>
      <c r="AR129" s="27" t="n"/>
      <c r="AS129" s="27" t="n"/>
      <c r="AT129" s="27" t="n"/>
      <c r="AU129" s="27" t="n"/>
      <c r="AV129" s="27" t="n"/>
      <c r="AW129" s="27" t="n"/>
      <c r="AX129" s="27" t="n"/>
      <c r="AY129" s="27" t="n"/>
      <c r="AZ129" s="27" t="n"/>
      <c r="BA129" s="27" t="n"/>
      <c r="BB129" s="27" t="n"/>
      <c r="BC129" s="27" t="n"/>
      <c r="BD129" s="27" t="n"/>
      <c r="BE129" s="27" t="n"/>
      <c r="BF129" s="27" t="n"/>
      <c r="BG129" s="27" t="n"/>
      <c r="BH129" s="27" t="n"/>
      <c r="BI129" s="29" t="n"/>
      <c r="BJ129" s="27" t="n"/>
      <c r="BK129" s="27" t="n"/>
      <c r="BL129" s="27" t="n"/>
      <c r="BM129" s="27" t="n"/>
    </row>
    <row r="130">
      <c r="A130" s="27" t="n"/>
      <c r="B130" s="27" t="n"/>
      <c r="C130" s="28">
        <f>IF(A130="","",$B$2)</f>
        <v/>
      </c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  <c r="AA130" s="27" t="n"/>
      <c r="AB130" s="27" t="n"/>
      <c r="AC130" s="27" t="n"/>
      <c r="AD130" s="27" t="n"/>
      <c r="AE130" s="27" t="n"/>
      <c r="AF130" s="27" t="n"/>
      <c r="AG130" s="27" t="n"/>
      <c r="AH130" s="27" t="n"/>
      <c r="AI130" s="27" t="n"/>
      <c r="AJ130" s="27" t="n"/>
      <c r="AK130" s="27" t="n"/>
      <c r="AL130" s="27" t="n"/>
      <c r="AM130" s="27" t="n"/>
      <c r="AN130" s="27" t="n"/>
      <c r="AO130" s="27" t="n"/>
      <c r="AP130" s="27" t="n"/>
      <c r="AQ130" s="27" t="n"/>
      <c r="AR130" s="27" t="n"/>
      <c r="AS130" s="27" t="n"/>
      <c r="AT130" s="27" t="n"/>
      <c r="AU130" s="27" t="n"/>
      <c r="AV130" s="27" t="n"/>
      <c r="AW130" s="27" t="n"/>
      <c r="AX130" s="27" t="n"/>
      <c r="AY130" s="27" t="n"/>
      <c r="AZ130" s="27" t="n"/>
      <c r="BA130" s="27" t="n"/>
      <c r="BB130" s="27" t="n"/>
      <c r="BC130" s="27" t="n"/>
      <c r="BD130" s="27" t="n"/>
      <c r="BE130" s="27" t="n"/>
      <c r="BF130" s="27" t="n"/>
      <c r="BG130" s="27" t="n"/>
      <c r="BH130" s="27" t="n"/>
      <c r="BI130" s="29" t="n"/>
      <c r="BJ130" s="27" t="n"/>
      <c r="BK130" s="27" t="n"/>
      <c r="BL130" s="27" t="n"/>
      <c r="BM130" s="27" t="n"/>
    </row>
    <row r="131">
      <c r="A131" s="27" t="n"/>
      <c r="B131" s="27" t="n"/>
      <c r="C131" s="28">
        <f>IF(A131="","",$B$2)</f>
        <v/>
      </c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  <c r="AA131" s="27" t="n"/>
      <c r="AB131" s="27" t="n"/>
      <c r="AC131" s="27" t="n"/>
      <c r="AD131" s="27" t="n"/>
      <c r="AE131" s="27" t="n"/>
      <c r="AF131" s="27" t="n"/>
      <c r="AG131" s="27" t="n"/>
      <c r="AH131" s="27" t="n"/>
      <c r="AI131" s="27" t="n"/>
      <c r="AJ131" s="27" t="n"/>
      <c r="AK131" s="27" t="n"/>
      <c r="AL131" s="27" t="n"/>
      <c r="AM131" s="27" t="n"/>
      <c r="AN131" s="27" t="n"/>
      <c r="AO131" s="27" t="n"/>
      <c r="AP131" s="27" t="n"/>
      <c r="AQ131" s="27" t="n"/>
      <c r="AR131" s="27" t="n"/>
      <c r="AS131" s="27" t="n"/>
      <c r="AT131" s="27" t="n"/>
      <c r="AU131" s="27" t="n"/>
      <c r="AV131" s="27" t="n"/>
      <c r="AW131" s="27" t="n"/>
      <c r="AX131" s="27" t="n"/>
      <c r="AY131" s="27" t="n"/>
      <c r="AZ131" s="27" t="n"/>
      <c r="BA131" s="27" t="n"/>
      <c r="BB131" s="27" t="n"/>
      <c r="BC131" s="27" t="n"/>
      <c r="BD131" s="27" t="n"/>
      <c r="BE131" s="27" t="n"/>
      <c r="BF131" s="27" t="n"/>
      <c r="BG131" s="27" t="n"/>
      <c r="BH131" s="27" t="n"/>
      <c r="BI131" s="29" t="n"/>
      <c r="BJ131" s="27" t="n"/>
      <c r="BK131" s="27" t="n"/>
      <c r="BL131" s="27" t="n"/>
      <c r="BM131" s="27" t="n"/>
    </row>
    <row r="132">
      <c r="A132" s="27" t="n"/>
      <c r="B132" s="27" t="n"/>
      <c r="C132" s="28">
        <f>IF(A132="","",$B$2)</f>
        <v/>
      </c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  <c r="AA132" s="27" t="n"/>
      <c r="AB132" s="27" t="n"/>
      <c r="AC132" s="27" t="n"/>
      <c r="AD132" s="27" t="n"/>
      <c r="AE132" s="27" t="n"/>
      <c r="AF132" s="27" t="n"/>
      <c r="AG132" s="27" t="n"/>
      <c r="AH132" s="27" t="n"/>
      <c r="AI132" s="27" t="n"/>
      <c r="AJ132" s="27" t="n"/>
      <c r="AK132" s="27" t="n"/>
      <c r="AL132" s="27" t="n"/>
      <c r="AM132" s="27" t="n"/>
      <c r="AN132" s="27" t="n"/>
      <c r="AO132" s="27" t="n"/>
      <c r="AP132" s="27" t="n"/>
      <c r="AQ132" s="27" t="n"/>
      <c r="AR132" s="27" t="n"/>
      <c r="AS132" s="27" t="n"/>
      <c r="AT132" s="27" t="n"/>
      <c r="AU132" s="27" t="n"/>
      <c r="AV132" s="27" t="n"/>
      <c r="AW132" s="27" t="n"/>
      <c r="AX132" s="27" t="n"/>
      <c r="AY132" s="27" t="n"/>
      <c r="AZ132" s="27" t="n"/>
      <c r="BA132" s="27" t="n"/>
      <c r="BB132" s="27" t="n"/>
      <c r="BC132" s="27" t="n"/>
      <c r="BD132" s="27" t="n"/>
      <c r="BE132" s="27" t="n"/>
      <c r="BF132" s="27" t="n"/>
      <c r="BG132" s="27" t="n"/>
      <c r="BH132" s="27" t="n"/>
      <c r="BI132" s="29" t="n"/>
      <c r="BJ132" s="27" t="n"/>
      <c r="BK132" s="27" t="n"/>
      <c r="BL132" s="27" t="n"/>
      <c r="BM132" s="27" t="n"/>
    </row>
    <row r="133">
      <c r="A133" s="27" t="n"/>
      <c r="B133" s="27" t="n"/>
      <c r="C133" s="28">
        <f>IF(A133="","",$B$2)</f>
        <v/>
      </c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  <c r="AA133" s="27" t="n"/>
      <c r="AB133" s="27" t="n"/>
      <c r="AC133" s="27" t="n"/>
      <c r="AD133" s="27" t="n"/>
      <c r="AE133" s="27" t="n"/>
      <c r="AF133" s="27" t="n"/>
      <c r="AG133" s="27" t="n"/>
      <c r="AH133" s="27" t="n"/>
      <c r="AI133" s="27" t="n"/>
      <c r="AJ133" s="27" t="n"/>
      <c r="AK133" s="27" t="n"/>
      <c r="AL133" s="27" t="n"/>
      <c r="AM133" s="27" t="n"/>
      <c r="AN133" s="27" t="n"/>
      <c r="AO133" s="27" t="n"/>
      <c r="AP133" s="27" t="n"/>
      <c r="AQ133" s="27" t="n"/>
      <c r="AR133" s="27" t="n"/>
      <c r="AS133" s="27" t="n"/>
      <c r="AT133" s="27" t="n"/>
      <c r="AU133" s="27" t="n"/>
      <c r="AV133" s="27" t="n"/>
      <c r="AW133" s="27" t="n"/>
      <c r="AX133" s="27" t="n"/>
      <c r="AY133" s="27" t="n"/>
      <c r="AZ133" s="27" t="n"/>
      <c r="BA133" s="27" t="n"/>
      <c r="BB133" s="27" t="n"/>
      <c r="BC133" s="27" t="n"/>
      <c r="BD133" s="27" t="n"/>
      <c r="BE133" s="27" t="n"/>
      <c r="BF133" s="27" t="n"/>
      <c r="BG133" s="27" t="n"/>
      <c r="BH133" s="27" t="n"/>
      <c r="BI133" s="29" t="n"/>
      <c r="BJ133" s="27" t="n"/>
      <c r="BK133" s="27" t="n"/>
      <c r="BL133" s="27" t="n"/>
      <c r="BM133" s="27" t="n"/>
    </row>
    <row r="134">
      <c r="A134" s="27" t="n"/>
      <c r="B134" s="27" t="n"/>
      <c r="C134" s="28">
        <f>IF(A134="","",$B$2)</f>
        <v/>
      </c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  <c r="AA134" s="27" t="n"/>
      <c r="AB134" s="27" t="n"/>
      <c r="AC134" s="27" t="n"/>
      <c r="AD134" s="27" t="n"/>
      <c r="AE134" s="27" t="n"/>
      <c r="AF134" s="27" t="n"/>
      <c r="AG134" s="27" t="n"/>
      <c r="AH134" s="27" t="n"/>
      <c r="AI134" s="27" t="n"/>
      <c r="AJ134" s="27" t="n"/>
      <c r="AK134" s="27" t="n"/>
      <c r="AL134" s="27" t="n"/>
      <c r="AM134" s="27" t="n"/>
      <c r="AN134" s="27" t="n"/>
      <c r="AO134" s="27" t="n"/>
      <c r="AP134" s="27" t="n"/>
      <c r="AQ134" s="27" t="n"/>
      <c r="AR134" s="27" t="n"/>
      <c r="AS134" s="27" t="n"/>
      <c r="AT134" s="27" t="n"/>
      <c r="AU134" s="27" t="n"/>
      <c r="AV134" s="27" t="n"/>
      <c r="AW134" s="27" t="n"/>
      <c r="AX134" s="27" t="n"/>
      <c r="AY134" s="27" t="n"/>
      <c r="AZ134" s="27" t="n"/>
      <c r="BA134" s="27" t="n"/>
      <c r="BB134" s="27" t="n"/>
      <c r="BC134" s="27" t="n"/>
      <c r="BD134" s="27" t="n"/>
      <c r="BE134" s="27" t="n"/>
      <c r="BF134" s="27" t="n"/>
      <c r="BG134" s="27" t="n"/>
      <c r="BH134" s="27" t="n"/>
      <c r="BI134" s="29" t="n"/>
      <c r="BJ134" s="27" t="n"/>
      <c r="BK134" s="27" t="n"/>
      <c r="BL134" s="27" t="n"/>
      <c r="BM134" s="27" t="n"/>
    </row>
    <row r="135">
      <c r="A135" s="27" t="n"/>
      <c r="B135" s="27" t="n"/>
      <c r="C135" s="28">
        <f>IF(A135="","",$B$2)</f>
        <v/>
      </c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  <c r="AA135" s="27" t="n"/>
      <c r="AB135" s="27" t="n"/>
      <c r="AC135" s="27" t="n"/>
      <c r="AD135" s="27" t="n"/>
      <c r="AE135" s="27" t="n"/>
      <c r="AF135" s="27" t="n"/>
      <c r="AG135" s="27" t="n"/>
      <c r="AH135" s="27" t="n"/>
      <c r="AI135" s="27" t="n"/>
      <c r="AJ135" s="27" t="n"/>
      <c r="AK135" s="27" t="n"/>
      <c r="AL135" s="27" t="n"/>
      <c r="AM135" s="27" t="n"/>
      <c r="AN135" s="27" t="n"/>
      <c r="AO135" s="27" t="n"/>
      <c r="AP135" s="27" t="n"/>
      <c r="AQ135" s="27" t="n"/>
      <c r="AR135" s="27" t="n"/>
      <c r="AS135" s="27" t="n"/>
      <c r="AT135" s="27" t="n"/>
      <c r="AU135" s="27" t="n"/>
      <c r="AV135" s="27" t="n"/>
      <c r="AW135" s="27" t="n"/>
      <c r="AX135" s="27" t="n"/>
      <c r="AY135" s="27" t="n"/>
      <c r="AZ135" s="27" t="n"/>
      <c r="BA135" s="27" t="n"/>
      <c r="BB135" s="27" t="n"/>
      <c r="BC135" s="27" t="n"/>
      <c r="BD135" s="27" t="n"/>
      <c r="BE135" s="27" t="n"/>
      <c r="BF135" s="27" t="n"/>
      <c r="BG135" s="27" t="n"/>
      <c r="BH135" s="27" t="n"/>
      <c r="BI135" s="29" t="n"/>
      <c r="BJ135" s="27" t="n"/>
      <c r="BK135" s="27" t="n"/>
      <c r="BL135" s="27" t="n"/>
      <c r="BM135" s="27" t="n"/>
    </row>
    <row r="136">
      <c r="A136" s="27" t="n"/>
      <c r="B136" s="27" t="n"/>
      <c r="C136" s="28">
        <f>IF(A136="","",$B$2)</f>
        <v/>
      </c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  <c r="AA136" s="27" t="n"/>
      <c r="AB136" s="27" t="n"/>
      <c r="AC136" s="27" t="n"/>
      <c r="AD136" s="27" t="n"/>
      <c r="AE136" s="27" t="n"/>
      <c r="AF136" s="27" t="n"/>
      <c r="AG136" s="27" t="n"/>
      <c r="AH136" s="27" t="n"/>
      <c r="AI136" s="27" t="n"/>
      <c r="AJ136" s="27" t="n"/>
      <c r="AK136" s="27" t="n"/>
      <c r="AL136" s="27" t="n"/>
      <c r="AM136" s="27" t="n"/>
      <c r="AN136" s="27" t="n"/>
      <c r="AO136" s="27" t="n"/>
      <c r="AP136" s="27" t="n"/>
      <c r="AQ136" s="27" t="n"/>
      <c r="AR136" s="27" t="n"/>
      <c r="AS136" s="27" t="n"/>
      <c r="AT136" s="27" t="n"/>
      <c r="AU136" s="27" t="n"/>
      <c r="AV136" s="27" t="n"/>
      <c r="AW136" s="27" t="n"/>
      <c r="AX136" s="27" t="n"/>
      <c r="AY136" s="27" t="n"/>
      <c r="AZ136" s="27" t="n"/>
      <c r="BA136" s="27" t="n"/>
      <c r="BB136" s="27" t="n"/>
      <c r="BC136" s="27" t="n"/>
      <c r="BD136" s="27" t="n"/>
      <c r="BE136" s="27" t="n"/>
      <c r="BF136" s="27" t="n"/>
      <c r="BG136" s="27" t="n"/>
      <c r="BH136" s="27" t="n"/>
      <c r="BI136" s="29" t="n"/>
      <c r="BJ136" s="27" t="n"/>
      <c r="BK136" s="27" t="n"/>
      <c r="BL136" s="27" t="n"/>
      <c r="BM136" s="27" t="n"/>
    </row>
    <row r="137">
      <c r="A137" s="27" t="n"/>
      <c r="B137" s="27" t="n"/>
      <c r="C137" s="28">
        <f>IF(A137="","",$B$2)</f>
        <v/>
      </c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  <c r="AA137" s="27" t="n"/>
      <c r="AB137" s="27" t="n"/>
      <c r="AC137" s="27" t="n"/>
      <c r="AD137" s="27" t="n"/>
      <c r="AE137" s="27" t="n"/>
      <c r="AF137" s="27" t="n"/>
      <c r="AG137" s="27" t="n"/>
      <c r="AH137" s="27" t="n"/>
      <c r="AI137" s="27" t="n"/>
      <c r="AJ137" s="27" t="n"/>
      <c r="AK137" s="27" t="n"/>
      <c r="AL137" s="27" t="n"/>
      <c r="AM137" s="27" t="n"/>
      <c r="AN137" s="27" t="n"/>
      <c r="AO137" s="27" t="n"/>
      <c r="AP137" s="27" t="n"/>
      <c r="AQ137" s="27" t="n"/>
      <c r="AR137" s="27" t="n"/>
      <c r="AS137" s="27" t="n"/>
      <c r="AT137" s="27" t="n"/>
      <c r="AU137" s="27" t="n"/>
      <c r="AV137" s="27" t="n"/>
      <c r="AW137" s="27" t="n"/>
      <c r="AX137" s="27" t="n"/>
      <c r="AY137" s="27" t="n"/>
      <c r="AZ137" s="27" t="n"/>
      <c r="BA137" s="27" t="n"/>
      <c r="BB137" s="27" t="n"/>
      <c r="BC137" s="27" t="n"/>
      <c r="BD137" s="27" t="n"/>
      <c r="BE137" s="27" t="n"/>
      <c r="BF137" s="27" t="n"/>
      <c r="BG137" s="27" t="n"/>
      <c r="BH137" s="27" t="n"/>
      <c r="BI137" s="29" t="n"/>
      <c r="BJ137" s="27" t="n"/>
      <c r="BK137" s="27" t="n"/>
      <c r="BL137" s="27" t="n"/>
      <c r="BM137" s="27" t="n"/>
    </row>
    <row r="138">
      <c r="A138" s="27" t="n"/>
      <c r="B138" s="27" t="n"/>
      <c r="C138" s="28">
        <f>IF(A138="","",$B$2)</f>
        <v/>
      </c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  <c r="AA138" s="27" t="n"/>
      <c r="AB138" s="27" t="n"/>
      <c r="AC138" s="27" t="n"/>
      <c r="AD138" s="27" t="n"/>
      <c r="AE138" s="27" t="n"/>
      <c r="AF138" s="27" t="n"/>
      <c r="AG138" s="27" t="n"/>
      <c r="AH138" s="27" t="n"/>
      <c r="AI138" s="27" t="n"/>
      <c r="AJ138" s="27" t="n"/>
      <c r="AK138" s="27" t="n"/>
      <c r="AL138" s="27" t="n"/>
      <c r="AM138" s="27" t="n"/>
      <c r="AN138" s="27" t="n"/>
      <c r="AO138" s="27" t="n"/>
      <c r="AP138" s="27" t="n"/>
      <c r="AQ138" s="27" t="n"/>
      <c r="AR138" s="27" t="n"/>
      <c r="AS138" s="27" t="n"/>
      <c r="AT138" s="27" t="n"/>
      <c r="AU138" s="27" t="n"/>
      <c r="AV138" s="27" t="n"/>
      <c r="AW138" s="27" t="n"/>
      <c r="AX138" s="27" t="n"/>
      <c r="AY138" s="27" t="n"/>
      <c r="AZ138" s="27" t="n"/>
      <c r="BA138" s="27" t="n"/>
      <c r="BB138" s="27" t="n"/>
      <c r="BC138" s="27" t="n"/>
      <c r="BD138" s="27" t="n"/>
      <c r="BE138" s="27" t="n"/>
      <c r="BF138" s="27" t="n"/>
      <c r="BG138" s="27" t="n"/>
      <c r="BH138" s="27" t="n"/>
      <c r="BI138" s="29" t="n"/>
      <c r="BJ138" s="27" t="n"/>
      <c r="BK138" s="27" t="n"/>
      <c r="BL138" s="27" t="n"/>
      <c r="BM138" s="27" t="n"/>
    </row>
    <row r="139">
      <c r="A139" s="27" t="n"/>
      <c r="B139" s="27" t="n"/>
      <c r="C139" s="28">
        <f>IF(A139="","",$B$2)</f>
        <v/>
      </c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  <c r="AA139" s="27" t="n"/>
      <c r="AB139" s="27" t="n"/>
      <c r="AC139" s="27" t="n"/>
      <c r="AD139" s="27" t="n"/>
      <c r="AE139" s="27" t="n"/>
      <c r="AF139" s="27" t="n"/>
      <c r="AG139" s="27" t="n"/>
      <c r="AH139" s="27" t="n"/>
      <c r="AI139" s="27" t="n"/>
      <c r="AJ139" s="27" t="n"/>
      <c r="AK139" s="27" t="n"/>
      <c r="AL139" s="27" t="n"/>
      <c r="AM139" s="27" t="n"/>
      <c r="AN139" s="27" t="n"/>
      <c r="AO139" s="27" t="n"/>
      <c r="AP139" s="27" t="n"/>
      <c r="AQ139" s="27" t="n"/>
      <c r="AR139" s="27" t="n"/>
      <c r="AS139" s="27" t="n"/>
      <c r="AT139" s="27" t="n"/>
      <c r="AU139" s="27" t="n"/>
      <c r="AV139" s="27" t="n"/>
      <c r="AW139" s="27" t="n"/>
      <c r="AX139" s="27" t="n"/>
      <c r="AY139" s="27" t="n"/>
      <c r="AZ139" s="27" t="n"/>
      <c r="BA139" s="27" t="n"/>
      <c r="BB139" s="27" t="n"/>
      <c r="BC139" s="27" t="n"/>
      <c r="BD139" s="27" t="n"/>
      <c r="BE139" s="27" t="n"/>
      <c r="BF139" s="27" t="n"/>
      <c r="BG139" s="27" t="n"/>
      <c r="BH139" s="27" t="n"/>
      <c r="BI139" s="29" t="n"/>
      <c r="BJ139" s="27" t="n"/>
      <c r="BK139" s="27" t="n"/>
      <c r="BL139" s="27" t="n"/>
      <c r="BM139" s="27" t="n"/>
    </row>
    <row r="140">
      <c r="A140" s="27" t="n"/>
      <c r="B140" s="27" t="n"/>
      <c r="C140" s="28">
        <f>IF(A140="","",$B$2)</f>
        <v/>
      </c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  <c r="AA140" s="27" t="n"/>
      <c r="AB140" s="27" t="n"/>
      <c r="AC140" s="27" t="n"/>
      <c r="AD140" s="27" t="n"/>
      <c r="AE140" s="27" t="n"/>
      <c r="AF140" s="27" t="n"/>
      <c r="AG140" s="27" t="n"/>
      <c r="AH140" s="27" t="n"/>
      <c r="AI140" s="27" t="n"/>
      <c r="AJ140" s="27" t="n"/>
      <c r="AK140" s="27" t="n"/>
      <c r="AL140" s="27" t="n"/>
      <c r="AM140" s="27" t="n"/>
      <c r="AN140" s="27" t="n"/>
      <c r="AO140" s="27" t="n"/>
      <c r="AP140" s="27" t="n"/>
      <c r="AQ140" s="27" t="n"/>
      <c r="AR140" s="27" t="n"/>
      <c r="AS140" s="27" t="n"/>
      <c r="AT140" s="27" t="n"/>
      <c r="AU140" s="27" t="n"/>
      <c r="AV140" s="27" t="n"/>
      <c r="AW140" s="27" t="n"/>
      <c r="AX140" s="27" t="n"/>
      <c r="AY140" s="27" t="n"/>
      <c r="AZ140" s="27" t="n"/>
      <c r="BA140" s="27" t="n"/>
      <c r="BB140" s="27" t="n"/>
      <c r="BC140" s="27" t="n"/>
      <c r="BD140" s="27" t="n"/>
      <c r="BE140" s="27" t="n"/>
      <c r="BF140" s="27" t="n"/>
      <c r="BG140" s="27" t="n"/>
      <c r="BH140" s="27" t="n"/>
      <c r="BI140" s="29" t="n"/>
      <c r="BJ140" s="27" t="n"/>
      <c r="BK140" s="27" t="n"/>
      <c r="BL140" s="27" t="n"/>
      <c r="BM140" s="27" t="n"/>
    </row>
    <row r="141">
      <c r="A141" s="27" t="n"/>
      <c r="B141" s="27" t="n"/>
      <c r="C141" s="28">
        <f>IF(A141="","",$B$2)</f>
        <v/>
      </c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  <c r="AA141" s="27" t="n"/>
      <c r="AB141" s="27" t="n"/>
      <c r="AC141" s="27" t="n"/>
      <c r="AD141" s="27" t="n"/>
      <c r="AE141" s="27" t="n"/>
      <c r="AF141" s="27" t="n"/>
      <c r="AG141" s="27" t="n"/>
      <c r="AH141" s="27" t="n"/>
      <c r="AI141" s="27" t="n"/>
      <c r="AJ141" s="27" t="n"/>
      <c r="AK141" s="27" t="n"/>
      <c r="AL141" s="27" t="n"/>
      <c r="AM141" s="27" t="n"/>
      <c r="AN141" s="27" t="n"/>
      <c r="AO141" s="27" t="n"/>
      <c r="AP141" s="27" t="n"/>
      <c r="AQ141" s="27" t="n"/>
      <c r="AR141" s="27" t="n"/>
      <c r="AS141" s="27" t="n"/>
      <c r="AT141" s="27" t="n"/>
      <c r="AU141" s="27" t="n"/>
      <c r="AV141" s="27" t="n"/>
      <c r="AW141" s="27" t="n"/>
      <c r="AX141" s="27" t="n"/>
      <c r="AY141" s="27" t="n"/>
      <c r="AZ141" s="27" t="n"/>
      <c r="BA141" s="27" t="n"/>
      <c r="BB141" s="27" t="n"/>
      <c r="BC141" s="27" t="n"/>
      <c r="BD141" s="27" t="n"/>
      <c r="BE141" s="27" t="n"/>
      <c r="BF141" s="27" t="n"/>
      <c r="BG141" s="27" t="n"/>
      <c r="BH141" s="27" t="n"/>
      <c r="BI141" s="29" t="n"/>
      <c r="BJ141" s="27" t="n"/>
      <c r="BK141" s="27" t="n"/>
      <c r="BL141" s="27" t="n"/>
      <c r="BM141" s="27" t="n"/>
    </row>
    <row r="142">
      <c r="A142" s="27" t="n"/>
      <c r="B142" s="27" t="n"/>
      <c r="C142" s="28">
        <f>IF(A142="","",$B$2)</f>
        <v/>
      </c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  <c r="AA142" s="27" t="n"/>
      <c r="AB142" s="27" t="n"/>
      <c r="AC142" s="27" t="n"/>
      <c r="AD142" s="27" t="n"/>
      <c r="AE142" s="27" t="n"/>
      <c r="AF142" s="27" t="n"/>
      <c r="AG142" s="27" t="n"/>
      <c r="AH142" s="27" t="n"/>
      <c r="AI142" s="27" t="n"/>
      <c r="AJ142" s="27" t="n"/>
      <c r="AK142" s="27" t="n"/>
      <c r="AL142" s="27" t="n"/>
      <c r="AM142" s="27" t="n"/>
      <c r="AN142" s="27" t="n"/>
      <c r="AO142" s="27" t="n"/>
      <c r="AP142" s="27" t="n"/>
      <c r="AQ142" s="27" t="n"/>
      <c r="AR142" s="27" t="n"/>
      <c r="AS142" s="27" t="n"/>
      <c r="AT142" s="27" t="n"/>
      <c r="AU142" s="27" t="n"/>
      <c r="AV142" s="27" t="n"/>
      <c r="AW142" s="27" t="n"/>
      <c r="AX142" s="27" t="n"/>
      <c r="AY142" s="27" t="n"/>
      <c r="AZ142" s="27" t="n"/>
      <c r="BA142" s="27" t="n"/>
      <c r="BB142" s="27" t="n"/>
      <c r="BC142" s="27" t="n"/>
      <c r="BD142" s="27" t="n"/>
      <c r="BE142" s="27" t="n"/>
      <c r="BF142" s="27" t="n"/>
      <c r="BG142" s="27" t="n"/>
      <c r="BH142" s="27" t="n"/>
      <c r="BI142" s="29" t="n"/>
      <c r="BJ142" s="27" t="n"/>
      <c r="BK142" s="27" t="n"/>
      <c r="BL142" s="27" t="n"/>
      <c r="BM142" s="27" t="n"/>
    </row>
    <row r="143">
      <c r="A143" s="27" t="n"/>
      <c r="B143" s="27" t="n"/>
      <c r="C143" s="28">
        <f>IF(A143="","",$B$2)</f>
        <v/>
      </c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  <c r="AA143" s="27" t="n"/>
      <c r="AB143" s="27" t="n"/>
      <c r="AC143" s="27" t="n"/>
      <c r="AD143" s="27" t="n"/>
      <c r="AE143" s="27" t="n"/>
      <c r="AF143" s="27" t="n"/>
      <c r="AG143" s="27" t="n"/>
      <c r="AH143" s="27" t="n"/>
      <c r="AI143" s="27" t="n"/>
      <c r="AJ143" s="27" t="n"/>
      <c r="AK143" s="27" t="n"/>
      <c r="AL143" s="27" t="n"/>
      <c r="AM143" s="27" t="n"/>
      <c r="AN143" s="27" t="n"/>
      <c r="AO143" s="27" t="n"/>
      <c r="AP143" s="27" t="n"/>
      <c r="AQ143" s="27" t="n"/>
      <c r="AR143" s="27" t="n"/>
      <c r="AS143" s="27" t="n"/>
      <c r="AT143" s="27" t="n"/>
      <c r="AU143" s="27" t="n"/>
      <c r="AV143" s="27" t="n"/>
      <c r="AW143" s="27" t="n"/>
      <c r="AX143" s="27" t="n"/>
      <c r="AY143" s="27" t="n"/>
      <c r="AZ143" s="27" t="n"/>
      <c r="BA143" s="27" t="n"/>
      <c r="BB143" s="27" t="n"/>
      <c r="BC143" s="27" t="n"/>
      <c r="BD143" s="27" t="n"/>
      <c r="BE143" s="27" t="n"/>
      <c r="BF143" s="27" t="n"/>
      <c r="BG143" s="27" t="n"/>
      <c r="BH143" s="27" t="n"/>
      <c r="BI143" s="29" t="n"/>
      <c r="BJ143" s="27" t="n"/>
      <c r="BK143" s="27" t="n"/>
      <c r="BL143" s="27" t="n"/>
      <c r="BM143" s="27" t="n"/>
    </row>
    <row r="144">
      <c r="A144" s="27" t="n"/>
      <c r="B144" s="27" t="n"/>
      <c r="C144" s="28">
        <f>IF(A144="","",$B$2)</f>
        <v/>
      </c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  <c r="AA144" s="27" t="n"/>
      <c r="AB144" s="27" t="n"/>
      <c r="AC144" s="27" t="n"/>
      <c r="AD144" s="27" t="n"/>
      <c r="AE144" s="27" t="n"/>
      <c r="AF144" s="27" t="n"/>
      <c r="AG144" s="27" t="n"/>
      <c r="AH144" s="27" t="n"/>
      <c r="AI144" s="27" t="n"/>
      <c r="AJ144" s="27" t="n"/>
      <c r="AK144" s="27" t="n"/>
      <c r="AL144" s="27" t="n"/>
      <c r="AM144" s="27" t="n"/>
      <c r="AN144" s="27" t="n"/>
      <c r="AO144" s="27" t="n"/>
      <c r="AP144" s="27" t="n"/>
      <c r="AQ144" s="27" t="n"/>
      <c r="AR144" s="27" t="n"/>
      <c r="AS144" s="27" t="n"/>
      <c r="AT144" s="27" t="n"/>
      <c r="AU144" s="27" t="n"/>
      <c r="AV144" s="27" t="n"/>
      <c r="AW144" s="27" t="n"/>
      <c r="AX144" s="27" t="n"/>
      <c r="AY144" s="27" t="n"/>
      <c r="AZ144" s="27" t="n"/>
      <c r="BA144" s="27" t="n"/>
      <c r="BB144" s="27" t="n"/>
      <c r="BC144" s="27" t="n"/>
      <c r="BD144" s="27" t="n"/>
      <c r="BE144" s="27" t="n"/>
      <c r="BF144" s="27" t="n"/>
      <c r="BG144" s="27" t="n"/>
      <c r="BH144" s="27" t="n"/>
      <c r="BI144" s="29" t="n"/>
      <c r="BJ144" s="27" t="n"/>
      <c r="BK144" s="27" t="n"/>
      <c r="BL144" s="27" t="n"/>
      <c r="BM144" s="27" t="n"/>
    </row>
    <row r="145">
      <c r="A145" s="27" t="n"/>
      <c r="B145" s="27" t="n"/>
      <c r="C145" s="28">
        <f>IF(A145="","",$B$2)</f>
        <v/>
      </c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  <c r="AA145" s="27" t="n"/>
      <c r="AB145" s="27" t="n"/>
      <c r="AC145" s="27" t="n"/>
      <c r="AD145" s="27" t="n"/>
      <c r="AE145" s="27" t="n"/>
      <c r="AF145" s="27" t="n"/>
      <c r="AG145" s="27" t="n"/>
      <c r="AH145" s="27" t="n"/>
      <c r="AI145" s="27" t="n"/>
      <c r="AJ145" s="27" t="n"/>
      <c r="AK145" s="27" t="n"/>
      <c r="AL145" s="27" t="n"/>
      <c r="AM145" s="27" t="n"/>
      <c r="AN145" s="27" t="n"/>
      <c r="AO145" s="27" t="n"/>
      <c r="AP145" s="27" t="n"/>
      <c r="AQ145" s="27" t="n"/>
      <c r="AR145" s="27" t="n"/>
      <c r="AS145" s="27" t="n"/>
      <c r="AT145" s="27" t="n"/>
      <c r="AU145" s="27" t="n"/>
      <c r="AV145" s="27" t="n"/>
      <c r="AW145" s="27" t="n"/>
      <c r="AX145" s="27" t="n"/>
      <c r="AY145" s="27" t="n"/>
      <c r="AZ145" s="27" t="n"/>
      <c r="BA145" s="27" t="n"/>
      <c r="BB145" s="27" t="n"/>
      <c r="BC145" s="27" t="n"/>
      <c r="BD145" s="27" t="n"/>
      <c r="BE145" s="27" t="n"/>
      <c r="BF145" s="27" t="n"/>
      <c r="BG145" s="27" t="n"/>
      <c r="BH145" s="27" t="n"/>
      <c r="BI145" s="29" t="n"/>
      <c r="BJ145" s="27" t="n"/>
      <c r="BK145" s="27" t="n"/>
      <c r="BL145" s="27" t="n"/>
      <c r="BM145" s="27" t="n"/>
    </row>
    <row r="146">
      <c r="A146" s="27" t="n"/>
      <c r="B146" s="27" t="n"/>
      <c r="C146" s="28">
        <f>IF(A146="","",$B$2)</f>
        <v/>
      </c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  <c r="AA146" s="27" t="n"/>
      <c r="AB146" s="27" t="n"/>
      <c r="AC146" s="27" t="n"/>
      <c r="AD146" s="27" t="n"/>
      <c r="AE146" s="27" t="n"/>
      <c r="AF146" s="27" t="n"/>
      <c r="AG146" s="27" t="n"/>
      <c r="AH146" s="27" t="n"/>
      <c r="AI146" s="27" t="n"/>
      <c r="AJ146" s="27" t="n"/>
      <c r="AK146" s="27" t="n"/>
      <c r="AL146" s="27" t="n"/>
      <c r="AM146" s="27" t="n"/>
      <c r="AN146" s="27" t="n"/>
      <c r="AO146" s="27" t="n"/>
      <c r="AP146" s="27" t="n"/>
      <c r="AQ146" s="27" t="n"/>
      <c r="AR146" s="27" t="n"/>
      <c r="AS146" s="27" t="n"/>
      <c r="AT146" s="27" t="n"/>
      <c r="AU146" s="27" t="n"/>
      <c r="AV146" s="27" t="n"/>
      <c r="AW146" s="27" t="n"/>
      <c r="AX146" s="27" t="n"/>
      <c r="AY146" s="27" t="n"/>
      <c r="AZ146" s="27" t="n"/>
      <c r="BA146" s="27" t="n"/>
      <c r="BB146" s="27" t="n"/>
      <c r="BC146" s="27" t="n"/>
      <c r="BD146" s="27" t="n"/>
      <c r="BE146" s="27" t="n"/>
      <c r="BF146" s="27" t="n"/>
      <c r="BG146" s="27" t="n"/>
      <c r="BH146" s="27" t="n"/>
      <c r="BI146" s="29" t="n"/>
      <c r="BJ146" s="27" t="n"/>
      <c r="BK146" s="27" t="n"/>
      <c r="BL146" s="27" t="n"/>
      <c r="BM146" s="27" t="n"/>
    </row>
    <row r="147">
      <c r="A147" s="27" t="n"/>
      <c r="B147" s="27" t="n"/>
      <c r="C147" s="28">
        <f>IF(A147="","",$B$2)</f>
        <v/>
      </c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  <c r="AA147" s="27" t="n"/>
      <c r="AB147" s="27" t="n"/>
      <c r="AC147" s="27" t="n"/>
      <c r="AD147" s="27" t="n"/>
      <c r="AE147" s="27" t="n"/>
      <c r="AF147" s="27" t="n"/>
      <c r="AG147" s="27" t="n"/>
      <c r="AH147" s="27" t="n"/>
      <c r="AI147" s="27" t="n"/>
      <c r="AJ147" s="27" t="n"/>
      <c r="AK147" s="27" t="n"/>
      <c r="AL147" s="27" t="n"/>
      <c r="AM147" s="27" t="n"/>
      <c r="AN147" s="27" t="n"/>
      <c r="AO147" s="27" t="n"/>
      <c r="AP147" s="27" t="n"/>
      <c r="AQ147" s="27" t="n"/>
      <c r="AR147" s="27" t="n"/>
      <c r="AS147" s="27" t="n"/>
      <c r="AT147" s="27" t="n"/>
      <c r="AU147" s="27" t="n"/>
      <c r="AV147" s="27" t="n"/>
      <c r="AW147" s="27" t="n"/>
      <c r="AX147" s="27" t="n"/>
      <c r="AY147" s="27" t="n"/>
      <c r="AZ147" s="27" t="n"/>
      <c r="BA147" s="27" t="n"/>
      <c r="BB147" s="27" t="n"/>
      <c r="BC147" s="27" t="n"/>
      <c r="BD147" s="27" t="n"/>
      <c r="BE147" s="27" t="n"/>
      <c r="BF147" s="27" t="n"/>
      <c r="BG147" s="27" t="n"/>
      <c r="BH147" s="27" t="n"/>
      <c r="BI147" s="29" t="n"/>
      <c r="BJ147" s="27" t="n"/>
      <c r="BK147" s="27" t="n"/>
      <c r="BL147" s="27" t="n"/>
      <c r="BM147" s="27" t="n"/>
    </row>
    <row r="148">
      <c r="A148" s="27" t="n"/>
      <c r="B148" s="27" t="n"/>
      <c r="C148" s="28">
        <f>IF(A148="","",$B$2)</f>
        <v/>
      </c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  <c r="AA148" s="27" t="n"/>
      <c r="AB148" s="27" t="n"/>
      <c r="AC148" s="27" t="n"/>
      <c r="AD148" s="27" t="n"/>
      <c r="AE148" s="27" t="n"/>
      <c r="AF148" s="27" t="n"/>
      <c r="AG148" s="27" t="n"/>
      <c r="AH148" s="27" t="n"/>
      <c r="AI148" s="27" t="n"/>
      <c r="AJ148" s="27" t="n"/>
      <c r="AK148" s="27" t="n"/>
      <c r="AL148" s="27" t="n"/>
      <c r="AM148" s="27" t="n"/>
      <c r="AN148" s="27" t="n"/>
      <c r="AO148" s="27" t="n"/>
      <c r="AP148" s="27" t="n"/>
      <c r="AQ148" s="27" t="n"/>
      <c r="AR148" s="27" t="n"/>
      <c r="AS148" s="27" t="n"/>
      <c r="AT148" s="27" t="n"/>
      <c r="AU148" s="27" t="n"/>
      <c r="AV148" s="27" t="n"/>
      <c r="AW148" s="27" t="n"/>
      <c r="AX148" s="27" t="n"/>
      <c r="AY148" s="27" t="n"/>
      <c r="AZ148" s="27" t="n"/>
      <c r="BA148" s="27" t="n"/>
      <c r="BB148" s="27" t="n"/>
      <c r="BC148" s="27" t="n"/>
      <c r="BD148" s="27" t="n"/>
      <c r="BE148" s="27" t="n"/>
      <c r="BF148" s="27" t="n"/>
      <c r="BG148" s="27" t="n"/>
      <c r="BH148" s="27" t="n"/>
      <c r="BI148" s="29" t="n"/>
      <c r="BJ148" s="27" t="n"/>
      <c r="BK148" s="27" t="n"/>
      <c r="BL148" s="27" t="n"/>
      <c r="BM148" s="27" t="n"/>
    </row>
    <row r="149">
      <c r="A149" s="27" t="n"/>
      <c r="B149" s="27" t="n"/>
      <c r="C149" s="28">
        <f>IF(A149="","",$B$2)</f>
        <v/>
      </c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  <c r="AA149" s="27" t="n"/>
      <c r="AB149" s="27" t="n"/>
      <c r="AC149" s="27" t="n"/>
      <c r="AD149" s="27" t="n"/>
      <c r="AE149" s="27" t="n"/>
      <c r="AF149" s="27" t="n"/>
      <c r="AG149" s="27" t="n"/>
      <c r="AH149" s="27" t="n"/>
      <c r="AI149" s="27" t="n"/>
      <c r="AJ149" s="27" t="n"/>
      <c r="AK149" s="27" t="n"/>
      <c r="AL149" s="27" t="n"/>
      <c r="AM149" s="27" t="n"/>
      <c r="AN149" s="27" t="n"/>
      <c r="AO149" s="27" t="n"/>
      <c r="AP149" s="27" t="n"/>
      <c r="AQ149" s="27" t="n"/>
      <c r="AR149" s="27" t="n"/>
      <c r="AS149" s="27" t="n"/>
      <c r="AT149" s="27" t="n"/>
      <c r="AU149" s="27" t="n"/>
      <c r="AV149" s="27" t="n"/>
      <c r="AW149" s="27" t="n"/>
      <c r="AX149" s="27" t="n"/>
      <c r="AY149" s="27" t="n"/>
      <c r="AZ149" s="27" t="n"/>
      <c r="BA149" s="27" t="n"/>
      <c r="BB149" s="27" t="n"/>
      <c r="BC149" s="27" t="n"/>
      <c r="BD149" s="27" t="n"/>
      <c r="BE149" s="27" t="n"/>
      <c r="BF149" s="27" t="n"/>
      <c r="BG149" s="27" t="n"/>
      <c r="BH149" s="27" t="n"/>
      <c r="BI149" s="29" t="n"/>
      <c r="BJ149" s="27" t="n"/>
      <c r="BK149" s="27" t="n"/>
      <c r="BL149" s="27" t="n"/>
      <c r="BM149" s="27" t="n"/>
    </row>
    <row r="150">
      <c r="A150" s="27" t="n"/>
      <c r="B150" s="27" t="n"/>
      <c r="C150" s="28">
        <f>IF(A150="","",$B$2)</f>
        <v/>
      </c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  <c r="AA150" s="27" t="n"/>
      <c r="AB150" s="27" t="n"/>
      <c r="AC150" s="27" t="n"/>
      <c r="AD150" s="27" t="n"/>
      <c r="AE150" s="27" t="n"/>
      <c r="AF150" s="27" t="n"/>
      <c r="AG150" s="27" t="n"/>
      <c r="AH150" s="27" t="n"/>
      <c r="AI150" s="27" t="n"/>
      <c r="AJ150" s="27" t="n"/>
      <c r="AK150" s="27" t="n"/>
      <c r="AL150" s="27" t="n"/>
      <c r="AM150" s="27" t="n"/>
      <c r="AN150" s="27" t="n"/>
      <c r="AO150" s="27" t="n"/>
      <c r="AP150" s="27" t="n"/>
      <c r="AQ150" s="27" t="n"/>
      <c r="AR150" s="27" t="n"/>
      <c r="AS150" s="27" t="n"/>
      <c r="AT150" s="27" t="n"/>
      <c r="AU150" s="27" t="n"/>
      <c r="AV150" s="27" t="n"/>
      <c r="AW150" s="27" t="n"/>
      <c r="AX150" s="27" t="n"/>
      <c r="AY150" s="27" t="n"/>
      <c r="AZ150" s="27" t="n"/>
      <c r="BA150" s="27" t="n"/>
      <c r="BB150" s="27" t="n"/>
      <c r="BC150" s="27" t="n"/>
      <c r="BD150" s="27" t="n"/>
      <c r="BE150" s="27" t="n"/>
      <c r="BF150" s="27" t="n"/>
      <c r="BG150" s="27" t="n"/>
      <c r="BH150" s="27" t="n"/>
      <c r="BI150" s="29" t="n"/>
      <c r="BJ150" s="27" t="n"/>
      <c r="BK150" s="27" t="n"/>
      <c r="BL150" s="27" t="n"/>
      <c r="BM150" s="27" t="n"/>
    </row>
    <row r="151">
      <c r="A151" s="27" t="n"/>
      <c r="B151" s="27" t="n"/>
      <c r="C151" s="28">
        <f>IF(A151="","",$B$2)</f>
        <v/>
      </c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  <c r="AA151" s="27" t="n"/>
      <c r="AB151" s="27" t="n"/>
      <c r="AC151" s="27" t="n"/>
      <c r="AD151" s="27" t="n"/>
      <c r="AE151" s="27" t="n"/>
      <c r="AF151" s="27" t="n"/>
      <c r="AG151" s="27" t="n"/>
      <c r="AH151" s="27" t="n"/>
      <c r="AI151" s="27" t="n"/>
      <c r="AJ151" s="27" t="n"/>
      <c r="AK151" s="27" t="n"/>
      <c r="AL151" s="27" t="n"/>
      <c r="AM151" s="27" t="n"/>
      <c r="AN151" s="27" t="n"/>
      <c r="AO151" s="27" t="n"/>
      <c r="AP151" s="27" t="n"/>
      <c r="AQ151" s="27" t="n"/>
      <c r="AR151" s="27" t="n"/>
      <c r="AS151" s="27" t="n"/>
      <c r="AT151" s="27" t="n"/>
      <c r="AU151" s="27" t="n"/>
      <c r="AV151" s="27" t="n"/>
      <c r="AW151" s="27" t="n"/>
      <c r="AX151" s="27" t="n"/>
      <c r="AY151" s="27" t="n"/>
      <c r="AZ151" s="27" t="n"/>
      <c r="BA151" s="27" t="n"/>
      <c r="BB151" s="27" t="n"/>
      <c r="BC151" s="27" t="n"/>
      <c r="BD151" s="27" t="n"/>
      <c r="BE151" s="27" t="n"/>
      <c r="BF151" s="27" t="n"/>
      <c r="BG151" s="27" t="n"/>
      <c r="BH151" s="27" t="n"/>
      <c r="BI151" s="29" t="n"/>
      <c r="BJ151" s="27" t="n"/>
      <c r="BK151" s="27" t="n"/>
      <c r="BL151" s="27" t="n"/>
      <c r="BM151" s="27" t="n"/>
    </row>
    <row r="152">
      <c r="A152" s="27" t="n"/>
      <c r="B152" s="27" t="n"/>
      <c r="C152" s="28">
        <f>IF(A152="","",$B$2)</f>
        <v/>
      </c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  <c r="AA152" s="27" t="n"/>
      <c r="AB152" s="27" t="n"/>
      <c r="AC152" s="27" t="n"/>
      <c r="AD152" s="27" t="n"/>
      <c r="AE152" s="27" t="n"/>
      <c r="AF152" s="27" t="n"/>
      <c r="AG152" s="27" t="n"/>
      <c r="AH152" s="27" t="n"/>
      <c r="AI152" s="27" t="n"/>
      <c r="AJ152" s="27" t="n"/>
      <c r="AK152" s="27" t="n"/>
      <c r="AL152" s="27" t="n"/>
      <c r="AM152" s="27" t="n"/>
      <c r="AN152" s="27" t="n"/>
      <c r="AO152" s="27" t="n"/>
      <c r="AP152" s="27" t="n"/>
      <c r="AQ152" s="27" t="n"/>
      <c r="AR152" s="27" t="n"/>
      <c r="AS152" s="27" t="n"/>
      <c r="AT152" s="27" t="n"/>
      <c r="AU152" s="27" t="n"/>
      <c r="AV152" s="27" t="n"/>
      <c r="AW152" s="27" t="n"/>
      <c r="AX152" s="27" t="n"/>
      <c r="AY152" s="27" t="n"/>
      <c r="AZ152" s="27" t="n"/>
      <c r="BA152" s="27" t="n"/>
      <c r="BB152" s="27" t="n"/>
      <c r="BC152" s="27" t="n"/>
      <c r="BD152" s="27" t="n"/>
      <c r="BE152" s="27" t="n"/>
      <c r="BF152" s="27" t="n"/>
      <c r="BG152" s="27" t="n"/>
      <c r="BH152" s="27" t="n"/>
      <c r="BI152" s="29" t="n"/>
      <c r="BJ152" s="27" t="n"/>
      <c r="BK152" s="27" t="n"/>
      <c r="BL152" s="27" t="n"/>
      <c r="BM152" s="27" t="n"/>
    </row>
    <row r="153">
      <c r="A153" s="27" t="n"/>
      <c r="B153" s="27" t="n"/>
      <c r="C153" s="28">
        <f>IF(A153="","",$B$2)</f>
        <v/>
      </c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  <c r="AA153" s="27" t="n"/>
      <c r="AB153" s="27" t="n"/>
      <c r="AC153" s="27" t="n"/>
      <c r="AD153" s="27" t="n"/>
      <c r="AE153" s="27" t="n"/>
      <c r="AF153" s="27" t="n"/>
      <c r="AG153" s="27" t="n"/>
      <c r="AH153" s="27" t="n"/>
      <c r="AI153" s="27" t="n"/>
      <c r="AJ153" s="27" t="n"/>
      <c r="AK153" s="27" t="n"/>
      <c r="AL153" s="27" t="n"/>
      <c r="AM153" s="27" t="n"/>
      <c r="AN153" s="27" t="n"/>
      <c r="AO153" s="27" t="n"/>
      <c r="AP153" s="27" t="n"/>
      <c r="AQ153" s="27" t="n"/>
      <c r="AR153" s="27" t="n"/>
      <c r="AS153" s="27" t="n"/>
      <c r="AT153" s="27" t="n"/>
      <c r="AU153" s="27" t="n"/>
      <c r="AV153" s="27" t="n"/>
      <c r="AW153" s="27" t="n"/>
      <c r="AX153" s="27" t="n"/>
      <c r="AY153" s="27" t="n"/>
      <c r="AZ153" s="27" t="n"/>
      <c r="BA153" s="27" t="n"/>
      <c r="BB153" s="27" t="n"/>
      <c r="BC153" s="27" t="n"/>
      <c r="BD153" s="27" t="n"/>
      <c r="BE153" s="27" t="n"/>
      <c r="BF153" s="27" t="n"/>
      <c r="BG153" s="27" t="n"/>
      <c r="BH153" s="27" t="n"/>
      <c r="BI153" s="29" t="n"/>
      <c r="BJ153" s="27" t="n"/>
      <c r="BK153" s="27" t="n"/>
      <c r="BL153" s="27" t="n"/>
      <c r="BM153" s="27" t="n"/>
    </row>
    <row r="154">
      <c r="A154" s="27" t="n"/>
      <c r="B154" s="27" t="n"/>
      <c r="C154" s="28">
        <f>IF(A154="","",$B$2)</f>
        <v/>
      </c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  <c r="AA154" s="27" t="n"/>
      <c r="AB154" s="27" t="n"/>
      <c r="AC154" s="27" t="n"/>
      <c r="AD154" s="27" t="n"/>
      <c r="AE154" s="27" t="n"/>
      <c r="AF154" s="27" t="n"/>
      <c r="AG154" s="27" t="n"/>
      <c r="AH154" s="27" t="n"/>
      <c r="AI154" s="27" t="n"/>
      <c r="AJ154" s="27" t="n"/>
      <c r="AK154" s="27" t="n"/>
      <c r="AL154" s="27" t="n"/>
      <c r="AM154" s="27" t="n"/>
      <c r="AN154" s="27" t="n"/>
      <c r="AO154" s="27" t="n"/>
      <c r="AP154" s="27" t="n"/>
      <c r="AQ154" s="27" t="n"/>
      <c r="AR154" s="27" t="n"/>
      <c r="AS154" s="27" t="n"/>
      <c r="AT154" s="27" t="n"/>
      <c r="AU154" s="27" t="n"/>
      <c r="AV154" s="27" t="n"/>
      <c r="AW154" s="27" t="n"/>
      <c r="AX154" s="27" t="n"/>
      <c r="AY154" s="27" t="n"/>
      <c r="AZ154" s="27" t="n"/>
      <c r="BA154" s="27" t="n"/>
      <c r="BB154" s="27" t="n"/>
      <c r="BC154" s="27" t="n"/>
      <c r="BD154" s="27" t="n"/>
      <c r="BE154" s="27" t="n"/>
      <c r="BF154" s="27" t="n"/>
      <c r="BG154" s="27" t="n"/>
      <c r="BH154" s="27" t="n"/>
      <c r="BI154" s="29" t="n"/>
      <c r="BJ154" s="27" t="n"/>
      <c r="BK154" s="27" t="n"/>
      <c r="BL154" s="27" t="n"/>
      <c r="BM154" s="27" t="n"/>
    </row>
    <row r="155">
      <c r="A155" s="27" t="n"/>
      <c r="B155" s="27" t="n"/>
      <c r="C155" s="28">
        <f>IF(A155="","",$B$2)</f>
        <v/>
      </c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  <c r="AA155" s="27" t="n"/>
      <c r="AB155" s="27" t="n"/>
      <c r="AC155" s="27" t="n"/>
      <c r="AD155" s="27" t="n"/>
      <c r="AE155" s="27" t="n"/>
      <c r="AF155" s="27" t="n"/>
      <c r="AG155" s="27" t="n"/>
      <c r="AH155" s="27" t="n"/>
      <c r="AI155" s="27" t="n"/>
      <c r="AJ155" s="27" t="n"/>
      <c r="AK155" s="27" t="n"/>
      <c r="AL155" s="27" t="n"/>
      <c r="AM155" s="27" t="n"/>
      <c r="AN155" s="27" t="n"/>
      <c r="AO155" s="27" t="n"/>
      <c r="AP155" s="27" t="n"/>
      <c r="AQ155" s="27" t="n"/>
      <c r="AR155" s="27" t="n"/>
      <c r="AS155" s="27" t="n"/>
      <c r="AT155" s="27" t="n"/>
      <c r="AU155" s="27" t="n"/>
      <c r="AV155" s="27" t="n"/>
      <c r="AW155" s="27" t="n"/>
      <c r="AX155" s="27" t="n"/>
      <c r="AY155" s="27" t="n"/>
      <c r="AZ155" s="27" t="n"/>
      <c r="BA155" s="27" t="n"/>
      <c r="BB155" s="27" t="n"/>
      <c r="BC155" s="27" t="n"/>
      <c r="BD155" s="27" t="n"/>
      <c r="BE155" s="27" t="n"/>
      <c r="BF155" s="27" t="n"/>
      <c r="BG155" s="27" t="n"/>
      <c r="BH155" s="27" t="n"/>
      <c r="BI155" s="29" t="n"/>
      <c r="BJ155" s="27" t="n"/>
      <c r="BK155" s="27" t="n"/>
      <c r="BL155" s="27" t="n"/>
      <c r="BM155" s="27" t="n"/>
    </row>
    <row r="156">
      <c r="A156" s="27" t="n"/>
      <c r="B156" s="27" t="n"/>
      <c r="C156" s="28">
        <f>IF(A156="","",$B$2)</f>
        <v/>
      </c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  <c r="AA156" s="27" t="n"/>
      <c r="AB156" s="27" t="n"/>
      <c r="AC156" s="27" t="n"/>
      <c r="AD156" s="27" t="n"/>
      <c r="AE156" s="27" t="n"/>
      <c r="AF156" s="27" t="n"/>
      <c r="AG156" s="27" t="n"/>
      <c r="AH156" s="27" t="n"/>
      <c r="AI156" s="27" t="n"/>
      <c r="AJ156" s="27" t="n"/>
      <c r="AK156" s="27" t="n"/>
      <c r="AL156" s="27" t="n"/>
      <c r="AM156" s="27" t="n"/>
      <c r="AN156" s="27" t="n"/>
      <c r="AO156" s="27" t="n"/>
      <c r="AP156" s="27" t="n"/>
      <c r="AQ156" s="27" t="n"/>
      <c r="AR156" s="27" t="n"/>
      <c r="AS156" s="27" t="n"/>
      <c r="AT156" s="27" t="n"/>
      <c r="AU156" s="27" t="n"/>
      <c r="AV156" s="27" t="n"/>
      <c r="AW156" s="27" t="n"/>
      <c r="AX156" s="27" t="n"/>
      <c r="AY156" s="27" t="n"/>
      <c r="AZ156" s="27" t="n"/>
      <c r="BA156" s="27" t="n"/>
      <c r="BB156" s="27" t="n"/>
      <c r="BC156" s="27" t="n"/>
      <c r="BD156" s="27" t="n"/>
      <c r="BE156" s="27" t="n"/>
      <c r="BF156" s="27" t="n"/>
      <c r="BG156" s="27" t="n"/>
      <c r="BH156" s="27" t="n"/>
      <c r="BI156" s="29" t="n"/>
      <c r="BJ156" s="27" t="n"/>
      <c r="BK156" s="27" t="n"/>
      <c r="BL156" s="27" t="n"/>
      <c r="BM156" s="27" t="n"/>
    </row>
    <row r="157">
      <c r="A157" s="27" t="n"/>
      <c r="B157" s="27" t="n"/>
      <c r="C157" s="28">
        <f>IF(A157="","",$B$2)</f>
        <v/>
      </c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  <c r="AA157" s="27" t="n"/>
      <c r="AB157" s="27" t="n"/>
      <c r="AC157" s="27" t="n"/>
      <c r="AD157" s="27" t="n"/>
      <c r="AE157" s="27" t="n"/>
      <c r="AF157" s="27" t="n"/>
      <c r="AG157" s="27" t="n"/>
      <c r="AH157" s="27" t="n"/>
      <c r="AI157" s="27" t="n"/>
      <c r="AJ157" s="27" t="n"/>
      <c r="AK157" s="27" t="n"/>
      <c r="AL157" s="27" t="n"/>
      <c r="AM157" s="27" t="n"/>
      <c r="AN157" s="27" t="n"/>
      <c r="AO157" s="27" t="n"/>
      <c r="AP157" s="27" t="n"/>
      <c r="AQ157" s="27" t="n"/>
      <c r="AR157" s="27" t="n"/>
      <c r="AS157" s="27" t="n"/>
      <c r="AT157" s="27" t="n"/>
      <c r="AU157" s="27" t="n"/>
      <c r="AV157" s="27" t="n"/>
      <c r="AW157" s="27" t="n"/>
      <c r="AX157" s="27" t="n"/>
      <c r="AY157" s="27" t="n"/>
      <c r="AZ157" s="27" t="n"/>
      <c r="BA157" s="27" t="n"/>
      <c r="BB157" s="27" t="n"/>
      <c r="BC157" s="27" t="n"/>
      <c r="BD157" s="27" t="n"/>
      <c r="BE157" s="27" t="n"/>
      <c r="BF157" s="27" t="n"/>
      <c r="BG157" s="27" t="n"/>
      <c r="BH157" s="27" t="n"/>
      <c r="BI157" s="29" t="n"/>
      <c r="BJ157" s="27" t="n"/>
      <c r="BK157" s="27" t="n"/>
      <c r="BL157" s="27" t="n"/>
      <c r="BM157" s="27" t="n"/>
    </row>
    <row r="158">
      <c r="A158" s="27" t="n"/>
      <c r="B158" s="27" t="n"/>
      <c r="C158" s="28">
        <f>IF(A158="","",$B$2)</f>
        <v/>
      </c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  <c r="AA158" s="27" t="n"/>
      <c r="AB158" s="27" t="n"/>
      <c r="AC158" s="27" t="n"/>
      <c r="AD158" s="27" t="n"/>
      <c r="AE158" s="27" t="n"/>
      <c r="AF158" s="27" t="n"/>
      <c r="AG158" s="27" t="n"/>
      <c r="AH158" s="27" t="n"/>
      <c r="AI158" s="27" t="n"/>
      <c r="AJ158" s="27" t="n"/>
      <c r="AK158" s="27" t="n"/>
      <c r="AL158" s="27" t="n"/>
      <c r="AM158" s="27" t="n"/>
      <c r="AN158" s="27" t="n"/>
      <c r="AO158" s="27" t="n"/>
      <c r="AP158" s="27" t="n"/>
      <c r="AQ158" s="27" t="n"/>
      <c r="AR158" s="27" t="n"/>
      <c r="AS158" s="27" t="n"/>
      <c r="AT158" s="27" t="n"/>
      <c r="AU158" s="27" t="n"/>
      <c r="AV158" s="27" t="n"/>
      <c r="AW158" s="27" t="n"/>
      <c r="AX158" s="27" t="n"/>
      <c r="AY158" s="27" t="n"/>
      <c r="AZ158" s="27" t="n"/>
      <c r="BA158" s="27" t="n"/>
      <c r="BB158" s="27" t="n"/>
      <c r="BC158" s="27" t="n"/>
      <c r="BD158" s="27" t="n"/>
      <c r="BE158" s="27" t="n"/>
      <c r="BF158" s="27" t="n"/>
      <c r="BG158" s="27" t="n"/>
      <c r="BH158" s="27" t="n"/>
      <c r="BI158" s="29" t="n"/>
      <c r="BJ158" s="27" t="n"/>
      <c r="BK158" s="27" t="n"/>
      <c r="BL158" s="27" t="n"/>
      <c r="BM158" s="27" t="n"/>
    </row>
    <row r="159">
      <c r="A159" s="27" t="n"/>
      <c r="B159" s="27" t="n"/>
      <c r="C159" s="28">
        <f>IF(A159="","",$B$2)</f>
        <v/>
      </c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  <c r="AA159" s="27" t="n"/>
      <c r="AB159" s="27" t="n"/>
      <c r="AC159" s="27" t="n"/>
      <c r="AD159" s="27" t="n"/>
      <c r="AE159" s="27" t="n"/>
      <c r="AF159" s="27" t="n"/>
      <c r="AG159" s="27" t="n"/>
      <c r="AH159" s="27" t="n"/>
      <c r="AI159" s="27" t="n"/>
      <c r="AJ159" s="27" t="n"/>
      <c r="AK159" s="27" t="n"/>
      <c r="AL159" s="27" t="n"/>
      <c r="AM159" s="27" t="n"/>
      <c r="AN159" s="27" t="n"/>
      <c r="AO159" s="27" t="n"/>
      <c r="AP159" s="27" t="n"/>
      <c r="AQ159" s="27" t="n"/>
      <c r="AR159" s="27" t="n"/>
      <c r="AS159" s="27" t="n"/>
      <c r="AT159" s="27" t="n"/>
      <c r="AU159" s="27" t="n"/>
      <c r="AV159" s="27" t="n"/>
      <c r="AW159" s="27" t="n"/>
      <c r="AX159" s="27" t="n"/>
      <c r="AY159" s="27" t="n"/>
      <c r="AZ159" s="27" t="n"/>
      <c r="BA159" s="27" t="n"/>
      <c r="BB159" s="27" t="n"/>
      <c r="BC159" s="27" t="n"/>
      <c r="BD159" s="27" t="n"/>
      <c r="BE159" s="27" t="n"/>
      <c r="BF159" s="27" t="n"/>
      <c r="BG159" s="27" t="n"/>
      <c r="BH159" s="27" t="n"/>
      <c r="BI159" s="29" t="n"/>
      <c r="BJ159" s="27" t="n"/>
      <c r="BK159" s="27" t="n"/>
      <c r="BL159" s="27" t="n"/>
      <c r="BM159" s="27" t="n"/>
    </row>
    <row r="160">
      <c r="A160" s="27" t="n"/>
      <c r="B160" s="27" t="n"/>
      <c r="C160" s="28">
        <f>IF(A160="","",$B$2)</f>
        <v/>
      </c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  <c r="AA160" s="27" t="n"/>
      <c r="AB160" s="27" t="n"/>
      <c r="AC160" s="27" t="n"/>
      <c r="AD160" s="27" t="n"/>
      <c r="AE160" s="27" t="n"/>
      <c r="AF160" s="27" t="n"/>
      <c r="AG160" s="27" t="n"/>
      <c r="AH160" s="27" t="n"/>
      <c r="AI160" s="27" t="n"/>
      <c r="AJ160" s="27" t="n"/>
      <c r="AK160" s="27" t="n"/>
      <c r="AL160" s="27" t="n"/>
      <c r="AM160" s="27" t="n"/>
      <c r="AN160" s="27" t="n"/>
      <c r="AO160" s="27" t="n"/>
      <c r="AP160" s="27" t="n"/>
      <c r="AQ160" s="27" t="n"/>
      <c r="AR160" s="27" t="n"/>
      <c r="AS160" s="27" t="n"/>
      <c r="AT160" s="27" t="n"/>
      <c r="AU160" s="27" t="n"/>
      <c r="AV160" s="27" t="n"/>
      <c r="AW160" s="27" t="n"/>
      <c r="AX160" s="27" t="n"/>
      <c r="AY160" s="27" t="n"/>
      <c r="AZ160" s="27" t="n"/>
      <c r="BA160" s="27" t="n"/>
      <c r="BB160" s="27" t="n"/>
      <c r="BC160" s="27" t="n"/>
      <c r="BD160" s="27" t="n"/>
      <c r="BE160" s="27" t="n"/>
      <c r="BF160" s="27" t="n"/>
      <c r="BG160" s="27" t="n"/>
      <c r="BH160" s="27" t="n"/>
      <c r="BI160" s="29" t="n"/>
      <c r="BJ160" s="27" t="n"/>
      <c r="BK160" s="27" t="n"/>
      <c r="BL160" s="27" t="n"/>
      <c r="BM160" s="27" t="n"/>
    </row>
    <row r="161">
      <c r="A161" s="27" t="n"/>
      <c r="B161" s="27" t="n"/>
      <c r="C161" s="28">
        <f>IF(A161="","",$B$2)</f>
        <v/>
      </c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  <c r="AA161" s="27" t="n"/>
      <c r="AB161" s="27" t="n"/>
      <c r="AC161" s="27" t="n"/>
      <c r="AD161" s="27" t="n"/>
      <c r="AE161" s="27" t="n"/>
      <c r="AF161" s="27" t="n"/>
      <c r="AG161" s="27" t="n"/>
      <c r="AH161" s="27" t="n"/>
      <c r="AI161" s="27" t="n"/>
      <c r="AJ161" s="27" t="n"/>
      <c r="AK161" s="27" t="n"/>
      <c r="AL161" s="27" t="n"/>
      <c r="AM161" s="27" t="n"/>
      <c r="AN161" s="27" t="n"/>
      <c r="AO161" s="27" t="n"/>
      <c r="AP161" s="27" t="n"/>
      <c r="AQ161" s="27" t="n"/>
      <c r="AR161" s="27" t="n"/>
      <c r="AS161" s="27" t="n"/>
      <c r="AT161" s="27" t="n"/>
      <c r="AU161" s="27" t="n"/>
      <c r="AV161" s="27" t="n"/>
      <c r="AW161" s="27" t="n"/>
      <c r="AX161" s="27" t="n"/>
      <c r="AY161" s="27" t="n"/>
      <c r="AZ161" s="27" t="n"/>
      <c r="BA161" s="27" t="n"/>
      <c r="BB161" s="27" t="n"/>
      <c r="BC161" s="27" t="n"/>
      <c r="BD161" s="27" t="n"/>
      <c r="BE161" s="27" t="n"/>
      <c r="BF161" s="27" t="n"/>
      <c r="BG161" s="27" t="n"/>
      <c r="BH161" s="27" t="n"/>
      <c r="BI161" s="29" t="n"/>
      <c r="BJ161" s="27" t="n"/>
      <c r="BK161" s="27" t="n"/>
      <c r="BL161" s="27" t="n"/>
      <c r="BM161" s="27" t="n"/>
    </row>
    <row r="162">
      <c r="A162" s="27" t="n"/>
      <c r="B162" s="27" t="n"/>
      <c r="C162" s="28">
        <f>IF(A162="","",$B$2)</f>
        <v/>
      </c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  <c r="AA162" s="27" t="n"/>
      <c r="AB162" s="27" t="n"/>
      <c r="AC162" s="27" t="n"/>
      <c r="AD162" s="27" t="n"/>
      <c r="AE162" s="27" t="n"/>
      <c r="AF162" s="27" t="n"/>
      <c r="AG162" s="27" t="n"/>
      <c r="AH162" s="27" t="n"/>
      <c r="AI162" s="27" t="n"/>
      <c r="AJ162" s="27" t="n"/>
      <c r="AK162" s="27" t="n"/>
      <c r="AL162" s="27" t="n"/>
      <c r="AM162" s="27" t="n"/>
      <c r="AN162" s="27" t="n"/>
      <c r="AO162" s="27" t="n"/>
      <c r="AP162" s="27" t="n"/>
      <c r="AQ162" s="27" t="n"/>
      <c r="AR162" s="27" t="n"/>
      <c r="AS162" s="27" t="n"/>
      <c r="AT162" s="27" t="n"/>
      <c r="AU162" s="27" t="n"/>
      <c r="AV162" s="27" t="n"/>
      <c r="AW162" s="27" t="n"/>
      <c r="AX162" s="27" t="n"/>
      <c r="AY162" s="27" t="n"/>
      <c r="AZ162" s="27" t="n"/>
      <c r="BA162" s="27" t="n"/>
      <c r="BB162" s="27" t="n"/>
      <c r="BC162" s="27" t="n"/>
      <c r="BD162" s="27" t="n"/>
      <c r="BE162" s="27" t="n"/>
      <c r="BF162" s="27" t="n"/>
      <c r="BG162" s="27" t="n"/>
      <c r="BH162" s="27" t="n"/>
      <c r="BI162" s="29" t="n"/>
      <c r="BJ162" s="27" t="n"/>
      <c r="BK162" s="27" t="n"/>
      <c r="BL162" s="27" t="n"/>
      <c r="BM162" s="27" t="n"/>
    </row>
    <row r="163">
      <c r="A163" s="27" t="n"/>
      <c r="B163" s="27" t="n"/>
      <c r="C163" s="28">
        <f>IF(A163="","",$B$2)</f>
        <v/>
      </c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  <c r="AA163" s="27" t="n"/>
      <c r="AB163" s="27" t="n"/>
      <c r="AC163" s="27" t="n"/>
      <c r="AD163" s="27" t="n"/>
      <c r="AE163" s="27" t="n"/>
      <c r="AF163" s="27" t="n"/>
      <c r="AG163" s="27" t="n"/>
      <c r="AH163" s="27" t="n"/>
      <c r="AI163" s="27" t="n"/>
      <c r="AJ163" s="27" t="n"/>
      <c r="AK163" s="27" t="n"/>
      <c r="AL163" s="27" t="n"/>
      <c r="AM163" s="27" t="n"/>
      <c r="AN163" s="27" t="n"/>
      <c r="AO163" s="27" t="n"/>
      <c r="AP163" s="27" t="n"/>
      <c r="AQ163" s="27" t="n"/>
      <c r="AR163" s="27" t="n"/>
      <c r="AS163" s="27" t="n"/>
      <c r="AT163" s="27" t="n"/>
      <c r="AU163" s="27" t="n"/>
      <c r="AV163" s="27" t="n"/>
      <c r="AW163" s="27" t="n"/>
      <c r="AX163" s="27" t="n"/>
      <c r="AY163" s="27" t="n"/>
      <c r="AZ163" s="27" t="n"/>
      <c r="BA163" s="27" t="n"/>
      <c r="BB163" s="27" t="n"/>
      <c r="BC163" s="27" t="n"/>
      <c r="BD163" s="27" t="n"/>
      <c r="BE163" s="27" t="n"/>
      <c r="BF163" s="27" t="n"/>
      <c r="BG163" s="27" t="n"/>
      <c r="BH163" s="27" t="n"/>
      <c r="BI163" s="29" t="n"/>
      <c r="BJ163" s="27" t="n"/>
      <c r="BK163" s="27" t="n"/>
      <c r="BL163" s="27" t="n"/>
      <c r="BM163" s="27" t="n"/>
    </row>
    <row r="164">
      <c r="A164" s="27" t="n"/>
      <c r="B164" s="27" t="n"/>
      <c r="C164" s="28">
        <f>IF(A164="","",$B$2)</f>
        <v/>
      </c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  <c r="AA164" s="27" t="n"/>
      <c r="AB164" s="27" t="n"/>
      <c r="AC164" s="27" t="n"/>
      <c r="AD164" s="27" t="n"/>
      <c r="AE164" s="27" t="n"/>
      <c r="AF164" s="27" t="n"/>
      <c r="AG164" s="27" t="n"/>
      <c r="AH164" s="27" t="n"/>
      <c r="AI164" s="27" t="n"/>
      <c r="AJ164" s="27" t="n"/>
      <c r="AK164" s="27" t="n"/>
      <c r="AL164" s="27" t="n"/>
      <c r="AM164" s="27" t="n"/>
      <c r="AN164" s="27" t="n"/>
      <c r="AO164" s="27" t="n"/>
      <c r="AP164" s="27" t="n"/>
      <c r="AQ164" s="27" t="n"/>
      <c r="AR164" s="27" t="n"/>
      <c r="AS164" s="27" t="n"/>
      <c r="AT164" s="27" t="n"/>
      <c r="AU164" s="27" t="n"/>
      <c r="AV164" s="27" t="n"/>
      <c r="AW164" s="27" t="n"/>
      <c r="AX164" s="27" t="n"/>
      <c r="AY164" s="27" t="n"/>
      <c r="AZ164" s="27" t="n"/>
      <c r="BA164" s="27" t="n"/>
      <c r="BB164" s="27" t="n"/>
      <c r="BC164" s="27" t="n"/>
      <c r="BD164" s="27" t="n"/>
      <c r="BE164" s="27" t="n"/>
      <c r="BF164" s="27" t="n"/>
      <c r="BG164" s="27" t="n"/>
      <c r="BH164" s="27" t="n"/>
      <c r="BI164" s="29" t="n"/>
      <c r="BJ164" s="27" t="n"/>
      <c r="BK164" s="27" t="n"/>
      <c r="BL164" s="27" t="n"/>
      <c r="BM164" s="27" t="n"/>
    </row>
    <row r="165">
      <c r="A165" s="27" t="n"/>
      <c r="B165" s="27" t="n"/>
      <c r="C165" s="28">
        <f>IF(A165="","",$B$2)</f>
        <v/>
      </c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  <c r="AA165" s="27" t="n"/>
      <c r="AB165" s="27" t="n"/>
      <c r="AC165" s="27" t="n"/>
      <c r="AD165" s="27" t="n"/>
      <c r="AE165" s="27" t="n"/>
      <c r="AF165" s="27" t="n"/>
      <c r="AG165" s="27" t="n"/>
      <c r="AH165" s="27" t="n"/>
      <c r="AI165" s="27" t="n"/>
      <c r="AJ165" s="27" t="n"/>
      <c r="AK165" s="27" t="n"/>
      <c r="AL165" s="27" t="n"/>
      <c r="AM165" s="27" t="n"/>
      <c r="AN165" s="27" t="n"/>
      <c r="AO165" s="27" t="n"/>
      <c r="AP165" s="27" t="n"/>
      <c r="AQ165" s="27" t="n"/>
      <c r="AR165" s="27" t="n"/>
      <c r="AS165" s="27" t="n"/>
      <c r="AT165" s="27" t="n"/>
      <c r="AU165" s="27" t="n"/>
      <c r="AV165" s="27" t="n"/>
      <c r="AW165" s="27" t="n"/>
      <c r="AX165" s="27" t="n"/>
      <c r="AY165" s="27" t="n"/>
      <c r="AZ165" s="27" t="n"/>
      <c r="BA165" s="27" t="n"/>
      <c r="BB165" s="27" t="n"/>
      <c r="BC165" s="27" t="n"/>
      <c r="BD165" s="27" t="n"/>
      <c r="BE165" s="27" t="n"/>
      <c r="BF165" s="27" t="n"/>
      <c r="BG165" s="27" t="n"/>
      <c r="BH165" s="27" t="n"/>
      <c r="BI165" s="29" t="n"/>
      <c r="BJ165" s="27" t="n"/>
      <c r="BK165" s="27" t="n"/>
      <c r="BL165" s="27" t="n"/>
      <c r="BM165" s="27" t="n"/>
    </row>
    <row r="166">
      <c r="A166" s="27" t="n"/>
      <c r="B166" s="27" t="n"/>
      <c r="C166" s="28">
        <f>IF(A166="","",$B$2)</f>
        <v/>
      </c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  <c r="AA166" s="27" t="n"/>
      <c r="AB166" s="27" t="n"/>
      <c r="AC166" s="27" t="n"/>
      <c r="AD166" s="27" t="n"/>
      <c r="AE166" s="27" t="n"/>
      <c r="AF166" s="27" t="n"/>
      <c r="AG166" s="27" t="n"/>
      <c r="AH166" s="27" t="n"/>
      <c r="AI166" s="27" t="n"/>
      <c r="AJ166" s="27" t="n"/>
      <c r="AK166" s="27" t="n"/>
      <c r="AL166" s="27" t="n"/>
      <c r="AM166" s="27" t="n"/>
      <c r="AN166" s="27" t="n"/>
      <c r="AO166" s="27" t="n"/>
      <c r="AP166" s="27" t="n"/>
      <c r="AQ166" s="27" t="n"/>
      <c r="AR166" s="27" t="n"/>
      <c r="AS166" s="27" t="n"/>
      <c r="AT166" s="27" t="n"/>
      <c r="AU166" s="27" t="n"/>
      <c r="AV166" s="27" t="n"/>
      <c r="AW166" s="27" t="n"/>
      <c r="AX166" s="27" t="n"/>
      <c r="AY166" s="27" t="n"/>
      <c r="AZ166" s="27" t="n"/>
      <c r="BA166" s="27" t="n"/>
      <c r="BB166" s="27" t="n"/>
      <c r="BC166" s="27" t="n"/>
      <c r="BD166" s="27" t="n"/>
      <c r="BE166" s="27" t="n"/>
      <c r="BF166" s="27" t="n"/>
      <c r="BG166" s="27" t="n"/>
      <c r="BH166" s="27" t="n"/>
      <c r="BI166" s="29" t="n"/>
      <c r="BJ166" s="27" t="n"/>
      <c r="BK166" s="27" t="n"/>
      <c r="BL166" s="27" t="n"/>
      <c r="BM166" s="27" t="n"/>
    </row>
    <row r="167">
      <c r="A167" s="27" t="n"/>
      <c r="B167" s="27" t="n"/>
      <c r="C167" s="28">
        <f>IF(A167="","",$B$2)</f>
        <v/>
      </c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  <c r="AA167" s="27" t="n"/>
      <c r="AB167" s="27" t="n"/>
      <c r="AC167" s="27" t="n"/>
      <c r="AD167" s="27" t="n"/>
      <c r="AE167" s="27" t="n"/>
      <c r="AF167" s="27" t="n"/>
      <c r="AG167" s="27" t="n"/>
      <c r="AH167" s="27" t="n"/>
      <c r="AI167" s="27" t="n"/>
      <c r="AJ167" s="27" t="n"/>
      <c r="AK167" s="27" t="n"/>
      <c r="AL167" s="27" t="n"/>
      <c r="AM167" s="27" t="n"/>
      <c r="AN167" s="27" t="n"/>
      <c r="AO167" s="27" t="n"/>
      <c r="AP167" s="27" t="n"/>
      <c r="AQ167" s="27" t="n"/>
      <c r="AR167" s="27" t="n"/>
      <c r="AS167" s="27" t="n"/>
      <c r="AT167" s="27" t="n"/>
      <c r="AU167" s="27" t="n"/>
      <c r="AV167" s="27" t="n"/>
      <c r="AW167" s="27" t="n"/>
      <c r="AX167" s="27" t="n"/>
      <c r="AY167" s="27" t="n"/>
      <c r="AZ167" s="27" t="n"/>
      <c r="BA167" s="27" t="n"/>
      <c r="BB167" s="27" t="n"/>
      <c r="BC167" s="27" t="n"/>
      <c r="BD167" s="27" t="n"/>
      <c r="BE167" s="27" t="n"/>
      <c r="BF167" s="27" t="n"/>
      <c r="BG167" s="27" t="n"/>
      <c r="BH167" s="27" t="n"/>
      <c r="BI167" s="29" t="n"/>
      <c r="BJ167" s="27" t="n"/>
      <c r="BK167" s="27" t="n"/>
      <c r="BL167" s="27" t="n"/>
      <c r="BM167" s="27" t="n"/>
    </row>
    <row r="168">
      <c r="A168" s="27" t="n"/>
      <c r="B168" s="27" t="n"/>
      <c r="C168" s="28">
        <f>IF(A168="","",$B$2)</f>
        <v/>
      </c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  <c r="AA168" s="27" t="n"/>
      <c r="AB168" s="27" t="n"/>
      <c r="AC168" s="27" t="n"/>
      <c r="AD168" s="27" t="n"/>
      <c r="AE168" s="27" t="n"/>
      <c r="AF168" s="27" t="n"/>
      <c r="AG168" s="27" t="n"/>
      <c r="AH168" s="27" t="n"/>
      <c r="AI168" s="27" t="n"/>
      <c r="AJ168" s="27" t="n"/>
      <c r="AK168" s="27" t="n"/>
      <c r="AL168" s="27" t="n"/>
      <c r="AM168" s="27" t="n"/>
      <c r="AN168" s="27" t="n"/>
      <c r="AO168" s="27" t="n"/>
      <c r="AP168" s="27" t="n"/>
      <c r="AQ168" s="27" t="n"/>
      <c r="AR168" s="27" t="n"/>
      <c r="AS168" s="27" t="n"/>
      <c r="AT168" s="27" t="n"/>
      <c r="AU168" s="27" t="n"/>
      <c r="AV168" s="27" t="n"/>
      <c r="AW168" s="27" t="n"/>
      <c r="AX168" s="27" t="n"/>
      <c r="AY168" s="27" t="n"/>
      <c r="AZ168" s="27" t="n"/>
      <c r="BA168" s="27" t="n"/>
      <c r="BB168" s="27" t="n"/>
      <c r="BC168" s="27" t="n"/>
      <c r="BD168" s="27" t="n"/>
      <c r="BE168" s="27" t="n"/>
      <c r="BF168" s="27" t="n"/>
      <c r="BG168" s="27" t="n"/>
      <c r="BH168" s="27" t="n"/>
      <c r="BI168" s="29" t="n"/>
      <c r="BJ168" s="27" t="n"/>
      <c r="BK168" s="27" t="n"/>
      <c r="BL168" s="27" t="n"/>
      <c r="BM168" s="27" t="n"/>
    </row>
    <row r="169">
      <c r="A169" s="27" t="n"/>
      <c r="B169" s="27" t="n"/>
      <c r="C169" s="28">
        <f>IF(A169="","",$B$2)</f>
        <v/>
      </c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  <c r="AA169" s="27" t="n"/>
      <c r="AB169" s="27" t="n"/>
      <c r="AC169" s="27" t="n"/>
      <c r="AD169" s="27" t="n"/>
      <c r="AE169" s="27" t="n"/>
      <c r="AF169" s="27" t="n"/>
      <c r="AG169" s="27" t="n"/>
      <c r="AH169" s="27" t="n"/>
      <c r="AI169" s="27" t="n"/>
      <c r="AJ169" s="27" t="n"/>
      <c r="AK169" s="27" t="n"/>
      <c r="AL169" s="27" t="n"/>
      <c r="AM169" s="27" t="n"/>
      <c r="AN169" s="27" t="n"/>
      <c r="AO169" s="27" t="n"/>
      <c r="AP169" s="27" t="n"/>
      <c r="AQ169" s="27" t="n"/>
      <c r="AR169" s="27" t="n"/>
      <c r="AS169" s="27" t="n"/>
      <c r="AT169" s="27" t="n"/>
      <c r="AU169" s="27" t="n"/>
      <c r="AV169" s="27" t="n"/>
      <c r="AW169" s="27" t="n"/>
      <c r="AX169" s="27" t="n"/>
      <c r="AY169" s="27" t="n"/>
      <c r="AZ169" s="27" t="n"/>
      <c r="BA169" s="27" t="n"/>
      <c r="BB169" s="27" t="n"/>
      <c r="BC169" s="27" t="n"/>
      <c r="BD169" s="27" t="n"/>
      <c r="BE169" s="27" t="n"/>
      <c r="BF169" s="27" t="n"/>
      <c r="BG169" s="27" t="n"/>
      <c r="BH169" s="27" t="n"/>
      <c r="BI169" s="29" t="n"/>
      <c r="BJ169" s="27" t="n"/>
      <c r="BK169" s="27" t="n"/>
      <c r="BL169" s="27" t="n"/>
      <c r="BM169" s="27" t="n"/>
    </row>
    <row r="170">
      <c r="A170" s="27" t="n"/>
      <c r="B170" s="27" t="n"/>
      <c r="C170" s="28">
        <f>IF(A170="","",$B$2)</f>
        <v/>
      </c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  <c r="AA170" s="27" t="n"/>
      <c r="AB170" s="27" t="n"/>
      <c r="AC170" s="27" t="n"/>
      <c r="AD170" s="27" t="n"/>
      <c r="AE170" s="27" t="n"/>
      <c r="AF170" s="27" t="n"/>
      <c r="AG170" s="27" t="n"/>
      <c r="AH170" s="27" t="n"/>
      <c r="AI170" s="27" t="n"/>
      <c r="AJ170" s="27" t="n"/>
      <c r="AK170" s="27" t="n"/>
      <c r="AL170" s="27" t="n"/>
      <c r="AM170" s="27" t="n"/>
      <c r="AN170" s="27" t="n"/>
      <c r="AO170" s="27" t="n"/>
      <c r="AP170" s="27" t="n"/>
      <c r="AQ170" s="27" t="n"/>
      <c r="AR170" s="27" t="n"/>
      <c r="AS170" s="27" t="n"/>
      <c r="AT170" s="27" t="n"/>
      <c r="AU170" s="27" t="n"/>
      <c r="AV170" s="27" t="n"/>
      <c r="AW170" s="27" t="n"/>
      <c r="AX170" s="27" t="n"/>
      <c r="AY170" s="27" t="n"/>
      <c r="AZ170" s="27" t="n"/>
      <c r="BA170" s="27" t="n"/>
      <c r="BB170" s="27" t="n"/>
      <c r="BC170" s="27" t="n"/>
      <c r="BD170" s="27" t="n"/>
      <c r="BE170" s="27" t="n"/>
      <c r="BF170" s="27" t="n"/>
      <c r="BG170" s="27" t="n"/>
      <c r="BH170" s="27" t="n"/>
      <c r="BI170" s="29" t="n"/>
      <c r="BJ170" s="27" t="n"/>
      <c r="BK170" s="27" t="n"/>
      <c r="BL170" s="27" t="n"/>
      <c r="BM170" s="27" t="n"/>
    </row>
    <row r="171">
      <c r="A171" s="27" t="n"/>
      <c r="B171" s="27" t="n"/>
      <c r="C171" s="28">
        <f>IF(A171="","",$B$2)</f>
        <v/>
      </c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  <c r="AA171" s="27" t="n"/>
      <c r="AB171" s="27" t="n"/>
      <c r="AC171" s="27" t="n"/>
      <c r="AD171" s="27" t="n"/>
      <c r="AE171" s="27" t="n"/>
      <c r="AF171" s="27" t="n"/>
      <c r="AG171" s="27" t="n"/>
      <c r="AH171" s="27" t="n"/>
      <c r="AI171" s="27" t="n"/>
      <c r="AJ171" s="27" t="n"/>
      <c r="AK171" s="27" t="n"/>
      <c r="AL171" s="27" t="n"/>
      <c r="AM171" s="27" t="n"/>
      <c r="AN171" s="27" t="n"/>
      <c r="AO171" s="27" t="n"/>
      <c r="AP171" s="27" t="n"/>
      <c r="AQ171" s="27" t="n"/>
      <c r="AR171" s="27" t="n"/>
      <c r="AS171" s="27" t="n"/>
      <c r="AT171" s="27" t="n"/>
      <c r="AU171" s="27" t="n"/>
      <c r="AV171" s="27" t="n"/>
      <c r="AW171" s="27" t="n"/>
      <c r="AX171" s="27" t="n"/>
      <c r="AY171" s="27" t="n"/>
      <c r="AZ171" s="27" t="n"/>
      <c r="BA171" s="27" t="n"/>
      <c r="BB171" s="27" t="n"/>
      <c r="BC171" s="27" t="n"/>
      <c r="BD171" s="27" t="n"/>
      <c r="BE171" s="27" t="n"/>
      <c r="BF171" s="27" t="n"/>
      <c r="BG171" s="27" t="n"/>
      <c r="BH171" s="27" t="n"/>
      <c r="BI171" s="29" t="n"/>
      <c r="BJ171" s="27" t="n"/>
      <c r="BK171" s="27" t="n"/>
      <c r="BL171" s="27" t="n"/>
      <c r="BM171" s="27" t="n"/>
    </row>
    <row r="172">
      <c r="A172" s="27" t="n"/>
      <c r="B172" s="27" t="n"/>
      <c r="C172" s="28">
        <f>IF(A172="","",$B$2)</f>
        <v/>
      </c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  <c r="AA172" s="27" t="n"/>
      <c r="AB172" s="27" t="n"/>
      <c r="AC172" s="27" t="n"/>
      <c r="AD172" s="27" t="n"/>
      <c r="AE172" s="27" t="n"/>
      <c r="AF172" s="27" t="n"/>
      <c r="AG172" s="27" t="n"/>
      <c r="AH172" s="27" t="n"/>
      <c r="AI172" s="27" t="n"/>
      <c r="AJ172" s="27" t="n"/>
      <c r="AK172" s="27" t="n"/>
      <c r="AL172" s="27" t="n"/>
      <c r="AM172" s="27" t="n"/>
      <c r="AN172" s="27" t="n"/>
      <c r="AO172" s="27" t="n"/>
      <c r="AP172" s="27" t="n"/>
      <c r="AQ172" s="27" t="n"/>
      <c r="AR172" s="27" t="n"/>
      <c r="AS172" s="27" t="n"/>
      <c r="AT172" s="27" t="n"/>
      <c r="AU172" s="27" t="n"/>
      <c r="AV172" s="27" t="n"/>
      <c r="AW172" s="27" t="n"/>
      <c r="AX172" s="27" t="n"/>
      <c r="AY172" s="27" t="n"/>
      <c r="AZ172" s="27" t="n"/>
      <c r="BA172" s="27" t="n"/>
      <c r="BB172" s="27" t="n"/>
      <c r="BC172" s="27" t="n"/>
      <c r="BD172" s="27" t="n"/>
      <c r="BE172" s="27" t="n"/>
      <c r="BF172" s="27" t="n"/>
      <c r="BG172" s="27" t="n"/>
      <c r="BH172" s="27" t="n"/>
      <c r="BI172" s="29" t="n"/>
      <c r="BJ172" s="27" t="n"/>
      <c r="BK172" s="27" t="n"/>
      <c r="BL172" s="27" t="n"/>
      <c r="BM172" s="27" t="n"/>
    </row>
    <row r="173">
      <c r="A173" s="27" t="n"/>
      <c r="B173" s="27" t="n"/>
      <c r="C173" s="28">
        <f>IF(A173="","",$B$2)</f>
        <v/>
      </c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  <c r="AA173" s="27" t="n"/>
      <c r="AB173" s="27" t="n"/>
      <c r="AC173" s="27" t="n"/>
      <c r="AD173" s="27" t="n"/>
      <c r="AE173" s="27" t="n"/>
      <c r="AF173" s="27" t="n"/>
      <c r="AG173" s="27" t="n"/>
      <c r="AH173" s="27" t="n"/>
      <c r="AI173" s="27" t="n"/>
      <c r="AJ173" s="27" t="n"/>
      <c r="AK173" s="27" t="n"/>
      <c r="AL173" s="27" t="n"/>
      <c r="AM173" s="27" t="n"/>
      <c r="AN173" s="27" t="n"/>
      <c r="AO173" s="27" t="n"/>
      <c r="AP173" s="27" t="n"/>
      <c r="AQ173" s="27" t="n"/>
      <c r="AR173" s="27" t="n"/>
      <c r="AS173" s="27" t="n"/>
      <c r="AT173" s="27" t="n"/>
      <c r="AU173" s="27" t="n"/>
      <c r="AV173" s="27" t="n"/>
      <c r="AW173" s="27" t="n"/>
      <c r="AX173" s="27" t="n"/>
      <c r="AY173" s="27" t="n"/>
      <c r="AZ173" s="27" t="n"/>
      <c r="BA173" s="27" t="n"/>
      <c r="BB173" s="27" t="n"/>
      <c r="BC173" s="27" t="n"/>
      <c r="BD173" s="27" t="n"/>
      <c r="BE173" s="27" t="n"/>
      <c r="BF173" s="27" t="n"/>
      <c r="BG173" s="27" t="n"/>
      <c r="BH173" s="27" t="n"/>
      <c r="BI173" s="29" t="n"/>
      <c r="BJ173" s="27" t="n"/>
      <c r="BK173" s="27" t="n"/>
      <c r="BL173" s="27" t="n"/>
      <c r="BM173" s="27" t="n"/>
    </row>
    <row r="174">
      <c r="A174" s="27" t="n"/>
      <c r="B174" s="27" t="n"/>
      <c r="C174" s="28">
        <f>IF(A174="","",$B$2)</f>
        <v/>
      </c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  <c r="AA174" s="27" t="n"/>
      <c r="AB174" s="27" t="n"/>
      <c r="AC174" s="27" t="n"/>
      <c r="AD174" s="27" t="n"/>
      <c r="AE174" s="27" t="n"/>
      <c r="AF174" s="27" t="n"/>
      <c r="AG174" s="27" t="n"/>
      <c r="AH174" s="27" t="n"/>
      <c r="AI174" s="27" t="n"/>
      <c r="AJ174" s="27" t="n"/>
      <c r="AK174" s="27" t="n"/>
      <c r="AL174" s="27" t="n"/>
      <c r="AM174" s="27" t="n"/>
      <c r="AN174" s="27" t="n"/>
      <c r="AO174" s="27" t="n"/>
      <c r="AP174" s="27" t="n"/>
      <c r="AQ174" s="27" t="n"/>
      <c r="AR174" s="27" t="n"/>
      <c r="AS174" s="27" t="n"/>
      <c r="AT174" s="27" t="n"/>
      <c r="AU174" s="27" t="n"/>
      <c r="AV174" s="27" t="n"/>
      <c r="AW174" s="27" t="n"/>
      <c r="AX174" s="27" t="n"/>
      <c r="AY174" s="27" t="n"/>
      <c r="AZ174" s="27" t="n"/>
      <c r="BA174" s="27" t="n"/>
      <c r="BB174" s="27" t="n"/>
      <c r="BC174" s="27" t="n"/>
      <c r="BD174" s="27" t="n"/>
      <c r="BE174" s="27" t="n"/>
      <c r="BF174" s="27" t="n"/>
      <c r="BG174" s="27" t="n"/>
      <c r="BH174" s="27" t="n"/>
      <c r="BI174" s="29" t="n"/>
      <c r="BJ174" s="27" t="n"/>
      <c r="BK174" s="27" t="n"/>
      <c r="BL174" s="27" t="n"/>
      <c r="BM174" s="27" t="n"/>
    </row>
    <row r="175">
      <c r="A175" s="27" t="n"/>
      <c r="B175" s="27" t="n"/>
      <c r="C175" s="28">
        <f>IF(A175="","",$B$2)</f>
        <v/>
      </c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  <c r="AA175" s="27" t="n"/>
      <c r="AB175" s="27" t="n"/>
      <c r="AC175" s="27" t="n"/>
      <c r="AD175" s="27" t="n"/>
      <c r="AE175" s="27" t="n"/>
      <c r="AF175" s="27" t="n"/>
      <c r="AG175" s="27" t="n"/>
      <c r="AH175" s="27" t="n"/>
      <c r="AI175" s="27" t="n"/>
      <c r="AJ175" s="27" t="n"/>
      <c r="AK175" s="27" t="n"/>
      <c r="AL175" s="27" t="n"/>
      <c r="AM175" s="27" t="n"/>
      <c r="AN175" s="27" t="n"/>
      <c r="AO175" s="27" t="n"/>
      <c r="AP175" s="27" t="n"/>
      <c r="AQ175" s="27" t="n"/>
      <c r="AR175" s="27" t="n"/>
      <c r="AS175" s="27" t="n"/>
      <c r="AT175" s="27" t="n"/>
      <c r="AU175" s="27" t="n"/>
      <c r="AV175" s="27" t="n"/>
      <c r="AW175" s="27" t="n"/>
      <c r="AX175" s="27" t="n"/>
      <c r="AY175" s="27" t="n"/>
      <c r="AZ175" s="27" t="n"/>
      <c r="BA175" s="27" t="n"/>
      <c r="BB175" s="27" t="n"/>
      <c r="BC175" s="27" t="n"/>
      <c r="BD175" s="27" t="n"/>
      <c r="BE175" s="27" t="n"/>
      <c r="BF175" s="27" t="n"/>
      <c r="BG175" s="27" t="n"/>
      <c r="BH175" s="27" t="n"/>
      <c r="BI175" s="29" t="n"/>
      <c r="BJ175" s="27" t="n"/>
      <c r="BK175" s="27" t="n"/>
      <c r="BL175" s="27" t="n"/>
      <c r="BM175" s="27" t="n"/>
    </row>
    <row r="176">
      <c r="A176" s="27" t="n"/>
      <c r="B176" s="27" t="n"/>
      <c r="C176" s="28">
        <f>IF(A176="","",$B$2)</f>
        <v/>
      </c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  <c r="AA176" s="27" t="n"/>
      <c r="AB176" s="27" t="n"/>
      <c r="AC176" s="27" t="n"/>
      <c r="AD176" s="27" t="n"/>
      <c r="AE176" s="27" t="n"/>
      <c r="AF176" s="27" t="n"/>
      <c r="AG176" s="27" t="n"/>
      <c r="AH176" s="27" t="n"/>
      <c r="AI176" s="27" t="n"/>
      <c r="AJ176" s="27" t="n"/>
      <c r="AK176" s="27" t="n"/>
      <c r="AL176" s="27" t="n"/>
      <c r="AM176" s="27" t="n"/>
      <c r="AN176" s="27" t="n"/>
      <c r="AO176" s="27" t="n"/>
      <c r="AP176" s="27" t="n"/>
      <c r="AQ176" s="27" t="n"/>
      <c r="AR176" s="27" t="n"/>
      <c r="AS176" s="27" t="n"/>
      <c r="AT176" s="27" t="n"/>
      <c r="AU176" s="27" t="n"/>
      <c r="AV176" s="27" t="n"/>
      <c r="AW176" s="27" t="n"/>
      <c r="AX176" s="27" t="n"/>
      <c r="AY176" s="27" t="n"/>
      <c r="AZ176" s="27" t="n"/>
      <c r="BA176" s="27" t="n"/>
      <c r="BB176" s="27" t="n"/>
      <c r="BC176" s="27" t="n"/>
      <c r="BD176" s="27" t="n"/>
      <c r="BE176" s="27" t="n"/>
      <c r="BF176" s="27" t="n"/>
      <c r="BG176" s="27" t="n"/>
      <c r="BH176" s="27" t="n"/>
      <c r="BI176" s="29" t="n"/>
      <c r="BJ176" s="27" t="n"/>
      <c r="BK176" s="27" t="n"/>
      <c r="BL176" s="27" t="n"/>
      <c r="BM176" s="27" t="n"/>
    </row>
    <row r="177">
      <c r="A177" s="27" t="n"/>
      <c r="B177" s="27" t="n"/>
      <c r="C177" s="28">
        <f>IF(A177="","",$B$2)</f>
        <v/>
      </c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  <c r="AA177" s="27" t="n"/>
      <c r="AB177" s="27" t="n"/>
      <c r="AC177" s="27" t="n"/>
      <c r="AD177" s="27" t="n"/>
      <c r="AE177" s="27" t="n"/>
      <c r="AF177" s="27" t="n"/>
      <c r="AG177" s="27" t="n"/>
      <c r="AH177" s="27" t="n"/>
      <c r="AI177" s="27" t="n"/>
      <c r="AJ177" s="27" t="n"/>
      <c r="AK177" s="27" t="n"/>
      <c r="AL177" s="27" t="n"/>
      <c r="AM177" s="27" t="n"/>
      <c r="AN177" s="27" t="n"/>
      <c r="AO177" s="27" t="n"/>
      <c r="AP177" s="27" t="n"/>
      <c r="AQ177" s="27" t="n"/>
      <c r="AR177" s="27" t="n"/>
      <c r="AS177" s="27" t="n"/>
      <c r="AT177" s="27" t="n"/>
      <c r="AU177" s="27" t="n"/>
      <c r="AV177" s="27" t="n"/>
      <c r="AW177" s="27" t="n"/>
      <c r="AX177" s="27" t="n"/>
      <c r="AY177" s="27" t="n"/>
      <c r="AZ177" s="27" t="n"/>
      <c r="BA177" s="27" t="n"/>
      <c r="BB177" s="27" t="n"/>
      <c r="BC177" s="27" t="n"/>
      <c r="BD177" s="27" t="n"/>
      <c r="BE177" s="27" t="n"/>
      <c r="BF177" s="27" t="n"/>
      <c r="BG177" s="27" t="n"/>
      <c r="BH177" s="27" t="n"/>
      <c r="BI177" s="29" t="n"/>
      <c r="BJ177" s="27" t="n"/>
      <c r="BK177" s="27" t="n"/>
      <c r="BL177" s="27" t="n"/>
      <c r="BM177" s="27" t="n"/>
    </row>
    <row r="178">
      <c r="A178" s="27" t="n"/>
      <c r="B178" s="27" t="n"/>
      <c r="C178" s="28">
        <f>IF(A178="","",$B$2)</f>
        <v/>
      </c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  <c r="AA178" s="27" t="n"/>
      <c r="AB178" s="27" t="n"/>
      <c r="AC178" s="27" t="n"/>
      <c r="AD178" s="27" t="n"/>
      <c r="AE178" s="27" t="n"/>
      <c r="AF178" s="27" t="n"/>
      <c r="AG178" s="27" t="n"/>
      <c r="AH178" s="27" t="n"/>
      <c r="AI178" s="27" t="n"/>
      <c r="AJ178" s="27" t="n"/>
      <c r="AK178" s="27" t="n"/>
      <c r="AL178" s="27" t="n"/>
      <c r="AM178" s="27" t="n"/>
      <c r="AN178" s="27" t="n"/>
      <c r="AO178" s="27" t="n"/>
      <c r="AP178" s="27" t="n"/>
      <c r="AQ178" s="27" t="n"/>
      <c r="AR178" s="27" t="n"/>
      <c r="AS178" s="27" t="n"/>
      <c r="AT178" s="27" t="n"/>
      <c r="AU178" s="27" t="n"/>
      <c r="AV178" s="27" t="n"/>
      <c r="AW178" s="27" t="n"/>
      <c r="AX178" s="27" t="n"/>
      <c r="AY178" s="27" t="n"/>
      <c r="AZ178" s="27" t="n"/>
      <c r="BA178" s="27" t="n"/>
      <c r="BB178" s="27" t="n"/>
      <c r="BC178" s="27" t="n"/>
      <c r="BD178" s="27" t="n"/>
      <c r="BE178" s="27" t="n"/>
      <c r="BF178" s="27" t="n"/>
      <c r="BG178" s="27" t="n"/>
      <c r="BH178" s="27" t="n"/>
      <c r="BI178" s="29" t="n"/>
      <c r="BJ178" s="27" t="n"/>
      <c r="BK178" s="27" t="n"/>
      <c r="BL178" s="27" t="n"/>
      <c r="BM178" s="27" t="n"/>
    </row>
    <row r="179">
      <c r="A179" s="27" t="n"/>
      <c r="B179" s="27" t="n"/>
      <c r="C179" s="28">
        <f>IF(A179="","",$B$2)</f>
        <v/>
      </c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  <c r="AA179" s="27" t="n"/>
      <c r="AB179" s="27" t="n"/>
      <c r="AC179" s="27" t="n"/>
      <c r="AD179" s="27" t="n"/>
      <c r="AE179" s="27" t="n"/>
      <c r="AF179" s="27" t="n"/>
      <c r="AG179" s="27" t="n"/>
      <c r="AH179" s="27" t="n"/>
      <c r="AI179" s="27" t="n"/>
      <c r="AJ179" s="27" t="n"/>
      <c r="AK179" s="27" t="n"/>
      <c r="AL179" s="27" t="n"/>
      <c r="AM179" s="27" t="n"/>
      <c r="AN179" s="27" t="n"/>
      <c r="AO179" s="27" t="n"/>
      <c r="AP179" s="27" t="n"/>
      <c r="AQ179" s="27" t="n"/>
      <c r="AR179" s="27" t="n"/>
      <c r="AS179" s="27" t="n"/>
      <c r="AT179" s="27" t="n"/>
      <c r="AU179" s="27" t="n"/>
      <c r="AV179" s="27" t="n"/>
      <c r="AW179" s="27" t="n"/>
      <c r="AX179" s="27" t="n"/>
      <c r="AY179" s="27" t="n"/>
      <c r="AZ179" s="27" t="n"/>
      <c r="BA179" s="27" t="n"/>
      <c r="BB179" s="27" t="n"/>
      <c r="BC179" s="27" t="n"/>
      <c r="BD179" s="27" t="n"/>
      <c r="BE179" s="27" t="n"/>
      <c r="BF179" s="27" t="n"/>
      <c r="BG179" s="27" t="n"/>
      <c r="BH179" s="27" t="n"/>
      <c r="BI179" s="29" t="n"/>
      <c r="BJ179" s="27" t="n"/>
      <c r="BK179" s="27" t="n"/>
      <c r="BL179" s="27" t="n"/>
      <c r="BM179" s="27" t="n"/>
    </row>
    <row r="180">
      <c r="A180" s="27" t="n"/>
      <c r="B180" s="27" t="n"/>
      <c r="C180" s="28">
        <f>IF(A180="","",$B$2)</f>
        <v/>
      </c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  <c r="AA180" s="27" t="n"/>
      <c r="AB180" s="27" t="n"/>
      <c r="AC180" s="27" t="n"/>
      <c r="AD180" s="27" t="n"/>
      <c r="AE180" s="27" t="n"/>
      <c r="AF180" s="27" t="n"/>
      <c r="AG180" s="27" t="n"/>
      <c r="AH180" s="27" t="n"/>
      <c r="AI180" s="27" t="n"/>
      <c r="AJ180" s="27" t="n"/>
      <c r="AK180" s="27" t="n"/>
      <c r="AL180" s="27" t="n"/>
      <c r="AM180" s="27" t="n"/>
      <c r="AN180" s="27" t="n"/>
      <c r="AO180" s="27" t="n"/>
      <c r="AP180" s="27" t="n"/>
      <c r="AQ180" s="27" t="n"/>
      <c r="AR180" s="27" t="n"/>
      <c r="AS180" s="27" t="n"/>
      <c r="AT180" s="27" t="n"/>
      <c r="AU180" s="27" t="n"/>
      <c r="AV180" s="27" t="n"/>
      <c r="AW180" s="27" t="n"/>
      <c r="AX180" s="27" t="n"/>
      <c r="AY180" s="27" t="n"/>
      <c r="AZ180" s="27" t="n"/>
      <c r="BA180" s="27" t="n"/>
      <c r="BB180" s="27" t="n"/>
      <c r="BC180" s="27" t="n"/>
      <c r="BD180" s="27" t="n"/>
      <c r="BE180" s="27" t="n"/>
      <c r="BF180" s="27" t="n"/>
      <c r="BG180" s="27" t="n"/>
      <c r="BH180" s="27" t="n"/>
      <c r="BI180" s="29" t="n"/>
      <c r="BJ180" s="27" t="n"/>
      <c r="BK180" s="27" t="n"/>
      <c r="BL180" s="27" t="n"/>
      <c r="BM180" s="27" t="n"/>
    </row>
    <row r="181">
      <c r="A181" s="27" t="n"/>
      <c r="B181" s="27" t="n"/>
      <c r="C181" s="28">
        <f>IF(A181="","",$B$2)</f>
        <v/>
      </c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  <c r="AA181" s="27" t="n"/>
      <c r="AB181" s="27" t="n"/>
      <c r="AC181" s="27" t="n"/>
      <c r="AD181" s="27" t="n"/>
      <c r="AE181" s="27" t="n"/>
      <c r="AF181" s="27" t="n"/>
      <c r="AG181" s="27" t="n"/>
      <c r="AH181" s="27" t="n"/>
      <c r="AI181" s="27" t="n"/>
      <c r="AJ181" s="27" t="n"/>
      <c r="AK181" s="27" t="n"/>
      <c r="AL181" s="27" t="n"/>
      <c r="AM181" s="27" t="n"/>
      <c r="AN181" s="27" t="n"/>
      <c r="AO181" s="27" t="n"/>
      <c r="AP181" s="27" t="n"/>
      <c r="AQ181" s="27" t="n"/>
      <c r="AR181" s="27" t="n"/>
      <c r="AS181" s="27" t="n"/>
      <c r="AT181" s="27" t="n"/>
      <c r="AU181" s="27" t="n"/>
      <c r="AV181" s="27" t="n"/>
      <c r="AW181" s="27" t="n"/>
      <c r="AX181" s="27" t="n"/>
      <c r="AY181" s="27" t="n"/>
      <c r="AZ181" s="27" t="n"/>
      <c r="BA181" s="27" t="n"/>
      <c r="BB181" s="27" t="n"/>
      <c r="BC181" s="27" t="n"/>
      <c r="BD181" s="27" t="n"/>
      <c r="BE181" s="27" t="n"/>
      <c r="BF181" s="27" t="n"/>
      <c r="BG181" s="27" t="n"/>
      <c r="BH181" s="27" t="n"/>
      <c r="BI181" s="29" t="n"/>
      <c r="BJ181" s="27" t="n"/>
      <c r="BK181" s="27" t="n"/>
      <c r="BL181" s="27" t="n"/>
      <c r="BM181" s="27" t="n"/>
    </row>
    <row r="182">
      <c r="A182" s="27" t="n"/>
      <c r="B182" s="27" t="n"/>
      <c r="C182" s="28">
        <f>IF(A182="","",$B$2)</f>
        <v/>
      </c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  <c r="AA182" s="27" t="n"/>
      <c r="AB182" s="27" t="n"/>
      <c r="AC182" s="27" t="n"/>
      <c r="AD182" s="27" t="n"/>
      <c r="AE182" s="27" t="n"/>
      <c r="AF182" s="27" t="n"/>
      <c r="AG182" s="27" t="n"/>
      <c r="AH182" s="27" t="n"/>
      <c r="AI182" s="27" t="n"/>
      <c r="AJ182" s="27" t="n"/>
      <c r="AK182" s="27" t="n"/>
      <c r="AL182" s="27" t="n"/>
      <c r="AM182" s="27" t="n"/>
      <c r="AN182" s="27" t="n"/>
      <c r="AO182" s="27" t="n"/>
      <c r="AP182" s="27" t="n"/>
      <c r="AQ182" s="27" t="n"/>
      <c r="AR182" s="27" t="n"/>
      <c r="AS182" s="27" t="n"/>
      <c r="AT182" s="27" t="n"/>
      <c r="AU182" s="27" t="n"/>
      <c r="AV182" s="27" t="n"/>
      <c r="AW182" s="27" t="n"/>
      <c r="AX182" s="27" t="n"/>
      <c r="AY182" s="27" t="n"/>
      <c r="AZ182" s="27" t="n"/>
      <c r="BA182" s="27" t="n"/>
      <c r="BB182" s="27" t="n"/>
      <c r="BC182" s="27" t="n"/>
      <c r="BD182" s="27" t="n"/>
      <c r="BE182" s="27" t="n"/>
      <c r="BF182" s="27" t="n"/>
      <c r="BG182" s="27" t="n"/>
      <c r="BH182" s="27" t="n"/>
      <c r="BI182" s="29" t="n"/>
      <c r="BJ182" s="27" t="n"/>
      <c r="BK182" s="27" t="n"/>
      <c r="BL182" s="27" t="n"/>
      <c r="BM182" s="27" t="n"/>
    </row>
    <row r="183">
      <c r="A183" s="27" t="n"/>
      <c r="B183" s="27" t="n"/>
      <c r="C183" s="28">
        <f>IF(A183="","",$B$2)</f>
        <v/>
      </c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  <c r="AA183" s="27" t="n"/>
      <c r="AB183" s="27" t="n"/>
      <c r="AC183" s="27" t="n"/>
      <c r="AD183" s="27" t="n"/>
      <c r="AE183" s="27" t="n"/>
      <c r="AF183" s="27" t="n"/>
      <c r="AG183" s="27" t="n"/>
      <c r="AH183" s="27" t="n"/>
      <c r="AI183" s="27" t="n"/>
      <c r="AJ183" s="27" t="n"/>
      <c r="AK183" s="27" t="n"/>
      <c r="AL183" s="27" t="n"/>
      <c r="AM183" s="27" t="n"/>
      <c r="AN183" s="27" t="n"/>
      <c r="AO183" s="27" t="n"/>
      <c r="AP183" s="27" t="n"/>
      <c r="AQ183" s="27" t="n"/>
      <c r="AR183" s="27" t="n"/>
      <c r="AS183" s="27" t="n"/>
      <c r="AT183" s="27" t="n"/>
      <c r="AU183" s="27" t="n"/>
      <c r="AV183" s="27" t="n"/>
      <c r="AW183" s="27" t="n"/>
      <c r="AX183" s="27" t="n"/>
      <c r="AY183" s="27" t="n"/>
      <c r="AZ183" s="27" t="n"/>
      <c r="BA183" s="27" t="n"/>
      <c r="BB183" s="27" t="n"/>
      <c r="BC183" s="27" t="n"/>
      <c r="BD183" s="27" t="n"/>
      <c r="BE183" s="27" t="n"/>
      <c r="BF183" s="27" t="n"/>
      <c r="BG183" s="27" t="n"/>
      <c r="BH183" s="27" t="n"/>
      <c r="BI183" s="29" t="n"/>
      <c r="BJ183" s="27" t="n"/>
      <c r="BK183" s="27" t="n"/>
      <c r="BL183" s="27" t="n"/>
      <c r="BM183" s="27" t="n"/>
    </row>
    <row r="184">
      <c r="A184" s="27" t="n"/>
      <c r="B184" s="27" t="n"/>
      <c r="C184" s="28">
        <f>IF(A184="","",$B$2)</f>
        <v/>
      </c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  <c r="AA184" s="27" t="n"/>
      <c r="AB184" s="27" t="n"/>
      <c r="AC184" s="27" t="n"/>
      <c r="AD184" s="27" t="n"/>
      <c r="AE184" s="27" t="n"/>
      <c r="AF184" s="27" t="n"/>
      <c r="AG184" s="27" t="n"/>
      <c r="AH184" s="27" t="n"/>
      <c r="AI184" s="27" t="n"/>
      <c r="AJ184" s="27" t="n"/>
      <c r="AK184" s="27" t="n"/>
      <c r="AL184" s="27" t="n"/>
      <c r="AM184" s="27" t="n"/>
      <c r="AN184" s="27" t="n"/>
      <c r="AO184" s="27" t="n"/>
      <c r="AP184" s="27" t="n"/>
      <c r="AQ184" s="27" t="n"/>
      <c r="AR184" s="27" t="n"/>
      <c r="AS184" s="27" t="n"/>
      <c r="AT184" s="27" t="n"/>
      <c r="AU184" s="27" t="n"/>
      <c r="AV184" s="27" t="n"/>
      <c r="AW184" s="27" t="n"/>
      <c r="AX184" s="27" t="n"/>
      <c r="AY184" s="27" t="n"/>
      <c r="AZ184" s="27" t="n"/>
      <c r="BA184" s="27" t="n"/>
      <c r="BB184" s="27" t="n"/>
      <c r="BC184" s="27" t="n"/>
      <c r="BD184" s="27" t="n"/>
      <c r="BE184" s="27" t="n"/>
      <c r="BF184" s="27" t="n"/>
      <c r="BG184" s="27" t="n"/>
      <c r="BH184" s="27" t="n"/>
      <c r="BI184" s="29" t="n"/>
      <c r="BJ184" s="27" t="n"/>
      <c r="BK184" s="27" t="n"/>
      <c r="BL184" s="27" t="n"/>
      <c r="BM184" s="27" t="n"/>
    </row>
    <row r="185">
      <c r="A185" s="27" t="n"/>
      <c r="B185" s="27" t="n"/>
      <c r="C185" s="28">
        <f>IF(A185="","",$B$2)</f>
        <v/>
      </c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  <c r="AA185" s="27" t="n"/>
      <c r="AB185" s="27" t="n"/>
      <c r="AC185" s="27" t="n"/>
      <c r="AD185" s="27" t="n"/>
      <c r="AE185" s="27" t="n"/>
      <c r="AF185" s="27" t="n"/>
      <c r="AG185" s="27" t="n"/>
      <c r="AH185" s="27" t="n"/>
      <c r="AI185" s="27" t="n"/>
      <c r="AJ185" s="27" t="n"/>
      <c r="AK185" s="27" t="n"/>
      <c r="AL185" s="27" t="n"/>
      <c r="AM185" s="27" t="n"/>
      <c r="AN185" s="27" t="n"/>
      <c r="AO185" s="27" t="n"/>
      <c r="AP185" s="27" t="n"/>
      <c r="AQ185" s="27" t="n"/>
      <c r="AR185" s="27" t="n"/>
      <c r="AS185" s="27" t="n"/>
      <c r="AT185" s="27" t="n"/>
      <c r="AU185" s="27" t="n"/>
      <c r="AV185" s="27" t="n"/>
      <c r="AW185" s="27" t="n"/>
      <c r="AX185" s="27" t="n"/>
      <c r="AY185" s="27" t="n"/>
      <c r="AZ185" s="27" t="n"/>
      <c r="BA185" s="27" t="n"/>
      <c r="BB185" s="27" t="n"/>
      <c r="BC185" s="27" t="n"/>
      <c r="BD185" s="27" t="n"/>
      <c r="BE185" s="27" t="n"/>
      <c r="BF185" s="27" t="n"/>
      <c r="BG185" s="27" t="n"/>
      <c r="BH185" s="27" t="n"/>
      <c r="BI185" s="29" t="n"/>
      <c r="BJ185" s="27" t="n"/>
      <c r="BK185" s="27" t="n"/>
      <c r="BL185" s="27" t="n"/>
      <c r="BM185" s="27" t="n"/>
    </row>
    <row r="186">
      <c r="A186" s="27" t="n"/>
      <c r="B186" s="27" t="n"/>
      <c r="C186" s="28">
        <f>IF(A186="","",$B$2)</f>
        <v/>
      </c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  <c r="AA186" s="27" t="n"/>
      <c r="AB186" s="27" t="n"/>
      <c r="AC186" s="27" t="n"/>
      <c r="AD186" s="27" t="n"/>
      <c r="AE186" s="27" t="n"/>
      <c r="AF186" s="27" t="n"/>
      <c r="AG186" s="27" t="n"/>
      <c r="AH186" s="27" t="n"/>
      <c r="AI186" s="27" t="n"/>
      <c r="AJ186" s="27" t="n"/>
      <c r="AK186" s="27" t="n"/>
      <c r="AL186" s="27" t="n"/>
      <c r="AM186" s="27" t="n"/>
      <c r="AN186" s="27" t="n"/>
      <c r="AO186" s="27" t="n"/>
      <c r="AP186" s="27" t="n"/>
      <c r="AQ186" s="27" t="n"/>
      <c r="AR186" s="27" t="n"/>
      <c r="AS186" s="27" t="n"/>
      <c r="AT186" s="27" t="n"/>
      <c r="AU186" s="27" t="n"/>
      <c r="AV186" s="27" t="n"/>
      <c r="AW186" s="27" t="n"/>
      <c r="AX186" s="27" t="n"/>
      <c r="AY186" s="27" t="n"/>
      <c r="AZ186" s="27" t="n"/>
      <c r="BA186" s="27" t="n"/>
      <c r="BB186" s="27" t="n"/>
      <c r="BC186" s="27" t="n"/>
      <c r="BD186" s="27" t="n"/>
      <c r="BE186" s="27" t="n"/>
      <c r="BF186" s="27" t="n"/>
      <c r="BG186" s="27" t="n"/>
      <c r="BH186" s="27" t="n"/>
      <c r="BI186" s="29" t="n"/>
      <c r="BJ186" s="27" t="n"/>
      <c r="BK186" s="27" t="n"/>
      <c r="BL186" s="27" t="n"/>
      <c r="BM186" s="27" t="n"/>
    </row>
    <row r="187">
      <c r="A187" s="27" t="n"/>
      <c r="B187" s="27" t="n"/>
      <c r="C187" s="28">
        <f>IF(A187="","",$B$2)</f>
        <v/>
      </c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  <c r="AA187" s="27" t="n"/>
      <c r="AB187" s="27" t="n"/>
      <c r="AC187" s="27" t="n"/>
      <c r="AD187" s="27" t="n"/>
      <c r="AE187" s="27" t="n"/>
      <c r="AF187" s="27" t="n"/>
      <c r="AG187" s="27" t="n"/>
      <c r="AH187" s="27" t="n"/>
      <c r="AI187" s="27" t="n"/>
      <c r="AJ187" s="27" t="n"/>
      <c r="AK187" s="27" t="n"/>
      <c r="AL187" s="27" t="n"/>
      <c r="AM187" s="27" t="n"/>
      <c r="AN187" s="27" t="n"/>
      <c r="AO187" s="27" t="n"/>
      <c r="AP187" s="27" t="n"/>
      <c r="AQ187" s="27" t="n"/>
      <c r="AR187" s="27" t="n"/>
      <c r="AS187" s="27" t="n"/>
      <c r="AT187" s="27" t="n"/>
      <c r="AU187" s="27" t="n"/>
      <c r="AV187" s="27" t="n"/>
      <c r="AW187" s="27" t="n"/>
      <c r="AX187" s="27" t="n"/>
      <c r="AY187" s="27" t="n"/>
      <c r="AZ187" s="27" t="n"/>
      <c r="BA187" s="27" t="n"/>
      <c r="BB187" s="27" t="n"/>
      <c r="BC187" s="27" t="n"/>
      <c r="BD187" s="27" t="n"/>
      <c r="BE187" s="27" t="n"/>
      <c r="BF187" s="27" t="n"/>
      <c r="BG187" s="27" t="n"/>
      <c r="BH187" s="27" t="n"/>
      <c r="BI187" s="29" t="n"/>
      <c r="BJ187" s="27" t="n"/>
      <c r="BK187" s="27" t="n"/>
      <c r="BL187" s="27" t="n"/>
      <c r="BM187" s="27" t="n"/>
    </row>
    <row r="188">
      <c r="A188" s="27" t="n"/>
      <c r="B188" s="27" t="n"/>
      <c r="C188" s="28">
        <f>IF(A188="","",$B$2)</f>
        <v/>
      </c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  <c r="AA188" s="27" t="n"/>
      <c r="AB188" s="27" t="n"/>
      <c r="AC188" s="27" t="n"/>
      <c r="AD188" s="27" t="n"/>
      <c r="AE188" s="27" t="n"/>
      <c r="AF188" s="27" t="n"/>
      <c r="AG188" s="27" t="n"/>
      <c r="AH188" s="27" t="n"/>
      <c r="AI188" s="27" t="n"/>
      <c r="AJ188" s="27" t="n"/>
      <c r="AK188" s="27" t="n"/>
      <c r="AL188" s="27" t="n"/>
      <c r="AM188" s="27" t="n"/>
      <c r="AN188" s="27" t="n"/>
      <c r="AO188" s="27" t="n"/>
      <c r="AP188" s="27" t="n"/>
      <c r="AQ188" s="27" t="n"/>
      <c r="AR188" s="27" t="n"/>
      <c r="AS188" s="27" t="n"/>
      <c r="AT188" s="27" t="n"/>
      <c r="AU188" s="27" t="n"/>
      <c r="AV188" s="27" t="n"/>
      <c r="AW188" s="27" t="n"/>
      <c r="AX188" s="27" t="n"/>
      <c r="AY188" s="27" t="n"/>
      <c r="AZ188" s="27" t="n"/>
      <c r="BA188" s="27" t="n"/>
      <c r="BB188" s="27" t="n"/>
      <c r="BC188" s="27" t="n"/>
      <c r="BD188" s="27" t="n"/>
      <c r="BE188" s="27" t="n"/>
      <c r="BF188" s="27" t="n"/>
      <c r="BG188" s="27" t="n"/>
      <c r="BH188" s="27" t="n"/>
      <c r="BI188" s="29" t="n"/>
      <c r="BJ188" s="27" t="n"/>
      <c r="BK188" s="27" t="n"/>
      <c r="BL188" s="27" t="n"/>
      <c r="BM188" s="27" t="n"/>
    </row>
    <row r="189">
      <c r="A189" s="27" t="n"/>
      <c r="B189" s="27" t="n"/>
      <c r="C189" s="28">
        <f>IF(A189="","",$B$2)</f>
        <v/>
      </c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  <c r="AA189" s="27" t="n"/>
      <c r="AB189" s="27" t="n"/>
      <c r="AC189" s="27" t="n"/>
      <c r="AD189" s="27" t="n"/>
      <c r="AE189" s="27" t="n"/>
      <c r="AF189" s="27" t="n"/>
      <c r="AG189" s="27" t="n"/>
      <c r="AH189" s="27" t="n"/>
      <c r="AI189" s="27" t="n"/>
      <c r="AJ189" s="27" t="n"/>
      <c r="AK189" s="27" t="n"/>
      <c r="AL189" s="27" t="n"/>
      <c r="AM189" s="27" t="n"/>
      <c r="AN189" s="27" t="n"/>
      <c r="AO189" s="27" t="n"/>
      <c r="AP189" s="27" t="n"/>
      <c r="AQ189" s="27" t="n"/>
      <c r="AR189" s="27" t="n"/>
      <c r="AS189" s="27" t="n"/>
      <c r="AT189" s="27" t="n"/>
      <c r="AU189" s="27" t="n"/>
      <c r="AV189" s="27" t="n"/>
      <c r="AW189" s="27" t="n"/>
      <c r="AX189" s="27" t="n"/>
      <c r="AY189" s="27" t="n"/>
      <c r="AZ189" s="27" t="n"/>
      <c r="BA189" s="27" t="n"/>
      <c r="BB189" s="27" t="n"/>
      <c r="BC189" s="27" t="n"/>
      <c r="BD189" s="27" t="n"/>
      <c r="BE189" s="27" t="n"/>
      <c r="BF189" s="27" t="n"/>
      <c r="BG189" s="27" t="n"/>
      <c r="BH189" s="27" t="n"/>
      <c r="BI189" s="29" t="n"/>
      <c r="BJ189" s="27" t="n"/>
      <c r="BK189" s="27" t="n"/>
      <c r="BL189" s="27" t="n"/>
      <c r="BM189" s="27" t="n"/>
    </row>
    <row r="190">
      <c r="A190" s="27" t="n"/>
      <c r="B190" s="27" t="n"/>
      <c r="C190" s="28">
        <f>IF(A190="","",$B$2)</f>
        <v/>
      </c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  <c r="AA190" s="27" t="n"/>
      <c r="AB190" s="27" t="n"/>
      <c r="AC190" s="27" t="n"/>
      <c r="AD190" s="27" t="n"/>
      <c r="AE190" s="27" t="n"/>
      <c r="AF190" s="27" t="n"/>
      <c r="AG190" s="27" t="n"/>
      <c r="AH190" s="27" t="n"/>
      <c r="AI190" s="27" t="n"/>
      <c r="AJ190" s="27" t="n"/>
      <c r="AK190" s="27" t="n"/>
      <c r="AL190" s="27" t="n"/>
      <c r="AM190" s="27" t="n"/>
      <c r="AN190" s="27" t="n"/>
      <c r="AO190" s="27" t="n"/>
      <c r="AP190" s="27" t="n"/>
      <c r="AQ190" s="27" t="n"/>
      <c r="AR190" s="27" t="n"/>
      <c r="AS190" s="27" t="n"/>
      <c r="AT190" s="27" t="n"/>
      <c r="AU190" s="27" t="n"/>
      <c r="AV190" s="27" t="n"/>
      <c r="AW190" s="27" t="n"/>
      <c r="AX190" s="27" t="n"/>
      <c r="AY190" s="27" t="n"/>
      <c r="AZ190" s="27" t="n"/>
      <c r="BA190" s="27" t="n"/>
      <c r="BB190" s="27" t="n"/>
      <c r="BC190" s="27" t="n"/>
      <c r="BD190" s="27" t="n"/>
      <c r="BE190" s="27" t="n"/>
      <c r="BF190" s="27" t="n"/>
      <c r="BG190" s="27" t="n"/>
      <c r="BH190" s="27" t="n"/>
      <c r="BI190" s="29" t="n"/>
      <c r="BJ190" s="27" t="n"/>
      <c r="BK190" s="27" t="n"/>
      <c r="BL190" s="27" t="n"/>
      <c r="BM190" s="27" t="n"/>
    </row>
    <row r="191">
      <c r="A191" s="27" t="n"/>
      <c r="B191" s="27" t="n"/>
      <c r="C191" s="28">
        <f>IF(A191="","",$B$2)</f>
        <v/>
      </c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  <c r="AA191" s="27" t="n"/>
      <c r="AB191" s="27" t="n"/>
      <c r="AC191" s="27" t="n"/>
      <c r="AD191" s="27" t="n"/>
      <c r="AE191" s="27" t="n"/>
      <c r="AF191" s="27" t="n"/>
      <c r="AG191" s="27" t="n"/>
      <c r="AH191" s="27" t="n"/>
      <c r="AI191" s="27" t="n"/>
      <c r="AJ191" s="27" t="n"/>
      <c r="AK191" s="27" t="n"/>
      <c r="AL191" s="27" t="n"/>
      <c r="AM191" s="27" t="n"/>
      <c r="AN191" s="27" t="n"/>
      <c r="AO191" s="27" t="n"/>
      <c r="AP191" s="27" t="n"/>
      <c r="AQ191" s="27" t="n"/>
      <c r="AR191" s="27" t="n"/>
      <c r="AS191" s="27" t="n"/>
      <c r="AT191" s="27" t="n"/>
      <c r="AU191" s="27" t="n"/>
      <c r="AV191" s="27" t="n"/>
      <c r="AW191" s="27" t="n"/>
      <c r="AX191" s="27" t="n"/>
      <c r="AY191" s="27" t="n"/>
      <c r="AZ191" s="27" t="n"/>
      <c r="BA191" s="27" t="n"/>
      <c r="BB191" s="27" t="n"/>
      <c r="BC191" s="27" t="n"/>
      <c r="BD191" s="27" t="n"/>
      <c r="BE191" s="27" t="n"/>
      <c r="BF191" s="27" t="n"/>
      <c r="BG191" s="27" t="n"/>
      <c r="BH191" s="27" t="n"/>
      <c r="BI191" s="29" t="n"/>
      <c r="BJ191" s="27" t="n"/>
      <c r="BK191" s="27" t="n"/>
      <c r="BL191" s="27" t="n"/>
      <c r="BM191" s="27" t="n"/>
    </row>
    <row r="192">
      <c r="A192" s="27" t="n"/>
      <c r="B192" s="27" t="n"/>
      <c r="C192" s="28">
        <f>IF(A192="","",$B$2)</f>
        <v/>
      </c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  <c r="AA192" s="27" t="n"/>
      <c r="AB192" s="27" t="n"/>
      <c r="AC192" s="27" t="n"/>
      <c r="AD192" s="27" t="n"/>
      <c r="AE192" s="27" t="n"/>
      <c r="AF192" s="27" t="n"/>
      <c r="AG192" s="27" t="n"/>
      <c r="AH192" s="27" t="n"/>
      <c r="AI192" s="27" t="n"/>
      <c r="AJ192" s="27" t="n"/>
      <c r="AK192" s="27" t="n"/>
      <c r="AL192" s="27" t="n"/>
      <c r="AM192" s="27" t="n"/>
      <c r="AN192" s="27" t="n"/>
      <c r="AO192" s="27" t="n"/>
      <c r="AP192" s="27" t="n"/>
      <c r="AQ192" s="27" t="n"/>
      <c r="AR192" s="27" t="n"/>
      <c r="AS192" s="27" t="n"/>
      <c r="AT192" s="27" t="n"/>
      <c r="AU192" s="27" t="n"/>
      <c r="AV192" s="27" t="n"/>
      <c r="AW192" s="27" t="n"/>
      <c r="AX192" s="27" t="n"/>
      <c r="AY192" s="27" t="n"/>
      <c r="AZ192" s="27" t="n"/>
      <c r="BA192" s="27" t="n"/>
      <c r="BB192" s="27" t="n"/>
      <c r="BC192" s="27" t="n"/>
      <c r="BD192" s="27" t="n"/>
      <c r="BE192" s="27" t="n"/>
      <c r="BF192" s="27" t="n"/>
      <c r="BG192" s="27" t="n"/>
      <c r="BH192" s="27" t="n"/>
      <c r="BI192" s="29" t="n"/>
      <c r="BJ192" s="27" t="n"/>
      <c r="BK192" s="27" t="n"/>
      <c r="BL192" s="27" t="n"/>
      <c r="BM192" s="27" t="n"/>
    </row>
    <row r="193">
      <c r="A193" s="27" t="n"/>
      <c r="B193" s="27" t="n"/>
      <c r="C193" s="28">
        <f>IF(A193="","",$B$2)</f>
        <v/>
      </c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  <c r="AA193" s="27" t="n"/>
      <c r="AB193" s="27" t="n"/>
      <c r="AC193" s="27" t="n"/>
      <c r="AD193" s="27" t="n"/>
      <c r="AE193" s="27" t="n"/>
      <c r="AF193" s="27" t="n"/>
      <c r="AG193" s="27" t="n"/>
      <c r="AH193" s="27" t="n"/>
      <c r="AI193" s="27" t="n"/>
      <c r="AJ193" s="27" t="n"/>
      <c r="AK193" s="27" t="n"/>
      <c r="AL193" s="27" t="n"/>
      <c r="AM193" s="27" t="n"/>
      <c r="AN193" s="27" t="n"/>
      <c r="AO193" s="27" t="n"/>
      <c r="AP193" s="27" t="n"/>
      <c r="AQ193" s="27" t="n"/>
      <c r="AR193" s="27" t="n"/>
      <c r="AS193" s="27" t="n"/>
      <c r="AT193" s="27" t="n"/>
      <c r="AU193" s="27" t="n"/>
      <c r="AV193" s="27" t="n"/>
      <c r="AW193" s="27" t="n"/>
      <c r="AX193" s="27" t="n"/>
      <c r="AY193" s="27" t="n"/>
      <c r="AZ193" s="27" t="n"/>
      <c r="BA193" s="27" t="n"/>
      <c r="BB193" s="27" t="n"/>
      <c r="BC193" s="27" t="n"/>
      <c r="BD193" s="27" t="n"/>
      <c r="BE193" s="27" t="n"/>
      <c r="BF193" s="27" t="n"/>
      <c r="BG193" s="27" t="n"/>
      <c r="BH193" s="27" t="n"/>
      <c r="BI193" s="29" t="n"/>
      <c r="BJ193" s="27" t="n"/>
      <c r="BK193" s="27" t="n"/>
      <c r="BL193" s="27" t="n"/>
      <c r="BM193" s="27" t="n"/>
    </row>
    <row r="194">
      <c r="A194" s="27" t="n"/>
      <c r="B194" s="27" t="n"/>
      <c r="C194" s="28">
        <f>IF(A194="","",$B$2)</f>
        <v/>
      </c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  <c r="AA194" s="27" t="n"/>
      <c r="AB194" s="27" t="n"/>
      <c r="AC194" s="27" t="n"/>
      <c r="AD194" s="27" t="n"/>
      <c r="AE194" s="27" t="n"/>
      <c r="AF194" s="27" t="n"/>
      <c r="AG194" s="27" t="n"/>
      <c r="AH194" s="27" t="n"/>
      <c r="AI194" s="27" t="n"/>
      <c r="AJ194" s="27" t="n"/>
      <c r="AK194" s="27" t="n"/>
      <c r="AL194" s="27" t="n"/>
      <c r="AM194" s="27" t="n"/>
      <c r="AN194" s="27" t="n"/>
      <c r="AO194" s="27" t="n"/>
      <c r="AP194" s="27" t="n"/>
      <c r="AQ194" s="27" t="n"/>
      <c r="AR194" s="27" t="n"/>
      <c r="AS194" s="27" t="n"/>
      <c r="AT194" s="27" t="n"/>
      <c r="AU194" s="27" t="n"/>
      <c r="AV194" s="27" t="n"/>
      <c r="AW194" s="27" t="n"/>
      <c r="AX194" s="27" t="n"/>
      <c r="AY194" s="27" t="n"/>
      <c r="AZ194" s="27" t="n"/>
      <c r="BA194" s="27" t="n"/>
      <c r="BB194" s="27" t="n"/>
      <c r="BC194" s="27" t="n"/>
      <c r="BD194" s="27" t="n"/>
      <c r="BE194" s="27" t="n"/>
      <c r="BF194" s="27" t="n"/>
      <c r="BG194" s="27" t="n"/>
      <c r="BH194" s="27" t="n"/>
      <c r="BI194" s="29" t="n"/>
      <c r="BJ194" s="27" t="n"/>
      <c r="BK194" s="27" t="n"/>
      <c r="BL194" s="27" t="n"/>
      <c r="BM194" s="27" t="n"/>
    </row>
    <row r="195">
      <c r="A195" s="27" t="n"/>
      <c r="B195" s="27" t="n"/>
      <c r="C195" s="28">
        <f>IF(A195="","",$B$2)</f>
        <v/>
      </c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  <c r="AA195" s="27" t="n"/>
      <c r="AB195" s="27" t="n"/>
      <c r="AC195" s="27" t="n"/>
      <c r="AD195" s="27" t="n"/>
      <c r="AE195" s="27" t="n"/>
      <c r="AF195" s="27" t="n"/>
      <c r="AG195" s="27" t="n"/>
      <c r="AH195" s="27" t="n"/>
      <c r="AI195" s="27" t="n"/>
      <c r="AJ195" s="27" t="n"/>
      <c r="AK195" s="27" t="n"/>
      <c r="AL195" s="27" t="n"/>
      <c r="AM195" s="27" t="n"/>
      <c r="AN195" s="27" t="n"/>
      <c r="AO195" s="27" t="n"/>
      <c r="AP195" s="27" t="n"/>
      <c r="AQ195" s="27" t="n"/>
      <c r="AR195" s="27" t="n"/>
      <c r="AS195" s="27" t="n"/>
      <c r="AT195" s="27" t="n"/>
      <c r="AU195" s="27" t="n"/>
      <c r="AV195" s="27" t="n"/>
      <c r="AW195" s="27" t="n"/>
      <c r="AX195" s="27" t="n"/>
      <c r="AY195" s="27" t="n"/>
      <c r="AZ195" s="27" t="n"/>
      <c r="BA195" s="27" t="n"/>
      <c r="BB195" s="27" t="n"/>
      <c r="BC195" s="27" t="n"/>
      <c r="BD195" s="27" t="n"/>
      <c r="BE195" s="27" t="n"/>
      <c r="BF195" s="27" t="n"/>
      <c r="BG195" s="27" t="n"/>
      <c r="BH195" s="27" t="n"/>
      <c r="BI195" s="29" t="n"/>
      <c r="BJ195" s="27" t="n"/>
      <c r="BK195" s="27" t="n"/>
      <c r="BL195" s="27" t="n"/>
      <c r="BM195" s="27" t="n"/>
    </row>
    <row r="196">
      <c r="A196" s="27" t="n"/>
      <c r="B196" s="27" t="n"/>
      <c r="C196" s="28">
        <f>IF(A196="","",$B$2)</f>
        <v/>
      </c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  <c r="AA196" s="27" t="n"/>
      <c r="AB196" s="27" t="n"/>
      <c r="AC196" s="27" t="n"/>
      <c r="AD196" s="27" t="n"/>
      <c r="AE196" s="27" t="n"/>
      <c r="AF196" s="27" t="n"/>
      <c r="AG196" s="27" t="n"/>
      <c r="AH196" s="27" t="n"/>
      <c r="AI196" s="27" t="n"/>
      <c r="AJ196" s="27" t="n"/>
      <c r="AK196" s="27" t="n"/>
      <c r="AL196" s="27" t="n"/>
      <c r="AM196" s="27" t="n"/>
      <c r="AN196" s="27" t="n"/>
      <c r="AO196" s="27" t="n"/>
      <c r="AP196" s="27" t="n"/>
      <c r="AQ196" s="27" t="n"/>
      <c r="AR196" s="27" t="n"/>
      <c r="AS196" s="27" t="n"/>
      <c r="AT196" s="27" t="n"/>
      <c r="AU196" s="27" t="n"/>
      <c r="AV196" s="27" t="n"/>
      <c r="AW196" s="27" t="n"/>
      <c r="AX196" s="27" t="n"/>
      <c r="AY196" s="27" t="n"/>
      <c r="AZ196" s="27" t="n"/>
      <c r="BA196" s="27" t="n"/>
      <c r="BB196" s="27" t="n"/>
      <c r="BC196" s="27" t="n"/>
      <c r="BD196" s="27" t="n"/>
      <c r="BE196" s="27" t="n"/>
      <c r="BF196" s="27" t="n"/>
      <c r="BG196" s="27" t="n"/>
      <c r="BH196" s="27" t="n"/>
      <c r="BI196" s="29" t="n"/>
      <c r="BJ196" s="27" t="n"/>
      <c r="BK196" s="27" t="n"/>
      <c r="BL196" s="27" t="n"/>
      <c r="BM196" s="27" t="n"/>
    </row>
    <row r="197">
      <c r="A197" s="27" t="n"/>
      <c r="B197" s="27" t="n"/>
      <c r="C197" s="28">
        <f>IF(A197="","",$B$2)</f>
        <v/>
      </c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  <c r="AA197" s="27" t="n"/>
      <c r="AB197" s="27" t="n"/>
      <c r="AC197" s="27" t="n"/>
      <c r="AD197" s="27" t="n"/>
      <c r="AE197" s="27" t="n"/>
      <c r="AF197" s="27" t="n"/>
      <c r="AG197" s="27" t="n"/>
      <c r="AH197" s="27" t="n"/>
      <c r="AI197" s="27" t="n"/>
      <c r="AJ197" s="27" t="n"/>
      <c r="AK197" s="27" t="n"/>
      <c r="AL197" s="27" t="n"/>
      <c r="AM197" s="27" t="n"/>
      <c r="AN197" s="27" t="n"/>
      <c r="AO197" s="27" t="n"/>
      <c r="AP197" s="27" t="n"/>
      <c r="AQ197" s="27" t="n"/>
      <c r="AR197" s="27" t="n"/>
      <c r="AS197" s="27" t="n"/>
      <c r="AT197" s="27" t="n"/>
      <c r="AU197" s="27" t="n"/>
      <c r="AV197" s="27" t="n"/>
      <c r="AW197" s="27" t="n"/>
      <c r="AX197" s="27" t="n"/>
      <c r="AY197" s="27" t="n"/>
      <c r="AZ197" s="27" t="n"/>
      <c r="BA197" s="27" t="n"/>
      <c r="BB197" s="27" t="n"/>
      <c r="BC197" s="27" t="n"/>
      <c r="BD197" s="27" t="n"/>
      <c r="BE197" s="27" t="n"/>
      <c r="BF197" s="27" t="n"/>
      <c r="BG197" s="27" t="n"/>
      <c r="BH197" s="27" t="n"/>
      <c r="BI197" s="29" t="n"/>
      <c r="BJ197" s="27" t="n"/>
      <c r="BK197" s="27" t="n"/>
      <c r="BL197" s="27" t="n"/>
      <c r="BM197" s="27" t="n"/>
    </row>
    <row r="198">
      <c r="A198" s="27" t="n"/>
      <c r="B198" s="27" t="n"/>
      <c r="C198" s="28">
        <f>IF(A198="","",$B$2)</f>
        <v/>
      </c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  <c r="AA198" s="27" t="n"/>
      <c r="AB198" s="27" t="n"/>
      <c r="AC198" s="27" t="n"/>
      <c r="AD198" s="27" t="n"/>
      <c r="AE198" s="27" t="n"/>
      <c r="AF198" s="27" t="n"/>
      <c r="AG198" s="27" t="n"/>
      <c r="AH198" s="27" t="n"/>
      <c r="AI198" s="27" t="n"/>
      <c r="AJ198" s="27" t="n"/>
      <c r="AK198" s="27" t="n"/>
      <c r="AL198" s="27" t="n"/>
      <c r="AM198" s="27" t="n"/>
      <c r="AN198" s="27" t="n"/>
      <c r="AO198" s="27" t="n"/>
      <c r="AP198" s="27" t="n"/>
      <c r="AQ198" s="27" t="n"/>
      <c r="AR198" s="27" t="n"/>
      <c r="AS198" s="27" t="n"/>
      <c r="AT198" s="27" t="n"/>
      <c r="AU198" s="27" t="n"/>
      <c r="AV198" s="27" t="n"/>
      <c r="AW198" s="27" t="n"/>
      <c r="AX198" s="27" t="n"/>
      <c r="AY198" s="27" t="n"/>
      <c r="AZ198" s="27" t="n"/>
      <c r="BA198" s="27" t="n"/>
      <c r="BB198" s="27" t="n"/>
      <c r="BC198" s="27" t="n"/>
      <c r="BD198" s="27" t="n"/>
      <c r="BE198" s="27" t="n"/>
      <c r="BF198" s="27" t="n"/>
      <c r="BG198" s="27" t="n"/>
      <c r="BH198" s="27" t="n"/>
      <c r="BI198" s="29" t="n"/>
      <c r="BJ198" s="27" t="n"/>
      <c r="BK198" s="27" t="n"/>
      <c r="BL198" s="27" t="n"/>
      <c r="BM198" s="27" t="n"/>
    </row>
    <row r="199">
      <c r="A199" s="27" t="n"/>
      <c r="B199" s="27" t="n"/>
      <c r="C199" s="28">
        <f>IF(A199="","",$B$2)</f>
        <v/>
      </c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  <c r="AA199" s="27" t="n"/>
      <c r="AB199" s="27" t="n"/>
      <c r="AC199" s="27" t="n"/>
      <c r="AD199" s="27" t="n"/>
      <c r="AE199" s="27" t="n"/>
      <c r="AF199" s="27" t="n"/>
      <c r="AG199" s="27" t="n"/>
      <c r="AH199" s="27" t="n"/>
      <c r="AI199" s="27" t="n"/>
      <c r="AJ199" s="27" t="n"/>
      <c r="AK199" s="27" t="n"/>
      <c r="AL199" s="27" t="n"/>
      <c r="AM199" s="27" t="n"/>
      <c r="AN199" s="27" t="n"/>
      <c r="AO199" s="27" t="n"/>
      <c r="AP199" s="27" t="n"/>
      <c r="AQ199" s="27" t="n"/>
      <c r="AR199" s="27" t="n"/>
      <c r="AS199" s="27" t="n"/>
      <c r="AT199" s="27" t="n"/>
      <c r="AU199" s="27" t="n"/>
      <c r="AV199" s="27" t="n"/>
      <c r="AW199" s="27" t="n"/>
      <c r="AX199" s="27" t="n"/>
      <c r="AY199" s="27" t="n"/>
      <c r="AZ199" s="27" t="n"/>
      <c r="BA199" s="27" t="n"/>
      <c r="BB199" s="27" t="n"/>
      <c r="BC199" s="27" t="n"/>
      <c r="BD199" s="27" t="n"/>
      <c r="BE199" s="27" t="n"/>
      <c r="BF199" s="27" t="n"/>
      <c r="BG199" s="27" t="n"/>
      <c r="BH199" s="27" t="n"/>
      <c r="BI199" s="29" t="n"/>
      <c r="BJ199" s="27" t="n"/>
      <c r="BK199" s="27" t="n"/>
      <c r="BL199" s="27" t="n"/>
      <c r="BM199" s="27" t="n"/>
    </row>
    <row r="200">
      <c r="A200" s="27" t="n"/>
      <c r="B200" s="27" t="n"/>
      <c r="C200" s="28">
        <f>IF(A200="","",$B$2)</f>
        <v/>
      </c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  <c r="AA200" s="27" t="n"/>
      <c r="AB200" s="27" t="n"/>
      <c r="AC200" s="27" t="n"/>
      <c r="AD200" s="27" t="n"/>
      <c r="AE200" s="27" t="n"/>
      <c r="AF200" s="27" t="n"/>
      <c r="AG200" s="27" t="n"/>
      <c r="AH200" s="27" t="n"/>
      <c r="AI200" s="27" t="n"/>
      <c r="AJ200" s="27" t="n"/>
      <c r="AK200" s="27" t="n"/>
      <c r="AL200" s="27" t="n"/>
      <c r="AM200" s="27" t="n"/>
      <c r="AN200" s="27" t="n"/>
      <c r="AO200" s="27" t="n"/>
      <c r="AP200" s="27" t="n"/>
      <c r="AQ200" s="27" t="n"/>
      <c r="AR200" s="27" t="n"/>
      <c r="AS200" s="27" t="n"/>
      <c r="AT200" s="27" t="n"/>
      <c r="AU200" s="27" t="n"/>
      <c r="AV200" s="27" t="n"/>
      <c r="AW200" s="27" t="n"/>
      <c r="AX200" s="27" t="n"/>
      <c r="AY200" s="27" t="n"/>
      <c r="AZ200" s="27" t="n"/>
      <c r="BA200" s="27" t="n"/>
      <c r="BB200" s="27" t="n"/>
      <c r="BC200" s="27" t="n"/>
      <c r="BD200" s="27" t="n"/>
      <c r="BE200" s="27" t="n"/>
      <c r="BF200" s="27" t="n"/>
      <c r="BG200" s="27" t="n"/>
      <c r="BH200" s="27" t="n"/>
      <c r="BI200" s="29" t="n"/>
      <c r="BJ200" s="27" t="n"/>
      <c r="BK200" s="27" t="n"/>
      <c r="BL200" s="27" t="n"/>
      <c r="BM200" s="27" t="n"/>
    </row>
    <row r="201">
      <c r="A201" s="27" t="n"/>
      <c r="B201" s="27" t="n"/>
      <c r="C201" s="28">
        <f>IF(A201="","",$B$2)</f>
        <v/>
      </c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  <c r="AA201" s="27" t="n"/>
      <c r="AB201" s="27" t="n"/>
      <c r="AC201" s="27" t="n"/>
      <c r="AD201" s="27" t="n"/>
      <c r="AE201" s="27" t="n"/>
      <c r="AF201" s="27" t="n"/>
      <c r="AG201" s="27" t="n"/>
      <c r="AH201" s="27" t="n"/>
      <c r="AI201" s="27" t="n"/>
      <c r="AJ201" s="27" t="n"/>
      <c r="AK201" s="27" t="n"/>
      <c r="AL201" s="27" t="n"/>
      <c r="AM201" s="27" t="n"/>
      <c r="AN201" s="27" t="n"/>
      <c r="AO201" s="27" t="n"/>
      <c r="AP201" s="27" t="n"/>
      <c r="AQ201" s="27" t="n"/>
      <c r="AR201" s="27" t="n"/>
      <c r="AS201" s="27" t="n"/>
      <c r="AT201" s="27" t="n"/>
      <c r="AU201" s="27" t="n"/>
      <c r="AV201" s="27" t="n"/>
      <c r="AW201" s="27" t="n"/>
      <c r="AX201" s="27" t="n"/>
      <c r="AY201" s="27" t="n"/>
      <c r="AZ201" s="27" t="n"/>
      <c r="BA201" s="27" t="n"/>
      <c r="BB201" s="27" t="n"/>
      <c r="BC201" s="27" t="n"/>
      <c r="BD201" s="27" t="n"/>
      <c r="BE201" s="27" t="n"/>
      <c r="BF201" s="27" t="n"/>
      <c r="BG201" s="27" t="n"/>
      <c r="BH201" s="27" t="n"/>
      <c r="BI201" s="29" t="n"/>
      <c r="BJ201" s="27" t="n"/>
      <c r="BK201" s="27" t="n"/>
      <c r="BL201" s="27" t="n"/>
      <c r="BM201" s="27" t="n"/>
    </row>
    <row r="202">
      <c r="A202" s="27" t="n"/>
      <c r="B202" s="27" t="n"/>
      <c r="C202" s="28">
        <f>IF(A202="","",$B$2)</f>
        <v/>
      </c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  <c r="AA202" s="27" t="n"/>
      <c r="AB202" s="27" t="n"/>
      <c r="AC202" s="27" t="n"/>
      <c r="AD202" s="27" t="n"/>
      <c r="AE202" s="27" t="n"/>
      <c r="AF202" s="27" t="n"/>
      <c r="AG202" s="27" t="n"/>
      <c r="AH202" s="27" t="n"/>
      <c r="AI202" s="27" t="n"/>
      <c r="AJ202" s="27" t="n"/>
      <c r="AK202" s="27" t="n"/>
      <c r="AL202" s="27" t="n"/>
      <c r="AM202" s="27" t="n"/>
      <c r="AN202" s="27" t="n"/>
      <c r="AO202" s="27" t="n"/>
      <c r="AP202" s="27" t="n"/>
      <c r="AQ202" s="27" t="n"/>
      <c r="AR202" s="27" t="n"/>
      <c r="AS202" s="27" t="n"/>
      <c r="AT202" s="27" t="n"/>
      <c r="AU202" s="27" t="n"/>
      <c r="AV202" s="27" t="n"/>
      <c r="AW202" s="27" t="n"/>
      <c r="AX202" s="27" t="n"/>
      <c r="AY202" s="27" t="n"/>
      <c r="AZ202" s="27" t="n"/>
      <c r="BA202" s="27" t="n"/>
      <c r="BB202" s="27" t="n"/>
      <c r="BC202" s="27" t="n"/>
      <c r="BD202" s="27" t="n"/>
      <c r="BE202" s="27" t="n"/>
      <c r="BF202" s="27" t="n"/>
      <c r="BG202" s="27" t="n"/>
      <c r="BH202" s="27" t="n"/>
      <c r="BI202" s="29" t="n"/>
      <c r="BJ202" s="27" t="n"/>
      <c r="BK202" s="27" t="n"/>
      <c r="BL202" s="27" t="n"/>
      <c r="BM202" s="27" t="n"/>
    </row>
    <row r="203">
      <c r="A203" s="27" t="n"/>
      <c r="B203" s="27" t="n"/>
      <c r="C203" s="28">
        <f>IF(A203="","",$B$2)</f>
        <v/>
      </c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  <c r="AA203" s="27" t="n"/>
      <c r="AB203" s="27" t="n"/>
      <c r="AC203" s="27" t="n"/>
      <c r="AD203" s="27" t="n"/>
      <c r="AE203" s="27" t="n"/>
      <c r="AF203" s="27" t="n"/>
      <c r="AG203" s="27" t="n"/>
      <c r="AH203" s="27" t="n"/>
      <c r="AI203" s="27" t="n"/>
      <c r="AJ203" s="27" t="n"/>
      <c r="AK203" s="27" t="n"/>
      <c r="AL203" s="27" t="n"/>
      <c r="AM203" s="27" t="n"/>
      <c r="AN203" s="27" t="n"/>
      <c r="AO203" s="27" t="n"/>
      <c r="AP203" s="27" t="n"/>
      <c r="AQ203" s="27" t="n"/>
      <c r="AR203" s="27" t="n"/>
      <c r="AS203" s="27" t="n"/>
      <c r="AT203" s="27" t="n"/>
      <c r="AU203" s="27" t="n"/>
      <c r="AV203" s="27" t="n"/>
      <c r="AW203" s="27" t="n"/>
      <c r="AX203" s="27" t="n"/>
      <c r="AY203" s="27" t="n"/>
      <c r="AZ203" s="27" t="n"/>
      <c r="BA203" s="27" t="n"/>
      <c r="BB203" s="27" t="n"/>
      <c r="BC203" s="27" t="n"/>
      <c r="BD203" s="27" t="n"/>
      <c r="BE203" s="27" t="n"/>
      <c r="BF203" s="27" t="n"/>
      <c r="BG203" s="27" t="n"/>
      <c r="BH203" s="27" t="n"/>
      <c r="BI203" s="29" t="n"/>
      <c r="BJ203" s="27" t="n"/>
      <c r="BK203" s="27" t="n"/>
      <c r="BL203" s="27" t="n"/>
      <c r="BM203" s="27" t="n"/>
    </row>
    <row r="204">
      <c r="A204" s="27" t="n"/>
      <c r="B204" s="27" t="n"/>
      <c r="C204" s="28">
        <f>IF(A204="","",$B$2)</f>
        <v/>
      </c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  <c r="AA204" s="27" t="n"/>
      <c r="AB204" s="27" t="n"/>
      <c r="AC204" s="27" t="n"/>
      <c r="AD204" s="27" t="n"/>
      <c r="AE204" s="27" t="n"/>
      <c r="AF204" s="27" t="n"/>
      <c r="AG204" s="27" t="n"/>
      <c r="AH204" s="27" t="n"/>
      <c r="AI204" s="27" t="n"/>
      <c r="AJ204" s="27" t="n"/>
      <c r="AK204" s="27" t="n"/>
      <c r="AL204" s="27" t="n"/>
      <c r="AM204" s="27" t="n"/>
      <c r="AN204" s="27" t="n"/>
      <c r="AO204" s="27" t="n"/>
      <c r="AP204" s="27" t="n"/>
      <c r="AQ204" s="27" t="n"/>
      <c r="AR204" s="27" t="n"/>
      <c r="AS204" s="27" t="n"/>
      <c r="AT204" s="27" t="n"/>
      <c r="AU204" s="27" t="n"/>
      <c r="AV204" s="27" t="n"/>
      <c r="AW204" s="27" t="n"/>
      <c r="AX204" s="27" t="n"/>
      <c r="AY204" s="27" t="n"/>
      <c r="AZ204" s="27" t="n"/>
      <c r="BA204" s="27" t="n"/>
      <c r="BB204" s="27" t="n"/>
      <c r="BC204" s="27" t="n"/>
      <c r="BD204" s="27" t="n"/>
      <c r="BE204" s="27" t="n"/>
      <c r="BF204" s="27" t="n"/>
      <c r="BG204" s="27" t="n"/>
      <c r="BH204" s="27" t="n"/>
      <c r="BI204" s="29" t="n"/>
      <c r="BJ204" s="27" t="n"/>
      <c r="BK204" s="27" t="n"/>
      <c r="BL204" s="27" t="n"/>
      <c r="BM204" s="27" t="n"/>
    </row>
    <row r="205">
      <c r="A205" s="27" t="n"/>
      <c r="B205" s="27" t="n"/>
      <c r="C205" s="28">
        <f>IF(A205="","",$B$2)</f>
        <v/>
      </c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  <c r="AA205" s="27" t="n"/>
      <c r="AB205" s="27" t="n"/>
      <c r="AC205" s="27" t="n"/>
      <c r="AD205" s="27" t="n"/>
      <c r="AE205" s="27" t="n"/>
      <c r="AF205" s="27" t="n"/>
      <c r="AG205" s="27" t="n"/>
      <c r="AH205" s="27" t="n"/>
      <c r="AI205" s="27" t="n"/>
      <c r="AJ205" s="27" t="n"/>
      <c r="AK205" s="27" t="n"/>
      <c r="AL205" s="27" t="n"/>
      <c r="AM205" s="27" t="n"/>
      <c r="AN205" s="27" t="n"/>
      <c r="AO205" s="27" t="n"/>
      <c r="AP205" s="27" t="n"/>
      <c r="AQ205" s="27" t="n"/>
      <c r="AR205" s="27" t="n"/>
      <c r="AS205" s="27" t="n"/>
      <c r="AT205" s="27" t="n"/>
      <c r="AU205" s="27" t="n"/>
      <c r="AV205" s="27" t="n"/>
      <c r="AW205" s="27" t="n"/>
      <c r="AX205" s="27" t="n"/>
      <c r="AY205" s="27" t="n"/>
      <c r="AZ205" s="27" t="n"/>
      <c r="BA205" s="27" t="n"/>
      <c r="BB205" s="27" t="n"/>
      <c r="BC205" s="27" t="n"/>
      <c r="BD205" s="27" t="n"/>
      <c r="BE205" s="27" t="n"/>
      <c r="BF205" s="27" t="n"/>
      <c r="BG205" s="27" t="n"/>
      <c r="BH205" s="27" t="n"/>
      <c r="BI205" s="29" t="n"/>
      <c r="BJ205" s="27" t="n"/>
      <c r="BK205" s="27" t="n"/>
      <c r="BL205" s="27" t="n"/>
      <c r="BM205" s="27" t="n"/>
    </row>
  </sheetData>
  <autoFilter ref="A5:BM205"/>
  <mergeCells count="21">
    <mergeCell ref="BH4:BH5"/>
    <mergeCell ref="C4:C5"/>
    <mergeCell ref="E4:E5"/>
    <mergeCell ref="BE4:BE5"/>
    <mergeCell ref="BG4:BG5"/>
    <mergeCell ref="BK4:BK5"/>
    <mergeCell ref="A3:F3"/>
    <mergeCell ref="D4:D5"/>
    <mergeCell ref="BE3:BH3"/>
    <mergeCell ref="BF4:BF5"/>
    <mergeCell ref="BL4:BL5"/>
    <mergeCell ref="BI3:BM3"/>
    <mergeCell ref="A4:A5"/>
    <mergeCell ref="BO4:DN4"/>
    <mergeCell ref="BI4:BI5"/>
    <mergeCell ref="BM4:BM5"/>
    <mergeCell ref="G3:BD3"/>
    <mergeCell ref="B4:B5"/>
    <mergeCell ref="F4:F5"/>
    <mergeCell ref="BJ4:BJ5"/>
    <mergeCell ref="B2:D2"/>
  </mergeCells>
  <dataValidations count="56">
    <dataValidation sqref="G6:G205" showDropDown="0" showInputMessage="0" showErrorMessage="0" allowBlank="1" type="list">
      <formula1>'テストケース10'!$BO$6:$BO$15</formula1>
    </dataValidation>
    <dataValidation sqref="H6:H205" showDropDown="0" showInputMessage="0" showErrorMessage="0" allowBlank="1" type="list">
      <formula1>'テストケース10'!$BP$6:$BP$15</formula1>
    </dataValidation>
    <dataValidation sqref="I6:I205" showDropDown="0" showInputMessage="0" showErrorMessage="0" allowBlank="1" type="list">
      <formula1>'テストケース10'!$BQ$6:$BQ$15</formula1>
    </dataValidation>
    <dataValidation sqref="J6:J205" showDropDown="0" showInputMessage="0" showErrorMessage="0" allowBlank="1" type="list">
      <formula1>'テストケース10'!$BR$6:$BR$15</formula1>
    </dataValidation>
    <dataValidation sqref="K6:K205" showDropDown="0" showInputMessage="0" showErrorMessage="0" allowBlank="1" type="list">
      <formula1>'テストケース10'!$BS$6:$BS$15</formula1>
    </dataValidation>
    <dataValidation sqref="L6:L205" showDropDown="0" showInputMessage="0" showErrorMessage="0" allowBlank="1" type="list">
      <formula1>'テストケース10'!$BT$6:$BT$15</formula1>
    </dataValidation>
    <dataValidation sqref="M6:M205" showDropDown="0" showInputMessage="0" showErrorMessage="0" allowBlank="1" type="list">
      <formula1>'テストケース10'!$BU$6:$BU$15</formula1>
    </dataValidation>
    <dataValidation sqref="N6:N205" showDropDown="0" showInputMessage="0" showErrorMessage="0" allowBlank="1" type="list">
      <formula1>'テストケース10'!$BV$6:$BV$15</formula1>
    </dataValidation>
    <dataValidation sqref="O6:O205" showDropDown="0" showInputMessage="0" showErrorMessage="0" allowBlank="1" type="list">
      <formula1>'テストケース10'!$BW$6:$BW$15</formula1>
    </dataValidation>
    <dataValidation sqref="P6:P205" showDropDown="0" showInputMessage="0" showErrorMessage="0" allowBlank="1" type="list">
      <formula1>'テストケース10'!$BX$6:$BX$15</formula1>
    </dataValidation>
    <dataValidation sqref="Q6:Q205" showDropDown="0" showInputMessage="0" showErrorMessage="0" allowBlank="1" type="list">
      <formula1>'テストケース10'!$BY$6:$BY$15</formula1>
    </dataValidation>
    <dataValidation sqref="R6:R205" showDropDown="0" showInputMessage="0" showErrorMessage="0" allowBlank="1" type="list">
      <formula1>'テストケース10'!$BZ$6:$BZ$15</formula1>
    </dataValidation>
    <dataValidation sqref="S6:S205" showDropDown="0" showInputMessage="0" showErrorMessage="0" allowBlank="1" type="list">
      <formula1>'テストケース10'!$CA$6:$CA$15</formula1>
    </dataValidation>
    <dataValidation sqref="T6:T205" showDropDown="0" showInputMessage="0" showErrorMessage="0" allowBlank="1" type="list">
      <formula1>'テストケース10'!$CB$6:$CB$15</formula1>
    </dataValidation>
    <dataValidation sqref="U6:U205" showDropDown="0" showInputMessage="0" showErrorMessage="0" allowBlank="1" type="list">
      <formula1>'テストケース10'!$CC$6:$CC$15</formula1>
    </dataValidation>
    <dataValidation sqref="V6:V205" showDropDown="0" showInputMessage="0" showErrorMessage="0" allowBlank="1" type="list">
      <formula1>'テストケース10'!$CD$6:$CD$15</formula1>
    </dataValidation>
    <dataValidation sqref="W6:W205" showDropDown="0" showInputMessage="0" showErrorMessage="0" allowBlank="1" type="list">
      <formula1>'テストケース10'!$CE$6:$CE$15</formula1>
    </dataValidation>
    <dataValidation sqref="X6:X205" showDropDown="0" showInputMessage="0" showErrorMessage="0" allowBlank="1" type="list">
      <formula1>'テストケース10'!$CF$6:$CF$15</formula1>
    </dataValidation>
    <dataValidation sqref="Y6:Y205" showDropDown="0" showInputMessage="0" showErrorMessage="0" allowBlank="1" type="list">
      <formula1>'テストケース10'!$CG$6:$CG$15</formula1>
    </dataValidation>
    <dataValidation sqref="Z6:Z205" showDropDown="0" showInputMessage="0" showErrorMessage="0" allowBlank="1" type="list">
      <formula1>'テストケース10'!$CH$6:$CH$15</formula1>
    </dataValidation>
    <dataValidation sqref="AA6:AA205" showDropDown="0" showInputMessage="0" showErrorMessage="0" allowBlank="1" type="list">
      <formula1>'テストケース10'!$CI$6:$CI$15</formula1>
    </dataValidation>
    <dataValidation sqref="AB6:AB205" showDropDown="0" showInputMessage="0" showErrorMessage="0" allowBlank="1" type="list">
      <formula1>'テストケース10'!$CJ$6:$CJ$15</formula1>
    </dataValidation>
    <dataValidation sqref="AC6:AC205" showDropDown="0" showInputMessage="0" showErrorMessage="0" allowBlank="1" type="list">
      <formula1>'テストケース10'!$CK$6:$CK$15</formula1>
    </dataValidation>
    <dataValidation sqref="AD6:AD205" showDropDown="0" showInputMessage="0" showErrorMessage="0" allowBlank="1" type="list">
      <formula1>'テストケース10'!$CL$6:$CL$15</formula1>
    </dataValidation>
    <dataValidation sqref="AE6:AE205" showDropDown="0" showInputMessage="0" showErrorMessage="0" allowBlank="1" type="list">
      <formula1>'テストケース10'!$CM$6:$CM$15</formula1>
    </dataValidation>
    <dataValidation sqref="AF6:AF205" showDropDown="0" showInputMessage="0" showErrorMessage="0" allowBlank="1" type="list">
      <formula1>'テストケース10'!$CN$6:$CN$15</formula1>
    </dataValidation>
    <dataValidation sqref="AG6:AG205" showDropDown="0" showInputMessage="0" showErrorMessage="0" allowBlank="1" type="list">
      <formula1>'テストケース10'!$CO$6:$CO$15</formula1>
    </dataValidation>
    <dataValidation sqref="AH6:AH205" showDropDown="0" showInputMessage="0" showErrorMessage="0" allowBlank="1" type="list">
      <formula1>'テストケース10'!$CP$6:$CP$15</formula1>
    </dataValidation>
    <dataValidation sqref="AI6:AI205" showDropDown="0" showInputMessage="0" showErrorMessage="0" allowBlank="1" type="list">
      <formula1>'テストケース10'!$CQ$6:$CQ$15</formula1>
    </dataValidation>
    <dataValidation sqref="AJ6:AJ205" showDropDown="0" showInputMessage="0" showErrorMessage="0" allowBlank="1" type="list">
      <formula1>'テストケース10'!$CR$6:$CR$15</formula1>
    </dataValidation>
    <dataValidation sqref="AK6:AK205" showDropDown="0" showInputMessage="0" showErrorMessage="0" allowBlank="1" type="list">
      <formula1>'テストケース10'!$CS$6:$CS$15</formula1>
    </dataValidation>
    <dataValidation sqref="AL6:AL205" showDropDown="0" showInputMessage="0" showErrorMessage="0" allowBlank="1" type="list">
      <formula1>'テストケース10'!$CT$6:$CT$15</formula1>
    </dataValidation>
    <dataValidation sqref="AM6:AM205" showDropDown="0" showInputMessage="0" showErrorMessage="0" allowBlank="1" type="list">
      <formula1>'テストケース10'!$CU$6:$CU$15</formula1>
    </dataValidation>
    <dataValidation sqref="AN6:AN205" showDropDown="0" showInputMessage="0" showErrorMessage="0" allowBlank="1" type="list">
      <formula1>'テストケース10'!$CV$6:$CV$15</formula1>
    </dataValidation>
    <dataValidation sqref="AO6:AO205" showDropDown="0" showInputMessage="0" showErrorMessage="0" allowBlank="1" type="list">
      <formula1>'テストケース10'!$CW$6:$CW$15</formula1>
    </dataValidation>
    <dataValidation sqref="AP6:AP205" showDropDown="0" showInputMessage="0" showErrorMessage="0" allowBlank="1" type="list">
      <formula1>'テストケース10'!$CX$6:$CX$15</formula1>
    </dataValidation>
    <dataValidation sqref="AQ6:AQ205" showDropDown="0" showInputMessage="0" showErrorMessage="0" allowBlank="1" type="list">
      <formula1>'テストケース10'!$CY$6:$CY$15</formula1>
    </dataValidation>
    <dataValidation sqref="AR6:AR205" showDropDown="0" showInputMessage="0" showErrorMessage="0" allowBlank="1" type="list">
      <formula1>'テストケース10'!$CZ$6:$CZ$15</formula1>
    </dataValidation>
    <dataValidation sqref="AS6:AS205" showDropDown="0" showInputMessage="0" showErrorMessage="0" allowBlank="1" type="list">
      <formula1>'テストケース10'!$DA$6:$DA$15</formula1>
    </dataValidation>
    <dataValidation sqref="AT6:AT205" showDropDown="0" showInputMessage="0" showErrorMessage="0" allowBlank="1" type="list">
      <formula1>'テストケース10'!$DB$6:$DB$15</formula1>
    </dataValidation>
    <dataValidation sqref="AU6:AU205" showDropDown="0" showInputMessage="0" showErrorMessage="0" allowBlank="1" type="list">
      <formula1>'テストケース10'!$DC$6:$DC$15</formula1>
    </dataValidation>
    <dataValidation sqref="AV6:AV205" showDropDown="0" showInputMessage="0" showErrorMessage="0" allowBlank="1" type="list">
      <formula1>'テストケース10'!$DD$6:$DD$15</formula1>
    </dataValidation>
    <dataValidation sqref="AW6:AW205" showDropDown="0" showInputMessage="0" showErrorMessage="0" allowBlank="1" type="list">
      <formula1>'テストケース10'!$DE$6:$DE$15</formula1>
    </dataValidation>
    <dataValidation sqref="AX6:AX205" showDropDown="0" showInputMessage="0" showErrorMessage="0" allowBlank="1" type="list">
      <formula1>'テストケース10'!$DF$6:$DF$15</formula1>
    </dataValidation>
    <dataValidation sqref="AY6:AY205" showDropDown="0" showInputMessage="0" showErrorMessage="0" allowBlank="1" type="list">
      <formula1>'テストケース10'!$DG$6:$DG$15</formula1>
    </dataValidation>
    <dataValidation sqref="AZ6:AZ205" showDropDown="0" showInputMessage="0" showErrorMessage="0" allowBlank="1" type="list">
      <formula1>'テストケース10'!$DH$6:$DH$15</formula1>
    </dataValidation>
    <dataValidation sqref="BA6:BA205" showDropDown="0" showInputMessage="0" showErrorMessage="0" allowBlank="1" type="list">
      <formula1>'テストケース10'!$DI$6:$DI$15</formula1>
    </dataValidation>
    <dataValidation sqref="BB6:BB205" showDropDown="0" showInputMessage="0" showErrorMessage="0" allowBlank="1" type="list">
      <formula1>'テストケース10'!$DJ$6:$DJ$15</formula1>
    </dataValidation>
    <dataValidation sqref="BC6:BC205" showDropDown="0" showInputMessage="0" showErrorMessage="0" allowBlank="1" type="list">
      <formula1>'テストケース10'!$DK$6:$DK$15</formula1>
    </dataValidation>
    <dataValidation sqref="BD6:BD205" showDropDown="0" showInputMessage="0" showErrorMessage="0" allowBlank="1" type="list">
      <formula1>'テストケース10'!$DL$6:$DL$15</formula1>
    </dataValidation>
    <dataValidation sqref="C6:C205" showDropDown="0" showInputMessage="0" showErrorMessage="0" allowBlank="1" type="list">
      <formula1>'テストケース10'!$DM$6:$DM$35</formula1>
    </dataValidation>
    <dataValidation sqref="B2" showDropDown="0" showInputMessage="0" showErrorMessage="0" allowBlank="1" type="list">
      <formula1>'テストケース10'!$DM$6:$DM$35</formula1>
    </dataValidation>
    <dataValidation sqref="B6:B205" showDropDown="0" showInputMessage="0" showErrorMessage="0" allowBlank="1" type="list">
      <formula1>'テストケース10'!$DN$6:$DN$105</formula1>
    </dataValidation>
    <dataValidation sqref="E6:E205" showDropDown="0" showInputMessage="0" showErrorMessage="0" allowBlank="1" type="list">
      <formula1>"高,中,低"</formula1>
    </dataValidation>
    <dataValidation sqref="BH6:BH205" showDropDown="0" showInputMessage="0" showErrorMessage="0" allowBlank="1" type="list">
      <formula1>"要,否,済"</formula1>
    </dataValidation>
    <dataValidation sqref="BK6:BK205" showDropDown="0" showInputMessage="0" showErrorMessage="0" allowBlank="1" type="list">
      <formula1>"OK,NG,保留,対象外"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6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集計</t>
        </is>
      </c>
    </row>
    <row r="2">
      <c r="A2" s="2" t="inlineStr">
        <is>
          <t>テストケース1〜10 の全シートから自動で集計します。</t>
        </is>
      </c>
    </row>
    <row r="4">
      <c r="A4" s="11" t="inlineStr">
        <is>
          <t>全体</t>
        </is>
      </c>
      <c r="B4" s="12" t="inlineStr">
        <is>
          <t>件数</t>
        </is>
      </c>
    </row>
    <row r="5">
      <c r="A5" s="20" t="inlineStr">
        <is>
          <t>総ケース数</t>
        </is>
      </c>
      <c r="B5" s="18">
        <f>COUNTA('テストケース1'!$A$6:$A$205)+COUNTA('テストケース2'!$A$6:$A$205)+COUNTA('テストケース3'!$A$6:$A$205)+COUNTA('テストケース4'!$A$6:$A$205)+COUNTA('テストケース5'!$A$6:$A$205)+COUNTA('テストケース6'!$A$6:$A$205)+COUNTA('テストケース7'!$A$6:$A$205)+COUNTA('テストケース8'!$A$6:$A$205)+COUNTA('テストケース9'!$A$6:$A$205)+COUNTA('テストケース10'!$A$6:$A$205)</f>
        <v/>
      </c>
    </row>
    <row r="6">
      <c r="A6" s="20" t="inlineStr">
        <is>
          <t>優先度：高</t>
        </is>
      </c>
      <c r="B6" s="18">
        <f>COUNTIF('テストケース1'!$E$6:$E$205,"高")+COUNTIF('テストケース2'!$E$6:$E$205,"高")+COUNTIF('テストケース3'!$E$6:$E$205,"高")+COUNTIF('テストケース4'!$E$6:$E$205,"高")+COUNTIF('テストケース5'!$E$6:$E$205,"高")+COUNTIF('テストケース6'!$E$6:$E$205,"高")+COUNTIF('テストケース7'!$E$6:$E$205,"高")+COUNTIF('テストケース8'!$E$6:$E$205,"高")+COUNTIF('テストケース9'!$E$6:$E$205,"高")+COUNTIF('テストケース10'!$E$6:$E$205,"高")</f>
        <v/>
      </c>
    </row>
    <row r="7">
      <c r="A7" s="20" t="inlineStr">
        <is>
          <t>優先度：中</t>
        </is>
      </c>
      <c r="B7" s="18">
        <f>COUNTIF('テストケース1'!$E$6:$E$205,"中")+COUNTIF('テストケース2'!$E$6:$E$205,"中")+COUNTIF('テストケース3'!$E$6:$E$205,"中")+COUNTIF('テストケース4'!$E$6:$E$205,"中")+COUNTIF('テストケース5'!$E$6:$E$205,"中")+COUNTIF('テストケース6'!$E$6:$E$205,"中")+COUNTIF('テストケース7'!$E$6:$E$205,"中")+COUNTIF('テストケース8'!$E$6:$E$205,"中")+COUNTIF('テストケース9'!$E$6:$E$205,"中")+COUNTIF('テストケース10'!$E$6:$E$205,"中")</f>
        <v/>
      </c>
    </row>
    <row r="8">
      <c r="A8" s="20" t="inlineStr">
        <is>
          <t>優先度：低</t>
        </is>
      </c>
      <c r="B8" s="18">
        <f>COUNTIF('テストケース1'!$E$6:$E$205,"低")+COUNTIF('テストケース2'!$E$6:$E$205,"低")+COUNTIF('テストケース3'!$E$6:$E$205,"低")+COUNTIF('テストケース4'!$E$6:$E$205,"低")+COUNTIF('テストケース5'!$E$6:$E$205,"低")+COUNTIF('テストケース6'!$E$6:$E$205,"低")+COUNTIF('テストケース7'!$E$6:$E$205,"低")+COUNTIF('テストケース8'!$E$6:$E$205,"低")+COUNTIF('テストケース9'!$E$6:$E$205,"低")+COUNTIF('テストケース10'!$E$6:$E$205,"低")</f>
        <v/>
      </c>
    </row>
    <row r="9">
      <c r="A9" s="20" t="inlineStr">
        <is>
          <t>結果：OK</t>
        </is>
      </c>
      <c r="B9" s="18">
        <f>COUNTIF('テストケース1'!$BK$6:$BK$205,"OK")+COUNTIF('テストケース2'!$BK$6:$BK$205,"OK")+COUNTIF('テストケース3'!$BK$6:$BK$205,"OK")+COUNTIF('テストケース4'!$BK$6:$BK$205,"OK")+COUNTIF('テストケース5'!$BK$6:$BK$205,"OK")+COUNTIF('テストケース6'!$BK$6:$BK$205,"OK")+COUNTIF('テストケース7'!$BK$6:$BK$205,"OK")+COUNTIF('テストケース8'!$BK$6:$BK$205,"OK")+COUNTIF('テストケース9'!$BK$6:$BK$205,"OK")+COUNTIF('テストケース10'!$BK$6:$BK$205,"OK")</f>
        <v/>
      </c>
    </row>
    <row r="10">
      <c r="A10" s="20" t="inlineStr">
        <is>
          <t>結果：NG</t>
        </is>
      </c>
      <c r="B10" s="18">
        <f>COUNTIF('テストケース1'!$BK$6:$BK$205,"NG")+COUNTIF('テストケース2'!$BK$6:$BK$205,"NG")+COUNTIF('テストケース3'!$BK$6:$BK$205,"NG")+COUNTIF('テストケース4'!$BK$6:$BK$205,"NG")+COUNTIF('テストケース5'!$BK$6:$BK$205,"NG")+COUNTIF('テストケース6'!$BK$6:$BK$205,"NG")+COUNTIF('テストケース7'!$BK$6:$BK$205,"NG")+COUNTIF('テストケース8'!$BK$6:$BK$205,"NG")+COUNTIF('テストケース9'!$BK$6:$BK$205,"NG")+COUNTIF('テストケース10'!$BK$6:$BK$205,"NG")</f>
        <v/>
      </c>
    </row>
    <row r="11">
      <c r="A11" s="20" t="inlineStr">
        <is>
          <t>結果：保留</t>
        </is>
      </c>
      <c r="B11" s="18">
        <f>COUNTIF('テストケース1'!$BK$6:$BK$205,"保留")+COUNTIF('テストケース2'!$BK$6:$BK$205,"保留")+COUNTIF('テストケース3'!$BK$6:$BK$205,"保留")+COUNTIF('テストケース4'!$BK$6:$BK$205,"保留")+COUNTIF('テストケース5'!$BK$6:$BK$205,"保留")+COUNTIF('テストケース6'!$BK$6:$BK$205,"保留")+COUNTIF('テストケース7'!$BK$6:$BK$205,"保留")+COUNTIF('テストケース8'!$BK$6:$BK$205,"保留")+COUNTIF('テストケース9'!$BK$6:$BK$205,"保留")+COUNTIF('テストケース10'!$BK$6:$BK$205,"保留")</f>
        <v/>
      </c>
    </row>
    <row r="12">
      <c r="A12" s="20" t="inlineStr">
        <is>
          <t>結果：対象外</t>
        </is>
      </c>
      <c r="B12" s="18">
        <f>COUNTIF('テストケース1'!$BK$6:$BK$205,"対象外")+COUNTIF('テストケース2'!$BK$6:$BK$205,"対象外")+COUNTIF('テストケース3'!$BK$6:$BK$205,"対象外")+COUNTIF('テストケース4'!$BK$6:$BK$205,"対象外")+COUNTIF('テストケース5'!$BK$6:$BK$205,"対象外")+COUNTIF('テストケース6'!$BK$6:$BK$205,"対象外")+COUNTIF('テストケース7'!$BK$6:$BK$205,"対象外")+COUNTIF('テストケース8'!$BK$6:$BK$205,"対象外")+COUNTIF('テストケース9'!$BK$6:$BK$205,"対象外")+COUNTIF('テストケース10'!$BK$6:$BK$205,"対象外")</f>
        <v/>
      </c>
    </row>
    <row r="13">
      <c r="A13" s="20" t="inlineStr">
        <is>
          <t>結果：未実施</t>
        </is>
      </c>
      <c r="B13" s="18">
        <f>B5-SUM(B9:B12)</f>
        <v/>
      </c>
    </row>
    <row r="14">
      <c r="A14" s="20" t="inlineStr">
        <is>
          <t>自動化：要</t>
        </is>
      </c>
      <c r="B14" s="18">
        <f>COUNTIF('テストケース1'!$BH$6:$BH$205,"要")+COUNTIF('テストケース2'!$BH$6:$BH$205,"要")+COUNTIF('テストケース3'!$BH$6:$BH$205,"要")+COUNTIF('テストケース4'!$BH$6:$BH$205,"要")+COUNTIF('テストケース5'!$BH$6:$BH$205,"要")+COUNTIF('テストケース6'!$BH$6:$BH$205,"要")+COUNTIF('テストケース7'!$BH$6:$BH$205,"要")+COUNTIF('テストケース8'!$BH$6:$BH$205,"要")+COUNTIF('テストケース9'!$BH$6:$BH$205,"要")+COUNTIF('テストケース10'!$BH$6:$BH$205,"要")</f>
        <v/>
      </c>
    </row>
    <row r="15">
      <c r="A15" s="20" t="inlineStr">
        <is>
          <t>自動化：否</t>
        </is>
      </c>
      <c r="B15" s="18">
        <f>COUNTIF('テストケース1'!$BH$6:$BH$205,"否")+COUNTIF('テストケース2'!$BH$6:$BH$205,"否")+COUNTIF('テストケース3'!$BH$6:$BH$205,"否")+COUNTIF('テストケース4'!$BH$6:$BH$205,"否")+COUNTIF('テストケース5'!$BH$6:$BH$205,"否")+COUNTIF('テストケース6'!$BH$6:$BH$205,"否")+COUNTIF('テストケース7'!$BH$6:$BH$205,"否")+COUNTIF('テストケース8'!$BH$6:$BH$205,"否")+COUNTIF('テストケース9'!$BH$6:$BH$205,"否")+COUNTIF('テストケース10'!$BH$6:$BH$205,"否")</f>
        <v/>
      </c>
    </row>
    <row r="16">
      <c r="A16" s="20" t="inlineStr">
        <is>
          <t>自動化：済</t>
        </is>
      </c>
      <c r="B16" s="18">
        <f>COUNTIF('テストケース1'!$BH$6:$BH$205,"済")+COUNTIF('テストケース2'!$BH$6:$BH$205,"済")+COUNTIF('テストケース3'!$BH$6:$BH$205,"済")+COUNTIF('テストケース4'!$BH$6:$BH$205,"済")+COUNTIF('テストケース5'!$BH$6:$BH$205,"済")+COUNTIF('テストケース6'!$BH$6:$BH$205,"済")+COUNTIF('テストケース7'!$BH$6:$BH$205,"済")+COUNTIF('テストケース8'!$BH$6:$BH$205,"済")+COUNTIF('テストケース9'!$BH$6:$BH$205,"済")+COUNTIF('テストケース10'!$BH$6:$BH$205,"済")</f>
        <v/>
      </c>
    </row>
    <row r="18">
      <c r="A18" s="11" t="inlineStr">
        <is>
          <t>指標</t>
        </is>
      </c>
      <c r="B18" s="12" t="inlineStr">
        <is>
          <t>値</t>
        </is>
      </c>
    </row>
    <row r="19">
      <c r="A19" s="20" t="inlineStr">
        <is>
          <t>消化率</t>
        </is>
      </c>
      <c r="B19" s="30">
        <f>IF(B5-B12=0,"-",(B9+B10)/(B5-B12))</f>
        <v/>
      </c>
      <c r="C19" s="2" t="inlineStr">
        <is>
          <t>（OK＋NG）÷（総数−対象外）</t>
        </is>
      </c>
    </row>
    <row r="20">
      <c r="A20" s="20" t="inlineStr">
        <is>
          <t>合格率</t>
        </is>
      </c>
      <c r="B20" s="30">
        <f>IF(B9+B10=0,"-",B9/(B9+B10))</f>
        <v/>
      </c>
      <c r="C20" s="2" t="inlineStr">
        <is>
          <t>OK ÷（OK＋NG）</t>
        </is>
      </c>
    </row>
    <row r="22">
      <c r="A22" s="12" t="inlineStr">
        <is>
          <t>シート別（カテゴリ）</t>
        </is>
      </c>
      <c r="B22" s="12" t="inlineStr">
        <is>
          <t>件数</t>
        </is>
      </c>
      <c r="C22" s="12" t="inlineStr">
        <is>
          <t>OK</t>
        </is>
      </c>
      <c r="D22" s="12" t="inlineStr">
        <is>
          <t>NG</t>
        </is>
      </c>
      <c r="E22" s="12" t="inlineStr">
        <is>
          <t>未実施</t>
        </is>
      </c>
      <c r="F22" s="12" t="inlineStr">
        <is>
          <t>消化率</t>
        </is>
      </c>
    </row>
    <row r="23">
      <c r="A23" s="26">
        <f>IF('テストケース1'!$B$2="","（カテゴリ未選択）",'テストケース1'!$B$2)</f>
        <v/>
      </c>
      <c r="B23" s="18">
        <f>COUNTA('テストケース1'!$A$6:$A$205)</f>
        <v/>
      </c>
      <c r="C23" s="18">
        <f>COUNTIF('テストケース1'!$BK$6:$BK$205,"OK")</f>
        <v/>
      </c>
      <c r="D23" s="18">
        <f>COUNTIF('テストケース1'!$BK$6:$BK$205,"NG")</f>
        <v/>
      </c>
      <c r="E23" s="18">
        <f>B23-COUNTIF('テストケース1'!$BK$6:$BK$205,"OK")-COUNTIF('テストケース1'!$BK$6:$BK$205,"NG")-COUNTIF('テストケース1'!$BK$6:$BK$205,"保留")-COUNTIF('テストケース1'!$BK$6:$BK$205,"対象外")</f>
        <v/>
      </c>
      <c r="F23" s="30">
        <f>IF(B23-COUNTIF('テストケース1'!$BK$6:$BK$205,"対象外")=0,"-",(C23+D23)/(B23-COUNTIF('テストケース1'!$BK$6:$BK$205,"対象外")))</f>
        <v/>
      </c>
    </row>
    <row r="24">
      <c r="A24" s="26">
        <f>IF('テストケース2'!$B$2="","（カテゴリ未選択）",'テストケース2'!$B$2)</f>
        <v/>
      </c>
      <c r="B24" s="18">
        <f>COUNTA('テストケース2'!$A$6:$A$205)</f>
        <v/>
      </c>
      <c r="C24" s="18">
        <f>COUNTIF('テストケース2'!$BK$6:$BK$205,"OK")</f>
        <v/>
      </c>
      <c r="D24" s="18">
        <f>COUNTIF('テストケース2'!$BK$6:$BK$205,"NG")</f>
        <v/>
      </c>
      <c r="E24" s="18">
        <f>B24-COUNTIF('テストケース2'!$BK$6:$BK$205,"OK")-COUNTIF('テストケース2'!$BK$6:$BK$205,"NG")-COUNTIF('テストケース2'!$BK$6:$BK$205,"保留")-COUNTIF('テストケース2'!$BK$6:$BK$205,"対象外")</f>
        <v/>
      </c>
      <c r="F24" s="30">
        <f>IF(B24-COUNTIF('テストケース2'!$BK$6:$BK$205,"対象外")=0,"-",(C24+D24)/(B24-COUNTIF('テストケース2'!$BK$6:$BK$205,"対象外")))</f>
        <v/>
      </c>
    </row>
    <row r="25">
      <c r="A25" s="26">
        <f>IF('テストケース3'!$B$2="","（カテゴリ未選択）",'テストケース3'!$B$2)</f>
        <v/>
      </c>
      <c r="B25" s="18">
        <f>COUNTA('テストケース3'!$A$6:$A$205)</f>
        <v/>
      </c>
      <c r="C25" s="18">
        <f>COUNTIF('テストケース3'!$BK$6:$BK$205,"OK")</f>
        <v/>
      </c>
      <c r="D25" s="18">
        <f>COUNTIF('テストケース3'!$BK$6:$BK$205,"NG")</f>
        <v/>
      </c>
      <c r="E25" s="18">
        <f>B25-COUNTIF('テストケース3'!$BK$6:$BK$205,"OK")-COUNTIF('テストケース3'!$BK$6:$BK$205,"NG")-COUNTIF('テストケース3'!$BK$6:$BK$205,"保留")-COUNTIF('テストケース3'!$BK$6:$BK$205,"対象外")</f>
        <v/>
      </c>
      <c r="F25" s="30">
        <f>IF(B25-COUNTIF('テストケース3'!$BK$6:$BK$205,"対象外")=0,"-",(C25+D25)/(B25-COUNTIF('テストケース3'!$BK$6:$BK$205,"対象外")))</f>
        <v/>
      </c>
    </row>
    <row r="26">
      <c r="A26" s="26">
        <f>IF('テストケース4'!$B$2="","（カテゴリ未選択）",'テストケース4'!$B$2)</f>
        <v/>
      </c>
      <c r="B26" s="18">
        <f>COUNTA('テストケース4'!$A$6:$A$205)</f>
        <v/>
      </c>
      <c r="C26" s="18">
        <f>COUNTIF('テストケース4'!$BK$6:$BK$205,"OK")</f>
        <v/>
      </c>
      <c r="D26" s="18">
        <f>COUNTIF('テストケース4'!$BK$6:$BK$205,"NG")</f>
        <v/>
      </c>
      <c r="E26" s="18">
        <f>B26-COUNTIF('テストケース4'!$BK$6:$BK$205,"OK")-COUNTIF('テストケース4'!$BK$6:$BK$205,"NG")-COUNTIF('テストケース4'!$BK$6:$BK$205,"保留")-COUNTIF('テストケース4'!$BK$6:$BK$205,"対象外")</f>
        <v/>
      </c>
      <c r="F26" s="30">
        <f>IF(B26-COUNTIF('テストケース4'!$BK$6:$BK$205,"対象外")=0,"-",(C26+D26)/(B26-COUNTIF('テストケース4'!$BK$6:$BK$205,"対象外")))</f>
        <v/>
      </c>
    </row>
    <row r="27">
      <c r="A27" s="26">
        <f>IF('テストケース5'!$B$2="","（カテゴリ未選択）",'テストケース5'!$B$2)</f>
        <v/>
      </c>
      <c r="B27" s="18">
        <f>COUNTA('テストケース5'!$A$6:$A$205)</f>
        <v/>
      </c>
      <c r="C27" s="18">
        <f>COUNTIF('テストケース5'!$BK$6:$BK$205,"OK")</f>
        <v/>
      </c>
      <c r="D27" s="18">
        <f>COUNTIF('テストケース5'!$BK$6:$BK$205,"NG")</f>
        <v/>
      </c>
      <c r="E27" s="18">
        <f>B27-COUNTIF('テストケース5'!$BK$6:$BK$205,"OK")-COUNTIF('テストケース5'!$BK$6:$BK$205,"NG")-COUNTIF('テストケース5'!$BK$6:$BK$205,"保留")-COUNTIF('テストケース5'!$BK$6:$BK$205,"対象外")</f>
        <v/>
      </c>
      <c r="F27" s="30">
        <f>IF(B27-COUNTIF('テストケース5'!$BK$6:$BK$205,"対象外")=0,"-",(C27+D27)/(B27-COUNTIF('テストケース5'!$BK$6:$BK$205,"対象外")))</f>
        <v/>
      </c>
    </row>
    <row r="28">
      <c r="A28" s="26">
        <f>IF('テストケース6'!$B$2="","（カテゴリ未選択）",'テストケース6'!$B$2)</f>
        <v/>
      </c>
      <c r="B28" s="18">
        <f>COUNTA('テストケース6'!$A$6:$A$205)</f>
        <v/>
      </c>
      <c r="C28" s="18">
        <f>COUNTIF('テストケース6'!$BK$6:$BK$205,"OK")</f>
        <v/>
      </c>
      <c r="D28" s="18">
        <f>COUNTIF('テストケース6'!$BK$6:$BK$205,"NG")</f>
        <v/>
      </c>
      <c r="E28" s="18">
        <f>B28-COUNTIF('テストケース6'!$BK$6:$BK$205,"OK")-COUNTIF('テストケース6'!$BK$6:$BK$205,"NG")-COUNTIF('テストケース6'!$BK$6:$BK$205,"保留")-COUNTIF('テストケース6'!$BK$6:$BK$205,"対象外")</f>
        <v/>
      </c>
      <c r="F28" s="30">
        <f>IF(B28-COUNTIF('テストケース6'!$BK$6:$BK$205,"対象外")=0,"-",(C28+D28)/(B28-COUNTIF('テストケース6'!$BK$6:$BK$205,"対象外")))</f>
        <v/>
      </c>
    </row>
    <row r="29">
      <c r="A29" s="26">
        <f>IF('テストケース7'!$B$2="","（カテゴリ未選択）",'テストケース7'!$B$2)</f>
        <v/>
      </c>
      <c r="B29" s="18">
        <f>COUNTA('テストケース7'!$A$6:$A$205)</f>
        <v/>
      </c>
      <c r="C29" s="18">
        <f>COUNTIF('テストケース7'!$BK$6:$BK$205,"OK")</f>
        <v/>
      </c>
      <c r="D29" s="18">
        <f>COUNTIF('テストケース7'!$BK$6:$BK$205,"NG")</f>
        <v/>
      </c>
      <c r="E29" s="18">
        <f>B29-COUNTIF('テストケース7'!$BK$6:$BK$205,"OK")-COUNTIF('テストケース7'!$BK$6:$BK$205,"NG")-COUNTIF('テストケース7'!$BK$6:$BK$205,"保留")-COUNTIF('テストケース7'!$BK$6:$BK$205,"対象外")</f>
        <v/>
      </c>
      <c r="F29" s="30">
        <f>IF(B29-COUNTIF('テストケース7'!$BK$6:$BK$205,"対象外")=0,"-",(C29+D29)/(B29-COUNTIF('テストケース7'!$BK$6:$BK$205,"対象外")))</f>
        <v/>
      </c>
    </row>
    <row r="30">
      <c r="A30" s="26">
        <f>IF('テストケース8'!$B$2="","（カテゴリ未選択）",'テストケース8'!$B$2)</f>
        <v/>
      </c>
      <c r="B30" s="18">
        <f>COUNTA('テストケース8'!$A$6:$A$205)</f>
        <v/>
      </c>
      <c r="C30" s="18">
        <f>COUNTIF('テストケース8'!$BK$6:$BK$205,"OK")</f>
        <v/>
      </c>
      <c r="D30" s="18">
        <f>COUNTIF('テストケース8'!$BK$6:$BK$205,"NG")</f>
        <v/>
      </c>
      <c r="E30" s="18">
        <f>B30-COUNTIF('テストケース8'!$BK$6:$BK$205,"OK")-COUNTIF('テストケース8'!$BK$6:$BK$205,"NG")-COUNTIF('テストケース8'!$BK$6:$BK$205,"保留")-COUNTIF('テストケース8'!$BK$6:$BK$205,"対象外")</f>
        <v/>
      </c>
      <c r="F30" s="30">
        <f>IF(B30-COUNTIF('テストケース8'!$BK$6:$BK$205,"対象外")=0,"-",(C30+D30)/(B30-COUNTIF('テストケース8'!$BK$6:$BK$205,"対象外")))</f>
        <v/>
      </c>
    </row>
    <row r="31">
      <c r="A31" s="26">
        <f>IF('テストケース9'!$B$2="","（カテゴリ未選択）",'テストケース9'!$B$2)</f>
        <v/>
      </c>
      <c r="B31" s="18">
        <f>COUNTA('テストケース9'!$A$6:$A$205)</f>
        <v/>
      </c>
      <c r="C31" s="18">
        <f>COUNTIF('テストケース9'!$BK$6:$BK$205,"OK")</f>
        <v/>
      </c>
      <c r="D31" s="18">
        <f>COUNTIF('テストケース9'!$BK$6:$BK$205,"NG")</f>
        <v/>
      </c>
      <c r="E31" s="18">
        <f>B31-COUNTIF('テストケース9'!$BK$6:$BK$205,"OK")-COUNTIF('テストケース9'!$BK$6:$BK$205,"NG")-COUNTIF('テストケース9'!$BK$6:$BK$205,"保留")-COUNTIF('テストケース9'!$BK$6:$BK$205,"対象外")</f>
        <v/>
      </c>
      <c r="F31" s="30">
        <f>IF(B31-COUNTIF('テストケース9'!$BK$6:$BK$205,"対象外")=0,"-",(C31+D31)/(B31-COUNTIF('テストケース9'!$BK$6:$BK$205,"対象外")))</f>
        <v/>
      </c>
    </row>
    <row r="32">
      <c r="A32" s="26">
        <f>IF('テストケース10'!$B$2="","（カテゴリ未選択）",'テストケース10'!$B$2)</f>
        <v/>
      </c>
      <c r="B32" s="18">
        <f>COUNTA('テストケース10'!$A$6:$A$205)</f>
        <v/>
      </c>
      <c r="C32" s="18">
        <f>COUNTIF('テストケース10'!$BK$6:$BK$205,"OK")</f>
        <v/>
      </c>
      <c r="D32" s="18">
        <f>COUNTIF('テストケース10'!$BK$6:$BK$205,"NG")</f>
        <v/>
      </c>
      <c r="E32" s="18">
        <f>B32-COUNTIF('テストケース10'!$BK$6:$BK$205,"OK")-COUNTIF('テストケース10'!$BK$6:$BK$205,"NG")-COUNTIF('テストケース10'!$BK$6:$BK$205,"保留")-COUNTIF('テストケース10'!$BK$6:$BK$205,"対象外")</f>
        <v/>
      </c>
      <c r="F32" s="30">
        <f>IF(B32-COUNTIF('テストケース10'!$BK$6:$BK$205,"対象外")=0,"-",(C32+D32)/(B32-COUNTIF('テストケース10'!$BK$6:$BK$205,"対象外")))</f>
        <v/>
      </c>
    </row>
    <row r="34">
      <c r="A34" s="12" t="inlineStr">
        <is>
          <t>カテゴリ別</t>
        </is>
      </c>
      <c r="B34" s="12" t="inlineStr">
        <is>
          <t>件数</t>
        </is>
      </c>
      <c r="C34" s="12" t="inlineStr">
        <is>
          <t>OK</t>
        </is>
      </c>
    </row>
    <row r="35">
      <c r="A35" s="26">
        <f>IF('因子水準表'!$B$29="","",'因子水準表'!$B$29)</f>
        <v/>
      </c>
      <c r="B35" s="18">
        <f>IF(A35="","",COUNTIF('テストケース1'!$C$6:$C$205,A35)+COUNTIF('テストケース2'!$C$6:$C$205,A35)+COUNTIF('テストケース3'!$C$6:$C$205,A35)+COUNTIF('テストケース4'!$C$6:$C$205,A35)+COUNTIF('テストケース5'!$C$6:$C$205,A35)+COUNTIF('テストケース6'!$C$6:$C$205,A35)+COUNTIF('テストケース7'!$C$6:$C$205,A35)+COUNTIF('テストケース8'!$C$6:$C$205,A35)+COUNTIF('テストケース9'!$C$6:$C$205,A35)+COUNTIF('テストケース10'!$C$6:$C$205,A35))</f>
        <v/>
      </c>
      <c r="C35" s="18">
        <f>IF(A35="","",COUNTIFS('テストケース1'!$C$6:$C$205,A35,'テストケース1'!$BK$6:$BK$205,"OK")+COUNTIFS('テストケース2'!$C$6:$C$205,A35,'テストケース2'!$BK$6:$BK$205,"OK")+COUNTIFS('テストケース3'!$C$6:$C$205,A35,'テストケース3'!$BK$6:$BK$205,"OK")+COUNTIFS('テストケース4'!$C$6:$C$205,A35,'テストケース4'!$BK$6:$BK$205,"OK")+COUNTIFS('テストケース5'!$C$6:$C$205,A35,'テストケース5'!$BK$6:$BK$205,"OK")+COUNTIFS('テストケース6'!$C$6:$C$205,A35,'テストケース6'!$BK$6:$BK$205,"OK")+COUNTIFS('テストケース7'!$C$6:$C$205,A35,'テストケース7'!$BK$6:$BK$205,"OK")+COUNTIFS('テストケース8'!$C$6:$C$205,A35,'テストケース8'!$BK$6:$BK$205,"OK")+COUNTIFS('テストケース9'!$C$6:$C$205,A35,'テストケース9'!$BK$6:$BK$205,"OK")+COUNTIFS('テストケース10'!$C$6:$C$205,A35,'テストケース10'!$BK$6:$BK$205,"OK"))</f>
        <v/>
      </c>
    </row>
    <row r="36">
      <c r="A36" s="26">
        <f>IF('因子水準表'!$B$30="","",'因子水準表'!$B$30)</f>
        <v/>
      </c>
      <c r="B36" s="18">
        <f>IF(A36="","",COUNTIF('テストケース1'!$C$6:$C$205,A36)+COUNTIF('テストケース2'!$C$6:$C$205,A36)+COUNTIF('テストケース3'!$C$6:$C$205,A36)+COUNTIF('テストケース4'!$C$6:$C$205,A36)+COUNTIF('テストケース5'!$C$6:$C$205,A36)+COUNTIF('テストケース6'!$C$6:$C$205,A36)+COUNTIF('テストケース7'!$C$6:$C$205,A36)+COUNTIF('テストケース8'!$C$6:$C$205,A36)+COUNTIF('テストケース9'!$C$6:$C$205,A36)+COUNTIF('テストケース10'!$C$6:$C$205,A36))</f>
        <v/>
      </c>
      <c r="C36" s="18">
        <f>IF(A36="","",COUNTIFS('テストケース1'!$C$6:$C$205,A36,'テストケース1'!$BK$6:$BK$205,"OK")+COUNTIFS('テストケース2'!$C$6:$C$205,A36,'テストケース2'!$BK$6:$BK$205,"OK")+COUNTIFS('テストケース3'!$C$6:$C$205,A36,'テストケース3'!$BK$6:$BK$205,"OK")+COUNTIFS('テストケース4'!$C$6:$C$205,A36,'テストケース4'!$BK$6:$BK$205,"OK")+COUNTIFS('テストケース5'!$C$6:$C$205,A36,'テストケース5'!$BK$6:$BK$205,"OK")+COUNTIFS('テストケース6'!$C$6:$C$205,A36,'テストケース6'!$BK$6:$BK$205,"OK")+COUNTIFS('テストケース7'!$C$6:$C$205,A36,'テストケース7'!$BK$6:$BK$205,"OK")+COUNTIFS('テストケース8'!$C$6:$C$205,A36,'テストケース8'!$BK$6:$BK$205,"OK")+COUNTIFS('テストケース9'!$C$6:$C$205,A36,'テストケース9'!$BK$6:$BK$205,"OK")+COUNTIFS('テストケース10'!$C$6:$C$205,A36,'テストケース10'!$BK$6:$BK$205,"OK"))</f>
        <v/>
      </c>
    </row>
    <row r="37">
      <c r="A37" s="26">
        <f>IF('因子水準表'!$B$31="","",'因子水準表'!$B$31)</f>
        <v/>
      </c>
      <c r="B37" s="18">
        <f>IF(A37="","",COUNTIF('テストケース1'!$C$6:$C$205,A37)+COUNTIF('テストケース2'!$C$6:$C$205,A37)+COUNTIF('テストケース3'!$C$6:$C$205,A37)+COUNTIF('テストケース4'!$C$6:$C$205,A37)+COUNTIF('テストケース5'!$C$6:$C$205,A37)+COUNTIF('テストケース6'!$C$6:$C$205,A37)+COUNTIF('テストケース7'!$C$6:$C$205,A37)+COUNTIF('テストケース8'!$C$6:$C$205,A37)+COUNTIF('テストケース9'!$C$6:$C$205,A37)+COUNTIF('テストケース10'!$C$6:$C$205,A37))</f>
        <v/>
      </c>
      <c r="C37" s="18">
        <f>IF(A37="","",COUNTIFS('テストケース1'!$C$6:$C$205,A37,'テストケース1'!$BK$6:$BK$205,"OK")+COUNTIFS('テストケース2'!$C$6:$C$205,A37,'テストケース2'!$BK$6:$BK$205,"OK")+COUNTIFS('テストケース3'!$C$6:$C$205,A37,'テストケース3'!$BK$6:$BK$205,"OK")+COUNTIFS('テストケース4'!$C$6:$C$205,A37,'テストケース4'!$BK$6:$BK$205,"OK")+COUNTIFS('テストケース5'!$C$6:$C$205,A37,'テストケース5'!$BK$6:$BK$205,"OK")+COUNTIFS('テストケース6'!$C$6:$C$205,A37,'テストケース6'!$BK$6:$BK$205,"OK")+COUNTIFS('テストケース7'!$C$6:$C$205,A37,'テストケース7'!$BK$6:$BK$205,"OK")+COUNTIFS('テストケース8'!$C$6:$C$205,A37,'テストケース8'!$BK$6:$BK$205,"OK")+COUNTIFS('テストケース9'!$C$6:$C$205,A37,'テストケース9'!$BK$6:$BK$205,"OK")+COUNTIFS('テストケース10'!$C$6:$C$205,A37,'テストケース10'!$BK$6:$BK$205,"OK"))</f>
        <v/>
      </c>
    </row>
    <row r="38">
      <c r="A38" s="26">
        <f>IF('因子水準表'!$B$32="","",'因子水準表'!$B$32)</f>
        <v/>
      </c>
      <c r="B38" s="18">
        <f>IF(A38="","",COUNTIF('テストケース1'!$C$6:$C$205,A38)+COUNTIF('テストケース2'!$C$6:$C$205,A38)+COUNTIF('テストケース3'!$C$6:$C$205,A38)+COUNTIF('テストケース4'!$C$6:$C$205,A38)+COUNTIF('テストケース5'!$C$6:$C$205,A38)+COUNTIF('テストケース6'!$C$6:$C$205,A38)+COUNTIF('テストケース7'!$C$6:$C$205,A38)+COUNTIF('テストケース8'!$C$6:$C$205,A38)+COUNTIF('テストケース9'!$C$6:$C$205,A38)+COUNTIF('テストケース10'!$C$6:$C$205,A38))</f>
        <v/>
      </c>
      <c r="C38" s="18">
        <f>IF(A38="","",COUNTIFS('テストケース1'!$C$6:$C$205,A38,'テストケース1'!$BK$6:$BK$205,"OK")+COUNTIFS('テストケース2'!$C$6:$C$205,A38,'テストケース2'!$BK$6:$BK$205,"OK")+COUNTIFS('テストケース3'!$C$6:$C$205,A38,'テストケース3'!$BK$6:$BK$205,"OK")+COUNTIFS('テストケース4'!$C$6:$C$205,A38,'テストケース4'!$BK$6:$BK$205,"OK")+COUNTIFS('テストケース5'!$C$6:$C$205,A38,'テストケース5'!$BK$6:$BK$205,"OK")+COUNTIFS('テストケース6'!$C$6:$C$205,A38,'テストケース6'!$BK$6:$BK$205,"OK")+COUNTIFS('テストケース7'!$C$6:$C$205,A38,'テストケース7'!$BK$6:$BK$205,"OK")+COUNTIFS('テストケース8'!$C$6:$C$205,A38,'テストケース8'!$BK$6:$BK$205,"OK")+COUNTIFS('テストケース9'!$C$6:$C$205,A38,'テストケース9'!$BK$6:$BK$205,"OK")+COUNTIFS('テストケース10'!$C$6:$C$205,A38,'テストケース10'!$BK$6:$BK$205,"OK"))</f>
        <v/>
      </c>
    </row>
    <row r="39">
      <c r="A39" s="26">
        <f>IF('因子水準表'!$B$33="","",'因子水準表'!$B$33)</f>
        <v/>
      </c>
      <c r="B39" s="18">
        <f>IF(A39="","",COUNTIF('テストケース1'!$C$6:$C$205,A39)+COUNTIF('テストケース2'!$C$6:$C$205,A39)+COUNTIF('テストケース3'!$C$6:$C$205,A39)+COUNTIF('テストケース4'!$C$6:$C$205,A39)+COUNTIF('テストケース5'!$C$6:$C$205,A39)+COUNTIF('テストケース6'!$C$6:$C$205,A39)+COUNTIF('テストケース7'!$C$6:$C$205,A39)+COUNTIF('テストケース8'!$C$6:$C$205,A39)+COUNTIF('テストケース9'!$C$6:$C$205,A39)+COUNTIF('テストケース10'!$C$6:$C$205,A39))</f>
        <v/>
      </c>
      <c r="C39" s="18">
        <f>IF(A39="","",COUNTIFS('テストケース1'!$C$6:$C$205,A39,'テストケース1'!$BK$6:$BK$205,"OK")+COUNTIFS('テストケース2'!$C$6:$C$205,A39,'テストケース2'!$BK$6:$BK$205,"OK")+COUNTIFS('テストケース3'!$C$6:$C$205,A39,'テストケース3'!$BK$6:$BK$205,"OK")+COUNTIFS('テストケース4'!$C$6:$C$205,A39,'テストケース4'!$BK$6:$BK$205,"OK")+COUNTIFS('テストケース5'!$C$6:$C$205,A39,'テストケース5'!$BK$6:$BK$205,"OK")+COUNTIFS('テストケース6'!$C$6:$C$205,A39,'テストケース6'!$BK$6:$BK$205,"OK")+COUNTIFS('テストケース7'!$C$6:$C$205,A39,'テストケース7'!$BK$6:$BK$205,"OK")+COUNTIFS('テストケース8'!$C$6:$C$205,A39,'テストケース8'!$BK$6:$BK$205,"OK")+COUNTIFS('テストケース9'!$C$6:$C$205,A39,'テストケース9'!$BK$6:$BK$205,"OK")+COUNTIFS('テストケース10'!$C$6:$C$205,A39,'テストケース10'!$BK$6:$BK$205,"OK"))</f>
        <v/>
      </c>
    </row>
    <row r="40">
      <c r="A40" s="26">
        <f>IF('因子水準表'!$B$34="","",'因子水準表'!$B$34)</f>
        <v/>
      </c>
      <c r="B40" s="18">
        <f>IF(A40="","",COUNTIF('テストケース1'!$C$6:$C$205,A40)+COUNTIF('テストケース2'!$C$6:$C$205,A40)+COUNTIF('テストケース3'!$C$6:$C$205,A40)+COUNTIF('テストケース4'!$C$6:$C$205,A40)+COUNTIF('テストケース5'!$C$6:$C$205,A40)+COUNTIF('テストケース6'!$C$6:$C$205,A40)+COUNTIF('テストケース7'!$C$6:$C$205,A40)+COUNTIF('テストケース8'!$C$6:$C$205,A40)+COUNTIF('テストケース9'!$C$6:$C$205,A40)+COUNTIF('テストケース10'!$C$6:$C$205,A40))</f>
        <v/>
      </c>
      <c r="C40" s="18">
        <f>IF(A40="","",COUNTIFS('テストケース1'!$C$6:$C$205,A40,'テストケース1'!$BK$6:$BK$205,"OK")+COUNTIFS('テストケース2'!$C$6:$C$205,A40,'テストケース2'!$BK$6:$BK$205,"OK")+COUNTIFS('テストケース3'!$C$6:$C$205,A40,'テストケース3'!$BK$6:$BK$205,"OK")+COUNTIFS('テストケース4'!$C$6:$C$205,A40,'テストケース4'!$BK$6:$BK$205,"OK")+COUNTIFS('テストケース5'!$C$6:$C$205,A40,'テストケース5'!$BK$6:$BK$205,"OK")+COUNTIFS('テストケース6'!$C$6:$C$205,A40,'テストケース6'!$BK$6:$BK$205,"OK")+COUNTIFS('テストケース7'!$C$6:$C$205,A40,'テストケース7'!$BK$6:$BK$205,"OK")+COUNTIFS('テストケース8'!$C$6:$C$205,A40,'テストケース8'!$BK$6:$BK$205,"OK")+COUNTIFS('テストケース9'!$C$6:$C$205,A40,'テストケース9'!$BK$6:$BK$205,"OK")+COUNTIFS('テストケース10'!$C$6:$C$205,A40,'テストケース10'!$BK$6:$BK$205,"OK"))</f>
        <v/>
      </c>
    </row>
    <row r="41">
      <c r="A41" s="26">
        <f>IF('因子水準表'!$B$35="","",'因子水準表'!$B$35)</f>
        <v/>
      </c>
      <c r="B41" s="18">
        <f>IF(A41="","",COUNTIF('テストケース1'!$C$6:$C$205,A41)+COUNTIF('テストケース2'!$C$6:$C$205,A41)+COUNTIF('テストケース3'!$C$6:$C$205,A41)+COUNTIF('テストケース4'!$C$6:$C$205,A41)+COUNTIF('テストケース5'!$C$6:$C$205,A41)+COUNTIF('テストケース6'!$C$6:$C$205,A41)+COUNTIF('テストケース7'!$C$6:$C$205,A41)+COUNTIF('テストケース8'!$C$6:$C$205,A41)+COUNTIF('テストケース9'!$C$6:$C$205,A41)+COUNTIF('テストケース10'!$C$6:$C$205,A41))</f>
        <v/>
      </c>
      <c r="C41" s="18">
        <f>IF(A41="","",COUNTIFS('テストケース1'!$C$6:$C$205,A41,'テストケース1'!$BK$6:$BK$205,"OK")+COUNTIFS('テストケース2'!$C$6:$C$205,A41,'テストケース2'!$BK$6:$BK$205,"OK")+COUNTIFS('テストケース3'!$C$6:$C$205,A41,'テストケース3'!$BK$6:$BK$205,"OK")+COUNTIFS('テストケース4'!$C$6:$C$205,A41,'テストケース4'!$BK$6:$BK$205,"OK")+COUNTIFS('テストケース5'!$C$6:$C$205,A41,'テストケース5'!$BK$6:$BK$205,"OK")+COUNTIFS('テストケース6'!$C$6:$C$205,A41,'テストケース6'!$BK$6:$BK$205,"OK")+COUNTIFS('テストケース7'!$C$6:$C$205,A41,'テストケース7'!$BK$6:$BK$205,"OK")+COUNTIFS('テストケース8'!$C$6:$C$205,A41,'テストケース8'!$BK$6:$BK$205,"OK")+COUNTIFS('テストケース9'!$C$6:$C$205,A41,'テストケース9'!$BK$6:$BK$205,"OK")+COUNTIFS('テストケース10'!$C$6:$C$205,A41,'テストケース10'!$BK$6:$BK$205,"OK"))</f>
        <v/>
      </c>
    </row>
    <row r="42">
      <c r="A42" s="26">
        <f>IF('因子水準表'!$B$36="","",'因子水準表'!$B$36)</f>
        <v/>
      </c>
      <c r="B42" s="18">
        <f>IF(A42="","",COUNTIF('テストケース1'!$C$6:$C$205,A42)+COUNTIF('テストケース2'!$C$6:$C$205,A42)+COUNTIF('テストケース3'!$C$6:$C$205,A42)+COUNTIF('テストケース4'!$C$6:$C$205,A42)+COUNTIF('テストケース5'!$C$6:$C$205,A42)+COUNTIF('テストケース6'!$C$6:$C$205,A42)+COUNTIF('テストケース7'!$C$6:$C$205,A42)+COUNTIF('テストケース8'!$C$6:$C$205,A42)+COUNTIF('テストケース9'!$C$6:$C$205,A42)+COUNTIF('テストケース10'!$C$6:$C$205,A42))</f>
        <v/>
      </c>
      <c r="C42" s="18">
        <f>IF(A42="","",COUNTIFS('テストケース1'!$C$6:$C$205,A42,'テストケース1'!$BK$6:$BK$205,"OK")+COUNTIFS('テストケース2'!$C$6:$C$205,A42,'テストケース2'!$BK$6:$BK$205,"OK")+COUNTIFS('テストケース3'!$C$6:$C$205,A42,'テストケース3'!$BK$6:$BK$205,"OK")+COUNTIFS('テストケース4'!$C$6:$C$205,A42,'テストケース4'!$BK$6:$BK$205,"OK")+COUNTIFS('テストケース5'!$C$6:$C$205,A42,'テストケース5'!$BK$6:$BK$205,"OK")+COUNTIFS('テストケース6'!$C$6:$C$205,A42,'テストケース6'!$BK$6:$BK$205,"OK")+COUNTIFS('テストケース7'!$C$6:$C$205,A42,'テストケース7'!$BK$6:$BK$205,"OK")+COUNTIFS('テストケース8'!$C$6:$C$205,A42,'テストケース8'!$BK$6:$BK$205,"OK")+COUNTIFS('テストケース9'!$C$6:$C$205,A42,'テストケース9'!$BK$6:$BK$205,"OK")+COUNTIFS('テストケース10'!$C$6:$C$205,A42,'テストケース10'!$BK$6:$BK$205,"OK"))</f>
        <v/>
      </c>
    </row>
    <row r="43">
      <c r="A43" s="26">
        <f>IF('因子水準表'!$B$37="","",'因子水準表'!$B$37)</f>
        <v/>
      </c>
      <c r="B43" s="18">
        <f>IF(A43="","",COUNTIF('テストケース1'!$C$6:$C$205,A43)+COUNTIF('テストケース2'!$C$6:$C$205,A43)+COUNTIF('テストケース3'!$C$6:$C$205,A43)+COUNTIF('テストケース4'!$C$6:$C$205,A43)+COUNTIF('テストケース5'!$C$6:$C$205,A43)+COUNTIF('テストケース6'!$C$6:$C$205,A43)+COUNTIF('テストケース7'!$C$6:$C$205,A43)+COUNTIF('テストケース8'!$C$6:$C$205,A43)+COUNTIF('テストケース9'!$C$6:$C$205,A43)+COUNTIF('テストケース10'!$C$6:$C$205,A43))</f>
        <v/>
      </c>
      <c r="C43" s="18">
        <f>IF(A43="","",COUNTIFS('テストケース1'!$C$6:$C$205,A43,'テストケース1'!$BK$6:$BK$205,"OK")+COUNTIFS('テストケース2'!$C$6:$C$205,A43,'テストケース2'!$BK$6:$BK$205,"OK")+COUNTIFS('テストケース3'!$C$6:$C$205,A43,'テストケース3'!$BK$6:$BK$205,"OK")+COUNTIFS('テストケース4'!$C$6:$C$205,A43,'テストケース4'!$BK$6:$BK$205,"OK")+COUNTIFS('テストケース5'!$C$6:$C$205,A43,'テストケース5'!$BK$6:$BK$205,"OK")+COUNTIFS('テストケース6'!$C$6:$C$205,A43,'テストケース6'!$BK$6:$BK$205,"OK")+COUNTIFS('テストケース7'!$C$6:$C$205,A43,'テストケース7'!$BK$6:$BK$205,"OK")+COUNTIFS('テストケース8'!$C$6:$C$205,A43,'テストケース8'!$BK$6:$BK$205,"OK")+COUNTIFS('テストケース9'!$C$6:$C$205,A43,'テストケース9'!$BK$6:$BK$205,"OK")+COUNTIFS('テストケース10'!$C$6:$C$205,A43,'テストケース10'!$BK$6:$BK$205,"OK"))</f>
        <v/>
      </c>
    </row>
    <row r="44">
      <c r="A44" s="26">
        <f>IF('因子水準表'!$B$38="","",'因子水準表'!$B$38)</f>
        <v/>
      </c>
      <c r="B44" s="18">
        <f>IF(A44="","",COUNTIF('テストケース1'!$C$6:$C$205,A44)+COUNTIF('テストケース2'!$C$6:$C$205,A44)+COUNTIF('テストケース3'!$C$6:$C$205,A44)+COUNTIF('テストケース4'!$C$6:$C$205,A44)+COUNTIF('テストケース5'!$C$6:$C$205,A44)+COUNTIF('テストケース6'!$C$6:$C$205,A44)+COUNTIF('テストケース7'!$C$6:$C$205,A44)+COUNTIF('テストケース8'!$C$6:$C$205,A44)+COUNTIF('テストケース9'!$C$6:$C$205,A44)+COUNTIF('テストケース10'!$C$6:$C$205,A44))</f>
        <v/>
      </c>
      <c r="C44" s="18">
        <f>IF(A44="","",COUNTIFS('テストケース1'!$C$6:$C$205,A44,'テストケース1'!$BK$6:$BK$205,"OK")+COUNTIFS('テストケース2'!$C$6:$C$205,A44,'テストケース2'!$BK$6:$BK$205,"OK")+COUNTIFS('テストケース3'!$C$6:$C$205,A44,'テストケース3'!$BK$6:$BK$205,"OK")+COUNTIFS('テストケース4'!$C$6:$C$205,A44,'テストケース4'!$BK$6:$BK$205,"OK")+COUNTIFS('テストケース5'!$C$6:$C$205,A44,'テストケース5'!$BK$6:$BK$205,"OK")+COUNTIFS('テストケース6'!$C$6:$C$205,A44,'テストケース6'!$BK$6:$BK$205,"OK")+COUNTIFS('テストケース7'!$C$6:$C$205,A44,'テストケース7'!$BK$6:$BK$205,"OK")+COUNTIFS('テストケース8'!$C$6:$C$205,A44,'テストケース8'!$BK$6:$BK$205,"OK")+COUNTIFS('テストケース9'!$C$6:$C$205,A44,'テストケース9'!$BK$6:$BK$205,"OK")+COUNTIFS('テストケース10'!$C$6:$C$205,A44,'テストケース10'!$BK$6:$BK$205,"OK"))</f>
        <v/>
      </c>
    </row>
    <row r="45">
      <c r="A45" s="26">
        <f>IF('因子水準表'!$B$39="","",'因子水準表'!$B$39)</f>
        <v/>
      </c>
      <c r="B45" s="18">
        <f>IF(A45="","",COUNTIF('テストケース1'!$C$6:$C$205,A45)+COUNTIF('テストケース2'!$C$6:$C$205,A45)+COUNTIF('テストケース3'!$C$6:$C$205,A45)+COUNTIF('テストケース4'!$C$6:$C$205,A45)+COUNTIF('テストケース5'!$C$6:$C$205,A45)+COUNTIF('テストケース6'!$C$6:$C$205,A45)+COUNTIF('テストケース7'!$C$6:$C$205,A45)+COUNTIF('テストケース8'!$C$6:$C$205,A45)+COUNTIF('テストケース9'!$C$6:$C$205,A45)+COUNTIF('テストケース10'!$C$6:$C$205,A45))</f>
        <v/>
      </c>
      <c r="C45" s="18">
        <f>IF(A45="","",COUNTIFS('テストケース1'!$C$6:$C$205,A45,'テストケース1'!$BK$6:$BK$205,"OK")+COUNTIFS('テストケース2'!$C$6:$C$205,A45,'テストケース2'!$BK$6:$BK$205,"OK")+COUNTIFS('テストケース3'!$C$6:$C$205,A45,'テストケース3'!$BK$6:$BK$205,"OK")+COUNTIFS('テストケース4'!$C$6:$C$205,A45,'テストケース4'!$BK$6:$BK$205,"OK")+COUNTIFS('テストケース5'!$C$6:$C$205,A45,'テストケース5'!$BK$6:$BK$205,"OK")+COUNTIFS('テストケース6'!$C$6:$C$205,A45,'テストケース6'!$BK$6:$BK$205,"OK")+COUNTIFS('テストケース7'!$C$6:$C$205,A45,'テストケース7'!$BK$6:$BK$205,"OK")+COUNTIFS('テストケース8'!$C$6:$C$205,A45,'テストケース8'!$BK$6:$BK$205,"OK")+COUNTIFS('テストケース9'!$C$6:$C$205,A45,'テストケース9'!$BK$6:$BK$205,"OK")+COUNTIFS('テストケース10'!$C$6:$C$205,A45,'テストケース10'!$BK$6:$BK$205,"OK"))</f>
        <v/>
      </c>
    </row>
    <row r="46">
      <c r="A46" s="26">
        <f>IF('因子水準表'!$B$40="","",'因子水準表'!$B$40)</f>
        <v/>
      </c>
      <c r="B46" s="18">
        <f>IF(A46="","",COUNTIF('テストケース1'!$C$6:$C$205,A46)+COUNTIF('テストケース2'!$C$6:$C$205,A46)+COUNTIF('テストケース3'!$C$6:$C$205,A46)+COUNTIF('テストケース4'!$C$6:$C$205,A46)+COUNTIF('テストケース5'!$C$6:$C$205,A46)+COUNTIF('テストケース6'!$C$6:$C$205,A46)+COUNTIF('テストケース7'!$C$6:$C$205,A46)+COUNTIF('テストケース8'!$C$6:$C$205,A46)+COUNTIF('テストケース9'!$C$6:$C$205,A46)+COUNTIF('テストケース10'!$C$6:$C$205,A46))</f>
        <v/>
      </c>
      <c r="C46" s="18">
        <f>IF(A46="","",COUNTIFS('テストケース1'!$C$6:$C$205,A46,'テストケース1'!$BK$6:$BK$205,"OK")+COUNTIFS('テストケース2'!$C$6:$C$205,A46,'テストケース2'!$BK$6:$BK$205,"OK")+COUNTIFS('テストケース3'!$C$6:$C$205,A46,'テストケース3'!$BK$6:$BK$205,"OK")+COUNTIFS('テストケース4'!$C$6:$C$205,A46,'テストケース4'!$BK$6:$BK$205,"OK")+COUNTIFS('テストケース5'!$C$6:$C$205,A46,'テストケース5'!$BK$6:$BK$205,"OK")+COUNTIFS('テストケース6'!$C$6:$C$205,A46,'テストケース6'!$BK$6:$BK$205,"OK")+COUNTIFS('テストケース7'!$C$6:$C$205,A46,'テストケース7'!$BK$6:$BK$205,"OK")+COUNTIFS('テストケース8'!$C$6:$C$205,A46,'テストケース8'!$BK$6:$BK$205,"OK")+COUNTIFS('テストケース9'!$C$6:$C$205,A46,'テストケース9'!$BK$6:$BK$205,"OK")+COUNTIFS('テストケース10'!$C$6:$C$205,A46,'テストケース10'!$BK$6:$BK$205,"OK"))</f>
        <v/>
      </c>
    </row>
    <row r="47">
      <c r="A47" s="26">
        <f>IF('因子水準表'!$B$41="","",'因子水準表'!$B$41)</f>
        <v/>
      </c>
      <c r="B47" s="18">
        <f>IF(A47="","",COUNTIF('テストケース1'!$C$6:$C$205,A47)+COUNTIF('テストケース2'!$C$6:$C$205,A47)+COUNTIF('テストケース3'!$C$6:$C$205,A47)+COUNTIF('テストケース4'!$C$6:$C$205,A47)+COUNTIF('テストケース5'!$C$6:$C$205,A47)+COUNTIF('テストケース6'!$C$6:$C$205,A47)+COUNTIF('テストケース7'!$C$6:$C$205,A47)+COUNTIF('テストケース8'!$C$6:$C$205,A47)+COUNTIF('テストケース9'!$C$6:$C$205,A47)+COUNTIF('テストケース10'!$C$6:$C$205,A47))</f>
        <v/>
      </c>
      <c r="C47" s="18">
        <f>IF(A47="","",COUNTIFS('テストケース1'!$C$6:$C$205,A47,'テストケース1'!$BK$6:$BK$205,"OK")+COUNTIFS('テストケース2'!$C$6:$C$205,A47,'テストケース2'!$BK$6:$BK$205,"OK")+COUNTIFS('テストケース3'!$C$6:$C$205,A47,'テストケース3'!$BK$6:$BK$205,"OK")+COUNTIFS('テストケース4'!$C$6:$C$205,A47,'テストケース4'!$BK$6:$BK$205,"OK")+COUNTIFS('テストケース5'!$C$6:$C$205,A47,'テストケース5'!$BK$6:$BK$205,"OK")+COUNTIFS('テストケース6'!$C$6:$C$205,A47,'テストケース6'!$BK$6:$BK$205,"OK")+COUNTIFS('テストケース7'!$C$6:$C$205,A47,'テストケース7'!$BK$6:$BK$205,"OK")+COUNTIFS('テストケース8'!$C$6:$C$205,A47,'テストケース8'!$BK$6:$BK$205,"OK")+COUNTIFS('テストケース9'!$C$6:$C$205,A47,'テストケース9'!$BK$6:$BK$205,"OK")+COUNTIFS('テストケース10'!$C$6:$C$205,A47,'テストケース10'!$BK$6:$BK$205,"OK"))</f>
        <v/>
      </c>
    </row>
    <row r="48">
      <c r="A48" s="26">
        <f>IF('因子水準表'!$B$42="","",'因子水準表'!$B$42)</f>
        <v/>
      </c>
      <c r="B48" s="18">
        <f>IF(A48="","",COUNTIF('テストケース1'!$C$6:$C$205,A48)+COUNTIF('テストケース2'!$C$6:$C$205,A48)+COUNTIF('テストケース3'!$C$6:$C$205,A48)+COUNTIF('テストケース4'!$C$6:$C$205,A48)+COUNTIF('テストケース5'!$C$6:$C$205,A48)+COUNTIF('テストケース6'!$C$6:$C$205,A48)+COUNTIF('テストケース7'!$C$6:$C$205,A48)+COUNTIF('テストケース8'!$C$6:$C$205,A48)+COUNTIF('テストケース9'!$C$6:$C$205,A48)+COUNTIF('テストケース10'!$C$6:$C$205,A48))</f>
        <v/>
      </c>
      <c r="C48" s="18">
        <f>IF(A48="","",COUNTIFS('テストケース1'!$C$6:$C$205,A48,'テストケース1'!$BK$6:$BK$205,"OK")+COUNTIFS('テストケース2'!$C$6:$C$205,A48,'テストケース2'!$BK$6:$BK$205,"OK")+COUNTIFS('テストケース3'!$C$6:$C$205,A48,'テストケース3'!$BK$6:$BK$205,"OK")+COUNTIFS('テストケース4'!$C$6:$C$205,A48,'テストケース4'!$BK$6:$BK$205,"OK")+COUNTIFS('テストケース5'!$C$6:$C$205,A48,'テストケース5'!$BK$6:$BK$205,"OK")+COUNTIFS('テストケース6'!$C$6:$C$205,A48,'テストケース6'!$BK$6:$BK$205,"OK")+COUNTIFS('テストケース7'!$C$6:$C$205,A48,'テストケース7'!$BK$6:$BK$205,"OK")+COUNTIFS('テストケース8'!$C$6:$C$205,A48,'テストケース8'!$BK$6:$BK$205,"OK")+COUNTIFS('テストケース9'!$C$6:$C$205,A48,'テストケース9'!$BK$6:$BK$205,"OK")+COUNTIFS('テストケース10'!$C$6:$C$205,A48,'テストケース10'!$BK$6:$BK$205,"OK"))</f>
        <v/>
      </c>
    </row>
    <row r="49">
      <c r="A49" s="26">
        <f>IF('因子水準表'!$B$43="","",'因子水準表'!$B$43)</f>
        <v/>
      </c>
      <c r="B49" s="18">
        <f>IF(A49="","",COUNTIF('テストケース1'!$C$6:$C$205,A49)+COUNTIF('テストケース2'!$C$6:$C$205,A49)+COUNTIF('テストケース3'!$C$6:$C$205,A49)+COUNTIF('テストケース4'!$C$6:$C$205,A49)+COUNTIF('テストケース5'!$C$6:$C$205,A49)+COUNTIF('テストケース6'!$C$6:$C$205,A49)+COUNTIF('テストケース7'!$C$6:$C$205,A49)+COUNTIF('テストケース8'!$C$6:$C$205,A49)+COUNTIF('テストケース9'!$C$6:$C$205,A49)+COUNTIF('テストケース10'!$C$6:$C$205,A49))</f>
        <v/>
      </c>
      <c r="C49" s="18">
        <f>IF(A49="","",COUNTIFS('テストケース1'!$C$6:$C$205,A49,'テストケース1'!$BK$6:$BK$205,"OK")+COUNTIFS('テストケース2'!$C$6:$C$205,A49,'テストケース2'!$BK$6:$BK$205,"OK")+COUNTIFS('テストケース3'!$C$6:$C$205,A49,'テストケース3'!$BK$6:$BK$205,"OK")+COUNTIFS('テストケース4'!$C$6:$C$205,A49,'テストケース4'!$BK$6:$BK$205,"OK")+COUNTIFS('テストケース5'!$C$6:$C$205,A49,'テストケース5'!$BK$6:$BK$205,"OK")+COUNTIFS('テストケース6'!$C$6:$C$205,A49,'テストケース6'!$BK$6:$BK$205,"OK")+COUNTIFS('テストケース7'!$C$6:$C$205,A49,'テストケース7'!$BK$6:$BK$205,"OK")+COUNTIFS('テストケース8'!$C$6:$C$205,A49,'テストケース8'!$BK$6:$BK$205,"OK")+COUNTIFS('テストケース9'!$C$6:$C$205,A49,'テストケース9'!$BK$6:$BK$205,"OK")+COUNTIFS('テストケース10'!$C$6:$C$205,A49,'テストケース10'!$BK$6:$BK$205,"OK"))</f>
        <v/>
      </c>
    </row>
    <row r="50">
      <c r="A50" s="26">
        <f>IF('因子水準表'!$B$44="","",'因子水準表'!$B$44)</f>
        <v/>
      </c>
      <c r="B50" s="18">
        <f>IF(A50="","",COUNTIF('テストケース1'!$C$6:$C$205,A50)+COUNTIF('テストケース2'!$C$6:$C$205,A50)+COUNTIF('テストケース3'!$C$6:$C$205,A50)+COUNTIF('テストケース4'!$C$6:$C$205,A50)+COUNTIF('テストケース5'!$C$6:$C$205,A50)+COUNTIF('テストケース6'!$C$6:$C$205,A50)+COUNTIF('テストケース7'!$C$6:$C$205,A50)+COUNTIF('テストケース8'!$C$6:$C$205,A50)+COUNTIF('テストケース9'!$C$6:$C$205,A50)+COUNTIF('テストケース10'!$C$6:$C$205,A50))</f>
        <v/>
      </c>
      <c r="C50" s="18">
        <f>IF(A50="","",COUNTIFS('テストケース1'!$C$6:$C$205,A50,'テストケース1'!$BK$6:$BK$205,"OK")+COUNTIFS('テストケース2'!$C$6:$C$205,A50,'テストケース2'!$BK$6:$BK$205,"OK")+COUNTIFS('テストケース3'!$C$6:$C$205,A50,'テストケース3'!$BK$6:$BK$205,"OK")+COUNTIFS('テストケース4'!$C$6:$C$205,A50,'テストケース4'!$BK$6:$BK$205,"OK")+COUNTIFS('テストケース5'!$C$6:$C$205,A50,'テストケース5'!$BK$6:$BK$205,"OK")+COUNTIFS('テストケース6'!$C$6:$C$205,A50,'テストケース6'!$BK$6:$BK$205,"OK")+COUNTIFS('テストケース7'!$C$6:$C$205,A50,'テストケース7'!$BK$6:$BK$205,"OK")+COUNTIFS('テストケース8'!$C$6:$C$205,A50,'テストケース8'!$BK$6:$BK$205,"OK")+COUNTIFS('テストケース9'!$C$6:$C$205,A50,'テストケース9'!$BK$6:$BK$205,"OK")+COUNTIFS('テストケース10'!$C$6:$C$205,A50,'テストケース10'!$BK$6:$BK$205,"OK"))</f>
        <v/>
      </c>
    </row>
    <row r="51">
      <c r="A51" s="26">
        <f>IF('因子水準表'!$B$45="","",'因子水準表'!$B$45)</f>
        <v/>
      </c>
      <c r="B51" s="18">
        <f>IF(A51="","",COUNTIF('テストケース1'!$C$6:$C$205,A51)+COUNTIF('テストケース2'!$C$6:$C$205,A51)+COUNTIF('テストケース3'!$C$6:$C$205,A51)+COUNTIF('テストケース4'!$C$6:$C$205,A51)+COUNTIF('テストケース5'!$C$6:$C$205,A51)+COUNTIF('テストケース6'!$C$6:$C$205,A51)+COUNTIF('テストケース7'!$C$6:$C$205,A51)+COUNTIF('テストケース8'!$C$6:$C$205,A51)+COUNTIF('テストケース9'!$C$6:$C$205,A51)+COUNTIF('テストケース10'!$C$6:$C$205,A51))</f>
        <v/>
      </c>
      <c r="C51" s="18">
        <f>IF(A51="","",COUNTIFS('テストケース1'!$C$6:$C$205,A51,'テストケース1'!$BK$6:$BK$205,"OK")+COUNTIFS('テストケース2'!$C$6:$C$205,A51,'テストケース2'!$BK$6:$BK$205,"OK")+COUNTIFS('テストケース3'!$C$6:$C$205,A51,'テストケース3'!$BK$6:$BK$205,"OK")+COUNTIFS('テストケース4'!$C$6:$C$205,A51,'テストケース4'!$BK$6:$BK$205,"OK")+COUNTIFS('テストケース5'!$C$6:$C$205,A51,'テストケース5'!$BK$6:$BK$205,"OK")+COUNTIFS('テストケース6'!$C$6:$C$205,A51,'テストケース6'!$BK$6:$BK$205,"OK")+COUNTIFS('テストケース7'!$C$6:$C$205,A51,'テストケース7'!$BK$6:$BK$205,"OK")+COUNTIFS('テストケース8'!$C$6:$C$205,A51,'テストケース8'!$BK$6:$BK$205,"OK")+COUNTIFS('テストケース9'!$C$6:$C$205,A51,'テストケース9'!$BK$6:$BK$205,"OK")+COUNTIFS('テストケース10'!$C$6:$C$205,A51,'テストケース10'!$BK$6:$BK$205,"OK"))</f>
        <v/>
      </c>
    </row>
    <row r="52">
      <c r="A52" s="26">
        <f>IF('因子水準表'!$B$46="","",'因子水準表'!$B$46)</f>
        <v/>
      </c>
      <c r="B52" s="18">
        <f>IF(A52="","",COUNTIF('テストケース1'!$C$6:$C$205,A52)+COUNTIF('テストケース2'!$C$6:$C$205,A52)+COUNTIF('テストケース3'!$C$6:$C$205,A52)+COUNTIF('テストケース4'!$C$6:$C$205,A52)+COUNTIF('テストケース5'!$C$6:$C$205,A52)+COUNTIF('テストケース6'!$C$6:$C$205,A52)+COUNTIF('テストケース7'!$C$6:$C$205,A52)+COUNTIF('テストケース8'!$C$6:$C$205,A52)+COUNTIF('テストケース9'!$C$6:$C$205,A52)+COUNTIF('テストケース10'!$C$6:$C$205,A52))</f>
        <v/>
      </c>
      <c r="C52" s="18">
        <f>IF(A52="","",COUNTIFS('テストケース1'!$C$6:$C$205,A52,'テストケース1'!$BK$6:$BK$205,"OK")+COUNTIFS('テストケース2'!$C$6:$C$205,A52,'テストケース2'!$BK$6:$BK$205,"OK")+COUNTIFS('テストケース3'!$C$6:$C$205,A52,'テストケース3'!$BK$6:$BK$205,"OK")+COUNTIFS('テストケース4'!$C$6:$C$205,A52,'テストケース4'!$BK$6:$BK$205,"OK")+COUNTIFS('テストケース5'!$C$6:$C$205,A52,'テストケース5'!$BK$6:$BK$205,"OK")+COUNTIFS('テストケース6'!$C$6:$C$205,A52,'テストケース6'!$BK$6:$BK$205,"OK")+COUNTIFS('テストケース7'!$C$6:$C$205,A52,'テストケース7'!$BK$6:$BK$205,"OK")+COUNTIFS('テストケース8'!$C$6:$C$205,A52,'テストケース8'!$BK$6:$BK$205,"OK")+COUNTIFS('テストケース9'!$C$6:$C$205,A52,'テストケース9'!$BK$6:$BK$205,"OK")+COUNTIFS('テストケース10'!$C$6:$C$205,A52,'テストケース10'!$BK$6:$BK$205,"OK"))</f>
        <v/>
      </c>
    </row>
    <row r="53">
      <c r="A53" s="26">
        <f>IF('因子水準表'!$B$47="","",'因子水準表'!$B$47)</f>
        <v/>
      </c>
      <c r="B53" s="18">
        <f>IF(A53="","",COUNTIF('テストケース1'!$C$6:$C$205,A53)+COUNTIF('テストケース2'!$C$6:$C$205,A53)+COUNTIF('テストケース3'!$C$6:$C$205,A53)+COUNTIF('テストケース4'!$C$6:$C$205,A53)+COUNTIF('テストケース5'!$C$6:$C$205,A53)+COUNTIF('テストケース6'!$C$6:$C$205,A53)+COUNTIF('テストケース7'!$C$6:$C$205,A53)+COUNTIF('テストケース8'!$C$6:$C$205,A53)+COUNTIF('テストケース9'!$C$6:$C$205,A53)+COUNTIF('テストケース10'!$C$6:$C$205,A53))</f>
        <v/>
      </c>
      <c r="C53" s="18">
        <f>IF(A53="","",COUNTIFS('テストケース1'!$C$6:$C$205,A53,'テストケース1'!$BK$6:$BK$205,"OK")+COUNTIFS('テストケース2'!$C$6:$C$205,A53,'テストケース2'!$BK$6:$BK$205,"OK")+COUNTIFS('テストケース3'!$C$6:$C$205,A53,'テストケース3'!$BK$6:$BK$205,"OK")+COUNTIFS('テストケース4'!$C$6:$C$205,A53,'テストケース4'!$BK$6:$BK$205,"OK")+COUNTIFS('テストケース5'!$C$6:$C$205,A53,'テストケース5'!$BK$6:$BK$205,"OK")+COUNTIFS('テストケース6'!$C$6:$C$205,A53,'テストケース6'!$BK$6:$BK$205,"OK")+COUNTIFS('テストケース7'!$C$6:$C$205,A53,'テストケース7'!$BK$6:$BK$205,"OK")+COUNTIFS('テストケース8'!$C$6:$C$205,A53,'テストケース8'!$BK$6:$BK$205,"OK")+COUNTIFS('テストケース9'!$C$6:$C$205,A53,'テストケース9'!$BK$6:$BK$205,"OK")+COUNTIFS('テストケース10'!$C$6:$C$205,A53,'テストケース10'!$BK$6:$BK$205,"OK"))</f>
        <v/>
      </c>
    </row>
    <row r="54">
      <c r="A54" s="26">
        <f>IF('因子水準表'!$B$48="","",'因子水準表'!$B$48)</f>
        <v/>
      </c>
      <c r="B54" s="18">
        <f>IF(A54="","",COUNTIF('テストケース1'!$C$6:$C$205,A54)+COUNTIF('テストケース2'!$C$6:$C$205,A54)+COUNTIF('テストケース3'!$C$6:$C$205,A54)+COUNTIF('テストケース4'!$C$6:$C$205,A54)+COUNTIF('テストケース5'!$C$6:$C$205,A54)+COUNTIF('テストケース6'!$C$6:$C$205,A54)+COUNTIF('テストケース7'!$C$6:$C$205,A54)+COUNTIF('テストケース8'!$C$6:$C$205,A54)+COUNTIF('テストケース9'!$C$6:$C$205,A54)+COUNTIF('テストケース10'!$C$6:$C$205,A54))</f>
        <v/>
      </c>
      <c r="C54" s="18">
        <f>IF(A54="","",COUNTIFS('テストケース1'!$C$6:$C$205,A54,'テストケース1'!$BK$6:$BK$205,"OK")+COUNTIFS('テストケース2'!$C$6:$C$205,A54,'テストケース2'!$BK$6:$BK$205,"OK")+COUNTIFS('テストケース3'!$C$6:$C$205,A54,'テストケース3'!$BK$6:$BK$205,"OK")+COUNTIFS('テストケース4'!$C$6:$C$205,A54,'テストケース4'!$BK$6:$BK$205,"OK")+COUNTIFS('テストケース5'!$C$6:$C$205,A54,'テストケース5'!$BK$6:$BK$205,"OK")+COUNTIFS('テストケース6'!$C$6:$C$205,A54,'テストケース6'!$BK$6:$BK$205,"OK")+COUNTIFS('テストケース7'!$C$6:$C$205,A54,'テストケース7'!$BK$6:$BK$205,"OK")+COUNTIFS('テストケース8'!$C$6:$C$205,A54,'テストケース8'!$BK$6:$BK$205,"OK")+COUNTIFS('テストケース9'!$C$6:$C$205,A54,'テストケース9'!$BK$6:$BK$205,"OK")+COUNTIFS('テストケース10'!$C$6:$C$205,A54,'テストケース10'!$BK$6:$BK$205,"OK"))</f>
        <v/>
      </c>
    </row>
    <row r="55">
      <c r="A55" s="26">
        <f>IF('因子水準表'!$B$49="","",'因子水準表'!$B$49)</f>
        <v/>
      </c>
      <c r="B55" s="18">
        <f>IF(A55="","",COUNTIF('テストケース1'!$C$6:$C$205,A55)+COUNTIF('テストケース2'!$C$6:$C$205,A55)+COUNTIF('テストケース3'!$C$6:$C$205,A55)+COUNTIF('テストケース4'!$C$6:$C$205,A55)+COUNTIF('テストケース5'!$C$6:$C$205,A55)+COUNTIF('テストケース6'!$C$6:$C$205,A55)+COUNTIF('テストケース7'!$C$6:$C$205,A55)+COUNTIF('テストケース8'!$C$6:$C$205,A55)+COUNTIF('テストケース9'!$C$6:$C$205,A55)+COUNTIF('テストケース10'!$C$6:$C$205,A55))</f>
        <v/>
      </c>
      <c r="C55" s="18">
        <f>IF(A55="","",COUNTIFS('テストケース1'!$C$6:$C$205,A55,'テストケース1'!$BK$6:$BK$205,"OK")+COUNTIFS('テストケース2'!$C$6:$C$205,A55,'テストケース2'!$BK$6:$BK$205,"OK")+COUNTIFS('テストケース3'!$C$6:$C$205,A55,'テストケース3'!$BK$6:$BK$205,"OK")+COUNTIFS('テストケース4'!$C$6:$C$205,A55,'テストケース4'!$BK$6:$BK$205,"OK")+COUNTIFS('テストケース5'!$C$6:$C$205,A55,'テストケース5'!$BK$6:$BK$205,"OK")+COUNTIFS('テストケース6'!$C$6:$C$205,A55,'テストケース6'!$BK$6:$BK$205,"OK")+COUNTIFS('テストケース7'!$C$6:$C$205,A55,'テストケース7'!$BK$6:$BK$205,"OK")+COUNTIFS('テストケース8'!$C$6:$C$205,A55,'テストケース8'!$BK$6:$BK$205,"OK")+COUNTIFS('テストケース9'!$C$6:$C$205,A55,'テストケース9'!$BK$6:$BK$205,"OK")+COUNTIFS('テストケース10'!$C$6:$C$205,A55,'テストケース10'!$BK$6:$BK$205,"OK"))</f>
        <v/>
      </c>
    </row>
    <row r="56">
      <c r="A56" s="26">
        <f>IF('因子水準表'!$B$50="","",'因子水準表'!$B$50)</f>
        <v/>
      </c>
      <c r="B56" s="18">
        <f>IF(A56="","",COUNTIF('テストケース1'!$C$6:$C$205,A56)+COUNTIF('テストケース2'!$C$6:$C$205,A56)+COUNTIF('テストケース3'!$C$6:$C$205,A56)+COUNTIF('テストケース4'!$C$6:$C$205,A56)+COUNTIF('テストケース5'!$C$6:$C$205,A56)+COUNTIF('テストケース6'!$C$6:$C$205,A56)+COUNTIF('テストケース7'!$C$6:$C$205,A56)+COUNTIF('テストケース8'!$C$6:$C$205,A56)+COUNTIF('テストケース9'!$C$6:$C$205,A56)+COUNTIF('テストケース10'!$C$6:$C$205,A56))</f>
        <v/>
      </c>
      <c r="C56" s="18">
        <f>IF(A56="","",COUNTIFS('テストケース1'!$C$6:$C$205,A56,'テストケース1'!$BK$6:$BK$205,"OK")+COUNTIFS('テストケース2'!$C$6:$C$205,A56,'テストケース2'!$BK$6:$BK$205,"OK")+COUNTIFS('テストケース3'!$C$6:$C$205,A56,'テストケース3'!$BK$6:$BK$205,"OK")+COUNTIFS('テストケース4'!$C$6:$C$205,A56,'テストケース4'!$BK$6:$BK$205,"OK")+COUNTIFS('テストケース5'!$C$6:$C$205,A56,'テストケース5'!$BK$6:$BK$205,"OK")+COUNTIFS('テストケース6'!$C$6:$C$205,A56,'テストケース6'!$BK$6:$BK$205,"OK")+COUNTIFS('テストケース7'!$C$6:$C$205,A56,'テストケース7'!$BK$6:$BK$205,"OK")+COUNTIFS('テストケース8'!$C$6:$C$205,A56,'テストケース8'!$BK$6:$BK$205,"OK")+COUNTIFS('テストケース9'!$C$6:$C$205,A56,'テストケース9'!$BK$6:$BK$205,"OK")+COUNTIFS('テストケース10'!$C$6:$C$205,A56,'テストケース10'!$BK$6:$BK$205,"OK"))</f>
        <v/>
      </c>
    </row>
    <row r="57">
      <c r="A57" s="26">
        <f>IF('因子水準表'!$B$51="","",'因子水準表'!$B$51)</f>
        <v/>
      </c>
      <c r="B57" s="18">
        <f>IF(A57="","",COUNTIF('テストケース1'!$C$6:$C$205,A57)+COUNTIF('テストケース2'!$C$6:$C$205,A57)+COUNTIF('テストケース3'!$C$6:$C$205,A57)+COUNTIF('テストケース4'!$C$6:$C$205,A57)+COUNTIF('テストケース5'!$C$6:$C$205,A57)+COUNTIF('テストケース6'!$C$6:$C$205,A57)+COUNTIF('テストケース7'!$C$6:$C$205,A57)+COUNTIF('テストケース8'!$C$6:$C$205,A57)+COUNTIF('テストケース9'!$C$6:$C$205,A57)+COUNTIF('テストケース10'!$C$6:$C$205,A57))</f>
        <v/>
      </c>
      <c r="C57" s="18">
        <f>IF(A57="","",COUNTIFS('テストケース1'!$C$6:$C$205,A57,'テストケース1'!$BK$6:$BK$205,"OK")+COUNTIFS('テストケース2'!$C$6:$C$205,A57,'テストケース2'!$BK$6:$BK$205,"OK")+COUNTIFS('テストケース3'!$C$6:$C$205,A57,'テストケース3'!$BK$6:$BK$205,"OK")+COUNTIFS('テストケース4'!$C$6:$C$205,A57,'テストケース4'!$BK$6:$BK$205,"OK")+COUNTIFS('テストケース5'!$C$6:$C$205,A57,'テストケース5'!$BK$6:$BK$205,"OK")+COUNTIFS('テストケース6'!$C$6:$C$205,A57,'テストケース6'!$BK$6:$BK$205,"OK")+COUNTIFS('テストケース7'!$C$6:$C$205,A57,'テストケース7'!$BK$6:$BK$205,"OK")+COUNTIFS('テストケース8'!$C$6:$C$205,A57,'テストケース8'!$BK$6:$BK$205,"OK")+COUNTIFS('テストケース9'!$C$6:$C$205,A57,'テストケース9'!$BK$6:$BK$205,"OK")+COUNTIFS('テストケース10'!$C$6:$C$205,A57,'テストケース10'!$BK$6:$BK$205,"OK"))</f>
        <v/>
      </c>
    </row>
    <row r="58">
      <c r="A58" s="26">
        <f>IF('因子水準表'!$B$52="","",'因子水準表'!$B$52)</f>
        <v/>
      </c>
      <c r="B58" s="18">
        <f>IF(A58="","",COUNTIF('テストケース1'!$C$6:$C$205,A58)+COUNTIF('テストケース2'!$C$6:$C$205,A58)+COUNTIF('テストケース3'!$C$6:$C$205,A58)+COUNTIF('テストケース4'!$C$6:$C$205,A58)+COUNTIF('テストケース5'!$C$6:$C$205,A58)+COUNTIF('テストケース6'!$C$6:$C$205,A58)+COUNTIF('テストケース7'!$C$6:$C$205,A58)+COUNTIF('テストケース8'!$C$6:$C$205,A58)+COUNTIF('テストケース9'!$C$6:$C$205,A58)+COUNTIF('テストケース10'!$C$6:$C$205,A58))</f>
        <v/>
      </c>
      <c r="C58" s="18">
        <f>IF(A58="","",COUNTIFS('テストケース1'!$C$6:$C$205,A58,'テストケース1'!$BK$6:$BK$205,"OK")+COUNTIFS('テストケース2'!$C$6:$C$205,A58,'テストケース2'!$BK$6:$BK$205,"OK")+COUNTIFS('テストケース3'!$C$6:$C$205,A58,'テストケース3'!$BK$6:$BK$205,"OK")+COUNTIFS('テストケース4'!$C$6:$C$205,A58,'テストケース4'!$BK$6:$BK$205,"OK")+COUNTIFS('テストケース5'!$C$6:$C$205,A58,'テストケース5'!$BK$6:$BK$205,"OK")+COUNTIFS('テストケース6'!$C$6:$C$205,A58,'テストケース6'!$BK$6:$BK$205,"OK")+COUNTIFS('テストケース7'!$C$6:$C$205,A58,'テストケース7'!$BK$6:$BK$205,"OK")+COUNTIFS('テストケース8'!$C$6:$C$205,A58,'テストケース8'!$BK$6:$BK$205,"OK")+COUNTIFS('テストケース9'!$C$6:$C$205,A58,'テストケース9'!$BK$6:$BK$205,"OK")+COUNTIFS('テストケース10'!$C$6:$C$205,A58,'テストケース10'!$BK$6:$BK$205,"OK"))</f>
        <v/>
      </c>
    </row>
    <row r="59">
      <c r="A59" s="26">
        <f>IF('因子水準表'!$B$53="","",'因子水準表'!$B$53)</f>
        <v/>
      </c>
      <c r="B59" s="18">
        <f>IF(A59="","",COUNTIF('テストケース1'!$C$6:$C$205,A59)+COUNTIF('テストケース2'!$C$6:$C$205,A59)+COUNTIF('テストケース3'!$C$6:$C$205,A59)+COUNTIF('テストケース4'!$C$6:$C$205,A59)+COUNTIF('テストケース5'!$C$6:$C$205,A59)+COUNTIF('テストケース6'!$C$6:$C$205,A59)+COUNTIF('テストケース7'!$C$6:$C$205,A59)+COUNTIF('テストケース8'!$C$6:$C$205,A59)+COUNTIF('テストケース9'!$C$6:$C$205,A59)+COUNTIF('テストケース10'!$C$6:$C$205,A59))</f>
        <v/>
      </c>
      <c r="C59" s="18">
        <f>IF(A59="","",COUNTIFS('テストケース1'!$C$6:$C$205,A59,'テストケース1'!$BK$6:$BK$205,"OK")+COUNTIFS('テストケース2'!$C$6:$C$205,A59,'テストケース2'!$BK$6:$BK$205,"OK")+COUNTIFS('テストケース3'!$C$6:$C$205,A59,'テストケース3'!$BK$6:$BK$205,"OK")+COUNTIFS('テストケース4'!$C$6:$C$205,A59,'テストケース4'!$BK$6:$BK$205,"OK")+COUNTIFS('テストケース5'!$C$6:$C$205,A59,'テストケース5'!$BK$6:$BK$205,"OK")+COUNTIFS('テストケース6'!$C$6:$C$205,A59,'テストケース6'!$BK$6:$BK$205,"OK")+COUNTIFS('テストケース7'!$C$6:$C$205,A59,'テストケース7'!$BK$6:$BK$205,"OK")+COUNTIFS('テストケース8'!$C$6:$C$205,A59,'テストケース8'!$BK$6:$BK$205,"OK")+COUNTIFS('テストケース9'!$C$6:$C$205,A59,'テストケース9'!$BK$6:$BK$205,"OK")+COUNTIFS('テストケース10'!$C$6:$C$205,A59,'テストケース10'!$BK$6:$BK$205,"OK"))</f>
        <v/>
      </c>
    </row>
    <row r="60">
      <c r="A60" s="26">
        <f>IF('因子水準表'!$B$54="","",'因子水準表'!$B$54)</f>
        <v/>
      </c>
      <c r="B60" s="18">
        <f>IF(A60="","",COUNTIF('テストケース1'!$C$6:$C$205,A60)+COUNTIF('テストケース2'!$C$6:$C$205,A60)+COUNTIF('テストケース3'!$C$6:$C$205,A60)+COUNTIF('テストケース4'!$C$6:$C$205,A60)+COUNTIF('テストケース5'!$C$6:$C$205,A60)+COUNTIF('テストケース6'!$C$6:$C$205,A60)+COUNTIF('テストケース7'!$C$6:$C$205,A60)+COUNTIF('テストケース8'!$C$6:$C$205,A60)+COUNTIF('テストケース9'!$C$6:$C$205,A60)+COUNTIF('テストケース10'!$C$6:$C$205,A60))</f>
        <v/>
      </c>
      <c r="C60" s="18">
        <f>IF(A60="","",COUNTIFS('テストケース1'!$C$6:$C$205,A60,'テストケース1'!$BK$6:$BK$205,"OK")+COUNTIFS('テストケース2'!$C$6:$C$205,A60,'テストケース2'!$BK$6:$BK$205,"OK")+COUNTIFS('テストケース3'!$C$6:$C$205,A60,'テストケース3'!$BK$6:$BK$205,"OK")+COUNTIFS('テストケース4'!$C$6:$C$205,A60,'テストケース4'!$BK$6:$BK$205,"OK")+COUNTIFS('テストケース5'!$C$6:$C$205,A60,'テストケース5'!$BK$6:$BK$205,"OK")+COUNTIFS('テストケース6'!$C$6:$C$205,A60,'テストケース6'!$BK$6:$BK$205,"OK")+COUNTIFS('テストケース7'!$C$6:$C$205,A60,'テストケース7'!$BK$6:$BK$205,"OK")+COUNTIFS('テストケース8'!$C$6:$C$205,A60,'テストケース8'!$BK$6:$BK$205,"OK")+COUNTIFS('テストケース9'!$C$6:$C$205,A60,'テストケース9'!$BK$6:$BK$205,"OK")+COUNTIFS('テストケース10'!$C$6:$C$205,A60,'テストケース10'!$BK$6:$BK$205,"OK"))</f>
        <v/>
      </c>
    </row>
    <row r="61">
      <c r="A61" s="26">
        <f>IF('因子水準表'!$B$55="","",'因子水準表'!$B$55)</f>
        <v/>
      </c>
      <c r="B61" s="18">
        <f>IF(A61="","",COUNTIF('テストケース1'!$C$6:$C$205,A61)+COUNTIF('テストケース2'!$C$6:$C$205,A61)+COUNTIF('テストケース3'!$C$6:$C$205,A61)+COUNTIF('テストケース4'!$C$6:$C$205,A61)+COUNTIF('テストケース5'!$C$6:$C$205,A61)+COUNTIF('テストケース6'!$C$6:$C$205,A61)+COUNTIF('テストケース7'!$C$6:$C$205,A61)+COUNTIF('テストケース8'!$C$6:$C$205,A61)+COUNTIF('テストケース9'!$C$6:$C$205,A61)+COUNTIF('テストケース10'!$C$6:$C$205,A61))</f>
        <v/>
      </c>
      <c r="C61" s="18">
        <f>IF(A61="","",COUNTIFS('テストケース1'!$C$6:$C$205,A61,'テストケース1'!$BK$6:$BK$205,"OK")+COUNTIFS('テストケース2'!$C$6:$C$205,A61,'テストケース2'!$BK$6:$BK$205,"OK")+COUNTIFS('テストケース3'!$C$6:$C$205,A61,'テストケース3'!$BK$6:$BK$205,"OK")+COUNTIFS('テストケース4'!$C$6:$C$205,A61,'テストケース4'!$BK$6:$BK$205,"OK")+COUNTIFS('テストケース5'!$C$6:$C$205,A61,'テストケース5'!$BK$6:$BK$205,"OK")+COUNTIFS('テストケース6'!$C$6:$C$205,A61,'テストケース6'!$BK$6:$BK$205,"OK")+COUNTIFS('テストケース7'!$C$6:$C$205,A61,'テストケース7'!$BK$6:$BK$205,"OK")+COUNTIFS('テストケース8'!$C$6:$C$205,A61,'テストケース8'!$BK$6:$BK$205,"OK")+COUNTIFS('テストケース9'!$C$6:$C$205,A61,'テストケース9'!$BK$6:$BK$205,"OK")+COUNTIFS('テストケース10'!$C$6:$C$205,A61,'テストケース10'!$BK$6:$BK$205,"OK"))</f>
        <v/>
      </c>
    </row>
    <row r="62">
      <c r="A62" s="26">
        <f>IF('因子水準表'!$B$56="","",'因子水準表'!$B$56)</f>
        <v/>
      </c>
      <c r="B62" s="18">
        <f>IF(A62="","",COUNTIF('テストケース1'!$C$6:$C$205,A62)+COUNTIF('テストケース2'!$C$6:$C$205,A62)+COUNTIF('テストケース3'!$C$6:$C$205,A62)+COUNTIF('テストケース4'!$C$6:$C$205,A62)+COUNTIF('テストケース5'!$C$6:$C$205,A62)+COUNTIF('テストケース6'!$C$6:$C$205,A62)+COUNTIF('テストケース7'!$C$6:$C$205,A62)+COUNTIF('テストケース8'!$C$6:$C$205,A62)+COUNTIF('テストケース9'!$C$6:$C$205,A62)+COUNTIF('テストケース10'!$C$6:$C$205,A62))</f>
        <v/>
      </c>
      <c r="C62" s="18">
        <f>IF(A62="","",COUNTIFS('テストケース1'!$C$6:$C$205,A62,'テストケース1'!$BK$6:$BK$205,"OK")+COUNTIFS('テストケース2'!$C$6:$C$205,A62,'テストケース2'!$BK$6:$BK$205,"OK")+COUNTIFS('テストケース3'!$C$6:$C$205,A62,'テストケース3'!$BK$6:$BK$205,"OK")+COUNTIFS('テストケース4'!$C$6:$C$205,A62,'テストケース4'!$BK$6:$BK$205,"OK")+COUNTIFS('テストケース5'!$C$6:$C$205,A62,'テストケース5'!$BK$6:$BK$205,"OK")+COUNTIFS('テストケース6'!$C$6:$C$205,A62,'テストケース6'!$BK$6:$BK$205,"OK")+COUNTIFS('テストケース7'!$C$6:$C$205,A62,'テストケース7'!$BK$6:$BK$205,"OK")+COUNTIFS('テストケース8'!$C$6:$C$205,A62,'テストケース8'!$BK$6:$BK$205,"OK")+COUNTIFS('テストケース9'!$C$6:$C$205,A62,'テストケース9'!$BK$6:$BK$205,"OK")+COUNTIFS('テストケース10'!$C$6:$C$205,A62,'テストケース10'!$BK$6:$BK$205,"OK"))</f>
        <v/>
      </c>
    </row>
    <row r="63">
      <c r="A63" s="26">
        <f>IF('因子水準表'!$B$57="","",'因子水準表'!$B$57)</f>
        <v/>
      </c>
      <c r="B63" s="18">
        <f>IF(A63="","",COUNTIF('テストケース1'!$C$6:$C$205,A63)+COUNTIF('テストケース2'!$C$6:$C$205,A63)+COUNTIF('テストケース3'!$C$6:$C$205,A63)+COUNTIF('テストケース4'!$C$6:$C$205,A63)+COUNTIF('テストケース5'!$C$6:$C$205,A63)+COUNTIF('テストケース6'!$C$6:$C$205,A63)+COUNTIF('テストケース7'!$C$6:$C$205,A63)+COUNTIF('テストケース8'!$C$6:$C$205,A63)+COUNTIF('テストケース9'!$C$6:$C$205,A63)+COUNTIF('テストケース10'!$C$6:$C$205,A63))</f>
        <v/>
      </c>
      <c r="C63" s="18">
        <f>IF(A63="","",COUNTIFS('テストケース1'!$C$6:$C$205,A63,'テストケース1'!$BK$6:$BK$205,"OK")+COUNTIFS('テストケース2'!$C$6:$C$205,A63,'テストケース2'!$BK$6:$BK$205,"OK")+COUNTIFS('テストケース3'!$C$6:$C$205,A63,'テストケース3'!$BK$6:$BK$205,"OK")+COUNTIFS('テストケース4'!$C$6:$C$205,A63,'テストケース4'!$BK$6:$BK$205,"OK")+COUNTIFS('テストケース5'!$C$6:$C$205,A63,'テストケース5'!$BK$6:$BK$205,"OK")+COUNTIFS('テストケース6'!$C$6:$C$205,A63,'テストケース6'!$BK$6:$BK$205,"OK")+COUNTIFS('テストケース7'!$C$6:$C$205,A63,'テストケース7'!$BK$6:$BK$205,"OK")+COUNTIFS('テストケース8'!$C$6:$C$205,A63,'テストケース8'!$BK$6:$BK$205,"OK")+COUNTIFS('テストケース9'!$C$6:$C$205,A63,'テストケース9'!$BK$6:$BK$205,"OK")+COUNTIFS('テストケース10'!$C$6:$C$205,A63,'テストケース10'!$BK$6:$BK$205,"OK"))</f>
        <v/>
      </c>
    </row>
    <row r="64">
      <c r="A64" s="26">
        <f>IF('因子水準表'!$B$58="","",'因子水準表'!$B$58)</f>
        <v/>
      </c>
      <c r="B64" s="18">
        <f>IF(A64="","",COUNTIF('テストケース1'!$C$6:$C$205,A64)+COUNTIF('テストケース2'!$C$6:$C$205,A64)+COUNTIF('テストケース3'!$C$6:$C$205,A64)+COUNTIF('テストケース4'!$C$6:$C$205,A64)+COUNTIF('テストケース5'!$C$6:$C$205,A64)+COUNTIF('テストケース6'!$C$6:$C$205,A64)+COUNTIF('テストケース7'!$C$6:$C$205,A64)+COUNTIF('テストケース8'!$C$6:$C$205,A64)+COUNTIF('テストケース9'!$C$6:$C$205,A64)+COUNTIF('テストケース10'!$C$6:$C$205,A64))</f>
        <v/>
      </c>
      <c r="C64" s="18">
        <f>IF(A64="","",COUNTIFS('テストケース1'!$C$6:$C$205,A64,'テストケース1'!$BK$6:$BK$205,"OK")+COUNTIFS('テストケース2'!$C$6:$C$205,A64,'テストケース2'!$BK$6:$BK$205,"OK")+COUNTIFS('テストケース3'!$C$6:$C$205,A64,'テストケース3'!$BK$6:$BK$205,"OK")+COUNTIFS('テストケース4'!$C$6:$C$205,A64,'テストケース4'!$BK$6:$BK$205,"OK")+COUNTIFS('テストケース5'!$C$6:$C$205,A64,'テストケース5'!$BK$6:$BK$205,"OK")+COUNTIFS('テストケース6'!$C$6:$C$205,A64,'テストケース6'!$BK$6:$BK$205,"OK")+COUNTIFS('テストケース7'!$C$6:$C$205,A64,'テストケース7'!$BK$6:$BK$205,"OK")+COUNTIFS('テストケース8'!$C$6:$C$205,A64,'テストケース8'!$BK$6:$BK$205,"OK")+COUNTIFS('テストケース9'!$C$6:$C$205,A64,'テストケース9'!$BK$6:$BK$205,"OK")+COUNTIFS('テストケース10'!$C$6:$C$205,A64,'テストケース10'!$BK$6:$BK$205,"OK"))</f>
        <v/>
      </c>
    </row>
    <row r="65">
      <c r="A65" s="20" t="inlineStr">
        <is>
          <t>カテゴリ未設定</t>
        </is>
      </c>
      <c r="B65" s="18">
        <f>B5-SUM(B35:B64)</f>
        <v/>
      </c>
      <c r="C65" s="2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2026-10-08T07:59:59Z</dcterms:created>
  <dcterms:modified xsi:type="dcterms:W3CDTF">2026-10-08T08:00:05Z</dcterms:modified>
</cp:coreProperties>
</file>