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因子水準表" sheetId="2" state="visible" r:id="rId2"/>
    <sheet name="テスト条件" sheetId="3" state="visible" r:id="rId3"/>
    <sheet name="テストケース" sheetId="4" state="visible" r:id="rId4"/>
    <sheet name="集計" sheetId="5" state="visible" r:id="rId5"/>
  </sheets>
  <definedNames>
    <definedName name="_xlnm._FilterDatabase" localSheetId="3" hidden="1">'テストケース'!$A$4:$V$104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%"/>
  </numFmts>
  <fonts count="5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sz val="10"/>
    </font>
    <font>
      <name val="Meiryo UI"/>
      <b val="1"/>
      <sz val="10"/>
    </font>
    <font>
      <name val="Meiryo UI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EFEFEF"/>
      </patternFill>
    </fill>
    <fill>
      <patternFill patternType="solid">
        <fgColor rgb="00DDE6F0"/>
      </patternFill>
    </fill>
    <fill>
      <patternFill patternType="solid">
        <fgColor rgb="00B7C9DD"/>
      </patternFill>
    </fill>
  </fills>
  <borders count="7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4" fillId="0" borderId="0" pivotButton="0" quotePrefix="0" xfId="0"/>
    <xf numFmtId="0" fontId="4" fillId="2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165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0" authorId="0" shapeId="0">
      <text>
        <t>水準数が1以上の因子について、水準数をすべて掛け合わせた数。全部をテストするときのケース数です。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Q4" authorId="0" shapeId="0">
      <text>
        <t>要＝自動化する／否＝手動のみ／済＝自動化済み</t>
      </text>
    </comment>
    <comment ref="T4" authorId="0" shapeId="0">
      <text>
        <t>OK＝合格／NG＝不合格（欠陥IDを記入）／保留＝ブロック等で実行できない／対象外。空欄＝未実施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因子水準表・テストケース ひな形</t>
        </is>
      </c>
    </row>
    <row r="2">
      <c r="A2" s="2" t="inlineStr">
        <is>
          <t>作成日：2026-10-02</t>
        </is>
      </c>
    </row>
    <row r="4">
      <c r="A4" s="3" t="inlineStr">
        <is>
          <t>■ 作業の流れ（JSTQB FL V4.0 の「テスト分析 → テスト設計」に対応）</t>
        </is>
      </c>
    </row>
    <row r="5">
      <c r="A5" s="2" t="inlineStr">
        <is>
          <t>1. 因子水準表：テスト対象の結果に影響する要素（因子）と、その取りうる値（水準）を洗い出す</t>
        </is>
      </c>
    </row>
    <row r="6">
      <c r="A6" s="2" t="inlineStr">
        <is>
          <t>2. テスト条件：何を確認するか（テスト条件）を、要件と因子にひも付けて書く</t>
        </is>
      </c>
    </row>
    <row r="7">
      <c r="A7" s="2" t="inlineStr">
        <is>
          <t>3. テストケース：テスト条件ごとに、因子の水準の組み合わせ・手順・期待結果を書く</t>
        </is>
      </c>
    </row>
    <row r="8">
      <c r="A8" s="2" t="inlineStr">
        <is>
          <t>4. 集計：ケース数・実行結果・消化率を自動で集計する</t>
        </is>
      </c>
    </row>
    <row r="9">
      <c r="A9" s="2" t="inlineStr"/>
    </row>
    <row r="10">
      <c r="A10" s="3" t="inlineStr">
        <is>
          <t>■ シートのつながり</t>
        </is>
      </c>
    </row>
    <row r="11">
      <c r="A11" s="2" t="inlineStr">
        <is>
          <t>・テストケースの因子列の見出しは、因子水準表の因子名が自動で入ります</t>
        </is>
      </c>
    </row>
    <row r="12">
      <c r="A12" s="2" t="inlineStr">
        <is>
          <t>・テストケースの因子列はプルダウンで、因子水準表に書いた水準から選べます</t>
        </is>
      </c>
    </row>
    <row r="13">
      <c r="A13" s="2" t="inlineStr">
        <is>
          <t>・テスト条件の「ケース数」は、その条件 ID を持つテストケースの数を自動で数えます。0 件の条件は「ケース未作成」と表示されます</t>
        </is>
      </c>
    </row>
    <row r="14">
      <c r="A14" s="2" t="inlineStr"/>
    </row>
    <row r="15">
      <c r="A15" s="3" t="inlineStr">
        <is>
          <t>■ 凡例</t>
        </is>
      </c>
    </row>
    <row r="16">
      <c r="A16" s="4" t="inlineStr">
        <is>
          <t>黄色のセル＝記入欄</t>
        </is>
      </c>
    </row>
    <row r="17">
      <c r="A17" s="5" t="inlineStr">
        <is>
          <t>灰色のセル＝数式で自動計算（書き換えない）</t>
        </is>
      </c>
    </row>
    <row r="18">
      <c r="A18" s="6" t="inlineStr">
        <is>
          <t>灰色の文字＝記入例（ログイン機能。案件に合わせて書き換えるか、行ごと消してください）</t>
        </is>
      </c>
    </row>
    <row r="20">
      <c r="A20" s="3" t="inlineStr">
        <is>
          <t>■ 書き方のコツ</t>
        </is>
      </c>
    </row>
    <row r="21">
      <c r="A21" s="2" t="inlineStr">
        <is>
          <t>・水準は同値分割で「有効」「無効」の両方を挙げ、境界値はそれと分かるように書く（例：2回（境界・未ロック））</t>
        </is>
      </c>
    </row>
    <row r="22">
      <c r="A22" s="2" t="inlineStr">
        <is>
          <t>・無効な水準には「（無効）」を付けると、テストケースで異常系を選んだことが分かりやすい</t>
        </is>
      </c>
    </row>
    <row r="23">
      <c r="A23" s="2" t="inlineStr">
        <is>
          <t>・因子水準表の「全組み合わせ数」が多すぎるときは、デシジョンテーブルやペアワイズで絞り込む</t>
        </is>
      </c>
    </row>
    <row r="24">
      <c r="A24" s="2" t="inlineStr">
        <is>
          <t>・期待結果は「何がどうなるか」を観察できる形で書く（画面遷移、表示メッセージの文言、状態の変化）</t>
        </is>
      </c>
    </row>
    <row r="25">
      <c r="A25" s="2" t="inlineStr">
        <is>
          <t>・仕様が決まっていない点は、テストケースの備考に「要確認」と書いて残す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因子水準表</t>
        </is>
      </c>
    </row>
    <row r="2">
      <c r="A2" s="3" t="inlineStr">
        <is>
          <t>対象機能</t>
        </is>
      </c>
      <c r="B2" s="7" t="inlineStr">
        <is>
          <t>ログイン機能</t>
        </is>
      </c>
      <c r="C2" s="3" t="inlineStr">
        <is>
          <t>根拠</t>
        </is>
      </c>
      <c r="D2" s="7" t="inlineStr">
        <is>
          <t>要件サンプル/ログイン機能_要件.md</t>
        </is>
      </c>
      <c r="E2" s="8" t="n"/>
      <c r="F2" s="9" t="n"/>
    </row>
    <row r="4">
      <c r="A4" s="10" t="inlineStr">
        <is>
          <t>因子ID</t>
        </is>
      </c>
      <c r="B4" s="11" t="inlineStr">
        <is>
          <t>F1</t>
        </is>
      </c>
      <c r="C4" s="11" t="inlineStr">
        <is>
          <t>F2</t>
        </is>
      </c>
      <c r="D4" s="11" t="inlineStr">
        <is>
          <t>F3</t>
        </is>
      </c>
      <c r="E4" s="11" t="inlineStr">
        <is>
          <t>F4</t>
        </is>
      </c>
      <c r="F4" s="11" t="inlineStr">
        <is>
          <t>F5</t>
        </is>
      </c>
      <c r="G4" s="11" t="inlineStr">
        <is>
          <t>F6</t>
        </is>
      </c>
      <c r="H4" s="11" t="inlineStr">
        <is>
          <t>F7</t>
        </is>
      </c>
      <c r="I4" s="11" t="inlineStr">
        <is>
          <t>F8</t>
        </is>
      </c>
    </row>
    <row r="5">
      <c r="A5" s="10" t="inlineStr">
        <is>
          <t>因子名</t>
        </is>
      </c>
      <c r="B5" s="7" t="inlineStr">
        <is>
          <t>メールアドレス</t>
        </is>
      </c>
      <c r="C5" s="7" t="inlineStr">
        <is>
          <t>パスワード</t>
        </is>
      </c>
      <c r="D5" s="7" t="inlineStr">
        <is>
          <t>アカウント状態</t>
        </is>
      </c>
      <c r="E5" s="7" t="inlineStr">
        <is>
          <t>直前の連続失敗回数</t>
        </is>
      </c>
      <c r="F5" s="7" t="n"/>
      <c r="G5" s="7" t="n"/>
      <c r="H5" s="7" t="n"/>
      <c r="I5" s="7" t="n"/>
    </row>
    <row r="6">
      <c r="A6" s="10" t="inlineStr">
        <is>
          <t>分類</t>
        </is>
      </c>
      <c r="B6" s="7" t="inlineStr">
        <is>
          <t>入力</t>
        </is>
      </c>
      <c r="C6" s="7" t="inlineStr">
        <is>
          <t>入力</t>
        </is>
      </c>
      <c r="D6" s="7" t="inlineStr">
        <is>
          <t>状態</t>
        </is>
      </c>
      <c r="E6" s="7" t="inlineStr">
        <is>
          <t>状態</t>
        </is>
      </c>
      <c r="F6" s="7" t="n"/>
      <c r="G6" s="7" t="n"/>
      <c r="H6" s="7" t="n"/>
      <c r="I6" s="7" t="n"/>
    </row>
    <row r="7">
      <c r="A7" s="10" t="inlineStr">
        <is>
          <t>根拠（要件ID）</t>
        </is>
      </c>
      <c r="B7" s="7" t="inlineStr">
        <is>
          <t>R-10, R-11</t>
        </is>
      </c>
      <c r="C7" s="7" t="inlineStr">
        <is>
          <t>R-01</t>
        </is>
      </c>
      <c r="D7" s="7" t="inlineStr">
        <is>
          <t>R-05</t>
        </is>
      </c>
      <c r="E7" s="7" t="inlineStr">
        <is>
          <t>R-01</t>
        </is>
      </c>
      <c r="F7" s="7" t="n"/>
      <c r="G7" s="7" t="n"/>
      <c r="H7" s="7" t="n"/>
      <c r="I7" s="7" t="n"/>
    </row>
    <row r="8">
      <c r="A8" s="10" t="inlineStr">
        <is>
          <t>水準1</t>
        </is>
      </c>
      <c r="B8" s="7" t="inlineStr">
        <is>
          <t>登録済み</t>
        </is>
      </c>
      <c r="C8" s="7" t="inlineStr">
        <is>
          <t>正しい</t>
        </is>
      </c>
      <c r="D8" s="7" t="inlineStr">
        <is>
          <t>アクティブ</t>
        </is>
      </c>
      <c r="E8" s="7" t="inlineStr">
        <is>
          <t>0〜1回</t>
        </is>
      </c>
      <c r="F8" s="7" t="n"/>
      <c r="G8" s="7" t="n"/>
      <c r="H8" s="7" t="n"/>
      <c r="I8" s="7" t="n"/>
    </row>
    <row r="9">
      <c r="A9" s="10" t="inlineStr">
        <is>
          <t>水準2</t>
        </is>
      </c>
      <c r="B9" s="7" t="inlineStr">
        <is>
          <t>未登録</t>
        </is>
      </c>
      <c r="C9" s="7" t="inlineStr">
        <is>
          <t>間違っている</t>
        </is>
      </c>
      <c r="D9" s="7" t="inlineStr">
        <is>
          <t>ロック済み</t>
        </is>
      </c>
      <c r="E9" s="7" t="inlineStr">
        <is>
          <t>2回（境界・未ロック）</t>
        </is>
      </c>
      <c r="F9" s="7" t="n"/>
      <c r="G9" s="7" t="n"/>
      <c r="H9" s="7" t="n"/>
      <c r="I9" s="7" t="n"/>
    </row>
    <row r="10">
      <c r="A10" s="10" t="inlineStr">
        <is>
          <t>水準3</t>
        </is>
      </c>
      <c r="B10" s="7" t="inlineStr">
        <is>
          <t>空欄（無効）</t>
        </is>
      </c>
      <c r="C10" s="7" t="inlineStr">
        <is>
          <t>空欄（無効）</t>
        </is>
      </c>
      <c r="D10" s="7" t="n"/>
      <c r="E10" s="7" t="inlineStr">
        <is>
          <t>3回（境界・ロック発動）</t>
        </is>
      </c>
      <c r="F10" s="7" t="n"/>
      <c r="G10" s="7" t="n"/>
      <c r="H10" s="7" t="n"/>
      <c r="I10" s="7" t="n"/>
    </row>
    <row r="11">
      <c r="A11" s="10" t="inlineStr">
        <is>
          <t>水準4</t>
        </is>
      </c>
      <c r="B11" s="7" t="inlineStr">
        <is>
          <t>形式不正（無効）</t>
        </is>
      </c>
      <c r="C11" s="7" t="n"/>
      <c r="D11" s="7" t="n"/>
      <c r="E11" s="7" t="n"/>
      <c r="F11" s="7" t="n"/>
      <c r="G11" s="7" t="n"/>
      <c r="H11" s="7" t="n"/>
      <c r="I11" s="7" t="n"/>
    </row>
    <row r="12">
      <c r="A12" s="10" t="inlineStr">
        <is>
          <t>水準5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</row>
    <row r="13">
      <c r="A13" s="10" t="inlineStr">
        <is>
          <t>水準6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10" t="inlineStr">
        <is>
          <t>水準7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10" t="inlineStr">
        <is>
          <t>水準8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10" t="inlineStr">
        <is>
          <t>水準9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10" t="inlineStr">
        <is>
          <t>水準10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10" t="inlineStr">
        <is>
          <t>水準数</t>
        </is>
      </c>
      <c r="B18" s="12">
        <f>COUNTA(B8:B17)</f>
        <v/>
      </c>
      <c r="C18" s="12">
        <f>COUNTA(C8:C17)</f>
        <v/>
      </c>
      <c r="D18" s="12">
        <f>COUNTA(D8:D17)</f>
        <v/>
      </c>
      <c r="E18" s="12">
        <f>COUNTA(E8:E17)</f>
        <v/>
      </c>
      <c r="F18" s="12">
        <f>COUNTA(F8:F17)</f>
        <v/>
      </c>
      <c r="G18" s="12">
        <f>COUNTA(G8:G17)</f>
        <v/>
      </c>
      <c r="H18" s="12">
        <f>COUNTA(H8:H17)</f>
        <v/>
      </c>
      <c r="I18" s="12">
        <f>COUNTA(I8:I17)</f>
        <v/>
      </c>
    </row>
    <row r="20">
      <c r="A20" s="10" t="inlineStr">
        <is>
          <t>全組み合わせ数</t>
        </is>
      </c>
      <c r="B20" s="13">
        <f>IF(COUNTIF(B18:I18,"&gt;0")=0,0,PRODUCT(MAX(B18,1),MAX(C18,1),MAX(D18,1),MAX(E18,1),MAX(F18,1),MAX(G18,1),MAX(H18,1),MAX(I18,1)))</f>
        <v/>
      </c>
      <c r="C20" s="14" t="inlineStr">
        <is>
          <t>← 多すぎる場合はデシジョンテーブルやペアワイズで絞り込む</t>
        </is>
      </c>
    </row>
    <row r="22">
      <c r="A22" s="2" t="inlineStr">
        <is>
          <t>分類の例：入力（画面の入力値）／状態（データやアカウントの状態）／環境（ブラウザ・端末・OS）／操作（ボタン・画面遷移）／データ（件数・種類）</t>
        </is>
      </c>
    </row>
  </sheetData>
  <mergeCells count="1">
    <mergeCell ref="D2:F2"/>
  </mergeCells>
  <dataValidations count="1">
    <dataValidation sqref="B6:I6" showDropDown="0" showInputMessage="0" showErrorMessage="0" allowBlank="1" type="list">
      <formula1>"入力,状態,環境,操作,データ,その他"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0" customWidth="1" min="2" max="2"/>
    <col width="14" customWidth="1" min="3" max="3"/>
    <col width="24" customWidth="1" min="4" max="4"/>
    <col width="18" customWidth="1" min="5" max="5"/>
    <col width="8" customWidth="1" min="6" max="6"/>
    <col width="9" customWidth="1" min="7" max="7"/>
    <col width="14" customWidth="1" min="8" max="8"/>
  </cols>
  <sheetData>
    <row r="1">
      <c r="A1" s="1" t="inlineStr">
        <is>
          <t>テスト条件</t>
        </is>
      </c>
    </row>
    <row r="2">
      <c r="A2" s="2" t="inlineStr">
        <is>
          <t>テスト条件＝テストで確認すること。ケース数と状態は自動計算です。</t>
        </is>
      </c>
    </row>
    <row r="4">
      <c r="A4" s="11" t="inlineStr">
        <is>
          <t>条件ID</t>
        </is>
      </c>
      <c r="B4" s="11" t="inlineStr">
        <is>
          <t>テスト条件</t>
        </is>
      </c>
      <c r="C4" s="11" t="inlineStr">
        <is>
          <t>要件ID</t>
        </is>
      </c>
      <c r="D4" s="11" t="inlineStr">
        <is>
          <t>関連因子</t>
        </is>
      </c>
      <c r="E4" s="11" t="inlineStr">
        <is>
          <t>技法</t>
        </is>
      </c>
      <c r="F4" s="11" t="inlineStr">
        <is>
          <t>優先度</t>
        </is>
      </c>
      <c r="G4" s="11" t="inlineStr">
        <is>
          <t>ケース数</t>
        </is>
      </c>
      <c r="H4" s="11" t="inlineStr">
        <is>
          <t>状態</t>
        </is>
      </c>
    </row>
    <row r="5">
      <c r="A5" s="7" t="inlineStr">
        <is>
          <t>TC-A</t>
        </is>
      </c>
      <c r="B5" s="7" t="inlineStr">
        <is>
          <t>正しい資格情報でログインできる</t>
        </is>
      </c>
      <c r="C5" s="7" t="inlineStr">
        <is>
          <t>R-01</t>
        </is>
      </c>
      <c r="D5" s="7" t="inlineStr">
        <is>
          <t>F1, F2, F3</t>
        </is>
      </c>
      <c r="E5" s="7" t="inlineStr">
        <is>
          <t>同値分割</t>
        </is>
      </c>
      <c r="F5" s="7" t="inlineStr">
        <is>
          <t>高</t>
        </is>
      </c>
      <c r="G5" s="15">
        <f>IF(A5="","",COUNTIF('テストケース'!$B$5:$B$104,A5))</f>
        <v/>
      </c>
      <c r="H5" s="15">
        <f>IF(A5="","",IF(G5=0,"ケース未作成","OK"))</f>
        <v/>
      </c>
    </row>
    <row r="6">
      <c r="A6" s="7" t="inlineStr">
        <is>
          <t>TC-B</t>
        </is>
      </c>
      <c r="B6" s="7" t="inlineStr">
        <is>
          <t>連続失敗が2回では未ロック、3回でロックされる（境界）</t>
        </is>
      </c>
      <c r="C6" s="7" t="inlineStr">
        <is>
          <t>R-01</t>
        </is>
      </c>
      <c r="D6" s="7" t="inlineStr">
        <is>
          <t>F2, F4</t>
        </is>
      </c>
      <c r="E6" s="7" t="inlineStr">
        <is>
          <t>境界値分析</t>
        </is>
      </c>
      <c r="F6" s="7" t="inlineStr">
        <is>
          <t>高</t>
        </is>
      </c>
      <c r="G6" s="15">
        <f>IF(A6="","",COUNTIF('テストケース'!$B$5:$B$104,A6))</f>
        <v/>
      </c>
      <c r="H6" s="15">
        <f>IF(A6="","",IF(G6=0,"ケース未作成","OK"))</f>
        <v/>
      </c>
    </row>
    <row r="7">
      <c r="A7" s="7" t="inlineStr">
        <is>
          <t>TC-C</t>
        </is>
      </c>
      <c r="B7" s="7" t="inlineStr">
        <is>
          <t>ロック済みアカウントは資格情報が正しくてもログインできない</t>
        </is>
      </c>
      <c r="C7" s="7" t="inlineStr">
        <is>
          <t>R-05</t>
        </is>
      </c>
      <c r="D7" s="7" t="inlineStr">
        <is>
          <t>F3</t>
        </is>
      </c>
      <c r="E7" s="7" t="inlineStr">
        <is>
          <t>デシジョンテーブル</t>
        </is>
      </c>
      <c r="F7" s="7" t="inlineStr">
        <is>
          <t>高</t>
        </is>
      </c>
      <c r="G7" s="15">
        <f>IF(A7="","",COUNTIF('テストケース'!$B$5:$B$104,A7))</f>
        <v/>
      </c>
      <c r="H7" s="15">
        <f>IF(A7="","",IF(G7=0,"ケース未作成","OK"))</f>
        <v/>
      </c>
    </row>
    <row r="8">
      <c r="A8" s="7" t="inlineStr">
        <is>
          <t>TC-D</t>
        </is>
      </c>
      <c r="B8" s="7" t="inlineStr">
        <is>
          <t>メールアドレス空欄・形式不正のときにエラーを表示する</t>
        </is>
      </c>
      <c r="C8" s="7" t="inlineStr">
        <is>
          <t>R-10, R-11</t>
        </is>
      </c>
      <c r="D8" s="7" t="inlineStr">
        <is>
          <t>F1</t>
        </is>
      </c>
      <c r="E8" s="7" t="inlineStr">
        <is>
          <t>同値分割</t>
        </is>
      </c>
      <c r="F8" s="7" t="inlineStr">
        <is>
          <t>中</t>
        </is>
      </c>
      <c r="G8" s="15">
        <f>IF(A8="","",COUNTIF('テストケース'!$B$5:$B$104,A8))</f>
        <v/>
      </c>
      <c r="H8" s="15">
        <f>IF(A8="","",IF(G8=0,"ケース未作成","OK"))</f>
        <v/>
      </c>
    </row>
    <row r="9">
      <c r="A9" s="7" t="n"/>
      <c r="B9" s="7" t="n"/>
      <c r="C9" s="7" t="n"/>
      <c r="D9" s="7" t="n"/>
      <c r="E9" s="7" t="n"/>
      <c r="F9" s="7" t="n"/>
      <c r="G9" s="15">
        <f>IF(A9="","",COUNTIF('テストケース'!$B$5:$B$104,A9))</f>
        <v/>
      </c>
      <c r="H9" s="15">
        <f>IF(A9="","",IF(G9=0,"ケース未作成","OK"))</f>
        <v/>
      </c>
    </row>
    <row r="10">
      <c r="A10" s="7" t="n"/>
      <c r="B10" s="7" t="n"/>
      <c r="C10" s="7" t="n"/>
      <c r="D10" s="7" t="n"/>
      <c r="E10" s="7" t="n"/>
      <c r="F10" s="7" t="n"/>
      <c r="G10" s="15">
        <f>IF(A10="","",COUNTIF('テストケース'!$B$5:$B$104,A10))</f>
        <v/>
      </c>
      <c r="H10" s="15">
        <f>IF(A10="","",IF(G10=0,"ケース未作成","OK"))</f>
        <v/>
      </c>
    </row>
    <row r="11">
      <c r="A11" s="7" t="n"/>
      <c r="B11" s="7" t="n"/>
      <c r="C11" s="7" t="n"/>
      <c r="D11" s="7" t="n"/>
      <c r="E11" s="7" t="n"/>
      <c r="F11" s="7" t="n"/>
      <c r="G11" s="15">
        <f>IF(A11="","",COUNTIF('テストケース'!$B$5:$B$104,A11))</f>
        <v/>
      </c>
      <c r="H11" s="15">
        <f>IF(A11="","",IF(G11=0,"ケース未作成","OK"))</f>
        <v/>
      </c>
    </row>
    <row r="12">
      <c r="A12" s="7" t="n"/>
      <c r="B12" s="7" t="n"/>
      <c r="C12" s="7" t="n"/>
      <c r="D12" s="7" t="n"/>
      <c r="E12" s="7" t="n"/>
      <c r="F12" s="7" t="n"/>
      <c r="G12" s="15">
        <f>IF(A12="","",COUNTIF('テストケース'!$B$5:$B$104,A12))</f>
        <v/>
      </c>
      <c r="H12" s="15">
        <f>IF(A12="","",IF(G12=0,"ケース未作成","OK"))</f>
        <v/>
      </c>
    </row>
    <row r="13">
      <c r="A13" s="7" t="n"/>
      <c r="B13" s="7" t="n"/>
      <c r="C13" s="7" t="n"/>
      <c r="D13" s="7" t="n"/>
      <c r="E13" s="7" t="n"/>
      <c r="F13" s="7" t="n"/>
      <c r="G13" s="15">
        <f>IF(A13="","",COUNTIF('テストケース'!$B$5:$B$104,A13))</f>
        <v/>
      </c>
      <c r="H13" s="15">
        <f>IF(A13="","",IF(G13=0,"ケース未作成","OK"))</f>
        <v/>
      </c>
    </row>
    <row r="14">
      <c r="A14" s="7" t="n"/>
      <c r="B14" s="7" t="n"/>
      <c r="C14" s="7" t="n"/>
      <c r="D14" s="7" t="n"/>
      <c r="E14" s="7" t="n"/>
      <c r="F14" s="7" t="n"/>
      <c r="G14" s="15">
        <f>IF(A14="","",COUNTIF('テストケース'!$B$5:$B$104,A14))</f>
        <v/>
      </c>
      <c r="H14" s="15">
        <f>IF(A14="","",IF(G14=0,"ケース未作成","OK"))</f>
        <v/>
      </c>
    </row>
    <row r="15">
      <c r="A15" s="7" t="n"/>
      <c r="B15" s="7" t="n"/>
      <c r="C15" s="7" t="n"/>
      <c r="D15" s="7" t="n"/>
      <c r="E15" s="7" t="n"/>
      <c r="F15" s="7" t="n"/>
      <c r="G15" s="15">
        <f>IF(A15="","",COUNTIF('テストケース'!$B$5:$B$104,A15))</f>
        <v/>
      </c>
      <c r="H15" s="15">
        <f>IF(A15="","",IF(G15=0,"ケース未作成","OK"))</f>
        <v/>
      </c>
    </row>
    <row r="16">
      <c r="A16" s="7" t="n"/>
      <c r="B16" s="7" t="n"/>
      <c r="C16" s="7" t="n"/>
      <c r="D16" s="7" t="n"/>
      <c r="E16" s="7" t="n"/>
      <c r="F16" s="7" t="n"/>
      <c r="G16" s="15">
        <f>IF(A16="","",COUNTIF('テストケース'!$B$5:$B$104,A16))</f>
        <v/>
      </c>
      <c r="H16" s="15">
        <f>IF(A16="","",IF(G16=0,"ケース未作成","OK"))</f>
        <v/>
      </c>
    </row>
    <row r="17">
      <c r="A17" s="7" t="n"/>
      <c r="B17" s="7" t="n"/>
      <c r="C17" s="7" t="n"/>
      <c r="D17" s="7" t="n"/>
      <c r="E17" s="7" t="n"/>
      <c r="F17" s="7" t="n"/>
      <c r="G17" s="15">
        <f>IF(A17="","",COUNTIF('テストケース'!$B$5:$B$104,A17))</f>
        <v/>
      </c>
      <c r="H17" s="15">
        <f>IF(A17="","",IF(G17=0,"ケース未作成","OK"))</f>
        <v/>
      </c>
    </row>
    <row r="18">
      <c r="A18" s="7" t="n"/>
      <c r="B18" s="7" t="n"/>
      <c r="C18" s="7" t="n"/>
      <c r="D18" s="7" t="n"/>
      <c r="E18" s="7" t="n"/>
      <c r="F18" s="7" t="n"/>
      <c r="G18" s="15">
        <f>IF(A18="","",COUNTIF('テストケース'!$B$5:$B$104,A18))</f>
        <v/>
      </c>
      <c r="H18" s="15">
        <f>IF(A18="","",IF(G18=0,"ケース未作成","OK"))</f>
        <v/>
      </c>
    </row>
    <row r="19">
      <c r="A19" s="7" t="n"/>
      <c r="B19" s="7" t="n"/>
      <c r="C19" s="7" t="n"/>
      <c r="D19" s="7" t="n"/>
      <c r="E19" s="7" t="n"/>
      <c r="F19" s="7" t="n"/>
      <c r="G19" s="15">
        <f>IF(A19="","",COUNTIF('テストケース'!$B$5:$B$104,A19))</f>
        <v/>
      </c>
      <c r="H19" s="15">
        <f>IF(A19="","",IF(G19=0,"ケース未作成","OK"))</f>
        <v/>
      </c>
    </row>
    <row r="20">
      <c r="A20" s="7" t="n"/>
      <c r="B20" s="7" t="n"/>
      <c r="C20" s="7" t="n"/>
      <c r="D20" s="7" t="n"/>
      <c r="E20" s="7" t="n"/>
      <c r="F20" s="7" t="n"/>
      <c r="G20" s="15">
        <f>IF(A20="","",COUNTIF('テストケース'!$B$5:$B$104,A20))</f>
        <v/>
      </c>
      <c r="H20" s="15">
        <f>IF(A20="","",IF(G20=0,"ケース未作成","OK"))</f>
        <v/>
      </c>
    </row>
    <row r="21">
      <c r="A21" s="7" t="n"/>
      <c r="B21" s="7" t="n"/>
      <c r="C21" s="7" t="n"/>
      <c r="D21" s="7" t="n"/>
      <c r="E21" s="7" t="n"/>
      <c r="F21" s="7" t="n"/>
      <c r="G21" s="15">
        <f>IF(A21="","",COUNTIF('テストケース'!$B$5:$B$104,A21))</f>
        <v/>
      </c>
      <c r="H21" s="15">
        <f>IF(A21="","",IF(G21=0,"ケース未作成","OK"))</f>
        <v/>
      </c>
    </row>
    <row r="22">
      <c r="A22" s="7" t="n"/>
      <c r="B22" s="7" t="n"/>
      <c r="C22" s="7" t="n"/>
      <c r="D22" s="7" t="n"/>
      <c r="E22" s="7" t="n"/>
      <c r="F22" s="7" t="n"/>
      <c r="G22" s="15">
        <f>IF(A22="","",COUNTIF('テストケース'!$B$5:$B$104,A22))</f>
        <v/>
      </c>
      <c r="H22" s="15">
        <f>IF(A22="","",IF(G22=0,"ケース未作成","OK"))</f>
        <v/>
      </c>
    </row>
    <row r="23">
      <c r="A23" s="7" t="n"/>
      <c r="B23" s="7" t="n"/>
      <c r="C23" s="7" t="n"/>
      <c r="D23" s="7" t="n"/>
      <c r="E23" s="7" t="n"/>
      <c r="F23" s="7" t="n"/>
      <c r="G23" s="15">
        <f>IF(A23="","",COUNTIF('テストケース'!$B$5:$B$104,A23))</f>
        <v/>
      </c>
      <c r="H23" s="15">
        <f>IF(A23="","",IF(G23=0,"ケース未作成","OK"))</f>
        <v/>
      </c>
    </row>
    <row r="24">
      <c r="A24" s="7" t="n"/>
      <c r="B24" s="7" t="n"/>
      <c r="C24" s="7" t="n"/>
      <c r="D24" s="7" t="n"/>
      <c r="E24" s="7" t="n"/>
      <c r="F24" s="7" t="n"/>
      <c r="G24" s="15">
        <f>IF(A24="","",COUNTIF('テストケース'!$B$5:$B$104,A24))</f>
        <v/>
      </c>
      <c r="H24" s="15">
        <f>IF(A24="","",IF(G24=0,"ケース未作成","OK"))</f>
        <v/>
      </c>
    </row>
    <row r="25">
      <c r="A25" s="7" t="n"/>
      <c r="B25" s="7" t="n"/>
      <c r="C25" s="7" t="n"/>
      <c r="D25" s="7" t="n"/>
      <c r="E25" s="7" t="n"/>
      <c r="F25" s="7" t="n"/>
      <c r="G25" s="15">
        <f>IF(A25="","",COUNTIF('テストケース'!$B$5:$B$104,A25))</f>
        <v/>
      </c>
      <c r="H25" s="15">
        <f>IF(A25="","",IF(G25=0,"ケース未作成","OK"))</f>
        <v/>
      </c>
    </row>
    <row r="26">
      <c r="A26" s="7" t="n"/>
      <c r="B26" s="7" t="n"/>
      <c r="C26" s="7" t="n"/>
      <c r="D26" s="7" t="n"/>
      <c r="E26" s="7" t="n"/>
      <c r="F26" s="7" t="n"/>
      <c r="G26" s="15">
        <f>IF(A26="","",COUNTIF('テストケース'!$B$5:$B$104,A26))</f>
        <v/>
      </c>
      <c r="H26" s="15">
        <f>IF(A26="","",IF(G26=0,"ケース未作成","OK"))</f>
        <v/>
      </c>
    </row>
    <row r="27">
      <c r="A27" s="7" t="n"/>
      <c r="B27" s="7" t="n"/>
      <c r="C27" s="7" t="n"/>
      <c r="D27" s="7" t="n"/>
      <c r="E27" s="7" t="n"/>
      <c r="F27" s="7" t="n"/>
      <c r="G27" s="15">
        <f>IF(A27="","",COUNTIF('テストケース'!$B$5:$B$104,A27))</f>
        <v/>
      </c>
      <c r="H27" s="15">
        <f>IF(A27="","",IF(G27=0,"ケース未作成","OK"))</f>
        <v/>
      </c>
    </row>
    <row r="28">
      <c r="A28" s="7" t="n"/>
      <c r="B28" s="7" t="n"/>
      <c r="C28" s="7" t="n"/>
      <c r="D28" s="7" t="n"/>
      <c r="E28" s="7" t="n"/>
      <c r="F28" s="7" t="n"/>
      <c r="G28" s="15">
        <f>IF(A28="","",COUNTIF('テストケース'!$B$5:$B$104,A28))</f>
        <v/>
      </c>
      <c r="H28" s="15">
        <f>IF(A28="","",IF(G28=0,"ケース未作成","OK"))</f>
        <v/>
      </c>
    </row>
    <row r="29">
      <c r="A29" s="7" t="n"/>
      <c r="B29" s="7" t="n"/>
      <c r="C29" s="7" t="n"/>
      <c r="D29" s="7" t="n"/>
      <c r="E29" s="7" t="n"/>
      <c r="F29" s="7" t="n"/>
      <c r="G29" s="15">
        <f>IF(A29="","",COUNTIF('テストケース'!$B$5:$B$104,A29))</f>
        <v/>
      </c>
      <c r="H29" s="15">
        <f>IF(A29="","",IF(G29=0,"ケース未作成","OK"))</f>
        <v/>
      </c>
    </row>
    <row r="30">
      <c r="A30" s="7" t="n"/>
      <c r="B30" s="7" t="n"/>
      <c r="C30" s="7" t="n"/>
      <c r="D30" s="7" t="n"/>
      <c r="E30" s="7" t="n"/>
      <c r="F30" s="7" t="n"/>
      <c r="G30" s="15">
        <f>IF(A30="","",COUNTIF('テストケース'!$B$5:$B$104,A30))</f>
        <v/>
      </c>
      <c r="H30" s="15">
        <f>IF(A30="","",IF(G30=0,"ケース未作成","OK"))</f>
        <v/>
      </c>
    </row>
    <row r="31">
      <c r="A31" s="7" t="n"/>
      <c r="B31" s="7" t="n"/>
      <c r="C31" s="7" t="n"/>
      <c r="D31" s="7" t="n"/>
      <c r="E31" s="7" t="n"/>
      <c r="F31" s="7" t="n"/>
      <c r="G31" s="15">
        <f>IF(A31="","",COUNTIF('テストケース'!$B$5:$B$104,A31))</f>
        <v/>
      </c>
      <c r="H31" s="15">
        <f>IF(A31="","",IF(G31=0,"ケース未作成","OK"))</f>
        <v/>
      </c>
    </row>
    <row r="32">
      <c r="A32" s="7" t="n"/>
      <c r="B32" s="7" t="n"/>
      <c r="C32" s="7" t="n"/>
      <c r="D32" s="7" t="n"/>
      <c r="E32" s="7" t="n"/>
      <c r="F32" s="7" t="n"/>
      <c r="G32" s="15">
        <f>IF(A32="","",COUNTIF('テストケース'!$B$5:$B$104,A32))</f>
        <v/>
      </c>
      <c r="H32" s="15">
        <f>IF(A32="","",IF(G32=0,"ケース未作成","OK"))</f>
        <v/>
      </c>
    </row>
    <row r="33">
      <c r="A33" s="7" t="n"/>
      <c r="B33" s="7" t="n"/>
      <c r="C33" s="7" t="n"/>
      <c r="D33" s="7" t="n"/>
      <c r="E33" s="7" t="n"/>
      <c r="F33" s="7" t="n"/>
      <c r="G33" s="15">
        <f>IF(A33="","",COUNTIF('テストケース'!$B$5:$B$104,A33))</f>
        <v/>
      </c>
      <c r="H33" s="15">
        <f>IF(A33="","",IF(G33=0,"ケース未作成","OK"))</f>
        <v/>
      </c>
    </row>
    <row r="34">
      <c r="A34" s="7" t="n"/>
      <c r="B34" s="7" t="n"/>
      <c r="C34" s="7" t="n"/>
      <c r="D34" s="7" t="n"/>
      <c r="E34" s="7" t="n"/>
      <c r="F34" s="7" t="n"/>
      <c r="G34" s="15">
        <f>IF(A34="","",COUNTIF('テストケース'!$B$5:$B$104,A34))</f>
        <v/>
      </c>
      <c r="H34" s="15">
        <f>IF(A34="","",IF(G34=0,"ケース未作成","OK"))</f>
        <v/>
      </c>
    </row>
    <row r="36">
      <c r="A36" s="10" t="inlineStr">
        <is>
          <t>優先度</t>
        </is>
      </c>
      <c r="B36" s="10" t="inlineStr">
        <is>
          <t>意味</t>
        </is>
      </c>
    </row>
    <row r="37">
      <c r="A37" s="16" t="inlineStr">
        <is>
          <t>高</t>
        </is>
      </c>
      <c r="B37" s="17" t="inlineStr">
        <is>
          <t>中核機能・セキュリティに直結。必ず実施</t>
        </is>
      </c>
    </row>
    <row r="38">
      <c r="A38" s="16" t="inlineStr">
        <is>
          <t>中</t>
        </is>
      </c>
      <c r="B38" s="17" t="inlineStr">
        <is>
          <t>バリデーションなど。実施を推奨</t>
        </is>
      </c>
    </row>
    <row r="39">
      <c r="A39" s="16" t="inlineStr">
        <is>
          <t>低</t>
        </is>
      </c>
      <c r="B39" s="17" t="inlineStr">
        <is>
          <t>余力があれば実施</t>
        </is>
      </c>
    </row>
  </sheetData>
  <dataValidations count="2">
    <dataValidation sqref="F5:F34" showDropDown="0" showInputMessage="0" showErrorMessage="0" allowBlank="1" type="list">
      <formula1>"高,中,低"</formula1>
    </dataValidation>
    <dataValidation sqref="E5:E34" showDropDown="0" showInputMessage="0" showErrorMessage="0" allowBlank="1" type="list">
      <formula1>"同値分割,境界値分析,デシジョンテーブル,状態遷移テスト,ペアワイズ,エラー推測,探索的テスト,チェックリスト"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8" customWidth="1" min="3" max="3"/>
    <col width="7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30" customWidth="1" min="14" max="14"/>
    <col width="34" customWidth="1" min="15" max="15"/>
    <col width="14" customWidth="1" min="16" max="16"/>
    <col width="9" customWidth="1" min="17" max="17"/>
    <col width="11" customWidth="1" min="18" max="18"/>
    <col width="10" customWidth="1" min="19" max="19"/>
    <col width="9" customWidth="1" min="20" max="20"/>
    <col width="10" customWidth="1" min="21" max="21"/>
    <col width="24" customWidth="1" min="22" max="22"/>
  </cols>
  <sheetData>
    <row r="1">
      <c r="A1" s="1" t="inlineStr">
        <is>
          <t>テストケース</t>
        </is>
      </c>
    </row>
    <row r="2">
      <c r="A2" s="2" t="inlineStr">
        <is>
          <t>因子列の見出しは因子水準表から自動で入り、セルは水準のプルダウンから選べます。</t>
        </is>
      </c>
    </row>
    <row r="3">
      <c r="A3" s="18" t="inlineStr">
        <is>
          <t>テストケース</t>
        </is>
      </c>
      <c r="B3" s="8" t="n"/>
      <c r="C3" s="8" t="n"/>
      <c r="D3" s="8" t="n"/>
      <c r="E3" s="9" t="n"/>
      <c r="F3" s="18" t="inlineStr">
        <is>
          <t>因子の水準（入力・状態）</t>
        </is>
      </c>
      <c r="G3" s="8" t="n"/>
      <c r="H3" s="8" t="n"/>
      <c r="I3" s="8" t="n"/>
      <c r="J3" s="8" t="n"/>
      <c r="K3" s="8" t="n"/>
      <c r="L3" s="8" t="n"/>
      <c r="M3" s="9" t="n"/>
      <c r="N3" s="18" t="inlineStr">
        <is>
          <t>内容</t>
        </is>
      </c>
      <c r="O3" s="8" t="n"/>
      <c r="P3" s="8" t="n"/>
      <c r="Q3" s="9" t="n"/>
      <c r="R3" s="18" t="inlineStr">
        <is>
          <t>実行結果</t>
        </is>
      </c>
      <c r="S3" s="8" t="n"/>
      <c r="T3" s="8" t="n"/>
      <c r="U3" s="8" t="n"/>
      <c r="V3" s="9" t="n"/>
    </row>
    <row r="4">
      <c r="A4" s="11" t="inlineStr">
        <is>
          <t>ID</t>
        </is>
      </c>
      <c r="B4" s="11" t="inlineStr">
        <is>
          <t>条件ID</t>
        </is>
      </c>
      <c r="C4" s="11" t="inlineStr">
        <is>
          <t>テスト観点（目的）</t>
        </is>
      </c>
      <c r="D4" s="11" t="inlineStr">
        <is>
          <t>優先度</t>
        </is>
      </c>
      <c r="E4" s="11" t="inlineStr">
        <is>
          <t>事前条件</t>
        </is>
      </c>
      <c r="F4" s="11">
        <f>IF('因子水準表'!B$5="","因子1（未使用）",'因子水準表'!B$5)</f>
        <v/>
      </c>
      <c r="G4" s="11">
        <f>IF('因子水準表'!C$5="","因子2（未使用）",'因子水準表'!C$5)</f>
        <v/>
      </c>
      <c r="H4" s="11">
        <f>IF('因子水準表'!D$5="","因子3（未使用）",'因子水準表'!D$5)</f>
        <v/>
      </c>
      <c r="I4" s="11">
        <f>IF('因子水準表'!E$5="","因子4（未使用）",'因子水準表'!E$5)</f>
        <v/>
      </c>
      <c r="J4" s="11">
        <f>IF('因子水準表'!F$5="","因子5（未使用）",'因子水準表'!F$5)</f>
        <v/>
      </c>
      <c r="K4" s="11">
        <f>IF('因子水準表'!G$5="","因子6（未使用）",'因子水準表'!G$5)</f>
        <v/>
      </c>
      <c r="L4" s="11">
        <f>IF('因子水準表'!H$5="","因子7（未使用）",'因子水準表'!H$5)</f>
        <v/>
      </c>
      <c r="M4" s="11">
        <f>IF('因子水準表'!I$5="","因子8（未使用）",'因子水準表'!I$5)</f>
        <v/>
      </c>
      <c r="N4" s="11" t="inlineStr">
        <is>
          <t>手順</t>
        </is>
      </c>
      <c r="O4" s="11" t="inlineStr">
        <is>
          <t>期待結果</t>
        </is>
      </c>
      <c r="P4" s="11" t="inlineStr">
        <is>
          <t>技法</t>
        </is>
      </c>
      <c r="Q4" s="11" t="inlineStr">
        <is>
          <t>自動化</t>
        </is>
      </c>
      <c r="R4" s="11" t="inlineStr">
        <is>
          <t>実行日</t>
        </is>
      </c>
      <c r="S4" s="11" t="inlineStr">
        <is>
          <t>実行者</t>
        </is>
      </c>
      <c r="T4" s="11" t="inlineStr">
        <is>
          <t>結果</t>
        </is>
      </c>
      <c r="U4" s="11" t="inlineStr">
        <is>
          <t>欠陥ID</t>
        </is>
      </c>
      <c r="V4" s="11" t="inlineStr">
        <is>
          <t>備考</t>
        </is>
      </c>
    </row>
    <row r="5">
      <c r="A5" s="7" t="inlineStr">
        <is>
          <t>T-01</t>
        </is>
      </c>
      <c r="B5" s="7" t="inlineStr">
        <is>
          <t>TC-A</t>
        </is>
      </c>
      <c r="C5" s="7" t="inlineStr">
        <is>
          <t>正常ログイン</t>
        </is>
      </c>
      <c r="D5" s="7" t="inlineStr">
        <is>
          <t>高</t>
        </is>
      </c>
      <c r="E5" s="7" t="inlineStr">
        <is>
          <t>─</t>
        </is>
      </c>
      <c r="F5" s="7" t="inlineStr">
        <is>
          <t>登録済み</t>
        </is>
      </c>
      <c r="G5" s="7" t="inlineStr">
        <is>
          <t>正しい</t>
        </is>
      </c>
      <c r="H5" s="7" t="inlineStr">
        <is>
          <t>アクティブ</t>
        </is>
      </c>
      <c r="I5" s="7" t="inlineStr">
        <is>
          <t>0〜1回</t>
        </is>
      </c>
      <c r="J5" s="7" t="n"/>
      <c r="K5" s="7" t="n"/>
      <c r="L5" s="7" t="n"/>
      <c r="M5" s="7" t="n"/>
      <c r="N5" s="7" t="inlineStr">
        <is>
          <t>1. ログイン画面を開く
2. メールアドレスとパスワードを入力
3. ログインボタンを押す</t>
        </is>
      </c>
      <c r="O5" s="7" t="inlineStr">
        <is>
          <t>マイページに遷移する</t>
        </is>
      </c>
      <c r="P5" s="7" t="inlineStr">
        <is>
          <t>同値分割</t>
        </is>
      </c>
      <c r="Q5" s="7" t="inlineStr">
        <is>
          <t>要</t>
        </is>
      </c>
      <c r="R5" s="19" t="n"/>
      <c r="S5" s="7" t="n"/>
      <c r="T5" s="7" t="n"/>
      <c r="U5" s="7" t="n"/>
      <c r="V5" s="7" t="n"/>
    </row>
    <row r="6">
      <c r="A6" s="7" t="inlineStr">
        <is>
          <t>T-02</t>
        </is>
      </c>
      <c r="B6" s="7" t="inlineStr">
        <is>
          <t>TC-B</t>
        </is>
      </c>
      <c r="C6" s="7" t="inlineStr">
        <is>
          <t>境界：2回目の失敗では未ロック</t>
        </is>
      </c>
      <c r="D6" s="7" t="inlineStr">
        <is>
          <t>高</t>
        </is>
      </c>
      <c r="E6" s="7" t="inlineStr">
        <is>
          <t>直前に1回失敗している</t>
        </is>
      </c>
      <c r="F6" s="7" t="inlineStr">
        <is>
          <t>登録済み</t>
        </is>
      </c>
      <c r="G6" s="7" t="inlineStr">
        <is>
          <t>間違っている</t>
        </is>
      </c>
      <c r="H6" s="7" t="inlineStr">
        <is>
          <t>アクティブ</t>
        </is>
      </c>
      <c r="I6" s="7" t="inlineStr">
        <is>
          <t>2回（境界・未ロック）</t>
        </is>
      </c>
      <c r="J6" s="7" t="n"/>
      <c r="K6" s="7" t="n"/>
      <c r="L6" s="7" t="n"/>
      <c r="M6" s="7" t="n"/>
      <c r="N6" s="7" t="inlineStr">
        <is>
          <t>1. 間違ったパスワードでログインする</t>
        </is>
      </c>
      <c r="O6" s="7" t="inlineStr">
        <is>
          <t>「メールまたはパスワードが正しくありません」と表示され、ロックされない</t>
        </is>
      </c>
      <c r="P6" s="7" t="inlineStr">
        <is>
          <t>境界値分析</t>
        </is>
      </c>
      <c r="Q6" s="7" t="inlineStr">
        <is>
          <t>要</t>
        </is>
      </c>
      <c r="R6" s="19" t="n"/>
      <c r="S6" s="7" t="n"/>
      <c r="T6" s="7" t="n"/>
      <c r="U6" s="7" t="n"/>
      <c r="V6" s="7" t="n"/>
    </row>
    <row r="7">
      <c r="A7" s="7" t="inlineStr">
        <is>
          <t>T-03</t>
        </is>
      </c>
      <c r="B7" s="7" t="inlineStr">
        <is>
          <t>TC-B</t>
        </is>
      </c>
      <c r="C7" s="7" t="inlineStr">
        <is>
          <t>境界：3回目の失敗でロック</t>
        </is>
      </c>
      <c r="D7" s="7" t="inlineStr">
        <is>
          <t>高</t>
        </is>
      </c>
      <c r="E7" s="7" t="inlineStr">
        <is>
          <t>直前に2回失敗している</t>
        </is>
      </c>
      <c r="F7" s="7" t="inlineStr">
        <is>
          <t>登録済み</t>
        </is>
      </c>
      <c r="G7" s="7" t="inlineStr">
        <is>
          <t>間違っている</t>
        </is>
      </c>
      <c r="H7" s="7" t="inlineStr">
        <is>
          <t>アクティブ</t>
        </is>
      </c>
      <c r="I7" s="7" t="inlineStr">
        <is>
          <t>3回（境界・ロック発動）</t>
        </is>
      </c>
      <c r="J7" s="7" t="n"/>
      <c r="K7" s="7" t="n"/>
      <c r="L7" s="7" t="n"/>
      <c r="M7" s="7" t="n"/>
      <c r="N7" s="7" t="inlineStr">
        <is>
          <t>1. 間違ったパスワードでログインする</t>
        </is>
      </c>
      <c r="O7" s="7" t="inlineStr">
        <is>
          <t>ロックのメッセージが表示され、アカウント状態がロック済みになる</t>
        </is>
      </c>
      <c r="P7" s="7" t="inlineStr">
        <is>
          <t>境界値分析</t>
        </is>
      </c>
      <c r="Q7" s="7" t="inlineStr">
        <is>
          <t>要</t>
        </is>
      </c>
      <c r="R7" s="19" t="n"/>
      <c r="S7" s="7" t="n"/>
      <c r="T7" s="7" t="n"/>
      <c r="U7" s="7" t="n"/>
      <c r="V7" s="7" t="n"/>
    </row>
    <row r="8">
      <c r="A8" s="7" t="inlineStr">
        <is>
          <t>T-04</t>
        </is>
      </c>
      <c r="B8" s="7" t="inlineStr">
        <is>
          <t>TC-D</t>
        </is>
      </c>
      <c r="C8" s="7" t="inlineStr">
        <is>
          <t>メールアドレス空欄</t>
        </is>
      </c>
      <c r="D8" s="7" t="inlineStr">
        <is>
          <t>中</t>
        </is>
      </c>
      <c r="E8" s="7" t="inlineStr">
        <is>
          <t>─</t>
        </is>
      </c>
      <c r="F8" s="7" t="inlineStr">
        <is>
          <t>空欄（無効）</t>
        </is>
      </c>
      <c r="G8" s="7" t="inlineStr">
        <is>
          <t>正しい</t>
        </is>
      </c>
      <c r="H8" s="7" t="inlineStr">
        <is>
          <t>アクティブ</t>
        </is>
      </c>
      <c r="I8" s="7" t="inlineStr">
        <is>
          <t>0〜1回</t>
        </is>
      </c>
      <c r="J8" s="7" t="n"/>
      <c r="K8" s="7" t="n"/>
      <c r="L8" s="7" t="n"/>
      <c r="M8" s="7" t="n"/>
      <c r="N8" s="7" t="inlineStr">
        <is>
          <t>1. メールアドレスを空のままログインボタンを押す</t>
        </is>
      </c>
      <c r="O8" s="7" t="inlineStr">
        <is>
          <t>「メールアドレスを入力してください」と表示される</t>
        </is>
      </c>
      <c r="P8" s="7" t="inlineStr">
        <is>
          <t>同値分割</t>
        </is>
      </c>
      <c r="Q8" s="7" t="inlineStr">
        <is>
          <t>否</t>
        </is>
      </c>
      <c r="R8" s="19" t="n"/>
      <c r="S8" s="7" t="n"/>
      <c r="T8" s="7" t="n"/>
      <c r="U8" s="7" t="n"/>
      <c r="V8" s="7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1" t="n"/>
      <c r="S9" s="20" t="n"/>
      <c r="T9" s="20" t="n"/>
      <c r="U9" s="20" t="n"/>
      <c r="V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1" t="n"/>
      <c r="S10" s="20" t="n"/>
      <c r="T10" s="20" t="n"/>
      <c r="U10" s="20" t="n"/>
      <c r="V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1" t="n"/>
      <c r="S11" s="20" t="n"/>
      <c r="T11" s="20" t="n"/>
      <c r="U11" s="20" t="n"/>
      <c r="V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1" t="n"/>
      <c r="S12" s="20" t="n"/>
      <c r="T12" s="20" t="n"/>
      <c r="U12" s="20" t="n"/>
      <c r="V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1" t="n"/>
      <c r="S13" s="20" t="n"/>
      <c r="T13" s="20" t="n"/>
      <c r="U13" s="20" t="n"/>
      <c r="V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1" t="n"/>
      <c r="S14" s="20" t="n"/>
      <c r="T14" s="20" t="n"/>
      <c r="U14" s="20" t="n"/>
      <c r="V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1" t="n"/>
      <c r="S15" s="20" t="n"/>
      <c r="T15" s="20" t="n"/>
      <c r="U15" s="20" t="n"/>
      <c r="V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1" t="n"/>
      <c r="S16" s="20" t="n"/>
      <c r="T16" s="20" t="n"/>
      <c r="U16" s="20" t="n"/>
      <c r="V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1" t="n"/>
      <c r="S17" s="20" t="n"/>
      <c r="T17" s="20" t="n"/>
      <c r="U17" s="20" t="n"/>
      <c r="V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1" t="n"/>
      <c r="S18" s="20" t="n"/>
      <c r="T18" s="20" t="n"/>
      <c r="U18" s="20" t="n"/>
      <c r="V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1" t="n"/>
      <c r="S19" s="20" t="n"/>
      <c r="T19" s="20" t="n"/>
      <c r="U19" s="20" t="n"/>
      <c r="V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1" t="n"/>
      <c r="S20" s="20" t="n"/>
      <c r="T20" s="20" t="n"/>
      <c r="U20" s="20" t="n"/>
      <c r="V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1" t="n"/>
      <c r="S21" s="20" t="n"/>
      <c r="T21" s="20" t="n"/>
      <c r="U21" s="20" t="n"/>
      <c r="V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1" t="n"/>
      <c r="S22" s="20" t="n"/>
      <c r="T22" s="20" t="n"/>
      <c r="U22" s="20" t="n"/>
      <c r="V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1" t="n"/>
      <c r="S23" s="20" t="n"/>
      <c r="T23" s="20" t="n"/>
      <c r="U23" s="20" t="n"/>
      <c r="V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1" t="n"/>
      <c r="S24" s="20" t="n"/>
      <c r="T24" s="20" t="n"/>
      <c r="U24" s="20" t="n"/>
      <c r="V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1" t="n"/>
      <c r="S25" s="20" t="n"/>
      <c r="T25" s="20" t="n"/>
      <c r="U25" s="20" t="n"/>
      <c r="V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1" t="n"/>
      <c r="S26" s="20" t="n"/>
      <c r="T26" s="20" t="n"/>
      <c r="U26" s="20" t="n"/>
      <c r="V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1" t="n"/>
      <c r="S27" s="20" t="n"/>
      <c r="T27" s="20" t="n"/>
      <c r="U27" s="20" t="n"/>
      <c r="V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1" t="n"/>
      <c r="S28" s="20" t="n"/>
      <c r="T28" s="20" t="n"/>
      <c r="U28" s="20" t="n"/>
      <c r="V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1" t="n"/>
      <c r="S29" s="20" t="n"/>
      <c r="T29" s="20" t="n"/>
      <c r="U29" s="20" t="n"/>
      <c r="V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1" t="n"/>
      <c r="S30" s="20" t="n"/>
      <c r="T30" s="20" t="n"/>
      <c r="U30" s="20" t="n"/>
      <c r="V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1" t="n"/>
      <c r="S31" s="20" t="n"/>
      <c r="T31" s="20" t="n"/>
      <c r="U31" s="20" t="n"/>
      <c r="V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1" t="n"/>
      <c r="S32" s="20" t="n"/>
      <c r="T32" s="20" t="n"/>
      <c r="U32" s="20" t="n"/>
      <c r="V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1" t="n"/>
      <c r="S33" s="20" t="n"/>
      <c r="T33" s="20" t="n"/>
      <c r="U33" s="20" t="n"/>
      <c r="V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1" t="n"/>
      <c r="S34" s="20" t="n"/>
      <c r="T34" s="20" t="n"/>
      <c r="U34" s="20" t="n"/>
      <c r="V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1" t="n"/>
      <c r="S35" s="20" t="n"/>
      <c r="T35" s="20" t="n"/>
      <c r="U35" s="20" t="n"/>
      <c r="V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1" t="n"/>
      <c r="S36" s="20" t="n"/>
      <c r="T36" s="20" t="n"/>
      <c r="U36" s="20" t="n"/>
      <c r="V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1" t="n"/>
      <c r="S37" s="20" t="n"/>
      <c r="T37" s="20" t="n"/>
      <c r="U37" s="20" t="n"/>
      <c r="V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1" t="n"/>
      <c r="S38" s="20" t="n"/>
      <c r="T38" s="20" t="n"/>
      <c r="U38" s="20" t="n"/>
      <c r="V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1" t="n"/>
      <c r="S39" s="20" t="n"/>
      <c r="T39" s="20" t="n"/>
      <c r="U39" s="20" t="n"/>
      <c r="V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1" t="n"/>
      <c r="S40" s="20" t="n"/>
      <c r="T40" s="20" t="n"/>
      <c r="U40" s="20" t="n"/>
      <c r="V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1" t="n"/>
      <c r="S41" s="20" t="n"/>
      <c r="T41" s="20" t="n"/>
      <c r="U41" s="20" t="n"/>
      <c r="V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1" t="n"/>
      <c r="S42" s="20" t="n"/>
      <c r="T42" s="20" t="n"/>
      <c r="U42" s="20" t="n"/>
      <c r="V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1" t="n"/>
      <c r="S43" s="20" t="n"/>
      <c r="T43" s="20" t="n"/>
      <c r="U43" s="20" t="n"/>
      <c r="V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1" t="n"/>
      <c r="S44" s="20" t="n"/>
      <c r="T44" s="20" t="n"/>
      <c r="U44" s="20" t="n"/>
      <c r="V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1" t="n"/>
      <c r="S45" s="20" t="n"/>
      <c r="T45" s="20" t="n"/>
      <c r="U45" s="20" t="n"/>
      <c r="V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1" t="n"/>
      <c r="S46" s="20" t="n"/>
      <c r="T46" s="20" t="n"/>
      <c r="U46" s="20" t="n"/>
      <c r="V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1" t="n"/>
      <c r="S47" s="20" t="n"/>
      <c r="T47" s="20" t="n"/>
      <c r="U47" s="20" t="n"/>
      <c r="V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1" t="n"/>
      <c r="S48" s="20" t="n"/>
      <c r="T48" s="20" t="n"/>
      <c r="U48" s="20" t="n"/>
      <c r="V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1" t="n"/>
      <c r="S49" s="20" t="n"/>
      <c r="T49" s="20" t="n"/>
      <c r="U49" s="20" t="n"/>
      <c r="V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1" t="n"/>
      <c r="S50" s="20" t="n"/>
      <c r="T50" s="20" t="n"/>
      <c r="U50" s="20" t="n"/>
      <c r="V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1" t="n"/>
      <c r="S51" s="20" t="n"/>
      <c r="T51" s="20" t="n"/>
      <c r="U51" s="20" t="n"/>
      <c r="V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1" t="n"/>
      <c r="S52" s="20" t="n"/>
      <c r="T52" s="20" t="n"/>
      <c r="U52" s="20" t="n"/>
      <c r="V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1" t="n"/>
      <c r="S53" s="20" t="n"/>
      <c r="T53" s="20" t="n"/>
      <c r="U53" s="20" t="n"/>
      <c r="V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1" t="n"/>
      <c r="S54" s="20" t="n"/>
      <c r="T54" s="20" t="n"/>
      <c r="U54" s="20" t="n"/>
      <c r="V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1" t="n"/>
      <c r="S55" s="20" t="n"/>
      <c r="T55" s="20" t="n"/>
      <c r="U55" s="20" t="n"/>
      <c r="V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1" t="n"/>
      <c r="S56" s="20" t="n"/>
      <c r="T56" s="20" t="n"/>
      <c r="U56" s="20" t="n"/>
      <c r="V56" s="20" t="n"/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1" t="n"/>
      <c r="S57" s="20" t="n"/>
      <c r="T57" s="20" t="n"/>
      <c r="U57" s="20" t="n"/>
      <c r="V57" s="20" t="n"/>
    </row>
    <row r="58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1" t="n"/>
      <c r="S58" s="20" t="n"/>
      <c r="T58" s="20" t="n"/>
      <c r="U58" s="20" t="n"/>
      <c r="V58" s="20" t="n"/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1" t="n"/>
      <c r="S59" s="20" t="n"/>
      <c r="T59" s="20" t="n"/>
      <c r="U59" s="20" t="n"/>
      <c r="V59" s="20" t="n"/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1" t="n"/>
      <c r="S60" s="20" t="n"/>
      <c r="T60" s="20" t="n"/>
      <c r="U60" s="20" t="n"/>
      <c r="V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1" t="n"/>
      <c r="S61" s="20" t="n"/>
      <c r="T61" s="20" t="n"/>
      <c r="U61" s="20" t="n"/>
      <c r="V61" s="20" t="n"/>
    </row>
    <row r="62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1" t="n"/>
      <c r="S62" s="20" t="n"/>
      <c r="T62" s="20" t="n"/>
      <c r="U62" s="20" t="n"/>
      <c r="V62" s="20" t="n"/>
    </row>
    <row r="63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1" t="n"/>
      <c r="S63" s="20" t="n"/>
      <c r="T63" s="20" t="n"/>
      <c r="U63" s="20" t="n"/>
      <c r="V63" s="20" t="n"/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1" t="n"/>
      <c r="S64" s="20" t="n"/>
      <c r="T64" s="20" t="n"/>
      <c r="U64" s="20" t="n"/>
      <c r="V64" s="20" t="n"/>
    </row>
    <row r="65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1" t="n"/>
      <c r="S65" s="20" t="n"/>
      <c r="T65" s="20" t="n"/>
      <c r="U65" s="20" t="n"/>
      <c r="V65" s="20" t="n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1" t="n"/>
      <c r="S66" s="20" t="n"/>
      <c r="T66" s="20" t="n"/>
      <c r="U66" s="20" t="n"/>
      <c r="V66" s="20" t="n"/>
    </row>
    <row r="67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1" t="n"/>
      <c r="S67" s="20" t="n"/>
      <c r="T67" s="20" t="n"/>
      <c r="U67" s="20" t="n"/>
      <c r="V67" s="20" t="n"/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1" t="n"/>
      <c r="S68" s="20" t="n"/>
      <c r="T68" s="20" t="n"/>
      <c r="U68" s="20" t="n"/>
      <c r="V68" s="20" t="n"/>
    </row>
    <row r="69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1" t="n"/>
      <c r="S69" s="20" t="n"/>
      <c r="T69" s="20" t="n"/>
      <c r="U69" s="20" t="n"/>
      <c r="V69" s="20" t="n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1" t="n"/>
      <c r="S70" s="20" t="n"/>
      <c r="T70" s="20" t="n"/>
      <c r="U70" s="20" t="n"/>
      <c r="V70" s="20" t="n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1" t="n"/>
      <c r="S71" s="20" t="n"/>
      <c r="T71" s="20" t="n"/>
      <c r="U71" s="20" t="n"/>
      <c r="V71" s="20" t="n"/>
    </row>
    <row r="72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1" t="n"/>
      <c r="S72" s="20" t="n"/>
      <c r="T72" s="20" t="n"/>
      <c r="U72" s="20" t="n"/>
      <c r="V72" s="20" t="n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1" t="n"/>
      <c r="S73" s="20" t="n"/>
      <c r="T73" s="20" t="n"/>
      <c r="U73" s="20" t="n"/>
      <c r="V73" s="20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1" t="n"/>
      <c r="S74" s="20" t="n"/>
      <c r="T74" s="20" t="n"/>
      <c r="U74" s="20" t="n"/>
      <c r="V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1" t="n"/>
      <c r="S75" s="20" t="n"/>
      <c r="T75" s="20" t="n"/>
      <c r="U75" s="20" t="n"/>
      <c r="V75" s="20" t="n"/>
    </row>
    <row r="76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1" t="n"/>
      <c r="S76" s="20" t="n"/>
      <c r="T76" s="20" t="n"/>
      <c r="U76" s="20" t="n"/>
      <c r="V76" s="20" t="n"/>
    </row>
    <row r="77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1" t="n"/>
      <c r="S77" s="20" t="n"/>
      <c r="T77" s="20" t="n"/>
      <c r="U77" s="20" t="n"/>
      <c r="V77" s="20" t="n"/>
    </row>
    <row r="78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1" t="n"/>
      <c r="S78" s="20" t="n"/>
      <c r="T78" s="20" t="n"/>
      <c r="U78" s="20" t="n"/>
      <c r="V78" s="20" t="n"/>
    </row>
    <row r="79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1" t="n"/>
      <c r="S79" s="20" t="n"/>
      <c r="T79" s="20" t="n"/>
      <c r="U79" s="20" t="n"/>
      <c r="V79" s="20" t="n"/>
    </row>
    <row r="80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1" t="n"/>
      <c r="S80" s="20" t="n"/>
      <c r="T80" s="20" t="n"/>
      <c r="U80" s="20" t="n"/>
      <c r="V80" s="20" t="n"/>
    </row>
    <row r="8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1" t="n"/>
      <c r="S81" s="20" t="n"/>
      <c r="T81" s="20" t="n"/>
      <c r="U81" s="20" t="n"/>
      <c r="V81" s="20" t="n"/>
    </row>
    <row r="82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1" t="n"/>
      <c r="S82" s="20" t="n"/>
      <c r="T82" s="20" t="n"/>
      <c r="U82" s="20" t="n"/>
      <c r="V82" s="20" t="n"/>
    </row>
    <row r="83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1" t="n"/>
      <c r="S83" s="20" t="n"/>
      <c r="T83" s="20" t="n"/>
      <c r="U83" s="20" t="n"/>
      <c r="V83" s="20" t="n"/>
    </row>
    <row r="84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1" t="n"/>
      <c r="S84" s="20" t="n"/>
      <c r="T84" s="20" t="n"/>
      <c r="U84" s="20" t="n"/>
      <c r="V84" s="20" t="n"/>
    </row>
    <row r="85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1" t="n"/>
      <c r="S85" s="20" t="n"/>
      <c r="T85" s="20" t="n"/>
      <c r="U85" s="20" t="n"/>
      <c r="V85" s="20" t="n"/>
    </row>
    <row r="86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1" t="n"/>
      <c r="S86" s="20" t="n"/>
      <c r="T86" s="20" t="n"/>
      <c r="U86" s="20" t="n"/>
      <c r="V86" s="20" t="n"/>
    </row>
    <row r="87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1" t="n"/>
      <c r="S87" s="20" t="n"/>
      <c r="T87" s="20" t="n"/>
      <c r="U87" s="20" t="n"/>
      <c r="V87" s="20" t="n"/>
    </row>
    <row r="88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1" t="n"/>
      <c r="S88" s="20" t="n"/>
      <c r="T88" s="20" t="n"/>
      <c r="U88" s="20" t="n"/>
      <c r="V88" s="20" t="n"/>
    </row>
    <row r="89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1" t="n"/>
      <c r="S89" s="20" t="n"/>
      <c r="T89" s="20" t="n"/>
      <c r="U89" s="20" t="n"/>
      <c r="V89" s="20" t="n"/>
    </row>
    <row r="90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1" t="n"/>
      <c r="S90" s="20" t="n"/>
      <c r="T90" s="20" t="n"/>
      <c r="U90" s="20" t="n"/>
      <c r="V90" s="20" t="n"/>
    </row>
    <row r="9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1" t="n"/>
      <c r="S91" s="20" t="n"/>
      <c r="T91" s="20" t="n"/>
      <c r="U91" s="20" t="n"/>
      <c r="V91" s="20" t="n"/>
    </row>
    <row r="92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1" t="n"/>
      <c r="S92" s="20" t="n"/>
      <c r="T92" s="20" t="n"/>
      <c r="U92" s="20" t="n"/>
      <c r="V92" s="20" t="n"/>
    </row>
    <row r="93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1" t="n"/>
      <c r="S93" s="20" t="n"/>
      <c r="T93" s="20" t="n"/>
      <c r="U93" s="20" t="n"/>
      <c r="V93" s="20" t="n"/>
    </row>
    <row r="94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1" t="n"/>
      <c r="S94" s="20" t="n"/>
      <c r="T94" s="20" t="n"/>
      <c r="U94" s="20" t="n"/>
      <c r="V94" s="20" t="n"/>
    </row>
    <row r="95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1" t="n"/>
      <c r="S95" s="20" t="n"/>
      <c r="T95" s="20" t="n"/>
      <c r="U95" s="20" t="n"/>
      <c r="V95" s="20" t="n"/>
    </row>
    <row r="96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1" t="n"/>
      <c r="S96" s="20" t="n"/>
      <c r="T96" s="20" t="n"/>
      <c r="U96" s="20" t="n"/>
      <c r="V96" s="20" t="n"/>
    </row>
    <row r="97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1" t="n"/>
      <c r="S97" s="20" t="n"/>
      <c r="T97" s="20" t="n"/>
      <c r="U97" s="20" t="n"/>
      <c r="V97" s="20" t="n"/>
    </row>
    <row r="98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1" t="n"/>
      <c r="S98" s="20" t="n"/>
      <c r="T98" s="20" t="n"/>
      <c r="U98" s="20" t="n"/>
      <c r="V98" s="20" t="n"/>
    </row>
    <row r="99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1" t="n"/>
      <c r="S99" s="20" t="n"/>
      <c r="T99" s="20" t="n"/>
      <c r="U99" s="20" t="n"/>
      <c r="V99" s="20" t="n"/>
    </row>
    <row r="100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1" t="n"/>
      <c r="S100" s="20" t="n"/>
      <c r="T100" s="20" t="n"/>
      <c r="U100" s="20" t="n"/>
      <c r="V100" s="20" t="n"/>
    </row>
    <row r="10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1" t="n"/>
      <c r="S101" s="20" t="n"/>
      <c r="T101" s="20" t="n"/>
      <c r="U101" s="20" t="n"/>
      <c r="V101" s="20" t="n"/>
    </row>
    <row r="102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1" t="n"/>
      <c r="S102" s="20" t="n"/>
      <c r="T102" s="20" t="n"/>
      <c r="U102" s="20" t="n"/>
      <c r="V102" s="20" t="n"/>
    </row>
    <row r="103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1" t="n"/>
      <c r="S103" s="20" t="n"/>
      <c r="T103" s="20" t="n"/>
      <c r="U103" s="20" t="n"/>
      <c r="V103" s="20" t="n"/>
    </row>
    <row r="104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1" t="n"/>
      <c r="S104" s="20" t="n"/>
      <c r="T104" s="20" t="n"/>
      <c r="U104" s="20" t="n"/>
      <c r="V104" s="20" t="n"/>
    </row>
  </sheetData>
  <autoFilter ref="A4:V104"/>
  <mergeCells count="4">
    <mergeCell ref="F3:M3"/>
    <mergeCell ref="R3:V3"/>
    <mergeCell ref="N3:Q3"/>
    <mergeCell ref="A3:E3"/>
  </mergeCells>
  <dataValidations count="12">
    <dataValidation sqref="F5:F104" showDropDown="0" showInputMessage="0" showErrorMessage="0" allowBlank="1" type="list">
      <formula1>='因子水準表'!$B$8:$B$17</formula1>
    </dataValidation>
    <dataValidation sqref="G5:G104" showDropDown="0" showInputMessage="0" showErrorMessage="0" allowBlank="1" type="list">
      <formula1>='因子水準表'!$C$8:$C$17</formula1>
    </dataValidation>
    <dataValidation sqref="H5:H104" showDropDown="0" showInputMessage="0" showErrorMessage="0" allowBlank="1" type="list">
      <formula1>='因子水準表'!$D$8:$D$17</formula1>
    </dataValidation>
    <dataValidation sqref="I5:I104" showDropDown="0" showInputMessage="0" showErrorMessage="0" allowBlank="1" type="list">
      <formula1>='因子水準表'!$E$8:$E$17</formula1>
    </dataValidation>
    <dataValidation sqref="J5:J104" showDropDown="0" showInputMessage="0" showErrorMessage="0" allowBlank="1" type="list">
      <formula1>='因子水準表'!$F$8:$F$17</formula1>
    </dataValidation>
    <dataValidation sqref="K5:K104" showDropDown="0" showInputMessage="0" showErrorMessage="0" allowBlank="1" type="list">
      <formula1>='因子水準表'!$G$8:$G$17</formula1>
    </dataValidation>
    <dataValidation sqref="L5:L104" showDropDown="0" showInputMessage="0" showErrorMessage="0" allowBlank="1" type="list">
      <formula1>='因子水準表'!$H$8:$H$17</formula1>
    </dataValidation>
    <dataValidation sqref="M5:M104" showDropDown="0" showInputMessage="0" showErrorMessage="0" allowBlank="1" type="list">
      <formula1>='因子水準表'!$I$8:$I$17</formula1>
    </dataValidation>
    <dataValidation sqref="D5:D104" showDropDown="0" showInputMessage="0" showErrorMessage="0" allowBlank="1" type="list">
      <formula1>"高,中,低"</formula1>
    </dataValidation>
    <dataValidation sqref="Q5:Q104" showDropDown="0" showInputMessage="0" showErrorMessage="0" allowBlank="1" type="list">
      <formula1>"要,否,済"</formula1>
    </dataValidation>
    <dataValidation sqref="T5:T104" showDropDown="0" showInputMessage="0" showErrorMessage="0" allowBlank="1" type="list">
      <formula1>"OK,NG,保留,対象外"</formula1>
    </dataValidation>
    <dataValidation sqref="B5:B104" showDropDown="0" showInputMessage="0" showErrorMessage="0" allowBlank="1" type="list">
      <formula1>='テスト条件'!$A$5:$A$34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</cols>
  <sheetData>
    <row r="1">
      <c r="A1" s="1" t="inlineStr">
        <is>
          <t>集計</t>
        </is>
      </c>
    </row>
    <row r="2">
      <c r="A2" s="2" t="inlineStr">
        <is>
          <t>テストケースシートから自動で集計します。</t>
        </is>
      </c>
    </row>
    <row r="4">
      <c r="A4" s="10" t="inlineStr">
        <is>
          <t>項目</t>
        </is>
      </c>
      <c r="B4" s="11" t="inlineStr">
        <is>
          <t>件数</t>
        </is>
      </c>
    </row>
    <row r="5">
      <c r="A5" s="17" t="inlineStr">
        <is>
          <t>総ケース数</t>
        </is>
      </c>
      <c r="B5" s="15">
        <f>COUNTA('テストケース'!$A$5:$A$104)</f>
        <v/>
      </c>
    </row>
    <row r="6">
      <c r="A6" s="17" t="inlineStr">
        <is>
          <t>優先度：高</t>
        </is>
      </c>
      <c r="B6" s="15">
        <f>COUNTIF('テストケース'!$D$5:$D$104,"高")</f>
        <v/>
      </c>
    </row>
    <row r="7">
      <c r="A7" s="17" t="inlineStr">
        <is>
          <t>優先度：中</t>
        </is>
      </c>
      <c r="B7" s="15">
        <f>COUNTIF('テストケース'!$D$5:$D$104,"中")</f>
        <v/>
      </c>
    </row>
    <row r="8">
      <c r="A8" s="17" t="inlineStr">
        <is>
          <t>優先度：低</t>
        </is>
      </c>
      <c r="B8" s="15">
        <f>COUNTIF('テストケース'!$D$5:$D$104,"低")</f>
        <v/>
      </c>
    </row>
    <row r="9">
      <c r="A9" s="17" t="inlineStr">
        <is>
          <t>結果：OK</t>
        </is>
      </c>
      <c r="B9" s="15">
        <f>COUNTIF('テストケース'!$T$5:$T$104,"OK")</f>
        <v/>
      </c>
    </row>
    <row r="10">
      <c r="A10" s="17" t="inlineStr">
        <is>
          <t>結果：NG</t>
        </is>
      </c>
      <c r="B10" s="15">
        <f>COUNTIF('テストケース'!$T$5:$T$104,"NG")</f>
        <v/>
      </c>
    </row>
    <row r="11">
      <c r="A11" s="17" t="inlineStr">
        <is>
          <t>結果：保留</t>
        </is>
      </c>
      <c r="B11" s="15">
        <f>COUNTIF('テストケース'!$T$5:$T$104,"保留")</f>
        <v/>
      </c>
    </row>
    <row r="12">
      <c r="A12" s="17" t="inlineStr">
        <is>
          <t>結果：対象外</t>
        </is>
      </c>
      <c r="B12" s="15">
        <f>COUNTIF('テストケース'!$T$5:$T$104,"対象外")</f>
        <v/>
      </c>
    </row>
    <row r="13">
      <c r="A13" s="17" t="inlineStr">
        <is>
          <t>結果：未実施</t>
        </is>
      </c>
      <c r="B13" s="15">
        <f>B5-SUM(B9:B12)</f>
        <v/>
      </c>
    </row>
    <row r="14">
      <c r="A14" s="17" t="inlineStr">
        <is>
          <t>自動化：要</t>
        </is>
      </c>
      <c r="B14" s="15">
        <f>COUNTIF('テストケース'!$Q$5:$Q$104,"要")</f>
        <v/>
      </c>
    </row>
    <row r="15">
      <c r="A15" s="17" t="inlineStr">
        <is>
          <t>自動化：否</t>
        </is>
      </c>
      <c r="B15" s="15">
        <f>COUNTIF('テストケース'!$Q$5:$Q$104,"否")</f>
        <v/>
      </c>
    </row>
    <row r="16">
      <c r="A16" s="17" t="inlineStr">
        <is>
          <t>自動化：済</t>
        </is>
      </c>
      <c r="B16" s="15">
        <f>COUNTIF('テストケース'!$Q$5:$Q$104,"済")</f>
        <v/>
      </c>
    </row>
    <row r="18">
      <c r="A18" s="10" t="inlineStr">
        <is>
          <t>指標</t>
        </is>
      </c>
      <c r="B18" s="11" t="inlineStr">
        <is>
          <t>値</t>
        </is>
      </c>
    </row>
    <row r="19">
      <c r="A19" s="17" t="inlineStr">
        <is>
          <t>消化率</t>
        </is>
      </c>
      <c r="B19" s="22">
        <f>IF(B5-B12=0,"-",(B9+B10)/(B5-B12))</f>
        <v/>
      </c>
      <c r="C19" s="2" t="inlineStr">
        <is>
          <t>（OK＋NG）÷（総数−対象外）</t>
        </is>
      </c>
    </row>
    <row r="20">
      <c r="A20" s="17" t="inlineStr">
        <is>
          <t>合格率</t>
        </is>
      </c>
      <c r="B20" s="22">
        <f>IF(B9+B10=0,"-",B9/(B9+B10))</f>
        <v/>
      </c>
      <c r="C20" s="2" t="inlineStr">
        <is>
          <t>OK ÷（OK＋NG）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2026-10-02T02:00:37Z</dcterms:created>
  <dcterms:modified xsi:type="dcterms:W3CDTF">2026-10-02T02:00:38Z</dcterms:modified>
</cp:coreProperties>
</file>