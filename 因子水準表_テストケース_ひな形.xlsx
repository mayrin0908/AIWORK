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因子水準表" sheetId="2" state="visible" r:id="rId2"/>
    <sheet name="テスト条件" sheetId="3" state="visible" r:id="rId3"/>
    <sheet name="テストケース" sheetId="4" state="visible" r:id="rId4"/>
    <sheet name="集計" sheetId="5" state="visible" r:id="rId5"/>
  </sheets>
  <definedNames>
    <definedName name="_xlnm._FilterDatabase" localSheetId="3" hidden="1">'テストケース'!$A$5:$W$105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10"/>
    </font>
    <font>
      <name val="Meiryo UI"/>
      <b val="1"/>
      <sz val="10"/>
    </font>
    <font>
      <name val="Meiryo UI"/>
      <color rgb="00808080"/>
      <sz val="10"/>
    </font>
    <font>
      <name val="Meiryo UI"/>
      <b val="1"/>
      <sz val="12"/>
    </font>
  </fonts>
  <fills count="6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EFEFEF"/>
      </patternFill>
    </fill>
    <fill>
      <patternFill patternType="solid">
        <fgColor rgb="00DDE6F0"/>
      </patternFill>
    </fill>
    <fill>
      <patternFill patternType="solid">
        <fgColor rgb="00B7C9DD"/>
      </patternFill>
    </fill>
  </fills>
  <borders count="10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/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164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165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B21" authorId="0" shapeId="0">
      <text>
        <t>水準数が1以上の因子について、水準数をすべて掛け合わせた数。全部をテストするときのケース数です。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R4" authorId="0" shapeId="0">
      <text>
        <t>要＝自動化する／否＝手動のみ／済＝自動化済み</t>
      </text>
    </comment>
    <comment ref="U4" authorId="0" shapeId="0">
      <text>
        <t>OK＝合格／NG＝不合格（欠陥IDを記入）／保留＝ブロック等で実行できない／対象外。空欄＝未実施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因子水準表・テストケース ひな形</t>
        </is>
      </c>
    </row>
    <row r="2">
      <c r="A2" s="2" t="inlineStr">
        <is>
          <t>作成日：2026-10-02</t>
        </is>
      </c>
    </row>
    <row r="4">
      <c r="A4" s="3" t="inlineStr">
        <is>
          <t>■ 作業の流れ（JSTQB FL V4.0 の「テスト分析 → テスト設計」に対応）</t>
        </is>
      </c>
    </row>
    <row r="5">
      <c r="A5" s="2" t="inlineStr">
        <is>
          <t>1. 因子水準表：テスト対象の結果に影響する要素（因子）と、その取りうる値（水準）を洗い出す</t>
        </is>
      </c>
    </row>
    <row r="6">
      <c r="A6" s="2" t="inlineStr">
        <is>
          <t>2. テスト条件：何を確認するか（テスト条件）を、要件と因子にひも付けて書く</t>
        </is>
      </c>
    </row>
    <row r="7">
      <c r="A7" s="2" t="inlineStr">
        <is>
          <t>3. テストケース：テスト条件ごとに、因子の水準の組み合わせ・手順・期待結果を書く</t>
        </is>
      </c>
    </row>
    <row r="8">
      <c r="A8" s="2" t="inlineStr">
        <is>
          <t>4. 集計：ケース数・実行結果・消化率を自動で集計する</t>
        </is>
      </c>
    </row>
    <row r="9">
      <c r="A9" s="2" t="inlineStr"/>
    </row>
    <row r="10">
      <c r="A10" s="3" t="inlineStr">
        <is>
          <t>■ シートのつながり</t>
        </is>
      </c>
    </row>
    <row r="11">
      <c r="A11" s="2" t="inlineStr">
        <is>
          <t>・テストケースの因子列の見出しは、因子水準表のカテゴリと因子名が自動で入ります</t>
        </is>
      </c>
    </row>
    <row r="12">
      <c r="A12" s="2" t="inlineStr">
        <is>
          <t>・カテゴリ（画面のどのエリアか）は因子水準表の下の「カテゴリ一覧」に書き、因子とテストケースではそこからプルダウンで選びます</t>
        </is>
      </c>
    </row>
    <row r="13">
      <c r="A13" s="2" t="inlineStr">
        <is>
          <t>・テストケースはカテゴリ列で絞り込めます。集計シートにカテゴリ別の件数が出ます</t>
        </is>
      </c>
    </row>
    <row r="14">
      <c r="A14" s="2" t="inlineStr">
        <is>
          <t>・テストケースの因子列はプルダウンで、因子水準表に書いた水準から選べます</t>
        </is>
      </c>
    </row>
    <row r="15">
      <c r="A15" s="2" t="inlineStr">
        <is>
          <t>・テスト条件の「ケース数」は、その条件 ID を持つテストケースの数を自動で数えます。0 件の条件は「ケース未作成」と表示されます</t>
        </is>
      </c>
    </row>
    <row r="16">
      <c r="A16" s="2" t="inlineStr"/>
    </row>
    <row r="17">
      <c r="A17" s="3" t="inlineStr">
        <is>
          <t>■ 凡例</t>
        </is>
      </c>
    </row>
    <row r="18">
      <c r="A18" s="4" t="inlineStr">
        <is>
          <t>黄色のセル＝記入欄</t>
        </is>
      </c>
    </row>
    <row r="19">
      <c r="A19" s="5" t="inlineStr">
        <is>
          <t>灰色のセル＝数式で自動計算（書き換えない）</t>
        </is>
      </c>
    </row>
    <row r="20">
      <c r="A20" s="6" t="inlineStr">
        <is>
          <t>灰色の文字＝記入例（ログイン機能。案件に合わせて書き換えるか、行ごと消してください）</t>
        </is>
      </c>
    </row>
    <row r="22">
      <c r="A22" s="3" t="inlineStr">
        <is>
          <t>■ 書き方のコツ</t>
        </is>
      </c>
    </row>
    <row r="23">
      <c r="A23" s="2" t="inlineStr">
        <is>
          <t>・水準は同値分割で「有効」「無効」の両方を挙げ、境界値はそれと分かるように書く（例：2回（境界・未ロック））</t>
        </is>
      </c>
    </row>
    <row r="24">
      <c r="A24" s="2" t="inlineStr">
        <is>
          <t>・無効な水準には「（無効）」を付けると、テストケースで異常系を選んだことが分かりやすい</t>
        </is>
      </c>
    </row>
    <row r="25">
      <c r="A25" s="2" t="inlineStr">
        <is>
          <t>・分類は「値がどこから来るか」（入力／状態／データ…）、カテゴリは「画面のどこにあるか」。リスト選択やラジオボタンも、ユーザーが選ぶ値なら分類は「入力」</t>
        </is>
      </c>
    </row>
    <row r="26">
      <c r="A26" s="2" t="inlineStr">
        <is>
          <t>・カテゴリ名は画面仕様書の見出しに合わせ、同じカテゴリの因子は隣に並べる</t>
        </is>
      </c>
    </row>
    <row r="27">
      <c r="A27" s="2" t="inlineStr">
        <is>
          <t>・因子水準表の「全組み合わせ数」が多すぎるときは、デシジョンテーブルやペアワイズで絞り込む</t>
        </is>
      </c>
    </row>
    <row r="28">
      <c r="A28" s="2" t="inlineStr">
        <is>
          <t>・期待結果は「何がどうなるか」を観察できる形で書く（画面遷移、表示メッセージの文言、状態の変化）</t>
        </is>
      </c>
    </row>
    <row r="29">
      <c r="A29" s="2" t="inlineStr">
        <is>
          <t>・仕様が決まっていない点は、テストケースの備考に「要確認」と書いて残す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因子水準表</t>
        </is>
      </c>
    </row>
    <row r="2">
      <c r="A2" s="3" t="inlineStr">
        <is>
          <t>対象機能</t>
        </is>
      </c>
      <c r="B2" s="7" t="inlineStr">
        <is>
          <t>ログイン機能</t>
        </is>
      </c>
      <c r="C2" s="3" t="inlineStr">
        <is>
          <t>根拠</t>
        </is>
      </c>
      <c r="D2" s="7" t="inlineStr">
        <is>
          <t>要件サンプル/ログイン機能_要件.md</t>
        </is>
      </c>
      <c r="E2" s="8" t="n"/>
      <c r="F2" s="9" t="n"/>
    </row>
    <row r="4">
      <c r="A4" s="10" t="inlineStr">
        <is>
          <t>因子ID</t>
        </is>
      </c>
      <c r="B4" s="11" t="inlineStr">
        <is>
          <t>F1</t>
        </is>
      </c>
      <c r="C4" s="11" t="inlineStr">
        <is>
          <t>F2</t>
        </is>
      </c>
      <c r="D4" s="11" t="inlineStr">
        <is>
          <t>F3</t>
        </is>
      </c>
      <c r="E4" s="11" t="inlineStr">
        <is>
          <t>F4</t>
        </is>
      </c>
      <c r="F4" s="11" t="inlineStr">
        <is>
          <t>F5</t>
        </is>
      </c>
      <c r="G4" s="11" t="inlineStr">
        <is>
          <t>F6</t>
        </is>
      </c>
      <c r="H4" s="11" t="inlineStr">
        <is>
          <t>F7</t>
        </is>
      </c>
      <c r="I4" s="11" t="inlineStr">
        <is>
          <t>F8</t>
        </is>
      </c>
    </row>
    <row r="5">
      <c r="A5" s="10" t="inlineStr">
        <is>
          <t>カテゴリ</t>
        </is>
      </c>
      <c r="B5" s="7" t="inlineStr">
        <is>
          <t>ログインフォーム</t>
        </is>
      </c>
      <c r="C5" s="7" t="inlineStr">
        <is>
          <t>ログインフォーム</t>
        </is>
      </c>
      <c r="D5" s="7" t="inlineStr">
        <is>
          <t>アカウント</t>
        </is>
      </c>
      <c r="E5" s="7" t="inlineStr">
        <is>
          <t>アカウント</t>
        </is>
      </c>
      <c r="F5" s="7" t="n"/>
      <c r="G5" s="7" t="n"/>
      <c r="H5" s="7" t="n"/>
      <c r="I5" s="7" t="n"/>
    </row>
    <row r="6">
      <c r="A6" s="10" t="inlineStr">
        <is>
          <t>因子名</t>
        </is>
      </c>
      <c r="B6" s="7" t="inlineStr">
        <is>
          <t>メールアドレス</t>
        </is>
      </c>
      <c r="C6" s="7" t="inlineStr">
        <is>
          <t>パスワード</t>
        </is>
      </c>
      <c r="D6" s="7" t="inlineStr">
        <is>
          <t>アカウント状態</t>
        </is>
      </c>
      <c r="E6" s="7" t="inlineStr">
        <is>
          <t>直前の連続失敗回数</t>
        </is>
      </c>
      <c r="F6" s="7" t="n"/>
      <c r="G6" s="7" t="n"/>
      <c r="H6" s="7" t="n"/>
      <c r="I6" s="7" t="n"/>
    </row>
    <row r="7">
      <c r="A7" s="10" t="inlineStr">
        <is>
          <t>分類</t>
        </is>
      </c>
      <c r="B7" s="7" t="inlineStr">
        <is>
          <t>入力</t>
        </is>
      </c>
      <c r="C7" s="7" t="inlineStr">
        <is>
          <t>入力</t>
        </is>
      </c>
      <c r="D7" s="7" t="inlineStr">
        <is>
          <t>状態</t>
        </is>
      </c>
      <c r="E7" s="7" t="inlineStr">
        <is>
          <t>状態</t>
        </is>
      </c>
      <c r="F7" s="7" t="n"/>
      <c r="G7" s="7" t="n"/>
      <c r="H7" s="7" t="n"/>
      <c r="I7" s="7" t="n"/>
    </row>
    <row r="8">
      <c r="A8" s="10" t="inlineStr">
        <is>
          <t>根拠（要件ID）</t>
        </is>
      </c>
      <c r="B8" s="7" t="inlineStr">
        <is>
          <t>R-10, R-11</t>
        </is>
      </c>
      <c r="C8" s="7" t="inlineStr">
        <is>
          <t>R-01</t>
        </is>
      </c>
      <c r="D8" s="7" t="inlineStr">
        <is>
          <t>R-05</t>
        </is>
      </c>
      <c r="E8" s="7" t="inlineStr">
        <is>
          <t>R-01</t>
        </is>
      </c>
      <c r="F8" s="7" t="n"/>
      <c r="G8" s="7" t="n"/>
      <c r="H8" s="7" t="n"/>
      <c r="I8" s="7" t="n"/>
    </row>
    <row r="9">
      <c r="A9" s="10" t="inlineStr">
        <is>
          <t>水準1</t>
        </is>
      </c>
      <c r="B9" s="7" t="inlineStr">
        <is>
          <t>登録済み</t>
        </is>
      </c>
      <c r="C9" s="7" t="inlineStr">
        <is>
          <t>正しい</t>
        </is>
      </c>
      <c r="D9" s="7" t="inlineStr">
        <is>
          <t>アクティブ</t>
        </is>
      </c>
      <c r="E9" s="7" t="inlineStr">
        <is>
          <t>0〜1回</t>
        </is>
      </c>
      <c r="F9" s="7" t="n"/>
      <c r="G9" s="7" t="n"/>
      <c r="H9" s="7" t="n"/>
      <c r="I9" s="7" t="n"/>
    </row>
    <row r="10">
      <c r="A10" s="10" t="inlineStr">
        <is>
          <t>水準2</t>
        </is>
      </c>
      <c r="B10" s="7" t="inlineStr">
        <is>
          <t>未登録</t>
        </is>
      </c>
      <c r="C10" s="7" t="inlineStr">
        <is>
          <t>間違っている</t>
        </is>
      </c>
      <c r="D10" s="7" t="inlineStr">
        <is>
          <t>ロック済み</t>
        </is>
      </c>
      <c r="E10" s="7" t="inlineStr">
        <is>
          <t>2回（境界・未ロック）</t>
        </is>
      </c>
      <c r="F10" s="7" t="n"/>
      <c r="G10" s="7" t="n"/>
      <c r="H10" s="7" t="n"/>
      <c r="I10" s="7" t="n"/>
    </row>
    <row r="11">
      <c r="A11" s="10" t="inlineStr">
        <is>
          <t>水準3</t>
        </is>
      </c>
      <c r="B11" s="7" t="inlineStr">
        <is>
          <t>空欄（無効）</t>
        </is>
      </c>
      <c r="C11" s="7" t="inlineStr">
        <is>
          <t>空欄（無効）</t>
        </is>
      </c>
      <c r="D11" s="7" t="n"/>
      <c r="E11" s="7" t="inlineStr">
        <is>
          <t>3回（境界・ロック発動）</t>
        </is>
      </c>
      <c r="F11" s="7" t="n"/>
      <c r="G11" s="7" t="n"/>
      <c r="H11" s="7" t="n"/>
      <c r="I11" s="7" t="n"/>
    </row>
    <row r="12">
      <c r="A12" s="10" t="inlineStr">
        <is>
          <t>水準4</t>
        </is>
      </c>
      <c r="B12" s="7" t="inlineStr">
        <is>
          <t>形式不正（無効）</t>
        </is>
      </c>
      <c r="C12" s="7" t="n"/>
      <c r="D12" s="7" t="n"/>
      <c r="E12" s="7" t="n"/>
      <c r="F12" s="7" t="n"/>
      <c r="G12" s="7" t="n"/>
      <c r="H12" s="7" t="n"/>
      <c r="I12" s="7" t="n"/>
    </row>
    <row r="13">
      <c r="A13" s="10" t="inlineStr">
        <is>
          <t>水準5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10" t="inlineStr">
        <is>
          <t>水準6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10" t="inlineStr">
        <is>
          <t>水準7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10" t="inlineStr">
        <is>
          <t>水準8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0" t="inlineStr">
        <is>
          <t>水準9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10" t="inlineStr">
        <is>
          <t>水準10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10" t="inlineStr">
        <is>
          <t>水準数</t>
        </is>
      </c>
      <c r="B19" s="12">
        <f>COUNTA(B9:B18)</f>
        <v/>
      </c>
      <c r="C19" s="12">
        <f>COUNTA(C9:C18)</f>
        <v/>
      </c>
      <c r="D19" s="12">
        <f>COUNTA(D9:D18)</f>
        <v/>
      </c>
      <c r="E19" s="12">
        <f>COUNTA(E9:E18)</f>
        <v/>
      </c>
      <c r="F19" s="12">
        <f>COUNTA(F9:F18)</f>
        <v/>
      </c>
      <c r="G19" s="12">
        <f>COUNTA(G9:G18)</f>
        <v/>
      </c>
      <c r="H19" s="12">
        <f>COUNTA(H9:H18)</f>
        <v/>
      </c>
      <c r="I19" s="12">
        <f>COUNTA(I9:I18)</f>
        <v/>
      </c>
    </row>
    <row r="21">
      <c r="A21" s="10" t="inlineStr">
        <is>
          <t>全組み合わせ数</t>
        </is>
      </c>
      <c r="B21" s="13">
        <f>IF(COUNTIF(B19:I19,"&gt;0")=0,0,PRODUCT(MAX(B19,1),MAX(C19,1),MAX(D19,1),MAX(E19,1),MAX(F19,1),MAX(G19,1),MAX(H19,1),MAX(I19,1)))</f>
        <v/>
      </c>
      <c r="C21" s="14" t="inlineStr">
        <is>
          <t>← 多すぎる場合はデシジョンテーブルやペアワイズで絞り込む</t>
        </is>
      </c>
    </row>
    <row r="23">
      <c r="A23" s="2" t="inlineStr">
        <is>
          <t>分類の例：入力（画面の入力値。リスト選択・ラジオボタンも含む）／状態（データやアカウントの状態）／環境（ブラウザ・端末・OS）／操作（ボタン・画面遷移）／データ（件数・種類）</t>
        </is>
      </c>
    </row>
    <row r="25">
      <c r="A25" s="15" t="inlineStr">
        <is>
          <t>カテゴリ一覧</t>
        </is>
      </c>
    </row>
    <row r="26">
      <c r="A26" s="2" t="inlineStr">
        <is>
          <t>画面のエリア名を書きます（画面仕様書の見出しに合わせる）。因子のカテゴリ行とテストケースのカテゴリ列は、ここからプルダウンで選びます。</t>
        </is>
      </c>
    </row>
    <row r="27">
      <c r="A27" s="11" t="inlineStr">
        <is>
          <t>No</t>
        </is>
      </c>
      <c r="B27" s="10" t="inlineStr">
        <is>
          <t>カテゴリ</t>
        </is>
      </c>
      <c r="C27" s="10" t="inlineStr">
        <is>
          <t>説明</t>
        </is>
      </c>
      <c r="D27" s="8" t="n"/>
      <c r="E27" s="9" t="n"/>
    </row>
    <row r="28">
      <c r="A28" s="16" t="n">
        <v>1</v>
      </c>
      <c r="B28" s="7" t="inlineStr">
        <is>
          <t>ログインフォーム</t>
        </is>
      </c>
      <c r="C28" s="7" t="inlineStr">
        <is>
          <t>メールアドレス・パスワードの入力欄とログインボタン</t>
        </is>
      </c>
      <c r="D28" s="8" t="n"/>
      <c r="E28" s="9" t="n"/>
    </row>
    <row r="29">
      <c r="A29" s="16" t="n">
        <v>2</v>
      </c>
      <c r="B29" s="7" t="inlineStr">
        <is>
          <t>アカウント</t>
        </is>
      </c>
      <c r="C29" s="7" t="inlineStr">
        <is>
          <t>アカウントの状態やログイン失敗回数など、画面の裏側の状態</t>
        </is>
      </c>
      <c r="D29" s="8" t="n"/>
      <c r="E29" s="9" t="n"/>
    </row>
    <row r="30">
      <c r="A30" s="16" t="n">
        <v>3</v>
      </c>
      <c r="B30" s="7" t="n"/>
      <c r="C30" s="7" t="n"/>
      <c r="D30" s="8" t="n"/>
      <c r="E30" s="9" t="n"/>
    </row>
    <row r="31">
      <c r="A31" s="16" t="n">
        <v>4</v>
      </c>
      <c r="B31" s="7" t="n"/>
      <c r="C31" s="7" t="n"/>
      <c r="D31" s="8" t="n"/>
      <c r="E31" s="9" t="n"/>
    </row>
    <row r="32">
      <c r="A32" s="16" t="n">
        <v>5</v>
      </c>
      <c r="B32" s="7" t="n"/>
      <c r="C32" s="7" t="n"/>
      <c r="D32" s="8" t="n"/>
      <c r="E32" s="9" t="n"/>
    </row>
    <row r="33">
      <c r="A33" s="16" t="n">
        <v>6</v>
      </c>
      <c r="B33" s="7" t="n"/>
      <c r="C33" s="7" t="n"/>
      <c r="D33" s="8" t="n"/>
      <c r="E33" s="9" t="n"/>
    </row>
    <row r="34">
      <c r="A34" s="16" t="n">
        <v>7</v>
      </c>
      <c r="B34" s="7" t="n"/>
      <c r="C34" s="7" t="n"/>
      <c r="D34" s="8" t="n"/>
      <c r="E34" s="9" t="n"/>
    </row>
    <row r="35">
      <c r="A35" s="16" t="n">
        <v>8</v>
      </c>
      <c r="B35" s="7" t="n"/>
      <c r="C35" s="7" t="n"/>
      <c r="D35" s="8" t="n"/>
      <c r="E35" s="9" t="n"/>
    </row>
    <row r="36">
      <c r="A36" s="16" t="n">
        <v>9</v>
      </c>
      <c r="B36" s="7" t="n"/>
      <c r="C36" s="7" t="n"/>
      <c r="D36" s="8" t="n"/>
      <c r="E36" s="9" t="n"/>
    </row>
    <row r="37">
      <c r="A37" s="16" t="n">
        <v>10</v>
      </c>
      <c r="B37" s="7" t="n"/>
      <c r="C37" s="7" t="n"/>
      <c r="D37" s="8" t="n"/>
      <c r="E37" s="9" t="n"/>
    </row>
  </sheetData>
  <mergeCells count="12">
    <mergeCell ref="D2:F2"/>
    <mergeCell ref="C33:E33"/>
    <mergeCell ref="C28:E28"/>
    <mergeCell ref="C36:E36"/>
    <mergeCell ref="C27:E27"/>
    <mergeCell ref="C37:E37"/>
    <mergeCell ref="C31:E31"/>
    <mergeCell ref="C29:E29"/>
    <mergeCell ref="C30:E30"/>
    <mergeCell ref="C34:E34"/>
    <mergeCell ref="C35:E35"/>
    <mergeCell ref="C32:E32"/>
  </mergeCells>
  <dataValidations count="2">
    <dataValidation sqref="B7:I7" showDropDown="0" showInputMessage="0" showErrorMessage="0" allowBlank="1" type="list">
      <formula1>"入力,状態,環境,操作,データ,その他"</formula1>
    </dataValidation>
    <dataValidation sqref="B5:I5" showDropDown="0" showInputMessage="0" showErrorMessage="0" allowBlank="1" type="list">
      <formula1>'因子水準表'!$B$28:$B$37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24" customWidth="1" min="4" max="4"/>
    <col width="18" customWidth="1" min="5" max="5"/>
    <col width="8" customWidth="1" min="6" max="6"/>
    <col width="9" customWidth="1" min="7" max="7"/>
    <col width="14" customWidth="1" min="8" max="8"/>
  </cols>
  <sheetData>
    <row r="1">
      <c r="A1" s="1" t="inlineStr">
        <is>
          <t>テスト条件</t>
        </is>
      </c>
    </row>
    <row r="2">
      <c r="A2" s="2" t="inlineStr">
        <is>
          <t>テスト条件＝テストで確認すること。ケース数と状態は自動計算です。</t>
        </is>
      </c>
    </row>
    <row r="4">
      <c r="A4" s="11" t="inlineStr">
        <is>
          <t>条件ID</t>
        </is>
      </c>
      <c r="B4" s="11" t="inlineStr">
        <is>
          <t>テスト条件</t>
        </is>
      </c>
      <c r="C4" s="11" t="inlineStr">
        <is>
          <t>要件ID</t>
        </is>
      </c>
      <c r="D4" s="11" t="inlineStr">
        <is>
          <t>関連因子</t>
        </is>
      </c>
      <c r="E4" s="11" t="inlineStr">
        <is>
          <t>技法</t>
        </is>
      </c>
      <c r="F4" s="11" t="inlineStr">
        <is>
          <t>優先度</t>
        </is>
      </c>
      <c r="G4" s="11" t="inlineStr">
        <is>
          <t>ケース数</t>
        </is>
      </c>
      <c r="H4" s="11" t="inlineStr">
        <is>
          <t>状態</t>
        </is>
      </c>
    </row>
    <row r="5">
      <c r="A5" s="7" t="inlineStr">
        <is>
          <t>TC-A</t>
        </is>
      </c>
      <c r="B5" s="7" t="inlineStr">
        <is>
          <t>正しい資格情報でログインできる</t>
        </is>
      </c>
      <c r="C5" s="7" t="inlineStr">
        <is>
          <t>R-01</t>
        </is>
      </c>
      <c r="D5" s="7" t="inlineStr">
        <is>
          <t>F1, F2, F3</t>
        </is>
      </c>
      <c r="E5" s="7" t="inlineStr">
        <is>
          <t>同値分割</t>
        </is>
      </c>
      <c r="F5" s="7" t="inlineStr">
        <is>
          <t>高</t>
        </is>
      </c>
      <c r="G5" s="17">
        <f>IF(A5="","",COUNTIF('テストケース'!$B$6:$B$105,A5))</f>
        <v/>
      </c>
      <c r="H5" s="17">
        <f>IF(A5="","",IF(G5=0,"ケース未作成","OK"))</f>
        <v/>
      </c>
    </row>
    <row r="6">
      <c r="A6" s="7" t="inlineStr">
        <is>
          <t>TC-B</t>
        </is>
      </c>
      <c r="B6" s="7" t="inlineStr">
        <is>
          <t>連続失敗が2回では未ロック、3回でロックされる（境界）</t>
        </is>
      </c>
      <c r="C6" s="7" t="inlineStr">
        <is>
          <t>R-01</t>
        </is>
      </c>
      <c r="D6" s="7" t="inlineStr">
        <is>
          <t>F2, F4</t>
        </is>
      </c>
      <c r="E6" s="7" t="inlineStr">
        <is>
          <t>境界値分析</t>
        </is>
      </c>
      <c r="F6" s="7" t="inlineStr">
        <is>
          <t>高</t>
        </is>
      </c>
      <c r="G6" s="17">
        <f>IF(A6="","",COUNTIF('テストケース'!$B$6:$B$105,A6))</f>
        <v/>
      </c>
      <c r="H6" s="17">
        <f>IF(A6="","",IF(G6=0,"ケース未作成","OK"))</f>
        <v/>
      </c>
    </row>
    <row r="7">
      <c r="A7" s="7" t="inlineStr">
        <is>
          <t>TC-C</t>
        </is>
      </c>
      <c r="B7" s="7" t="inlineStr">
        <is>
          <t>ロック済みアカウントは資格情報が正しくてもログインできない</t>
        </is>
      </c>
      <c r="C7" s="7" t="inlineStr">
        <is>
          <t>R-05</t>
        </is>
      </c>
      <c r="D7" s="7" t="inlineStr">
        <is>
          <t>F3</t>
        </is>
      </c>
      <c r="E7" s="7" t="inlineStr">
        <is>
          <t>デシジョンテーブル</t>
        </is>
      </c>
      <c r="F7" s="7" t="inlineStr">
        <is>
          <t>高</t>
        </is>
      </c>
      <c r="G7" s="17">
        <f>IF(A7="","",COUNTIF('テストケース'!$B$6:$B$105,A7))</f>
        <v/>
      </c>
      <c r="H7" s="17">
        <f>IF(A7="","",IF(G7=0,"ケース未作成","OK"))</f>
        <v/>
      </c>
    </row>
    <row r="8">
      <c r="A8" s="7" t="inlineStr">
        <is>
          <t>TC-D</t>
        </is>
      </c>
      <c r="B8" s="7" t="inlineStr">
        <is>
          <t>メールアドレス空欄・形式不正のときにエラーを表示する</t>
        </is>
      </c>
      <c r="C8" s="7" t="inlineStr">
        <is>
          <t>R-10, R-11</t>
        </is>
      </c>
      <c r="D8" s="7" t="inlineStr">
        <is>
          <t>F1</t>
        </is>
      </c>
      <c r="E8" s="7" t="inlineStr">
        <is>
          <t>同値分割</t>
        </is>
      </c>
      <c r="F8" s="7" t="inlineStr">
        <is>
          <t>中</t>
        </is>
      </c>
      <c r="G8" s="17">
        <f>IF(A8="","",COUNTIF('テストケース'!$B$6:$B$105,A8))</f>
        <v/>
      </c>
      <c r="H8" s="17">
        <f>IF(A8="","",IF(G8=0,"ケース未作成","OK"))</f>
        <v/>
      </c>
    </row>
    <row r="9">
      <c r="A9" s="7" t="n"/>
      <c r="B9" s="7" t="n"/>
      <c r="C9" s="7" t="n"/>
      <c r="D9" s="7" t="n"/>
      <c r="E9" s="7" t="n"/>
      <c r="F9" s="7" t="n"/>
      <c r="G9" s="17">
        <f>IF(A9="","",COUNTIF('テストケース'!$B$6:$B$105,A9))</f>
        <v/>
      </c>
      <c r="H9" s="17">
        <f>IF(A9="","",IF(G9=0,"ケース未作成","OK"))</f>
        <v/>
      </c>
    </row>
    <row r="10">
      <c r="A10" s="7" t="n"/>
      <c r="B10" s="7" t="n"/>
      <c r="C10" s="7" t="n"/>
      <c r="D10" s="7" t="n"/>
      <c r="E10" s="7" t="n"/>
      <c r="F10" s="7" t="n"/>
      <c r="G10" s="17">
        <f>IF(A10="","",COUNTIF('テストケース'!$B$6:$B$105,A10))</f>
        <v/>
      </c>
      <c r="H10" s="17">
        <f>IF(A10="","",IF(G10=0,"ケース未作成","OK"))</f>
        <v/>
      </c>
    </row>
    <row r="11">
      <c r="A11" s="7" t="n"/>
      <c r="B11" s="7" t="n"/>
      <c r="C11" s="7" t="n"/>
      <c r="D11" s="7" t="n"/>
      <c r="E11" s="7" t="n"/>
      <c r="F11" s="7" t="n"/>
      <c r="G11" s="17">
        <f>IF(A11="","",COUNTIF('テストケース'!$B$6:$B$105,A11))</f>
        <v/>
      </c>
      <c r="H11" s="17">
        <f>IF(A11="","",IF(G11=0,"ケース未作成","OK"))</f>
        <v/>
      </c>
    </row>
    <row r="12">
      <c r="A12" s="7" t="n"/>
      <c r="B12" s="7" t="n"/>
      <c r="C12" s="7" t="n"/>
      <c r="D12" s="7" t="n"/>
      <c r="E12" s="7" t="n"/>
      <c r="F12" s="7" t="n"/>
      <c r="G12" s="17">
        <f>IF(A12="","",COUNTIF('テストケース'!$B$6:$B$105,A12))</f>
        <v/>
      </c>
      <c r="H12" s="17">
        <f>IF(A12="","",IF(G12=0,"ケース未作成","OK"))</f>
        <v/>
      </c>
    </row>
    <row r="13">
      <c r="A13" s="7" t="n"/>
      <c r="B13" s="7" t="n"/>
      <c r="C13" s="7" t="n"/>
      <c r="D13" s="7" t="n"/>
      <c r="E13" s="7" t="n"/>
      <c r="F13" s="7" t="n"/>
      <c r="G13" s="17">
        <f>IF(A13="","",COUNTIF('テストケース'!$B$6:$B$105,A13))</f>
        <v/>
      </c>
      <c r="H13" s="17">
        <f>IF(A13="","",IF(G13=0,"ケース未作成","OK"))</f>
        <v/>
      </c>
    </row>
    <row r="14">
      <c r="A14" s="7" t="n"/>
      <c r="B14" s="7" t="n"/>
      <c r="C14" s="7" t="n"/>
      <c r="D14" s="7" t="n"/>
      <c r="E14" s="7" t="n"/>
      <c r="F14" s="7" t="n"/>
      <c r="G14" s="17">
        <f>IF(A14="","",COUNTIF('テストケース'!$B$6:$B$105,A14))</f>
        <v/>
      </c>
      <c r="H14" s="17">
        <f>IF(A14="","",IF(G14=0,"ケース未作成","OK"))</f>
        <v/>
      </c>
    </row>
    <row r="15">
      <c r="A15" s="7" t="n"/>
      <c r="B15" s="7" t="n"/>
      <c r="C15" s="7" t="n"/>
      <c r="D15" s="7" t="n"/>
      <c r="E15" s="7" t="n"/>
      <c r="F15" s="7" t="n"/>
      <c r="G15" s="17">
        <f>IF(A15="","",COUNTIF('テストケース'!$B$6:$B$105,A15))</f>
        <v/>
      </c>
      <c r="H15" s="17">
        <f>IF(A15="","",IF(G15=0,"ケース未作成","OK"))</f>
        <v/>
      </c>
    </row>
    <row r="16">
      <c r="A16" s="7" t="n"/>
      <c r="B16" s="7" t="n"/>
      <c r="C16" s="7" t="n"/>
      <c r="D16" s="7" t="n"/>
      <c r="E16" s="7" t="n"/>
      <c r="F16" s="7" t="n"/>
      <c r="G16" s="17">
        <f>IF(A16="","",COUNTIF('テストケース'!$B$6:$B$105,A16))</f>
        <v/>
      </c>
      <c r="H16" s="17">
        <f>IF(A16="","",IF(G16=0,"ケース未作成","OK"))</f>
        <v/>
      </c>
    </row>
    <row r="17">
      <c r="A17" s="7" t="n"/>
      <c r="B17" s="7" t="n"/>
      <c r="C17" s="7" t="n"/>
      <c r="D17" s="7" t="n"/>
      <c r="E17" s="7" t="n"/>
      <c r="F17" s="7" t="n"/>
      <c r="G17" s="17">
        <f>IF(A17="","",COUNTIF('テストケース'!$B$6:$B$105,A17))</f>
        <v/>
      </c>
      <c r="H17" s="17">
        <f>IF(A17="","",IF(G17=0,"ケース未作成","OK"))</f>
        <v/>
      </c>
    </row>
    <row r="18">
      <c r="A18" s="7" t="n"/>
      <c r="B18" s="7" t="n"/>
      <c r="C18" s="7" t="n"/>
      <c r="D18" s="7" t="n"/>
      <c r="E18" s="7" t="n"/>
      <c r="F18" s="7" t="n"/>
      <c r="G18" s="17">
        <f>IF(A18="","",COUNTIF('テストケース'!$B$6:$B$105,A18))</f>
        <v/>
      </c>
      <c r="H18" s="17">
        <f>IF(A18="","",IF(G18=0,"ケース未作成","OK"))</f>
        <v/>
      </c>
    </row>
    <row r="19">
      <c r="A19" s="7" t="n"/>
      <c r="B19" s="7" t="n"/>
      <c r="C19" s="7" t="n"/>
      <c r="D19" s="7" t="n"/>
      <c r="E19" s="7" t="n"/>
      <c r="F19" s="7" t="n"/>
      <c r="G19" s="17">
        <f>IF(A19="","",COUNTIF('テストケース'!$B$6:$B$105,A19))</f>
        <v/>
      </c>
      <c r="H19" s="17">
        <f>IF(A19="","",IF(G19=0,"ケース未作成","OK"))</f>
        <v/>
      </c>
    </row>
    <row r="20">
      <c r="A20" s="7" t="n"/>
      <c r="B20" s="7" t="n"/>
      <c r="C20" s="7" t="n"/>
      <c r="D20" s="7" t="n"/>
      <c r="E20" s="7" t="n"/>
      <c r="F20" s="7" t="n"/>
      <c r="G20" s="17">
        <f>IF(A20="","",COUNTIF('テストケース'!$B$6:$B$105,A20))</f>
        <v/>
      </c>
      <c r="H20" s="17">
        <f>IF(A20="","",IF(G20=0,"ケース未作成","OK"))</f>
        <v/>
      </c>
    </row>
    <row r="21">
      <c r="A21" s="7" t="n"/>
      <c r="B21" s="7" t="n"/>
      <c r="C21" s="7" t="n"/>
      <c r="D21" s="7" t="n"/>
      <c r="E21" s="7" t="n"/>
      <c r="F21" s="7" t="n"/>
      <c r="G21" s="17">
        <f>IF(A21="","",COUNTIF('テストケース'!$B$6:$B$105,A21))</f>
        <v/>
      </c>
      <c r="H21" s="17">
        <f>IF(A21="","",IF(G21=0,"ケース未作成","OK"))</f>
        <v/>
      </c>
    </row>
    <row r="22">
      <c r="A22" s="7" t="n"/>
      <c r="B22" s="7" t="n"/>
      <c r="C22" s="7" t="n"/>
      <c r="D22" s="7" t="n"/>
      <c r="E22" s="7" t="n"/>
      <c r="F22" s="7" t="n"/>
      <c r="G22" s="17">
        <f>IF(A22="","",COUNTIF('テストケース'!$B$6:$B$105,A22))</f>
        <v/>
      </c>
      <c r="H22" s="17">
        <f>IF(A22="","",IF(G22=0,"ケース未作成","OK"))</f>
        <v/>
      </c>
    </row>
    <row r="23">
      <c r="A23" s="7" t="n"/>
      <c r="B23" s="7" t="n"/>
      <c r="C23" s="7" t="n"/>
      <c r="D23" s="7" t="n"/>
      <c r="E23" s="7" t="n"/>
      <c r="F23" s="7" t="n"/>
      <c r="G23" s="17">
        <f>IF(A23="","",COUNTIF('テストケース'!$B$6:$B$105,A23))</f>
        <v/>
      </c>
      <c r="H23" s="17">
        <f>IF(A23="","",IF(G23=0,"ケース未作成","OK"))</f>
        <v/>
      </c>
    </row>
    <row r="24">
      <c r="A24" s="7" t="n"/>
      <c r="B24" s="7" t="n"/>
      <c r="C24" s="7" t="n"/>
      <c r="D24" s="7" t="n"/>
      <c r="E24" s="7" t="n"/>
      <c r="F24" s="7" t="n"/>
      <c r="G24" s="17">
        <f>IF(A24="","",COUNTIF('テストケース'!$B$6:$B$105,A24))</f>
        <v/>
      </c>
      <c r="H24" s="17">
        <f>IF(A24="","",IF(G24=0,"ケース未作成","OK"))</f>
        <v/>
      </c>
    </row>
    <row r="25">
      <c r="A25" s="7" t="n"/>
      <c r="B25" s="7" t="n"/>
      <c r="C25" s="7" t="n"/>
      <c r="D25" s="7" t="n"/>
      <c r="E25" s="7" t="n"/>
      <c r="F25" s="7" t="n"/>
      <c r="G25" s="17">
        <f>IF(A25="","",COUNTIF('テストケース'!$B$6:$B$105,A25))</f>
        <v/>
      </c>
      <c r="H25" s="17">
        <f>IF(A25="","",IF(G25=0,"ケース未作成","OK"))</f>
        <v/>
      </c>
    </row>
    <row r="26">
      <c r="A26" s="7" t="n"/>
      <c r="B26" s="7" t="n"/>
      <c r="C26" s="7" t="n"/>
      <c r="D26" s="7" t="n"/>
      <c r="E26" s="7" t="n"/>
      <c r="F26" s="7" t="n"/>
      <c r="G26" s="17">
        <f>IF(A26="","",COUNTIF('テストケース'!$B$6:$B$105,A26))</f>
        <v/>
      </c>
      <c r="H26" s="17">
        <f>IF(A26="","",IF(G26=0,"ケース未作成","OK"))</f>
        <v/>
      </c>
    </row>
    <row r="27">
      <c r="A27" s="7" t="n"/>
      <c r="B27" s="7" t="n"/>
      <c r="C27" s="7" t="n"/>
      <c r="D27" s="7" t="n"/>
      <c r="E27" s="7" t="n"/>
      <c r="F27" s="7" t="n"/>
      <c r="G27" s="17">
        <f>IF(A27="","",COUNTIF('テストケース'!$B$6:$B$105,A27))</f>
        <v/>
      </c>
      <c r="H27" s="17">
        <f>IF(A27="","",IF(G27=0,"ケース未作成","OK"))</f>
        <v/>
      </c>
    </row>
    <row r="28">
      <c r="A28" s="7" t="n"/>
      <c r="B28" s="7" t="n"/>
      <c r="C28" s="7" t="n"/>
      <c r="D28" s="7" t="n"/>
      <c r="E28" s="7" t="n"/>
      <c r="F28" s="7" t="n"/>
      <c r="G28" s="17">
        <f>IF(A28="","",COUNTIF('テストケース'!$B$6:$B$105,A28))</f>
        <v/>
      </c>
      <c r="H28" s="17">
        <f>IF(A28="","",IF(G28=0,"ケース未作成","OK"))</f>
        <v/>
      </c>
    </row>
    <row r="29">
      <c r="A29" s="7" t="n"/>
      <c r="B29" s="7" t="n"/>
      <c r="C29" s="7" t="n"/>
      <c r="D29" s="7" t="n"/>
      <c r="E29" s="7" t="n"/>
      <c r="F29" s="7" t="n"/>
      <c r="G29" s="17">
        <f>IF(A29="","",COUNTIF('テストケース'!$B$6:$B$105,A29))</f>
        <v/>
      </c>
      <c r="H29" s="17">
        <f>IF(A29="","",IF(G29=0,"ケース未作成","OK"))</f>
        <v/>
      </c>
    </row>
    <row r="30">
      <c r="A30" s="7" t="n"/>
      <c r="B30" s="7" t="n"/>
      <c r="C30" s="7" t="n"/>
      <c r="D30" s="7" t="n"/>
      <c r="E30" s="7" t="n"/>
      <c r="F30" s="7" t="n"/>
      <c r="G30" s="17">
        <f>IF(A30="","",COUNTIF('テストケース'!$B$6:$B$105,A30))</f>
        <v/>
      </c>
      <c r="H30" s="17">
        <f>IF(A30="","",IF(G30=0,"ケース未作成","OK"))</f>
        <v/>
      </c>
    </row>
    <row r="31">
      <c r="A31" s="7" t="n"/>
      <c r="B31" s="7" t="n"/>
      <c r="C31" s="7" t="n"/>
      <c r="D31" s="7" t="n"/>
      <c r="E31" s="7" t="n"/>
      <c r="F31" s="7" t="n"/>
      <c r="G31" s="17">
        <f>IF(A31="","",COUNTIF('テストケース'!$B$6:$B$105,A31))</f>
        <v/>
      </c>
      <c r="H31" s="17">
        <f>IF(A31="","",IF(G31=0,"ケース未作成","OK"))</f>
        <v/>
      </c>
    </row>
    <row r="32">
      <c r="A32" s="7" t="n"/>
      <c r="B32" s="7" t="n"/>
      <c r="C32" s="7" t="n"/>
      <c r="D32" s="7" t="n"/>
      <c r="E32" s="7" t="n"/>
      <c r="F32" s="7" t="n"/>
      <c r="G32" s="17">
        <f>IF(A32="","",COUNTIF('テストケース'!$B$6:$B$105,A32))</f>
        <v/>
      </c>
      <c r="H32" s="17">
        <f>IF(A32="","",IF(G32=0,"ケース未作成","OK"))</f>
        <v/>
      </c>
    </row>
    <row r="33">
      <c r="A33" s="7" t="n"/>
      <c r="B33" s="7" t="n"/>
      <c r="C33" s="7" t="n"/>
      <c r="D33" s="7" t="n"/>
      <c r="E33" s="7" t="n"/>
      <c r="F33" s="7" t="n"/>
      <c r="G33" s="17">
        <f>IF(A33="","",COUNTIF('テストケース'!$B$6:$B$105,A33))</f>
        <v/>
      </c>
      <c r="H33" s="17">
        <f>IF(A33="","",IF(G33=0,"ケース未作成","OK"))</f>
        <v/>
      </c>
    </row>
    <row r="34">
      <c r="A34" s="7" t="n"/>
      <c r="B34" s="7" t="n"/>
      <c r="C34" s="7" t="n"/>
      <c r="D34" s="7" t="n"/>
      <c r="E34" s="7" t="n"/>
      <c r="F34" s="7" t="n"/>
      <c r="G34" s="17">
        <f>IF(A34="","",COUNTIF('テストケース'!$B$6:$B$105,A34))</f>
        <v/>
      </c>
      <c r="H34" s="17">
        <f>IF(A34="","",IF(G34=0,"ケース未作成","OK"))</f>
        <v/>
      </c>
    </row>
    <row r="36">
      <c r="A36" s="10" t="inlineStr">
        <is>
          <t>優先度</t>
        </is>
      </c>
      <c r="B36" s="10" t="inlineStr">
        <is>
          <t>意味</t>
        </is>
      </c>
    </row>
    <row r="37">
      <c r="A37" s="16" t="inlineStr">
        <is>
          <t>高</t>
        </is>
      </c>
      <c r="B37" s="18" t="inlineStr">
        <is>
          <t>中核機能・セキュリティに直結。必ず実施</t>
        </is>
      </c>
    </row>
    <row r="38">
      <c r="A38" s="16" t="inlineStr">
        <is>
          <t>中</t>
        </is>
      </c>
      <c r="B38" s="18" t="inlineStr">
        <is>
          <t>バリデーションなど。実施を推奨</t>
        </is>
      </c>
    </row>
    <row r="39">
      <c r="A39" s="16" t="inlineStr">
        <is>
          <t>低</t>
        </is>
      </c>
      <c r="B39" s="18" t="inlineStr">
        <is>
          <t>余力があれば実施</t>
        </is>
      </c>
    </row>
  </sheetData>
  <dataValidations count="2">
    <dataValidation sqref="F5:F34" showDropDown="0" showInputMessage="0" showErrorMessage="0" allowBlank="1" type="list">
      <formula1>"高,中,低"</formula1>
    </dataValidation>
    <dataValidation sqref="E5:E34" showDropDown="0" showInputMessage="0" showErrorMessage="0" allowBlank="1" type="list">
      <formula1>"同値分割,境界値分析,デシジョンテーブル,状態遷移テスト,ペアワイズ,エラー推測,探索的テスト,チェックリスト"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8" customWidth="1" min="4" max="4"/>
    <col width="7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0" customWidth="1" min="15" max="15"/>
    <col width="34" customWidth="1" min="16" max="16"/>
    <col width="14" customWidth="1" min="17" max="17"/>
    <col width="9" customWidth="1" min="18" max="18"/>
    <col width="11" customWidth="1" min="19" max="19"/>
    <col width="10" customWidth="1" min="20" max="20"/>
    <col width="9" customWidth="1" min="21" max="21"/>
    <col width="10" customWidth="1" min="22" max="22"/>
    <col width="24" customWidth="1" min="23" max="23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>
      <c r="A1" s="1" t="inlineStr">
        <is>
          <t>テストケース</t>
        </is>
      </c>
    </row>
    <row r="2">
      <c r="A2" s="2" t="inlineStr">
        <is>
          <t>因子列の見出し（カテゴリ・因子名）は因子水準表から自動で入り、セルは水準のプルダウンから選べます。カテゴリ列で絞り込めます。</t>
        </is>
      </c>
    </row>
    <row r="3">
      <c r="A3" s="19" t="inlineStr">
        <is>
          <t>テストケース</t>
        </is>
      </c>
      <c r="B3" s="8" t="n"/>
      <c r="C3" s="8" t="n"/>
      <c r="D3" s="8" t="n"/>
      <c r="E3" s="8" t="n"/>
      <c r="F3" s="9" t="n"/>
      <c r="G3" s="19" t="inlineStr">
        <is>
          <t>因子の水準（入力・状態）</t>
        </is>
      </c>
      <c r="H3" s="8" t="n"/>
      <c r="I3" s="8" t="n"/>
      <c r="J3" s="8" t="n"/>
      <c r="K3" s="8" t="n"/>
      <c r="L3" s="8" t="n"/>
      <c r="M3" s="8" t="n"/>
      <c r="N3" s="9" t="n"/>
      <c r="O3" s="19" t="inlineStr">
        <is>
          <t>内容</t>
        </is>
      </c>
      <c r="P3" s="8" t="n"/>
      <c r="Q3" s="8" t="n"/>
      <c r="R3" s="9" t="n"/>
      <c r="S3" s="19" t="inlineStr">
        <is>
          <t>実行結果</t>
        </is>
      </c>
      <c r="T3" s="8" t="n"/>
      <c r="U3" s="8" t="n"/>
      <c r="V3" s="8" t="n"/>
      <c r="W3" s="9" t="n"/>
    </row>
    <row r="4">
      <c r="A4" s="11" t="inlineStr">
        <is>
          <t>ID</t>
        </is>
      </c>
      <c r="B4" s="11" t="inlineStr">
        <is>
          <t>条件ID</t>
        </is>
      </c>
      <c r="C4" s="11" t="inlineStr">
        <is>
          <t>カテゴリ</t>
        </is>
      </c>
      <c r="D4" s="11" t="inlineStr">
        <is>
          <t>テスト観点（目的）</t>
        </is>
      </c>
      <c r="E4" s="11" t="inlineStr">
        <is>
          <t>優先度</t>
        </is>
      </c>
      <c r="F4" s="11" t="inlineStr">
        <is>
          <t>事前条件</t>
        </is>
      </c>
      <c r="G4" s="20">
        <f>IF('因子水準表'!B$5="","",'因子水準表'!B$5)</f>
        <v/>
      </c>
      <c r="H4" s="20">
        <f>IF('因子水準表'!C$5="","",'因子水準表'!C$5)</f>
        <v/>
      </c>
      <c r="I4" s="20">
        <f>IF('因子水準表'!D$5="","",'因子水準表'!D$5)</f>
        <v/>
      </c>
      <c r="J4" s="20">
        <f>IF('因子水準表'!E$5="","",'因子水準表'!E$5)</f>
        <v/>
      </c>
      <c r="K4" s="20">
        <f>IF('因子水準表'!F$5="","",'因子水準表'!F$5)</f>
        <v/>
      </c>
      <c r="L4" s="20">
        <f>IF('因子水準表'!G$5="","",'因子水準表'!G$5)</f>
        <v/>
      </c>
      <c r="M4" s="20">
        <f>IF('因子水準表'!H$5="","",'因子水準表'!H$5)</f>
        <v/>
      </c>
      <c r="N4" s="20">
        <f>IF('因子水準表'!I$5="","",'因子水準表'!I$5)</f>
        <v/>
      </c>
      <c r="O4" s="11" t="inlineStr">
        <is>
          <t>手順</t>
        </is>
      </c>
      <c r="P4" s="11" t="inlineStr">
        <is>
          <t>期待結果</t>
        </is>
      </c>
      <c r="Q4" s="11" t="inlineStr">
        <is>
          <t>技法</t>
        </is>
      </c>
      <c r="R4" s="11" t="inlineStr">
        <is>
          <t>自動化</t>
        </is>
      </c>
      <c r="S4" s="11" t="inlineStr">
        <is>
          <t>実行日</t>
        </is>
      </c>
      <c r="T4" s="11" t="inlineStr">
        <is>
          <t>実行者</t>
        </is>
      </c>
      <c r="U4" s="11" t="inlineStr">
        <is>
          <t>結果</t>
        </is>
      </c>
      <c r="V4" s="11" t="inlineStr">
        <is>
          <t>欠陥ID</t>
        </is>
      </c>
      <c r="W4" s="11" t="inlineStr">
        <is>
          <t>備考</t>
        </is>
      </c>
      <c r="Y4" s="19" t="inlineStr">
        <is>
          <t>プルダウン用（非表示・編集しない）</t>
        </is>
      </c>
      <c r="Z4" s="8" t="n"/>
      <c r="AA4" s="8" t="n"/>
      <c r="AB4" s="8" t="n"/>
      <c r="AC4" s="8" t="n"/>
      <c r="AD4" s="8" t="n"/>
      <c r="AE4" s="8" t="n"/>
      <c r="AF4" s="8" t="n"/>
      <c r="AG4" s="8" t="n"/>
      <c r="AH4" s="9" t="n"/>
    </row>
    <row r="5">
      <c r="A5" s="21" t="n"/>
      <c r="B5" s="21" t="n"/>
      <c r="C5" s="21" t="n"/>
      <c r="D5" s="21" t="n"/>
      <c r="E5" s="21" t="n"/>
      <c r="F5" s="21" t="n"/>
      <c r="G5" s="11">
        <f>IF('因子水準表'!B$6="","因子1（未使用）",'因子水準表'!B$6)</f>
        <v/>
      </c>
      <c r="H5" s="11">
        <f>IF('因子水準表'!C$6="","因子2（未使用）",'因子水準表'!C$6)</f>
        <v/>
      </c>
      <c r="I5" s="11">
        <f>IF('因子水準表'!D$6="","因子3（未使用）",'因子水準表'!D$6)</f>
        <v/>
      </c>
      <c r="J5" s="11">
        <f>IF('因子水準表'!E$6="","因子4（未使用）",'因子水準表'!E$6)</f>
        <v/>
      </c>
      <c r="K5" s="11">
        <f>IF('因子水準表'!F$6="","因子5（未使用）",'因子水準表'!F$6)</f>
        <v/>
      </c>
      <c r="L5" s="11">
        <f>IF('因子水準表'!G$6="","因子6（未使用）",'因子水準表'!G$6)</f>
        <v/>
      </c>
      <c r="M5" s="11">
        <f>IF('因子水準表'!H$6="","因子7（未使用）",'因子水準表'!H$6)</f>
        <v/>
      </c>
      <c r="N5" s="11">
        <f>IF('因子水準表'!I$6="","因子8（未使用）",'因子水準表'!I$6)</f>
        <v/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Y5" s="11" t="inlineStr">
        <is>
          <t>F1 水準</t>
        </is>
      </c>
      <c r="Z5" s="11" t="inlineStr">
        <is>
          <t>F2 水準</t>
        </is>
      </c>
      <c r="AA5" s="11" t="inlineStr">
        <is>
          <t>F3 水準</t>
        </is>
      </c>
      <c r="AB5" s="11" t="inlineStr">
        <is>
          <t>F4 水準</t>
        </is>
      </c>
      <c r="AC5" s="11" t="inlineStr">
        <is>
          <t>F5 水準</t>
        </is>
      </c>
      <c r="AD5" s="11" t="inlineStr">
        <is>
          <t>F6 水準</t>
        </is>
      </c>
      <c r="AE5" s="11" t="inlineStr">
        <is>
          <t>F7 水準</t>
        </is>
      </c>
      <c r="AF5" s="11" t="inlineStr">
        <is>
          <t>F8 水準</t>
        </is>
      </c>
      <c r="AG5" s="11" t="inlineStr">
        <is>
          <t>カテゴリ</t>
        </is>
      </c>
      <c r="AH5" s="11" t="inlineStr">
        <is>
          <t>条件ID</t>
        </is>
      </c>
    </row>
    <row r="6">
      <c r="A6" s="7" t="inlineStr">
        <is>
          <t>T-01</t>
        </is>
      </c>
      <c r="B6" s="7" t="inlineStr">
        <is>
          <t>TC-A</t>
        </is>
      </c>
      <c r="C6" s="7" t="inlineStr">
        <is>
          <t>ログインフォーム</t>
        </is>
      </c>
      <c r="D6" s="7" t="inlineStr">
        <is>
          <t>正常ログイン</t>
        </is>
      </c>
      <c r="E6" s="7" t="inlineStr">
        <is>
          <t>高</t>
        </is>
      </c>
      <c r="F6" s="7" t="inlineStr">
        <is>
          <t>─</t>
        </is>
      </c>
      <c r="G6" s="7" t="inlineStr">
        <is>
          <t>登録済み</t>
        </is>
      </c>
      <c r="H6" s="7" t="inlineStr">
        <is>
          <t>正しい</t>
        </is>
      </c>
      <c r="I6" s="7" t="inlineStr">
        <is>
          <t>アクティブ</t>
        </is>
      </c>
      <c r="J6" s="7" t="inlineStr">
        <is>
          <t>0〜1回</t>
        </is>
      </c>
      <c r="K6" s="7" t="n"/>
      <c r="L6" s="7" t="n"/>
      <c r="M6" s="7" t="n"/>
      <c r="N6" s="7" t="n"/>
      <c r="O6" s="7" t="inlineStr">
        <is>
          <t>1. ログイン画面を開く
2. メールアドレスとパスワードを入力
3. ログインボタンを押す</t>
        </is>
      </c>
      <c r="P6" s="7" t="inlineStr">
        <is>
          <t>マイページに遷移する</t>
        </is>
      </c>
      <c r="Q6" s="7" t="inlineStr">
        <is>
          <t>同値分割</t>
        </is>
      </c>
      <c r="R6" s="7" t="inlineStr">
        <is>
          <t>要</t>
        </is>
      </c>
      <c r="S6" s="22" t="n"/>
      <c r="T6" s="7" t="n"/>
      <c r="U6" s="7" t="n"/>
      <c r="V6" s="7" t="n"/>
      <c r="W6" s="7" t="n"/>
      <c r="Y6" s="23">
        <f>IF('因子水準表'!B9="","",'因子水準表'!B9)</f>
        <v/>
      </c>
      <c r="Z6" s="23">
        <f>IF('因子水準表'!C9="","",'因子水準表'!C9)</f>
        <v/>
      </c>
      <c r="AA6" s="23">
        <f>IF('因子水準表'!D9="","",'因子水準表'!D9)</f>
        <v/>
      </c>
      <c r="AB6" s="23">
        <f>IF('因子水準表'!E9="","",'因子水準表'!E9)</f>
        <v/>
      </c>
      <c r="AC6" s="23">
        <f>IF('因子水準表'!F9="","",'因子水準表'!F9)</f>
        <v/>
      </c>
      <c r="AD6" s="23">
        <f>IF('因子水準表'!G9="","",'因子水準表'!G9)</f>
        <v/>
      </c>
      <c r="AE6" s="23">
        <f>IF('因子水準表'!H9="","",'因子水準表'!H9)</f>
        <v/>
      </c>
      <c r="AF6" s="23">
        <f>IF('因子水準表'!I9="","",'因子水準表'!I9)</f>
        <v/>
      </c>
      <c r="AG6" s="23">
        <f>IF('因子水準表'!B28="","",'因子水準表'!B28)</f>
        <v/>
      </c>
      <c r="AH6" s="23">
        <f>IF('テスト条件'!A5="","",'テスト条件'!A5)</f>
        <v/>
      </c>
    </row>
    <row r="7">
      <c r="A7" s="7" t="inlineStr">
        <is>
          <t>T-02</t>
        </is>
      </c>
      <c r="B7" s="7" t="inlineStr">
        <is>
          <t>TC-B</t>
        </is>
      </c>
      <c r="C7" s="7" t="inlineStr">
        <is>
          <t>アカウント</t>
        </is>
      </c>
      <c r="D7" s="7" t="inlineStr">
        <is>
          <t>境界：2回目の失敗では未ロック</t>
        </is>
      </c>
      <c r="E7" s="7" t="inlineStr">
        <is>
          <t>高</t>
        </is>
      </c>
      <c r="F7" s="7" t="inlineStr">
        <is>
          <t>直前に1回失敗している</t>
        </is>
      </c>
      <c r="G7" s="7" t="inlineStr">
        <is>
          <t>登録済み</t>
        </is>
      </c>
      <c r="H7" s="7" t="inlineStr">
        <is>
          <t>間違っている</t>
        </is>
      </c>
      <c r="I7" s="7" t="inlineStr">
        <is>
          <t>アクティブ</t>
        </is>
      </c>
      <c r="J7" s="7" t="inlineStr">
        <is>
          <t>2回（境界・未ロック）</t>
        </is>
      </c>
      <c r="K7" s="7" t="n"/>
      <c r="L7" s="7" t="n"/>
      <c r="M7" s="7" t="n"/>
      <c r="N7" s="7" t="n"/>
      <c r="O7" s="7" t="inlineStr">
        <is>
          <t>1. 間違ったパスワードでログインする</t>
        </is>
      </c>
      <c r="P7" s="7" t="inlineStr">
        <is>
          <t>「メールまたはパスワードが正しくありません」と表示され、ロックされない</t>
        </is>
      </c>
      <c r="Q7" s="7" t="inlineStr">
        <is>
          <t>境界値分析</t>
        </is>
      </c>
      <c r="R7" s="7" t="inlineStr">
        <is>
          <t>要</t>
        </is>
      </c>
      <c r="S7" s="22" t="n"/>
      <c r="T7" s="7" t="n"/>
      <c r="U7" s="7" t="n"/>
      <c r="V7" s="7" t="n"/>
      <c r="W7" s="7" t="n"/>
      <c r="Y7" s="23">
        <f>IF('因子水準表'!B10="","",'因子水準表'!B10)</f>
        <v/>
      </c>
      <c r="Z7" s="23">
        <f>IF('因子水準表'!C10="","",'因子水準表'!C10)</f>
        <v/>
      </c>
      <c r="AA7" s="23">
        <f>IF('因子水準表'!D10="","",'因子水準表'!D10)</f>
        <v/>
      </c>
      <c r="AB7" s="23">
        <f>IF('因子水準表'!E10="","",'因子水準表'!E10)</f>
        <v/>
      </c>
      <c r="AC7" s="23">
        <f>IF('因子水準表'!F10="","",'因子水準表'!F10)</f>
        <v/>
      </c>
      <c r="AD7" s="23">
        <f>IF('因子水準表'!G10="","",'因子水準表'!G10)</f>
        <v/>
      </c>
      <c r="AE7" s="23">
        <f>IF('因子水準表'!H10="","",'因子水準表'!H10)</f>
        <v/>
      </c>
      <c r="AF7" s="23">
        <f>IF('因子水準表'!I10="","",'因子水準表'!I10)</f>
        <v/>
      </c>
      <c r="AG7" s="23">
        <f>IF('因子水準表'!B29="","",'因子水準表'!B29)</f>
        <v/>
      </c>
      <c r="AH7" s="23">
        <f>IF('テスト条件'!A6="","",'テスト条件'!A6)</f>
        <v/>
      </c>
    </row>
    <row r="8">
      <c r="A8" s="7" t="inlineStr">
        <is>
          <t>T-03</t>
        </is>
      </c>
      <c r="B8" s="7" t="inlineStr">
        <is>
          <t>TC-B</t>
        </is>
      </c>
      <c r="C8" s="7" t="inlineStr">
        <is>
          <t>アカウント</t>
        </is>
      </c>
      <c r="D8" s="7" t="inlineStr">
        <is>
          <t>境界：3回目の失敗でロック</t>
        </is>
      </c>
      <c r="E8" s="7" t="inlineStr">
        <is>
          <t>高</t>
        </is>
      </c>
      <c r="F8" s="7" t="inlineStr">
        <is>
          <t>直前に2回失敗している</t>
        </is>
      </c>
      <c r="G8" s="7" t="inlineStr">
        <is>
          <t>登録済み</t>
        </is>
      </c>
      <c r="H8" s="7" t="inlineStr">
        <is>
          <t>間違っている</t>
        </is>
      </c>
      <c r="I8" s="7" t="inlineStr">
        <is>
          <t>アクティブ</t>
        </is>
      </c>
      <c r="J8" s="7" t="inlineStr">
        <is>
          <t>3回（境界・ロック発動）</t>
        </is>
      </c>
      <c r="K8" s="7" t="n"/>
      <c r="L8" s="7" t="n"/>
      <c r="M8" s="7" t="n"/>
      <c r="N8" s="7" t="n"/>
      <c r="O8" s="7" t="inlineStr">
        <is>
          <t>1. 間違ったパスワードでログインする</t>
        </is>
      </c>
      <c r="P8" s="7" t="inlineStr">
        <is>
          <t>ロックのメッセージが表示され、アカウント状態がロック済みになる</t>
        </is>
      </c>
      <c r="Q8" s="7" t="inlineStr">
        <is>
          <t>境界値分析</t>
        </is>
      </c>
      <c r="R8" s="7" t="inlineStr">
        <is>
          <t>要</t>
        </is>
      </c>
      <c r="S8" s="22" t="n"/>
      <c r="T8" s="7" t="n"/>
      <c r="U8" s="7" t="n"/>
      <c r="V8" s="7" t="n"/>
      <c r="W8" s="7" t="n"/>
      <c r="Y8" s="23">
        <f>IF('因子水準表'!B11="","",'因子水準表'!B11)</f>
        <v/>
      </c>
      <c r="Z8" s="23">
        <f>IF('因子水準表'!C11="","",'因子水準表'!C11)</f>
        <v/>
      </c>
      <c r="AA8" s="23">
        <f>IF('因子水準表'!D11="","",'因子水準表'!D11)</f>
        <v/>
      </c>
      <c r="AB8" s="23">
        <f>IF('因子水準表'!E11="","",'因子水準表'!E11)</f>
        <v/>
      </c>
      <c r="AC8" s="23">
        <f>IF('因子水準表'!F11="","",'因子水準表'!F11)</f>
        <v/>
      </c>
      <c r="AD8" s="23">
        <f>IF('因子水準表'!G11="","",'因子水準表'!G11)</f>
        <v/>
      </c>
      <c r="AE8" s="23">
        <f>IF('因子水準表'!H11="","",'因子水準表'!H11)</f>
        <v/>
      </c>
      <c r="AF8" s="23">
        <f>IF('因子水準表'!I11="","",'因子水準表'!I11)</f>
        <v/>
      </c>
      <c r="AG8" s="23">
        <f>IF('因子水準表'!B30="","",'因子水準表'!B30)</f>
        <v/>
      </c>
      <c r="AH8" s="23">
        <f>IF('テスト条件'!A7="","",'テスト条件'!A7)</f>
        <v/>
      </c>
    </row>
    <row r="9">
      <c r="A9" s="7" t="inlineStr">
        <is>
          <t>T-04</t>
        </is>
      </c>
      <c r="B9" s="7" t="inlineStr">
        <is>
          <t>TC-D</t>
        </is>
      </c>
      <c r="C9" s="7" t="inlineStr">
        <is>
          <t>ログインフォーム</t>
        </is>
      </c>
      <c r="D9" s="7" t="inlineStr">
        <is>
          <t>メールアドレス空欄</t>
        </is>
      </c>
      <c r="E9" s="7" t="inlineStr">
        <is>
          <t>中</t>
        </is>
      </c>
      <c r="F9" s="7" t="inlineStr">
        <is>
          <t>─</t>
        </is>
      </c>
      <c r="G9" s="7" t="inlineStr">
        <is>
          <t>空欄（無効）</t>
        </is>
      </c>
      <c r="H9" s="7" t="inlineStr">
        <is>
          <t>正しい</t>
        </is>
      </c>
      <c r="I9" s="7" t="inlineStr">
        <is>
          <t>アクティブ</t>
        </is>
      </c>
      <c r="J9" s="7" t="inlineStr">
        <is>
          <t>0〜1回</t>
        </is>
      </c>
      <c r="K9" s="7" t="n"/>
      <c r="L9" s="7" t="n"/>
      <c r="M9" s="7" t="n"/>
      <c r="N9" s="7" t="n"/>
      <c r="O9" s="7" t="inlineStr">
        <is>
          <t>1. メールアドレスを空のままログインボタンを押す</t>
        </is>
      </c>
      <c r="P9" s="7" t="inlineStr">
        <is>
          <t>「メールアドレスを入力してください」と表示される</t>
        </is>
      </c>
      <c r="Q9" s="7" t="inlineStr">
        <is>
          <t>同値分割</t>
        </is>
      </c>
      <c r="R9" s="7" t="inlineStr">
        <is>
          <t>否</t>
        </is>
      </c>
      <c r="S9" s="22" t="n"/>
      <c r="T9" s="7" t="n"/>
      <c r="U9" s="7" t="n"/>
      <c r="V9" s="7" t="n"/>
      <c r="W9" s="7" t="n"/>
      <c r="Y9" s="23">
        <f>IF('因子水準表'!B12="","",'因子水準表'!B12)</f>
        <v/>
      </c>
      <c r="Z9" s="23">
        <f>IF('因子水準表'!C12="","",'因子水準表'!C12)</f>
        <v/>
      </c>
      <c r="AA9" s="23">
        <f>IF('因子水準表'!D12="","",'因子水準表'!D12)</f>
        <v/>
      </c>
      <c r="AB9" s="23">
        <f>IF('因子水準表'!E12="","",'因子水準表'!E12)</f>
        <v/>
      </c>
      <c r="AC9" s="23">
        <f>IF('因子水準表'!F12="","",'因子水準表'!F12)</f>
        <v/>
      </c>
      <c r="AD9" s="23">
        <f>IF('因子水準表'!G12="","",'因子水準表'!G12)</f>
        <v/>
      </c>
      <c r="AE9" s="23">
        <f>IF('因子水準表'!H12="","",'因子水準表'!H12)</f>
        <v/>
      </c>
      <c r="AF9" s="23">
        <f>IF('因子水準表'!I12="","",'因子水準表'!I12)</f>
        <v/>
      </c>
      <c r="AG9" s="23">
        <f>IF('因子水準表'!B31="","",'因子水準表'!B31)</f>
        <v/>
      </c>
      <c r="AH9" s="23">
        <f>IF('テスト条件'!A8="","",'テスト条件'!A8)</f>
        <v/>
      </c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5" t="n"/>
      <c r="T10" s="24" t="n"/>
      <c r="U10" s="24" t="n"/>
      <c r="V10" s="24" t="n"/>
      <c r="W10" s="24" t="n"/>
      <c r="Y10" s="23">
        <f>IF('因子水準表'!B13="","",'因子水準表'!B13)</f>
        <v/>
      </c>
      <c r="Z10" s="23">
        <f>IF('因子水準表'!C13="","",'因子水準表'!C13)</f>
        <v/>
      </c>
      <c r="AA10" s="23">
        <f>IF('因子水準表'!D13="","",'因子水準表'!D13)</f>
        <v/>
      </c>
      <c r="AB10" s="23">
        <f>IF('因子水準表'!E13="","",'因子水準表'!E13)</f>
        <v/>
      </c>
      <c r="AC10" s="23">
        <f>IF('因子水準表'!F13="","",'因子水準表'!F13)</f>
        <v/>
      </c>
      <c r="AD10" s="23">
        <f>IF('因子水準表'!G13="","",'因子水準表'!G13)</f>
        <v/>
      </c>
      <c r="AE10" s="23">
        <f>IF('因子水準表'!H13="","",'因子水準表'!H13)</f>
        <v/>
      </c>
      <c r="AF10" s="23">
        <f>IF('因子水準表'!I13="","",'因子水準表'!I13)</f>
        <v/>
      </c>
      <c r="AG10" s="23">
        <f>IF('因子水準表'!B32="","",'因子水準表'!B32)</f>
        <v/>
      </c>
      <c r="AH10" s="23">
        <f>IF('テスト条件'!A9="","",'テスト条件'!A9)</f>
        <v/>
      </c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5" t="n"/>
      <c r="T11" s="24" t="n"/>
      <c r="U11" s="24" t="n"/>
      <c r="V11" s="24" t="n"/>
      <c r="W11" s="24" t="n"/>
      <c r="Y11" s="23">
        <f>IF('因子水準表'!B14="","",'因子水準表'!B14)</f>
        <v/>
      </c>
      <c r="Z11" s="23">
        <f>IF('因子水準表'!C14="","",'因子水準表'!C14)</f>
        <v/>
      </c>
      <c r="AA11" s="23">
        <f>IF('因子水準表'!D14="","",'因子水準表'!D14)</f>
        <v/>
      </c>
      <c r="AB11" s="23">
        <f>IF('因子水準表'!E14="","",'因子水準表'!E14)</f>
        <v/>
      </c>
      <c r="AC11" s="23">
        <f>IF('因子水準表'!F14="","",'因子水準表'!F14)</f>
        <v/>
      </c>
      <c r="AD11" s="23">
        <f>IF('因子水準表'!G14="","",'因子水準表'!G14)</f>
        <v/>
      </c>
      <c r="AE11" s="23">
        <f>IF('因子水準表'!H14="","",'因子水準表'!H14)</f>
        <v/>
      </c>
      <c r="AF11" s="23">
        <f>IF('因子水準表'!I14="","",'因子水準表'!I14)</f>
        <v/>
      </c>
      <c r="AG11" s="23">
        <f>IF('因子水準表'!B33="","",'因子水準表'!B33)</f>
        <v/>
      </c>
      <c r="AH11" s="23">
        <f>IF('テスト条件'!A10="","",'テスト条件'!A10)</f>
        <v/>
      </c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5" t="n"/>
      <c r="T12" s="24" t="n"/>
      <c r="U12" s="24" t="n"/>
      <c r="V12" s="24" t="n"/>
      <c r="W12" s="24" t="n"/>
      <c r="Y12" s="23">
        <f>IF('因子水準表'!B15="","",'因子水準表'!B15)</f>
        <v/>
      </c>
      <c r="Z12" s="23">
        <f>IF('因子水準表'!C15="","",'因子水準表'!C15)</f>
        <v/>
      </c>
      <c r="AA12" s="23">
        <f>IF('因子水準表'!D15="","",'因子水準表'!D15)</f>
        <v/>
      </c>
      <c r="AB12" s="23">
        <f>IF('因子水準表'!E15="","",'因子水準表'!E15)</f>
        <v/>
      </c>
      <c r="AC12" s="23">
        <f>IF('因子水準表'!F15="","",'因子水準表'!F15)</f>
        <v/>
      </c>
      <c r="AD12" s="23">
        <f>IF('因子水準表'!G15="","",'因子水準表'!G15)</f>
        <v/>
      </c>
      <c r="AE12" s="23">
        <f>IF('因子水準表'!H15="","",'因子水準表'!H15)</f>
        <v/>
      </c>
      <c r="AF12" s="23">
        <f>IF('因子水準表'!I15="","",'因子水準表'!I15)</f>
        <v/>
      </c>
      <c r="AG12" s="23">
        <f>IF('因子水準表'!B34="","",'因子水準表'!B34)</f>
        <v/>
      </c>
      <c r="AH12" s="23">
        <f>IF('テスト条件'!A11="","",'テスト条件'!A11)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5" t="n"/>
      <c r="T13" s="24" t="n"/>
      <c r="U13" s="24" t="n"/>
      <c r="V13" s="24" t="n"/>
      <c r="W13" s="24" t="n"/>
      <c r="Y13" s="23">
        <f>IF('因子水準表'!B16="","",'因子水準表'!B16)</f>
        <v/>
      </c>
      <c r="Z13" s="23">
        <f>IF('因子水準表'!C16="","",'因子水準表'!C16)</f>
        <v/>
      </c>
      <c r="AA13" s="23">
        <f>IF('因子水準表'!D16="","",'因子水準表'!D16)</f>
        <v/>
      </c>
      <c r="AB13" s="23">
        <f>IF('因子水準表'!E16="","",'因子水準表'!E16)</f>
        <v/>
      </c>
      <c r="AC13" s="23">
        <f>IF('因子水準表'!F16="","",'因子水準表'!F16)</f>
        <v/>
      </c>
      <c r="AD13" s="23">
        <f>IF('因子水準表'!G16="","",'因子水準表'!G16)</f>
        <v/>
      </c>
      <c r="AE13" s="23">
        <f>IF('因子水準表'!H16="","",'因子水準表'!H16)</f>
        <v/>
      </c>
      <c r="AF13" s="23">
        <f>IF('因子水準表'!I16="","",'因子水準表'!I16)</f>
        <v/>
      </c>
      <c r="AG13" s="23">
        <f>IF('因子水準表'!B35="","",'因子水準表'!B35)</f>
        <v/>
      </c>
      <c r="AH13" s="23">
        <f>IF('テスト条件'!A12="","",'テスト条件'!A12)</f>
        <v/>
      </c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5" t="n"/>
      <c r="T14" s="24" t="n"/>
      <c r="U14" s="24" t="n"/>
      <c r="V14" s="24" t="n"/>
      <c r="W14" s="24" t="n"/>
      <c r="Y14" s="23">
        <f>IF('因子水準表'!B17="","",'因子水準表'!B17)</f>
        <v/>
      </c>
      <c r="Z14" s="23">
        <f>IF('因子水準表'!C17="","",'因子水準表'!C17)</f>
        <v/>
      </c>
      <c r="AA14" s="23">
        <f>IF('因子水準表'!D17="","",'因子水準表'!D17)</f>
        <v/>
      </c>
      <c r="AB14" s="23">
        <f>IF('因子水準表'!E17="","",'因子水準表'!E17)</f>
        <v/>
      </c>
      <c r="AC14" s="23">
        <f>IF('因子水準表'!F17="","",'因子水準表'!F17)</f>
        <v/>
      </c>
      <c r="AD14" s="23">
        <f>IF('因子水準表'!G17="","",'因子水準表'!G17)</f>
        <v/>
      </c>
      <c r="AE14" s="23">
        <f>IF('因子水準表'!H17="","",'因子水準表'!H17)</f>
        <v/>
      </c>
      <c r="AF14" s="23">
        <f>IF('因子水準表'!I17="","",'因子水準表'!I17)</f>
        <v/>
      </c>
      <c r="AG14" s="23">
        <f>IF('因子水準表'!B36="","",'因子水準表'!B36)</f>
        <v/>
      </c>
      <c r="AH14" s="23">
        <f>IF('テスト条件'!A13="","",'テスト条件'!A13)</f>
        <v/>
      </c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5" t="n"/>
      <c r="T15" s="24" t="n"/>
      <c r="U15" s="24" t="n"/>
      <c r="V15" s="24" t="n"/>
      <c r="W15" s="24" t="n"/>
      <c r="Y15" s="23">
        <f>IF('因子水準表'!B18="","",'因子水準表'!B18)</f>
        <v/>
      </c>
      <c r="Z15" s="23">
        <f>IF('因子水準表'!C18="","",'因子水準表'!C18)</f>
        <v/>
      </c>
      <c r="AA15" s="23">
        <f>IF('因子水準表'!D18="","",'因子水準表'!D18)</f>
        <v/>
      </c>
      <c r="AB15" s="23">
        <f>IF('因子水準表'!E18="","",'因子水準表'!E18)</f>
        <v/>
      </c>
      <c r="AC15" s="23">
        <f>IF('因子水準表'!F18="","",'因子水準表'!F18)</f>
        <v/>
      </c>
      <c r="AD15" s="23">
        <f>IF('因子水準表'!G18="","",'因子水準表'!G18)</f>
        <v/>
      </c>
      <c r="AE15" s="23">
        <f>IF('因子水準表'!H18="","",'因子水準表'!H18)</f>
        <v/>
      </c>
      <c r="AF15" s="23">
        <f>IF('因子水準表'!I18="","",'因子水準表'!I18)</f>
        <v/>
      </c>
      <c r="AG15" s="23">
        <f>IF('因子水準表'!B37="","",'因子水準表'!B37)</f>
        <v/>
      </c>
      <c r="AH15" s="23">
        <f>IF('テスト条件'!A14="","",'テスト条件'!A14)</f>
        <v/>
      </c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5" t="n"/>
      <c r="T16" s="24" t="n"/>
      <c r="U16" s="24" t="n"/>
      <c r="V16" s="24" t="n"/>
      <c r="W16" s="24" t="n"/>
      <c r="AH16" s="23">
        <f>IF('テスト条件'!A15="","",'テスト条件'!A15)</f>
        <v/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5" t="n"/>
      <c r="T17" s="24" t="n"/>
      <c r="U17" s="24" t="n"/>
      <c r="V17" s="24" t="n"/>
      <c r="W17" s="24" t="n"/>
      <c r="AH17" s="23">
        <f>IF('テスト条件'!A16="","",'テスト条件'!A16)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5" t="n"/>
      <c r="T18" s="24" t="n"/>
      <c r="U18" s="24" t="n"/>
      <c r="V18" s="24" t="n"/>
      <c r="W18" s="24" t="n"/>
      <c r="AH18" s="23">
        <f>IF('テスト条件'!A17="","",'テスト条件'!A17)</f>
        <v/>
      </c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5" t="n"/>
      <c r="T19" s="24" t="n"/>
      <c r="U19" s="24" t="n"/>
      <c r="V19" s="24" t="n"/>
      <c r="W19" s="24" t="n"/>
      <c r="AH19" s="23">
        <f>IF('テスト条件'!A18="","",'テスト条件'!A18)</f>
        <v/>
      </c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5" t="n"/>
      <c r="T20" s="24" t="n"/>
      <c r="U20" s="24" t="n"/>
      <c r="V20" s="24" t="n"/>
      <c r="W20" s="24" t="n"/>
      <c r="AH20" s="23">
        <f>IF('テスト条件'!A19="","",'テスト条件'!A19)</f>
        <v/>
      </c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5" t="n"/>
      <c r="T21" s="24" t="n"/>
      <c r="U21" s="24" t="n"/>
      <c r="V21" s="24" t="n"/>
      <c r="W21" s="24" t="n"/>
      <c r="AH21" s="23">
        <f>IF('テスト条件'!A20="","",'テスト条件'!A20)</f>
        <v/>
      </c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5" t="n"/>
      <c r="T22" s="24" t="n"/>
      <c r="U22" s="24" t="n"/>
      <c r="V22" s="24" t="n"/>
      <c r="W22" s="24" t="n"/>
      <c r="AH22" s="23">
        <f>IF('テスト条件'!A21="","",'テスト条件'!A21)</f>
        <v/>
      </c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5" t="n"/>
      <c r="T23" s="24" t="n"/>
      <c r="U23" s="24" t="n"/>
      <c r="V23" s="24" t="n"/>
      <c r="W23" s="24" t="n"/>
      <c r="AH23" s="23">
        <f>IF('テスト条件'!A22="","",'テスト条件'!A22)</f>
        <v/>
      </c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5" t="n"/>
      <c r="T24" s="24" t="n"/>
      <c r="U24" s="24" t="n"/>
      <c r="V24" s="24" t="n"/>
      <c r="W24" s="24" t="n"/>
      <c r="AH24" s="23">
        <f>IF('テスト条件'!A23="","",'テスト条件'!A23)</f>
        <v/>
      </c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5" t="n"/>
      <c r="T25" s="24" t="n"/>
      <c r="U25" s="24" t="n"/>
      <c r="V25" s="24" t="n"/>
      <c r="W25" s="24" t="n"/>
      <c r="AH25" s="23">
        <f>IF('テスト条件'!A24="","",'テスト条件'!A24)</f>
        <v/>
      </c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5" t="n"/>
      <c r="T26" s="24" t="n"/>
      <c r="U26" s="24" t="n"/>
      <c r="V26" s="24" t="n"/>
      <c r="W26" s="24" t="n"/>
      <c r="AH26" s="23">
        <f>IF('テスト条件'!A25="","",'テスト条件'!A25)</f>
        <v/>
      </c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5" t="n"/>
      <c r="T27" s="24" t="n"/>
      <c r="U27" s="24" t="n"/>
      <c r="V27" s="24" t="n"/>
      <c r="W27" s="24" t="n"/>
      <c r="AH27" s="23">
        <f>IF('テスト条件'!A26="","",'テスト条件'!A26)</f>
        <v/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5" t="n"/>
      <c r="T28" s="24" t="n"/>
      <c r="U28" s="24" t="n"/>
      <c r="V28" s="24" t="n"/>
      <c r="W28" s="24" t="n"/>
      <c r="AH28" s="23">
        <f>IF('テスト条件'!A27="","",'テスト条件'!A27)</f>
        <v/>
      </c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5" t="n"/>
      <c r="T29" s="24" t="n"/>
      <c r="U29" s="24" t="n"/>
      <c r="V29" s="24" t="n"/>
      <c r="W29" s="24" t="n"/>
      <c r="AH29" s="23">
        <f>IF('テスト条件'!A28="","",'テスト条件'!A28)</f>
        <v/>
      </c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5" t="n"/>
      <c r="T30" s="24" t="n"/>
      <c r="U30" s="24" t="n"/>
      <c r="V30" s="24" t="n"/>
      <c r="W30" s="24" t="n"/>
      <c r="AH30" s="23">
        <f>IF('テスト条件'!A29="","",'テスト条件'!A29)</f>
        <v/>
      </c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5" t="n"/>
      <c r="T31" s="24" t="n"/>
      <c r="U31" s="24" t="n"/>
      <c r="V31" s="24" t="n"/>
      <c r="W31" s="24" t="n"/>
      <c r="AH31" s="23">
        <f>IF('テスト条件'!A30="","",'テスト条件'!A30)</f>
        <v/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5" t="n"/>
      <c r="T32" s="24" t="n"/>
      <c r="U32" s="24" t="n"/>
      <c r="V32" s="24" t="n"/>
      <c r="W32" s="24" t="n"/>
      <c r="AH32" s="23">
        <f>IF('テスト条件'!A31="","",'テスト条件'!A31)</f>
        <v/>
      </c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5" t="n"/>
      <c r="T33" s="24" t="n"/>
      <c r="U33" s="24" t="n"/>
      <c r="V33" s="24" t="n"/>
      <c r="W33" s="24" t="n"/>
      <c r="AH33" s="23">
        <f>IF('テスト条件'!A32="","",'テスト条件'!A32)</f>
        <v/>
      </c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5" t="n"/>
      <c r="T34" s="24" t="n"/>
      <c r="U34" s="24" t="n"/>
      <c r="V34" s="24" t="n"/>
      <c r="W34" s="24" t="n"/>
      <c r="AH34" s="23">
        <f>IF('テスト条件'!A33="","",'テスト条件'!A33)</f>
        <v/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5" t="n"/>
      <c r="T35" s="24" t="n"/>
      <c r="U35" s="24" t="n"/>
      <c r="V35" s="24" t="n"/>
      <c r="W35" s="24" t="n"/>
      <c r="AH35" s="23">
        <f>IF('テスト条件'!A34="","",'テスト条件'!A34)</f>
        <v/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5" t="n"/>
      <c r="T36" s="24" t="n"/>
      <c r="U36" s="24" t="n"/>
      <c r="V36" s="24" t="n"/>
      <c r="W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5" t="n"/>
      <c r="T37" s="24" t="n"/>
      <c r="U37" s="24" t="n"/>
      <c r="V37" s="24" t="n"/>
      <c r="W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5" t="n"/>
      <c r="T38" s="24" t="n"/>
      <c r="U38" s="24" t="n"/>
      <c r="V38" s="24" t="n"/>
      <c r="W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5" t="n"/>
      <c r="T39" s="24" t="n"/>
      <c r="U39" s="24" t="n"/>
      <c r="V39" s="24" t="n"/>
      <c r="W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5" t="n"/>
      <c r="T40" s="24" t="n"/>
      <c r="U40" s="24" t="n"/>
      <c r="V40" s="24" t="n"/>
      <c r="W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5" t="n"/>
      <c r="T41" s="24" t="n"/>
      <c r="U41" s="24" t="n"/>
      <c r="V41" s="24" t="n"/>
      <c r="W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5" t="n"/>
      <c r="T42" s="24" t="n"/>
      <c r="U42" s="24" t="n"/>
      <c r="V42" s="24" t="n"/>
      <c r="W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5" t="n"/>
      <c r="T43" s="24" t="n"/>
      <c r="U43" s="24" t="n"/>
      <c r="V43" s="24" t="n"/>
      <c r="W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5" t="n"/>
      <c r="T44" s="24" t="n"/>
      <c r="U44" s="24" t="n"/>
      <c r="V44" s="24" t="n"/>
      <c r="W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5" t="n"/>
      <c r="T45" s="24" t="n"/>
      <c r="U45" s="24" t="n"/>
      <c r="V45" s="24" t="n"/>
      <c r="W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5" t="n"/>
      <c r="T46" s="24" t="n"/>
      <c r="U46" s="24" t="n"/>
      <c r="V46" s="24" t="n"/>
      <c r="W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5" t="n"/>
      <c r="T47" s="24" t="n"/>
      <c r="U47" s="24" t="n"/>
      <c r="V47" s="24" t="n"/>
      <c r="W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5" t="n"/>
      <c r="T48" s="24" t="n"/>
      <c r="U48" s="24" t="n"/>
      <c r="V48" s="24" t="n"/>
      <c r="W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5" t="n"/>
      <c r="T49" s="24" t="n"/>
      <c r="U49" s="24" t="n"/>
      <c r="V49" s="24" t="n"/>
      <c r="W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5" t="n"/>
      <c r="T50" s="24" t="n"/>
      <c r="U50" s="24" t="n"/>
      <c r="V50" s="24" t="n"/>
      <c r="W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5" t="n"/>
      <c r="T51" s="24" t="n"/>
      <c r="U51" s="24" t="n"/>
      <c r="V51" s="24" t="n"/>
      <c r="W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5" t="n"/>
      <c r="T52" s="24" t="n"/>
      <c r="U52" s="24" t="n"/>
      <c r="V52" s="24" t="n"/>
      <c r="W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5" t="n"/>
      <c r="T53" s="24" t="n"/>
      <c r="U53" s="24" t="n"/>
      <c r="V53" s="24" t="n"/>
      <c r="W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5" t="n"/>
      <c r="T54" s="24" t="n"/>
      <c r="U54" s="24" t="n"/>
      <c r="V54" s="24" t="n"/>
      <c r="W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5" t="n"/>
      <c r="T55" s="24" t="n"/>
      <c r="U55" s="24" t="n"/>
      <c r="V55" s="24" t="n"/>
      <c r="W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5" t="n"/>
      <c r="T56" s="24" t="n"/>
      <c r="U56" s="24" t="n"/>
      <c r="V56" s="24" t="n"/>
      <c r="W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5" t="n"/>
      <c r="T57" s="24" t="n"/>
      <c r="U57" s="24" t="n"/>
      <c r="V57" s="24" t="n"/>
      <c r="W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5" t="n"/>
      <c r="T58" s="24" t="n"/>
      <c r="U58" s="24" t="n"/>
      <c r="V58" s="24" t="n"/>
      <c r="W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5" t="n"/>
      <c r="T59" s="24" t="n"/>
      <c r="U59" s="24" t="n"/>
      <c r="V59" s="24" t="n"/>
      <c r="W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5" t="n"/>
      <c r="T60" s="24" t="n"/>
      <c r="U60" s="24" t="n"/>
      <c r="V60" s="24" t="n"/>
      <c r="W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5" t="n"/>
      <c r="T61" s="24" t="n"/>
      <c r="U61" s="24" t="n"/>
      <c r="V61" s="24" t="n"/>
      <c r="W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5" t="n"/>
      <c r="T62" s="24" t="n"/>
      <c r="U62" s="24" t="n"/>
      <c r="V62" s="24" t="n"/>
      <c r="W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5" t="n"/>
      <c r="T63" s="24" t="n"/>
      <c r="U63" s="24" t="n"/>
      <c r="V63" s="24" t="n"/>
      <c r="W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5" t="n"/>
      <c r="T64" s="24" t="n"/>
      <c r="U64" s="24" t="n"/>
      <c r="V64" s="24" t="n"/>
      <c r="W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5" t="n"/>
      <c r="T65" s="24" t="n"/>
      <c r="U65" s="24" t="n"/>
      <c r="V65" s="24" t="n"/>
      <c r="W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5" t="n"/>
      <c r="T66" s="24" t="n"/>
      <c r="U66" s="24" t="n"/>
      <c r="V66" s="24" t="n"/>
      <c r="W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5" t="n"/>
      <c r="T67" s="24" t="n"/>
      <c r="U67" s="24" t="n"/>
      <c r="V67" s="24" t="n"/>
      <c r="W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5" t="n"/>
      <c r="T68" s="24" t="n"/>
      <c r="U68" s="24" t="n"/>
      <c r="V68" s="24" t="n"/>
      <c r="W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5" t="n"/>
      <c r="T69" s="24" t="n"/>
      <c r="U69" s="24" t="n"/>
      <c r="V69" s="24" t="n"/>
      <c r="W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5" t="n"/>
      <c r="T70" s="24" t="n"/>
      <c r="U70" s="24" t="n"/>
      <c r="V70" s="24" t="n"/>
      <c r="W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5" t="n"/>
      <c r="T71" s="24" t="n"/>
      <c r="U71" s="24" t="n"/>
      <c r="V71" s="24" t="n"/>
      <c r="W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5" t="n"/>
      <c r="T72" s="24" t="n"/>
      <c r="U72" s="24" t="n"/>
      <c r="V72" s="24" t="n"/>
      <c r="W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5" t="n"/>
      <c r="T73" s="24" t="n"/>
      <c r="U73" s="24" t="n"/>
      <c r="V73" s="24" t="n"/>
      <c r="W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5" t="n"/>
      <c r="T74" s="24" t="n"/>
      <c r="U74" s="24" t="n"/>
      <c r="V74" s="24" t="n"/>
      <c r="W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5" t="n"/>
      <c r="T75" s="24" t="n"/>
      <c r="U75" s="24" t="n"/>
      <c r="V75" s="24" t="n"/>
      <c r="W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5" t="n"/>
      <c r="T76" s="24" t="n"/>
      <c r="U76" s="24" t="n"/>
      <c r="V76" s="24" t="n"/>
      <c r="W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5" t="n"/>
      <c r="T77" s="24" t="n"/>
      <c r="U77" s="24" t="n"/>
      <c r="V77" s="24" t="n"/>
      <c r="W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5" t="n"/>
      <c r="T78" s="24" t="n"/>
      <c r="U78" s="24" t="n"/>
      <c r="V78" s="24" t="n"/>
      <c r="W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5" t="n"/>
      <c r="T79" s="24" t="n"/>
      <c r="U79" s="24" t="n"/>
      <c r="V79" s="24" t="n"/>
      <c r="W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5" t="n"/>
      <c r="T80" s="24" t="n"/>
      <c r="U80" s="24" t="n"/>
      <c r="V80" s="24" t="n"/>
      <c r="W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5" t="n"/>
      <c r="T81" s="24" t="n"/>
      <c r="U81" s="24" t="n"/>
      <c r="V81" s="24" t="n"/>
      <c r="W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5" t="n"/>
      <c r="T82" s="24" t="n"/>
      <c r="U82" s="24" t="n"/>
      <c r="V82" s="24" t="n"/>
      <c r="W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5" t="n"/>
      <c r="T83" s="24" t="n"/>
      <c r="U83" s="24" t="n"/>
      <c r="V83" s="24" t="n"/>
      <c r="W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5" t="n"/>
      <c r="T84" s="24" t="n"/>
      <c r="U84" s="24" t="n"/>
      <c r="V84" s="24" t="n"/>
      <c r="W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5" t="n"/>
      <c r="T85" s="24" t="n"/>
      <c r="U85" s="24" t="n"/>
      <c r="V85" s="24" t="n"/>
      <c r="W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5" t="n"/>
      <c r="T86" s="24" t="n"/>
      <c r="U86" s="24" t="n"/>
      <c r="V86" s="24" t="n"/>
      <c r="W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5" t="n"/>
      <c r="T87" s="24" t="n"/>
      <c r="U87" s="24" t="n"/>
      <c r="V87" s="24" t="n"/>
      <c r="W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5" t="n"/>
      <c r="T88" s="24" t="n"/>
      <c r="U88" s="24" t="n"/>
      <c r="V88" s="24" t="n"/>
      <c r="W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5" t="n"/>
      <c r="T89" s="24" t="n"/>
      <c r="U89" s="24" t="n"/>
      <c r="V89" s="24" t="n"/>
      <c r="W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5" t="n"/>
      <c r="T90" s="24" t="n"/>
      <c r="U90" s="24" t="n"/>
      <c r="V90" s="24" t="n"/>
      <c r="W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5" t="n"/>
      <c r="T91" s="24" t="n"/>
      <c r="U91" s="24" t="n"/>
      <c r="V91" s="24" t="n"/>
      <c r="W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5" t="n"/>
      <c r="T92" s="24" t="n"/>
      <c r="U92" s="24" t="n"/>
      <c r="V92" s="24" t="n"/>
      <c r="W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5" t="n"/>
      <c r="T93" s="24" t="n"/>
      <c r="U93" s="24" t="n"/>
      <c r="V93" s="24" t="n"/>
      <c r="W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5" t="n"/>
      <c r="T94" s="24" t="n"/>
      <c r="U94" s="24" t="n"/>
      <c r="V94" s="24" t="n"/>
      <c r="W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5" t="n"/>
      <c r="T95" s="24" t="n"/>
      <c r="U95" s="24" t="n"/>
      <c r="V95" s="24" t="n"/>
      <c r="W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5" t="n"/>
      <c r="T96" s="24" t="n"/>
      <c r="U96" s="24" t="n"/>
      <c r="V96" s="24" t="n"/>
      <c r="W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5" t="n"/>
      <c r="T97" s="24" t="n"/>
      <c r="U97" s="24" t="n"/>
      <c r="V97" s="24" t="n"/>
      <c r="W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5" t="n"/>
      <c r="T98" s="24" t="n"/>
      <c r="U98" s="24" t="n"/>
      <c r="V98" s="24" t="n"/>
      <c r="W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5" t="n"/>
      <c r="T99" s="24" t="n"/>
      <c r="U99" s="24" t="n"/>
      <c r="V99" s="24" t="n"/>
      <c r="W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5" t="n"/>
      <c r="T100" s="24" t="n"/>
      <c r="U100" s="24" t="n"/>
      <c r="V100" s="24" t="n"/>
      <c r="W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5" t="n"/>
      <c r="T101" s="24" t="n"/>
      <c r="U101" s="24" t="n"/>
      <c r="V101" s="24" t="n"/>
      <c r="W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5" t="n"/>
      <c r="T102" s="24" t="n"/>
      <c r="U102" s="24" t="n"/>
      <c r="V102" s="24" t="n"/>
      <c r="W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5" t="n"/>
      <c r="T103" s="24" t="n"/>
      <c r="U103" s="24" t="n"/>
      <c r="V103" s="24" t="n"/>
      <c r="W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5" t="n"/>
      <c r="T104" s="24" t="n"/>
      <c r="U104" s="24" t="n"/>
      <c r="V104" s="24" t="n"/>
      <c r="W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5" t="n"/>
      <c r="T105" s="24" t="n"/>
      <c r="U105" s="24" t="n"/>
      <c r="V105" s="24" t="n"/>
      <c r="W105" s="24" t="n"/>
    </row>
  </sheetData>
  <autoFilter ref="A5:W105"/>
  <mergeCells count="20">
    <mergeCell ref="R4:R5"/>
    <mergeCell ref="C4:C5"/>
    <mergeCell ref="T4:T5"/>
    <mergeCell ref="E4:E5"/>
    <mergeCell ref="V4:V5"/>
    <mergeCell ref="O4:O5"/>
    <mergeCell ref="A3:F3"/>
    <mergeCell ref="S3:W3"/>
    <mergeCell ref="Q4:Q5"/>
    <mergeCell ref="D4:D5"/>
    <mergeCell ref="O3:R3"/>
    <mergeCell ref="Y4:AH4"/>
    <mergeCell ref="G3:N3"/>
    <mergeCell ref="A4:A5"/>
    <mergeCell ref="S4:S5"/>
    <mergeCell ref="U4:U5"/>
    <mergeCell ref="B4:B5"/>
    <mergeCell ref="F4:F5"/>
    <mergeCell ref="W4:W5"/>
    <mergeCell ref="P4:P5"/>
  </mergeCells>
  <dataValidations count="13">
    <dataValidation sqref="G6:G105" showDropDown="0" showInputMessage="0" showErrorMessage="0" allowBlank="1" type="list">
      <formula1>'テストケース'!$Y$6:$Y$15</formula1>
    </dataValidation>
    <dataValidation sqref="H6:H105" showDropDown="0" showInputMessage="0" showErrorMessage="0" allowBlank="1" type="list">
      <formula1>'テストケース'!$Z$6:$Z$15</formula1>
    </dataValidation>
    <dataValidation sqref="I6:I105" showDropDown="0" showInputMessage="0" showErrorMessage="0" allowBlank="1" type="list">
      <formula1>'テストケース'!$AA$6:$AA$15</formula1>
    </dataValidation>
    <dataValidation sqref="J6:J105" showDropDown="0" showInputMessage="0" showErrorMessage="0" allowBlank="1" type="list">
      <formula1>'テストケース'!$AB$6:$AB$15</formula1>
    </dataValidation>
    <dataValidation sqref="K6:K105" showDropDown="0" showInputMessage="0" showErrorMessage="0" allowBlank="1" type="list">
      <formula1>'テストケース'!$AC$6:$AC$15</formula1>
    </dataValidation>
    <dataValidation sqref="L6:L105" showDropDown="0" showInputMessage="0" showErrorMessage="0" allowBlank="1" type="list">
      <formula1>'テストケース'!$AD$6:$AD$15</formula1>
    </dataValidation>
    <dataValidation sqref="M6:M105" showDropDown="0" showInputMessage="0" showErrorMessage="0" allowBlank="1" type="list">
      <formula1>'テストケース'!$AE$6:$AE$15</formula1>
    </dataValidation>
    <dataValidation sqref="N6:N105" showDropDown="0" showInputMessage="0" showErrorMessage="0" allowBlank="1" type="list">
      <formula1>'テストケース'!$AF$6:$AF$15</formula1>
    </dataValidation>
    <dataValidation sqref="C6:C105" showDropDown="0" showInputMessage="0" showErrorMessage="0" allowBlank="1" type="list">
      <formula1>'テストケース'!$AG$6:$AG$15</formula1>
    </dataValidation>
    <dataValidation sqref="B6:B105" showDropDown="0" showInputMessage="0" showErrorMessage="0" allowBlank="1" type="list">
      <formula1>'テストケース'!$AH$6:$AH$35</formula1>
    </dataValidation>
    <dataValidation sqref="E6:E105" showDropDown="0" showInputMessage="0" showErrorMessage="0" allowBlank="1" type="list">
      <formula1>"高,中,低"</formula1>
    </dataValidation>
    <dataValidation sqref="R6:R105" showDropDown="0" showInputMessage="0" showErrorMessage="0" allowBlank="1" type="list">
      <formula1>"要,否,済"</formula1>
    </dataValidation>
    <dataValidation sqref="U6:U105" showDropDown="0" showInputMessage="0" showErrorMessage="0" allowBlank="1" type="list">
      <formula1>"OK,NG,保留,対象外"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集計</t>
        </is>
      </c>
    </row>
    <row r="2">
      <c r="A2" s="2" t="inlineStr">
        <is>
          <t>テストケースシートから自動で集計します。</t>
        </is>
      </c>
    </row>
    <row r="4">
      <c r="A4" s="10" t="inlineStr">
        <is>
          <t>項目</t>
        </is>
      </c>
      <c r="B4" s="11" t="inlineStr">
        <is>
          <t>件数</t>
        </is>
      </c>
    </row>
    <row r="5">
      <c r="A5" s="18" t="inlineStr">
        <is>
          <t>総ケース数</t>
        </is>
      </c>
      <c r="B5" s="17">
        <f>COUNTA('テストケース'!$A$6:$A$105)</f>
        <v/>
      </c>
    </row>
    <row r="6">
      <c r="A6" s="18" t="inlineStr">
        <is>
          <t>優先度：高</t>
        </is>
      </c>
      <c r="B6" s="17">
        <f>COUNTIF('テストケース'!$E$6:$E$105,"高")</f>
        <v/>
      </c>
    </row>
    <row r="7">
      <c r="A7" s="18" t="inlineStr">
        <is>
          <t>優先度：中</t>
        </is>
      </c>
      <c r="B7" s="17">
        <f>COUNTIF('テストケース'!$E$6:$E$105,"中")</f>
        <v/>
      </c>
    </row>
    <row r="8">
      <c r="A8" s="18" t="inlineStr">
        <is>
          <t>優先度：低</t>
        </is>
      </c>
      <c r="B8" s="17">
        <f>COUNTIF('テストケース'!$E$6:$E$105,"低")</f>
        <v/>
      </c>
    </row>
    <row r="9">
      <c r="A9" s="18" t="inlineStr">
        <is>
          <t>結果：OK</t>
        </is>
      </c>
      <c r="B9" s="17">
        <f>COUNTIF('テストケース'!$U$6:$U$105,"OK")</f>
        <v/>
      </c>
    </row>
    <row r="10">
      <c r="A10" s="18" t="inlineStr">
        <is>
          <t>結果：NG</t>
        </is>
      </c>
      <c r="B10" s="17">
        <f>COUNTIF('テストケース'!$U$6:$U$105,"NG")</f>
        <v/>
      </c>
    </row>
    <row r="11">
      <c r="A11" s="18" t="inlineStr">
        <is>
          <t>結果：保留</t>
        </is>
      </c>
      <c r="B11" s="17">
        <f>COUNTIF('テストケース'!$U$6:$U$105,"保留")</f>
        <v/>
      </c>
    </row>
    <row r="12">
      <c r="A12" s="18" t="inlineStr">
        <is>
          <t>結果：対象外</t>
        </is>
      </c>
      <c r="B12" s="17">
        <f>COUNTIF('テストケース'!$U$6:$U$105,"対象外")</f>
        <v/>
      </c>
    </row>
    <row r="13">
      <c r="A13" s="18" t="inlineStr">
        <is>
          <t>結果：未実施</t>
        </is>
      </c>
      <c r="B13" s="17">
        <f>B5-SUM(B9:B12)</f>
        <v/>
      </c>
    </row>
    <row r="14">
      <c r="A14" s="18" t="inlineStr">
        <is>
          <t>自動化：要</t>
        </is>
      </c>
      <c r="B14" s="17">
        <f>COUNTIF('テストケース'!$R$6:$R$105,"要")</f>
        <v/>
      </c>
    </row>
    <row r="15">
      <c r="A15" s="18" t="inlineStr">
        <is>
          <t>自動化：否</t>
        </is>
      </c>
      <c r="B15" s="17">
        <f>COUNTIF('テストケース'!$R$6:$R$105,"否")</f>
        <v/>
      </c>
    </row>
    <row r="16">
      <c r="A16" s="18" t="inlineStr">
        <is>
          <t>自動化：済</t>
        </is>
      </c>
      <c r="B16" s="17">
        <f>COUNTIF('テストケース'!$R$6:$R$105,"済")</f>
        <v/>
      </c>
    </row>
    <row r="18">
      <c r="A18" s="10" t="inlineStr">
        <is>
          <t>指標</t>
        </is>
      </c>
      <c r="B18" s="11" t="inlineStr">
        <is>
          <t>値</t>
        </is>
      </c>
    </row>
    <row r="19">
      <c r="A19" s="18" t="inlineStr">
        <is>
          <t>消化率</t>
        </is>
      </c>
      <c r="B19" s="26">
        <f>IF(B5-B12=0,"-",(B9+B10)/(B5-B12))</f>
        <v/>
      </c>
      <c r="C19" s="2" t="inlineStr">
        <is>
          <t>（OK＋NG）÷（総数−対象外）</t>
        </is>
      </c>
    </row>
    <row r="20">
      <c r="A20" s="18" t="inlineStr">
        <is>
          <t>合格率</t>
        </is>
      </c>
      <c r="B20" s="26">
        <f>IF(B9+B10=0,"-",B9/(B9+B10))</f>
        <v/>
      </c>
      <c r="C20" s="2" t="inlineStr">
        <is>
          <t>OK ÷（OK＋NG）</t>
        </is>
      </c>
    </row>
    <row r="22">
      <c r="A22" s="10" t="inlineStr">
        <is>
          <t>カテゴリ別</t>
        </is>
      </c>
      <c r="B22" s="11" t="inlineStr">
        <is>
          <t>件数</t>
        </is>
      </c>
      <c r="C22" s="11" t="inlineStr">
        <is>
          <t>うち OK</t>
        </is>
      </c>
    </row>
    <row r="23">
      <c r="A23" s="23">
        <f>IF('因子水準表'!$B$28="","",'因子水準表'!$B$28)</f>
        <v/>
      </c>
      <c r="B23" s="17">
        <f>IF(A23="","",COUNTIF('テストケース'!$C$6:$C$105,A23))</f>
        <v/>
      </c>
      <c r="C23" s="17">
        <f>IF(A23="","",COUNTIFS('テストケース'!$C$6:$C$105,A23,'テストケース'!$U$6:$U$105,"OK"))</f>
        <v/>
      </c>
    </row>
    <row r="24">
      <c r="A24" s="23">
        <f>IF('因子水準表'!$B$29="","",'因子水準表'!$B$29)</f>
        <v/>
      </c>
      <c r="B24" s="17">
        <f>IF(A24="","",COUNTIF('テストケース'!$C$6:$C$105,A24))</f>
        <v/>
      </c>
      <c r="C24" s="17">
        <f>IF(A24="","",COUNTIFS('テストケース'!$C$6:$C$105,A24,'テストケース'!$U$6:$U$105,"OK"))</f>
        <v/>
      </c>
    </row>
    <row r="25">
      <c r="A25" s="23">
        <f>IF('因子水準表'!$B$30="","",'因子水準表'!$B$30)</f>
        <v/>
      </c>
      <c r="B25" s="17">
        <f>IF(A25="","",COUNTIF('テストケース'!$C$6:$C$105,A25))</f>
        <v/>
      </c>
      <c r="C25" s="17">
        <f>IF(A25="","",COUNTIFS('テストケース'!$C$6:$C$105,A25,'テストケース'!$U$6:$U$105,"OK"))</f>
        <v/>
      </c>
    </row>
    <row r="26">
      <c r="A26" s="23">
        <f>IF('因子水準表'!$B$31="","",'因子水準表'!$B$31)</f>
        <v/>
      </c>
      <c r="B26" s="17">
        <f>IF(A26="","",COUNTIF('テストケース'!$C$6:$C$105,A26))</f>
        <v/>
      </c>
      <c r="C26" s="17">
        <f>IF(A26="","",COUNTIFS('テストケース'!$C$6:$C$105,A26,'テストケース'!$U$6:$U$105,"OK"))</f>
        <v/>
      </c>
    </row>
    <row r="27">
      <c r="A27" s="23">
        <f>IF('因子水準表'!$B$32="","",'因子水準表'!$B$32)</f>
        <v/>
      </c>
      <c r="B27" s="17">
        <f>IF(A27="","",COUNTIF('テストケース'!$C$6:$C$105,A27))</f>
        <v/>
      </c>
      <c r="C27" s="17">
        <f>IF(A27="","",COUNTIFS('テストケース'!$C$6:$C$105,A27,'テストケース'!$U$6:$U$105,"OK"))</f>
        <v/>
      </c>
    </row>
    <row r="28">
      <c r="A28" s="23">
        <f>IF('因子水準表'!$B$33="","",'因子水準表'!$B$33)</f>
        <v/>
      </c>
      <c r="B28" s="17">
        <f>IF(A28="","",COUNTIF('テストケース'!$C$6:$C$105,A28))</f>
        <v/>
      </c>
      <c r="C28" s="17">
        <f>IF(A28="","",COUNTIFS('テストケース'!$C$6:$C$105,A28,'テストケース'!$U$6:$U$105,"OK"))</f>
        <v/>
      </c>
    </row>
    <row r="29">
      <c r="A29" s="23">
        <f>IF('因子水準表'!$B$34="","",'因子水準表'!$B$34)</f>
        <v/>
      </c>
      <c r="B29" s="17">
        <f>IF(A29="","",COUNTIF('テストケース'!$C$6:$C$105,A29))</f>
        <v/>
      </c>
      <c r="C29" s="17">
        <f>IF(A29="","",COUNTIFS('テストケース'!$C$6:$C$105,A29,'テストケース'!$U$6:$U$105,"OK"))</f>
        <v/>
      </c>
    </row>
    <row r="30">
      <c r="A30" s="23">
        <f>IF('因子水準表'!$B$35="","",'因子水準表'!$B$35)</f>
        <v/>
      </c>
      <c r="B30" s="17">
        <f>IF(A30="","",COUNTIF('テストケース'!$C$6:$C$105,A30))</f>
        <v/>
      </c>
      <c r="C30" s="17">
        <f>IF(A30="","",COUNTIFS('テストケース'!$C$6:$C$105,A30,'テストケース'!$U$6:$U$105,"OK"))</f>
        <v/>
      </c>
    </row>
    <row r="31">
      <c r="A31" s="23">
        <f>IF('因子水準表'!$B$36="","",'因子水準表'!$B$36)</f>
        <v/>
      </c>
      <c r="B31" s="17">
        <f>IF(A31="","",COUNTIF('テストケース'!$C$6:$C$105,A31))</f>
        <v/>
      </c>
      <c r="C31" s="17">
        <f>IF(A31="","",COUNTIFS('テストケース'!$C$6:$C$105,A31,'テストケース'!$U$6:$U$105,"OK"))</f>
        <v/>
      </c>
    </row>
    <row r="32">
      <c r="A32" s="23">
        <f>IF('因子水準表'!$B$37="","",'因子水準表'!$B$37)</f>
        <v/>
      </c>
      <c r="B32" s="17">
        <f>IF(A32="","",COUNTIF('テストケース'!$C$6:$C$105,A32))</f>
        <v/>
      </c>
      <c r="C32" s="17">
        <f>IF(A32="","",COUNTIFS('テストケース'!$C$6:$C$105,A32,'テストケース'!$U$6:$U$105,"OK"))</f>
        <v/>
      </c>
    </row>
    <row r="33">
      <c r="A33" s="18" t="inlineStr">
        <is>
          <t>カテゴリ未設定</t>
        </is>
      </c>
      <c r="B33" s="17">
        <f>COUNTA('テストケース'!$A$6:$A$105)-SUM(B23:B32)</f>
        <v/>
      </c>
      <c r="C33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2026-10-02T04:38:04Z</dcterms:created>
  <dcterms:modified xsi:type="dcterms:W3CDTF">2026-10-02T04:38:05Z</dcterms:modified>
</cp:coreProperties>
</file>