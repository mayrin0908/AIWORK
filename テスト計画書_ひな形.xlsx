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JSTQB5.1整理" sheetId="2" state="visible" r:id="rId2"/>
    <sheet name="テスト計画書" sheetId="3" state="visible" r:id="rId3"/>
    <sheet name="チェックリス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/mm/dd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sz val="10"/>
    </font>
    <font>
      <name val="Meiryo UI"/>
      <b val="1"/>
      <sz val="10"/>
    </font>
    <font>
      <name val="Meiryo UI"/>
      <color rgb="00808080"/>
      <sz val="10"/>
    </font>
    <font>
      <name val="Meiryo UI"/>
      <b val="1"/>
      <sz val="12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DDE6F0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2" borderId="0" pivotButton="0" quotePrefix="0" xfId="0"/>
    <xf numFmtId="0" fontId="4" fillId="0" borderId="0" pivotButton="0" quotePrefix="0" xfId="0"/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4" pivotButton="0" quotePrefix="0" xfId="0"/>
    <xf numFmtId="0" fontId="2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2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9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Claude</author>
  </authors>
  <commentList>
    <comment ref="E73" authorId="0" shapeId="0">
      <text>
        <t>E = (a + 4m + b) / 6（JSTQB FL 5.1.4 三点見積り）。a・m・b がすべて入ると計算されます。</t>
      </text>
    </comment>
    <comment ref="E80" authorId="0" shapeId="0">
      <text>
        <t>SD = (b − a) / 6。見積りの幅（E±SD）として関係者に伝える。</t>
      </text>
    </comment>
    <comment ref="B81" authorId="0" shapeId="0">
      <text>
        <t>例として15%を入れています。案件に合わせて変更してください。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テスト計画書 ひな形（JSTQB FL V4.0 準拠）</t>
        </is>
      </c>
    </row>
    <row r="2">
      <c r="A2" s="2" t="inlineStr">
        <is>
          <t>作成日：2026-10-02</t>
        </is>
      </c>
    </row>
    <row r="4">
      <c r="A4" s="2" t="inlineStr">
        <is>
          <t>このひな形は、JSTQB Foundation Level シラバス V4.0 の「5.1 テスト計画」に沿って章立てしています。</t>
        </is>
      </c>
    </row>
    <row r="5">
      <c r="A5" s="2" t="inlineStr">
        <is>
          <t>案件ごとにファイルをコピーし、記入欄を書き換えて使ってください。</t>
        </is>
      </c>
    </row>
    <row r="6">
      <c r="A6" s="2" t="inlineStr"/>
    </row>
    <row r="7">
      <c r="A7" s="3" t="inlineStr">
        <is>
          <t>■ シートの構成</t>
        </is>
      </c>
    </row>
    <row r="8">
      <c r="A8" s="2" t="inlineStr">
        <is>
          <t>・JSTQB5.1整理：シラバスに何が書いてあるかと、計画書のどの章に当たるか</t>
        </is>
      </c>
    </row>
    <row r="9">
      <c r="A9" s="2" t="inlineStr">
        <is>
          <t>・テスト計画書：本体のひな形（全10章）。各章に記入ガイドと記入例付き</t>
        </is>
      </c>
    </row>
    <row r="10">
      <c r="A10" s="2" t="inlineStr">
        <is>
          <t>・チェックリスト：関係者にレビューを依頼する前の確認項目</t>
        </is>
      </c>
    </row>
    <row r="11">
      <c r="A11" s="2" t="inlineStr"/>
    </row>
    <row r="12">
      <c r="A12" s="3" t="inlineStr">
        <is>
          <t>■ 凡例</t>
        </is>
      </c>
    </row>
    <row r="13">
      <c r="A13" s="4" t="inlineStr">
        <is>
          <t>黄色のセル＝記入欄（ここを書き換える）</t>
        </is>
      </c>
    </row>
    <row r="14">
      <c r="A14" s="5" t="inlineStr">
        <is>
          <t>灰色の文字＝記入例（Web アプリ v2.0 のシステムテストを想定。案件に合わせて置き換える）</t>
        </is>
      </c>
    </row>
    <row r="15">
      <c r="A15" s="2" t="inlineStr">
        <is>
          <t>リスクレベル（4章）と三点見積りの E・合計（7章）は数式で自動計算されます。</t>
        </is>
      </c>
    </row>
    <row r="17">
      <c r="A17" s="3" t="inlineStr">
        <is>
          <t>■ 最低限書く章</t>
        </is>
      </c>
    </row>
    <row r="18">
      <c r="A18" s="2" t="inlineStr">
        <is>
          <t>小さな案件では全章を埋める必要はありません。1章（目的とスコープ）、4章（リスク）、6章（開始・終了基準）、7章（見積りとスケジュール）は書くことをおすすめします。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70" customWidth="1" min="3" max="3"/>
    <col width="22" customWidth="1" min="4" max="4"/>
  </cols>
  <sheetData>
    <row r="1">
      <c r="A1" s="1" t="inlineStr">
        <is>
          <t>JSTQB FL V4.0「5.1 テスト計画」の整理</t>
        </is>
      </c>
    </row>
    <row r="2">
      <c r="A2" s="2" t="inlineStr">
        <is>
          <t>出典：JSTQB Foundation Level シラバス V4.0.J02（p.49–52）。右端の列は「テスト計画書」シートで対応する章。</t>
        </is>
      </c>
    </row>
    <row r="4">
      <c r="A4" s="6" t="inlineStr">
        <is>
          <t>項</t>
        </is>
      </c>
      <c r="B4" s="6" t="inlineStr">
        <is>
          <t>レベル</t>
        </is>
      </c>
      <c r="C4" s="6" t="inlineStr">
        <is>
          <t>要点</t>
        </is>
      </c>
      <c r="D4" s="6" t="inlineStr">
        <is>
          <t>ひな形の章</t>
        </is>
      </c>
    </row>
    <row r="5">
      <c r="A5" s="7" t="inlineStr">
        <is>
          <t>5.1.1 テスト計画書の目的と内容</t>
        </is>
      </c>
      <c r="B5" s="7" t="inlineStr">
        <is>
          <t>K2</t>
        </is>
      </c>
      <c r="C5" s="7" t="inlineStr">
        <is>
          <t>計画書は「目的・リソース・プロセス」を表す。ステークホルダーとのコミュニケーション手段でもある。典型的な内容は7項目（下記）</t>
        </is>
      </c>
      <c r="D5" s="7" t="inlineStr">
        <is>
          <t>1、2、3、4、5、7、9</t>
        </is>
      </c>
    </row>
    <row r="6">
      <c r="A6" s="7" t="inlineStr">
        <is>
          <t>5.1.2 イテレーションとリリース計画への貢献</t>
        </is>
      </c>
      <c r="B6" s="7" t="inlineStr">
        <is>
          <t>K1</t>
        </is>
      </c>
      <c r="C6" s="7" t="inlineStr">
        <is>
          <t>リリース計画では受け入れ基準作成・リスク分析・工数見積り・アプローチ決定。イテレーション計画ではストーリーの詳細リスク分析、試験性の判断、テストタスクへの分解と見積り</t>
        </is>
      </c>
      <c r="D6" s="7" t="inlineStr">
        <is>
          <t>4、7（反復開発では毎回見直す）</t>
        </is>
      </c>
    </row>
    <row r="7">
      <c r="A7" s="7" t="inlineStr">
        <is>
          <t>5.1.3 開始基準と終了基準</t>
        </is>
      </c>
      <c r="B7" s="7" t="inlineStr">
        <is>
          <t>K2</t>
        </is>
      </c>
      <c r="C7" s="7" t="inlineStr">
        <is>
          <t>開始基準＝活動の事前条件。終了基準＝完了を宣言するために達成すべきこと。テストレベルごとに定義する。アジャイルでは Ready の定義／Done の定義</t>
        </is>
      </c>
      <c r="D7" s="7" t="inlineStr">
        <is>
          <t>6</t>
        </is>
      </c>
    </row>
    <row r="8">
      <c r="A8" s="7" t="inlineStr">
        <is>
          <t>5.1.4 見積り技法</t>
        </is>
      </c>
      <c r="B8" s="7" t="inlineStr">
        <is>
          <t>K3</t>
        </is>
      </c>
      <c r="C8" s="7" t="inlineStr">
        <is>
          <t>比率・外挿（メトリクスベース）、ワイドバンドデルファイ・三点見積り（エキスパートベース）。見積りは仮定に基づくので誤差を関係者に明示する</t>
        </is>
      </c>
      <c r="D8" s="7" t="inlineStr">
        <is>
          <t>7</t>
        </is>
      </c>
    </row>
    <row r="9">
      <c r="A9" s="7" t="inlineStr">
        <is>
          <t>5.1.5 テストケースの優先順位付け</t>
        </is>
      </c>
      <c r="B9" s="7" t="inlineStr">
        <is>
          <t>K3</t>
        </is>
      </c>
      <c r="C9" s="7" t="inlineStr">
        <is>
          <t>リスクベース・カバレッジベース・要件ベースの3戦略。依存関係とリソースの可用性も考慮する</t>
        </is>
      </c>
      <c r="D9" s="7" t="inlineStr">
        <is>
          <t>8</t>
        </is>
      </c>
    </row>
    <row r="10">
      <c r="A10" s="7" t="inlineStr">
        <is>
          <t>5.1.6 テストピラミッド</t>
        </is>
      </c>
      <c r="B10" s="7" t="inlineStr">
        <is>
          <t>K1</t>
        </is>
      </c>
      <c r="C10" s="7" t="inlineStr">
        <is>
          <t>下層ほど小さく速いテストを多く、上層（E2E）は少なく。自動化と工数配分の指針になる</t>
        </is>
      </c>
      <c r="D10" s="7" t="inlineStr">
        <is>
          <t>5</t>
        </is>
      </c>
    </row>
    <row r="11">
      <c r="A11" s="7" t="inlineStr">
        <is>
          <t>5.1.7 テストの四象限</t>
        </is>
      </c>
      <c r="B11" s="7" t="inlineStr">
        <is>
          <t>K2</t>
        </is>
      </c>
      <c r="C11" s="7" t="inlineStr">
        <is>
          <t>「ビジネス／技術」×「チーム支援／プロダクト批評」の4区分。必要なテストタイプの抜け漏れを防ぐ</t>
        </is>
      </c>
      <c r="D11" s="7" t="inlineStr">
        <is>
          <t>5</t>
        </is>
      </c>
    </row>
    <row r="13">
      <c r="A13" s="8" t="inlineStr">
        <is>
          <t>5.1.1 が挙げる典型的な内容</t>
        </is>
      </c>
    </row>
    <row r="14">
      <c r="A14" s="2" t="inlineStr">
        <is>
          <t>1. テストの概要（スコープ、テスト対象、制約、テストベース）</t>
        </is>
      </c>
    </row>
    <row r="15">
      <c r="A15" s="2" t="inlineStr">
        <is>
          <t>2. テストプロジェクトの前提と制約</t>
        </is>
      </c>
    </row>
    <row r="16">
      <c r="A16" s="2" t="inlineStr">
        <is>
          <t>3. ステークホルダー（役割、責務、必要なトレーニングなど）</t>
        </is>
      </c>
    </row>
    <row r="17">
      <c r="A17" s="2" t="inlineStr">
        <is>
          <t>4. コミュニケーション（形態、頻度、テンプレート）</t>
        </is>
      </c>
    </row>
    <row r="18">
      <c r="A18" s="2" t="inlineStr">
        <is>
          <t>5. リスクレジスター（プロダクトリスク、プロジェクトリスク）</t>
        </is>
      </c>
    </row>
    <row r="19">
      <c r="A19" s="2" t="inlineStr">
        <is>
          <t>6. テストアプローチ（テストレベル、テストタイプ、技法、成果物、開始・終了基準、独立性、メトリクス、テストデータ要件、環境要件、テストポリシー・戦略からの逸脱）</t>
        </is>
      </c>
    </row>
    <row r="20">
      <c r="A20" s="2" t="inlineStr">
        <is>
          <t>7. 予算とスケジュール</t>
        </is>
      </c>
    </row>
    <row r="21">
      <c r="A21" s="2" t="inlineStr">
        <is>
          <t>詳細な構成は ISO/IEC/IEEE 29119-3 で定められています。</t>
        </is>
      </c>
    </row>
    <row r="23">
      <c r="A23" s="8" t="inlineStr">
        <is>
          <t>開始基準・終了基準の典型例（5.1.3）</t>
        </is>
      </c>
    </row>
    <row r="24">
      <c r="A24" s="6" t="inlineStr">
        <is>
          <t>区分</t>
        </is>
      </c>
      <c r="B24" s="6" t="inlineStr">
        <is>
          <t>シラバスの例</t>
        </is>
      </c>
      <c r="C24" s="9" t="n"/>
    </row>
    <row r="25">
      <c r="A25" s="7" t="inlineStr">
        <is>
          <t>開始基準</t>
        </is>
      </c>
      <c r="B25" s="7" t="inlineStr">
        <is>
          <t>リソースの可用性（人、ツール、環境、テストデータ、予算、時間）、テストウェアの可用性（テストベース、テストケース）、テスト対象の初期品質（スモークテストがすべて合格）</t>
        </is>
      </c>
      <c r="C25" s="9" t="n"/>
    </row>
    <row r="26">
      <c r="A26" s="7" t="inlineStr">
        <is>
          <t>終了基準：徹底度</t>
        </is>
      </c>
      <c r="B26" s="7" t="inlineStr">
        <is>
          <t>カバレッジレベル、未解決欠陥数、欠陥密度、不合格テストケース数</t>
        </is>
      </c>
      <c r="C26" s="9" t="n"/>
    </row>
    <row r="27">
      <c r="A27" s="7" t="inlineStr">
        <is>
          <t>終了基準：完了基準</t>
        </is>
      </c>
      <c r="B27" s="7" t="inlineStr">
        <is>
          <t>計画したテストを実行した、静的テストを実行した、全欠陥をレポートした、リグレッションテストを自動化した</t>
        </is>
      </c>
      <c r="C27" s="9" t="n"/>
    </row>
    <row r="28">
      <c r="A28" s="7" t="inlineStr">
        <is>
          <t>例外</t>
        </is>
      </c>
      <c r="B28" s="7" t="inlineStr">
        <is>
          <t>時間切れ・予算切れも、ステークホルダーがリスクをレビューして受け入れたら終了基準として妥当</t>
        </is>
      </c>
      <c r="C28" s="9" t="n"/>
    </row>
    <row r="30">
      <c r="A30" s="8" t="inlineStr">
        <is>
          <t>見積り技法の計算例（5.1.4）</t>
        </is>
      </c>
    </row>
    <row r="31">
      <c r="A31" s="2" t="inlineStr">
        <is>
          <t>・比率：過去の開発：テストが 3：2、今回の開発が 600 人日 → テスト 400 人日</t>
        </is>
      </c>
    </row>
    <row r="32">
      <c r="A32" s="2" t="inlineStr">
        <is>
          <t>・外挿：直近3イテレーションの平均工数を次回の見積りに使う</t>
        </is>
      </c>
    </row>
    <row r="33">
      <c r="A33" s="2" t="inlineStr">
        <is>
          <t>・ワイドバンドデルファイ：専門家が単独で見積もり、ずれが大きければ議論して再見積り。合意まで繰り返す（プランニングポーカーはこの一種）</t>
        </is>
      </c>
    </row>
    <row r="34">
      <c r="A34" s="2" t="inlineStr">
        <is>
          <t>・三点見積り：E = (a + 4m + b) / 6、SD = (b − a) / 6</t>
        </is>
      </c>
    </row>
    <row r="35">
      <c r="A35" s="2" t="inlineStr">
        <is>
          <t xml:space="preserve">　例）a=6、m=9、b=18（人時）なら E=10、SD=2 → 10±2 人時</t>
        </is>
      </c>
    </row>
    <row r="37">
      <c r="A37" s="8" t="inlineStr">
        <is>
          <t>テストの四象限（5.1.7）</t>
        </is>
      </c>
    </row>
    <row r="38">
      <c r="A38" s="6" t="inlineStr"/>
      <c r="B38" s="6" t="inlineStr">
        <is>
          <t>チームを支援する</t>
        </is>
      </c>
      <c r="C38" s="6" t="inlineStr">
        <is>
          <t>プロダクトを批評する</t>
        </is>
      </c>
    </row>
    <row r="39">
      <c r="A39" s="7" t="inlineStr">
        <is>
          <t>ビジネス指向</t>
        </is>
      </c>
      <c r="B39" s="7" t="inlineStr">
        <is>
          <t>第二象限：機能テスト、実例、ユーザーストーリーテスト、UX プロトタイプ、API テスト、シミュレーション（手動／自動）</t>
        </is>
      </c>
      <c r="C39" s="7" t="inlineStr">
        <is>
          <t>第三象限：探索的テスト、使用性テスト、ユーザー受け入れテスト（主に手動）</t>
        </is>
      </c>
    </row>
    <row r="40">
      <c r="A40" s="7" t="inlineStr">
        <is>
          <t>テクノロジー指向</t>
        </is>
      </c>
      <c r="B40" s="7" t="inlineStr">
        <is>
          <t>第一象限：コンポーネントテスト、コンポーネント統合テスト（自動化して CI に組込む）</t>
        </is>
      </c>
      <c r="C40" s="7" t="inlineStr">
        <is>
          <t>第四象限：スモークテスト、非機能テスト（使用性を除く。しばしば自動化）</t>
        </is>
      </c>
    </row>
  </sheetData>
  <mergeCells count="5">
    <mergeCell ref="B24:C24"/>
    <mergeCell ref="B25:C25"/>
    <mergeCell ref="B28:C28"/>
    <mergeCell ref="B26:C26"/>
    <mergeCell ref="B27:C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40" customWidth="1" min="3" max="3"/>
    <col width="14" customWidth="1" min="4" max="4"/>
    <col width="14" customWidth="1" min="5" max="5"/>
    <col width="12" customWidth="1" min="6" max="6"/>
    <col width="34" customWidth="1" min="7" max="7"/>
  </cols>
  <sheetData>
    <row r="1">
      <c r="A1" s="1" t="inlineStr">
        <is>
          <t>テスト計画書</t>
        </is>
      </c>
    </row>
    <row r="2">
      <c r="A2" s="2" t="inlineStr">
        <is>
          <t>黄色＝記入欄、灰色＝記入例（Web アプリ v2.0 のシステムテストを想定）</t>
        </is>
      </c>
    </row>
    <row r="4">
      <c r="A4" s="8" t="inlineStr">
        <is>
          <t>文書情報</t>
        </is>
      </c>
    </row>
    <row r="5">
      <c r="A5" s="6" t="inlineStr">
        <is>
          <t>項目</t>
        </is>
      </c>
      <c r="B5" s="6" t="inlineStr">
        <is>
          <t>内容</t>
        </is>
      </c>
    </row>
    <row r="6">
      <c r="A6" s="7" t="inlineStr">
        <is>
          <t>プロジェクト名</t>
        </is>
      </c>
      <c r="B6" s="10" t="inlineStr"/>
    </row>
    <row r="7">
      <c r="A7" s="7" t="inlineStr">
        <is>
          <t>対象リリース／バージョン</t>
        </is>
      </c>
      <c r="B7" s="10" t="inlineStr"/>
    </row>
    <row r="8">
      <c r="A8" s="7" t="inlineStr">
        <is>
          <t>作成者</t>
        </is>
      </c>
      <c r="B8" s="10" t="inlineStr"/>
    </row>
    <row r="9">
      <c r="A9" s="7" t="inlineStr">
        <is>
          <t>承認者</t>
        </is>
      </c>
      <c r="B9" s="10" t="inlineStr"/>
    </row>
    <row r="10">
      <c r="A10" s="7" t="inlineStr">
        <is>
          <t>版数・最終更新日</t>
        </is>
      </c>
      <c r="B10" s="10" t="inlineStr"/>
    </row>
    <row r="12">
      <c r="A12" s="8" t="inlineStr">
        <is>
          <t>1. テストの概要（5.1.1）</t>
        </is>
      </c>
    </row>
    <row r="13">
      <c r="A13" s="2" t="inlineStr">
        <is>
          <t>書くこと：何のために、何を、何をもとにテストするか。スコープ外も必ず書く。</t>
        </is>
      </c>
    </row>
    <row r="14">
      <c r="A14" s="6" t="inlineStr">
        <is>
          <t>項目</t>
        </is>
      </c>
      <c r="B14" s="6" t="inlineStr">
        <is>
          <t>記入欄</t>
        </is>
      </c>
      <c r="C14" s="6" t="inlineStr">
        <is>
          <t>例</t>
        </is>
      </c>
    </row>
    <row r="15">
      <c r="A15" s="7" t="inlineStr">
        <is>
          <t>テストの目的</t>
        </is>
      </c>
      <c r="B15" s="10" t="inlineStr"/>
      <c r="C15" s="11" t="inlineStr">
        <is>
          <t>v2.0 のリリース可否を判断する情報を提供する</t>
        </is>
      </c>
    </row>
    <row r="16">
      <c r="A16" s="7" t="inlineStr">
        <is>
          <t>テスト対象</t>
        </is>
      </c>
      <c r="B16" s="10" t="inlineStr"/>
      <c r="C16" s="11" t="inlineStr">
        <is>
          <t>会員登録、ログイン、アカウントロック、マイページ</t>
        </is>
      </c>
    </row>
    <row r="17">
      <c r="A17" s="7" t="inlineStr">
        <is>
          <t>スコープ内</t>
        </is>
      </c>
      <c r="B17" s="10" t="inlineStr"/>
      <c r="C17" s="11" t="inlineStr">
        <is>
          <t>上記機能の機能テスト、既存機能のリグレッションテスト</t>
        </is>
      </c>
    </row>
    <row r="18">
      <c r="A18" s="7" t="inlineStr">
        <is>
          <t>スコープ外</t>
        </is>
      </c>
      <c r="B18" s="10" t="inlineStr"/>
      <c r="C18" s="11" t="inlineStr">
        <is>
          <t>負荷テスト、外部決済サービスの内部動作、IE ブラウザ</t>
        </is>
      </c>
    </row>
    <row r="19">
      <c r="A19" s="7" t="inlineStr">
        <is>
          <t>テストベース</t>
        </is>
      </c>
      <c r="B19" s="10" t="inlineStr"/>
      <c r="C19" s="11" t="inlineStr">
        <is>
          <t>要件定義書 v1.3、画面仕様書 v2.1、API 仕様書</t>
        </is>
      </c>
    </row>
    <row r="20">
      <c r="A20" s="7" t="inlineStr">
        <is>
          <t>対象環境・端末</t>
        </is>
      </c>
      <c r="B20" s="10" t="inlineStr"/>
      <c r="C20" s="11" t="inlineStr">
        <is>
          <t>Chrome 最新、Safari 最新、iOS 18／Android 15 各1機種</t>
        </is>
      </c>
    </row>
    <row r="22">
      <c r="A22" s="8" t="inlineStr">
        <is>
          <t>2. 前提と制約（5.1.1）</t>
        </is>
      </c>
    </row>
    <row r="23">
      <c r="A23" s="2" t="inlineStr">
        <is>
          <t>書くこと：見積りやスケジュールが依存している前提。崩れたら計画を見直す根拠になる。</t>
        </is>
      </c>
    </row>
    <row r="24">
      <c r="A24" s="6" t="inlineStr">
        <is>
          <t>区分</t>
        </is>
      </c>
      <c r="B24" s="6" t="inlineStr">
        <is>
          <t>記入欄</t>
        </is>
      </c>
      <c r="C24" s="6" t="inlineStr">
        <is>
          <t>例</t>
        </is>
      </c>
    </row>
    <row r="25">
      <c r="A25" s="7" t="inlineStr">
        <is>
          <t>前提</t>
        </is>
      </c>
      <c r="B25" s="10" t="inlineStr"/>
      <c r="C25" s="11" t="inlineStr">
        <is>
          <t>システムテスト開始後は仕様変更がない</t>
        </is>
      </c>
    </row>
    <row r="26">
      <c r="A26" s="7" t="inlineStr">
        <is>
          <t>前提</t>
        </is>
      </c>
      <c r="B26" s="10" t="inlineStr"/>
      <c r="C26" s="11" t="inlineStr">
        <is>
          <t>テスト環境は開始5営業日前までに開発チームが用意する</t>
        </is>
      </c>
    </row>
    <row r="27">
      <c r="A27" s="7" t="inlineStr">
        <is>
          <t>制約</t>
        </is>
      </c>
      <c r="B27" s="10" t="inlineStr"/>
      <c r="C27" s="11" t="inlineStr">
        <is>
          <t>テスト担当者は2名、リリース日は固定</t>
        </is>
      </c>
    </row>
    <row r="29">
      <c r="A29" s="8" t="inlineStr">
        <is>
          <t>3. ステークホルダーと体制（5.1.1）</t>
        </is>
      </c>
    </row>
    <row r="30">
      <c r="A30" s="6" t="inlineStr">
        <is>
          <t>役割</t>
        </is>
      </c>
      <c r="B30" s="6" t="inlineStr">
        <is>
          <t>氏名／チーム</t>
        </is>
      </c>
      <c r="C30" s="6" t="inlineStr">
        <is>
          <t>責務</t>
        </is>
      </c>
      <c r="D30" s="6" t="inlineStr">
        <is>
          <t>必要なトレーニング</t>
        </is>
      </c>
    </row>
    <row r="31">
      <c r="A31" s="7" t="inlineStr">
        <is>
          <t>テストマネージャー</t>
        </is>
      </c>
      <c r="B31" s="10" t="inlineStr"/>
      <c r="C31" s="7" t="inlineStr">
        <is>
          <t>計画、進捗管理、完了判定</t>
        </is>
      </c>
      <c r="D31" s="10" t="inlineStr"/>
    </row>
    <row r="32">
      <c r="A32" s="7" t="inlineStr">
        <is>
          <t>テスト担当者</t>
        </is>
      </c>
      <c r="B32" s="10" t="inlineStr"/>
      <c r="C32" s="7" t="inlineStr">
        <is>
          <t>テスト設計、実行、欠陥起票</t>
        </is>
      </c>
      <c r="D32" s="10" t="inlineStr">
        <is>
          <t>例：業務知識のレクチャー</t>
        </is>
      </c>
    </row>
    <row r="33">
      <c r="A33" s="7" t="inlineStr">
        <is>
          <t>開発リーダー</t>
        </is>
      </c>
      <c r="B33" s="10" t="inlineStr"/>
      <c r="C33" s="7" t="inlineStr">
        <is>
          <t>欠陥修正、環境提供</t>
        </is>
      </c>
      <c r="D33" s="10" t="inlineStr"/>
    </row>
    <row r="34">
      <c r="A34" s="7" t="inlineStr">
        <is>
          <t>PM／PO</t>
        </is>
      </c>
      <c r="B34" s="10" t="inlineStr"/>
      <c r="C34" s="7" t="inlineStr">
        <is>
          <t>優先度判断、リリース判断</t>
        </is>
      </c>
      <c r="D34" s="10" t="inlineStr"/>
    </row>
    <row r="36">
      <c r="A36" s="8" t="inlineStr">
        <is>
          <t>4. リスクレジスター（5.1.1、5.2）</t>
        </is>
      </c>
    </row>
    <row r="37">
      <c r="A37" s="2" t="inlineStr">
        <is>
          <t>書くこと：リスクレベル＝発生可能性×影響度（自動計算）。レベルが高いものほどテストを厚くする。</t>
        </is>
      </c>
    </row>
    <row r="38">
      <c r="A38" s="6" t="inlineStr">
        <is>
          <t>No</t>
        </is>
      </c>
      <c r="B38" s="6" t="inlineStr">
        <is>
          <t>種類</t>
        </is>
      </c>
      <c r="C38" s="6" t="inlineStr">
        <is>
          <t>リスク内容</t>
        </is>
      </c>
      <c r="D38" s="6" t="inlineStr">
        <is>
          <t>可能性（1–3）</t>
        </is>
      </c>
      <c r="E38" s="6" t="inlineStr">
        <is>
          <t>影響度（1–3）</t>
        </is>
      </c>
      <c r="F38" s="6" t="inlineStr">
        <is>
          <t>レベル</t>
        </is>
      </c>
      <c r="G38" s="6" t="inlineStr">
        <is>
          <t>対応策</t>
        </is>
      </c>
    </row>
    <row r="39">
      <c r="A39" s="7" t="inlineStr">
        <is>
          <t>R1</t>
        </is>
      </c>
      <c r="B39" s="10" t="inlineStr">
        <is>
          <t>プロダクト</t>
        </is>
      </c>
      <c r="C39" s="12" t="inlineStr">
        <is>
          <t>例：ロック解除が正しく動かずログイン不能になる</t>
        </is>
      </c>
      <c r="D39" s="10" t="n">
        <v>2</v>
      </c>
      <c r="E39" s="10" t="n">
        <v>3</v>
      </c>
      <c r="F39" s="7">
        <f>IF(OR(D39="",E39=""),"",D39*E39)</f>
        <v/>
      </c>
      <c r="G39" s="12" t="inlineStr">
        <is>
          <t>境界値分析と状態遷移テストで重点的にテスト</t>
        </is>
      </c>
    </row>
    <row r="40">
      <c r="A40" s="7" t="inlineStr">
        <is>
          <t>R2</t>
        </is>
      </c>
      <c r="B40" s="10" t="inlineStr">
        <is>
          <t>プロジェクト</t>
        </is>
      </c>
      <c r="C40" s="12" t="inlineStr">
        <is>
          <t>例：テスト環境の用意が遅れる</t>
        </is>
      </c>
      <c r="D40" s="10" t="n">
        <v>2</v>
      </c>
      <c r="E40" s="10" t="n">
        <v>2</v>
      </c>
      <c r="F40" s="7">
        <f>IF(OR(D40="",E40=""),"",D40*E40)</f>
        <v/>
      </c>
      <c r="G40" s="12" t="inlineStr">
        <is>
          <t>開始基準に含め、週次で準備状況を確認</t>
        </is>
      </c>
    </row>
    <row r="41">
      <c r="A41" s="7" t="inlineStr">
        <is>
          <t>R3</t>
        </is>
      </c>
      <c r="B41" s="10" t="inlineStr"/>
      <c r="C41" s="10" t="inlineStr"/>
      <c r="D41" s="10" t="n"/>
      <c r="E41" s="10" t="n"/>
      <c r="F41" s="7">
        <f>IF(OR(D41="",E41=""),"",D41*E41)</f>
        <v/>
      </c>
      <c r="G41" s="10" t="inlineStr"/>
    </row>
    <row r="42">
      <c r="A42" s="7" t="inlineStr">
        <is>
          <t>R4</t>
        </is>
      </c>
      <c r="B42" s="10" t="inlineStr"/>
      <c r="C42" s="10" t="inlineStr"/>
      <c r="D42" s="10" t="n"/>
      <c r="E42" s="10" t="n"/>
      <c r="F42" s="7">
        <f>IF(OR(D42="",E42=""),"",D42*E42)</f>
        <v/>
      </c>
      <c r="G42" s="10" t="inlineStr"/>
    </row>
    <row r="43">
      <c r="A43" s="7" t="inlineStr">
        <is>
          <t>R5</t>
        </is>
      </c>
      <c r="B43" s="10" t="inlineStr"/>
      <c r="C43" s="10" t="inlineStr"/>
      <c r="D43" s="10" t="n"/>
      <c r="E43" s="10" t="n"/>
      <c r="F43" s="7">
        <f>IF(OR(D43="",E43=""),"",D43*E43)</f>
        <v/>
      </c>
      <c r="G43" s="10" t="inlineStr"/>
    </row>
    <row r="45">
      <c r="A45" s="8" t="inlineStr">
        <is>
          <t>5. テストアプローチ（5.1.1、5.1.6、5.1.7）</t>
        </is>
      </c>
    </row>
    <row r="46">
      <c r="A46" s="6" t="inlineStr">
        <is>
          <t>項目</t>
        </is>
      </c>
      <c r="B46" s="6" t="inlineStr">
        <is>
          <t>記入欄</t>
        </is>
      </c>
      <c r="C46" s="6" t="inlineStr">
        <is>
          <t>例</t>
        </is>
      </c>
    </row>
    <row r="47">
      <c r="A47" s="7" t="inlineStr">
        <is>
          <t>テストレベル</t>
        </is>
      </c>
      <c r="B47" s="10" t="inlineStr"/>
      <c r="C47" s="11" t="inlineStr">
        <is>
          <t>システムテスト（統合テストまでは開発担当）</t>
        </is>
      </c>
    </row>
    <row r="48">
      <c r="A48" s="7" t="inlineStr">
        <is>
          <t>テストタイプ</t>
        </is>
      </c>
      <c r="B48" s="10" t="inlineStr"/>
      <c r="C48" s="11" t="inlineStr">
        <is>
          <t>機能テスト、使用性（簡易）、リグレッションテスト</t>
        </is>
      </c>
    </row>
    <row r="49">
      <c r="A49" s="7" t="inlineStr">
        <is>
          <t>テスト技法</t>
        </is>
      </c>
      <c r="B49" s="10" t="inlineStr"/>
      <c r="C49" s="11" t="inlineStr">
        <is>
          <t>同値分割法、境界値分析、状態遷移テスト、探索的テスト</t>
        </is>
      </c>
    </row>
    <row r="50">
      <c r="A50" s="7" t="inlineStr">
        <is>
          <t>自動化方針</t>
        </is>
      </c>
      <c r="B50" s="10" t="inlineStr"/>
      <c r="C50" s="11" t="inlineStr">
        <is>
          <t>テストピラミッドに従い E2E は主要導線のみ Playwright で自動化し、PR ごとに CI で実行</t>
        </is>
      </c>
    </row>
    <row r="51">
      <c r="A51" s="7" t="inlineStr">
        <is>
          <t>四象限の確認</t>
        </is>
      </c>
      <c r="B51" s="10" t="inlineStr"/>
      <c r="C51" s="11" t="inlineStr">
        <is>
          <t>第三象限（探索的テスト）を1日確保。第四象限（非機能）は対象外と明記</t>
        </is>
      </c>
    </row>
    <row r="52">
      <c r="A52" s="7" t="inlineStr">
        <is>
          <t>テストの独立性</t>
        </is>
      </c>
      <c r="B52" s="10" t="inlineStr"/>
      <c r="C52" s="11" t="inlineStr">
        <is>
          <t>開発チームと別の QA 担当が実施</t>
        </is>
      </c>
    </row>
    <row r="53">
      <c r="A53" s="7" t="inlineStr">
        <is>
          <t>テスト成果物</t>
        </is>
      </c>
      <c r="B53" s="10" t="inlineStr"/>
      <c r="C53" s="11" t="inlineStr">
        <is>
          <t>テスト計画書、テストケース、欠陥レポート、テスト完了レポート</t>
        </is>
      </c>
    </row>
    <row r="54">
      <c r="A54" s="7" t="inlineStr">
        <is>
          <t>収集するメトリクス</t>
        </is>
      </c>
      <c r="B54" s="10" t="inlineStr"/>
      <c r="C54" s="11" t="inlineStr">
        <is>
          <t>消化率、合格率、欠陥数（重要度別）、未解決欠陥数</t>
        </is>
      </c>
    </row>
    <row r="55">
      <c r="A55" s="7" t="inlineStr">
        <is>
          <t>テストデータ要件</t>
        </is>
      </c>
      <c r="B55" s="10" t="inlineStr"/>
      <c r="C55" s="11" t="inlineStr">
        <is>
          <t>ロック状態・通常状態のテストアカウントを各10件</t>
        </is>
      </c>
    </row>
    <row r="56">
      <c r="A56" s="7" t="inlineStr">
        <is>
          <t>テスト環境要件</t>
        </is>
      </c>
      <c r="B56" s="10" t="inlineStr"/>
      <c r="C56" s="11" t="inlineStr">
        <is>
          <t>ステージング環境、実機2台</t>
        </is>
      </c>
    </row>
    <row r="57">
      <c r="A57" s="7" t="inlineStr">
        <is>
          <t>ポリシー・戦略からの逸脱</t>
        </is>
      </c>
      <c r="B57" s="10" t="inlineStr"/>
      <c r="C57" s="11" t="inlineStr">
        <is>
          <t>なし（ある場合は理由を書く）</t>
        </is>
      </c>
    </row>
    <row r="59">
      <c r="A59" s="8" t="inlineStr">
        <is>
          <t>6. 開始基準と終了基準（5.1.3）</t>
        </is>
      </c>
    </row>
    <row r="60">
      <c r="A60" s="2" t="inlineStr">
        <is>
          <t>書くこと：数値や Yes/No で判定できる形にする。テストレベルごとに定義する。</t>
        </is>
      </c>
    </row>
    <row r="61">
      <c r="A61" s="6" t="inlineStr">
        <is>
          <t>区分</t>
        </is>
      </c>
      <c r="B61" s="6" t="inlineStr">
        <is>
          <t>基準</t>
        </is>
      </c>
      <c r="C61" s="6" t="inlineStr">
        <is>
          <t>例</t>
        </is>
      </c>
    </row>
    <row r="62">
      <c r="A62" s="7" t="inlineStr">
        <is>
          <t>開始基準</t>
        </is>
      </c>
      <c r="B62" s="10" t="inlineStr"/>
      <c r="C62" s="11" t="inlineStr">
        <is>
          <t>テスト環境とテストデータが利用可能</t>
        </is>
      </c>
    </row>
    <row r="63">
      <c r="A63" s="7" t="inlineStr">
        <is>
          <t>開始基準</t>
        </is>
      </c>
      <c r="B63" s="10" t="inlineStr"/>
      <c r="C63" s="11" t="inlineStr">
        <is>
          <t>スモークテストがすべて合格</t>
        </is>
      </c>
    </row>
    <row r="64">
      <c r="A64" s="7" t="inlineStr">
        <is>
          <t>開始基準</t>
        </is>
      </c>
      <c r="B64" s="10" t="inlineStr"/>
      <c r="C64" s="11" t="inlineStr">
        <is>
          <t>テストケースのレビューが完了</t>
        </is>
      </c>
    </row>
    <row r="65">
      <c r="A65" s="7" t="inlineStr">
        <is>
          <t>終了基準</t>
        </is>
      </c>
      <c r="B65" s="10" t="inlineStr"/>
      <c r="C65" s="11" t="inlineStr">
        <is>
          <t>計画したテストケースを100%実行</t>
        </is>
      </c>
    </row>
    <row r="66">
      <c r="A66" s="7" t="inlineStr">
        <is>
          <t>終了基準</t>
        </is>
      </c>
      <c r="B66" s="10" t="inlineStr"/>
      <c r="C66" s="11" t="inlineStr">
        <is>
          <t>重大・致命的な未解決欠陥が0件</t>
        </is>
      </c>
    </row>
    <row r="67">
      <c r="A67" s="7" t="inlineStr">
        <is>
          <t>終了基準</t>
        </is>
      </c>
      <c r="B67" s="10" t="inlineStr"/>
      <c r="C67" s="11" t="inlineStr">
        <is>
          <t>その他の未解決欠陥は PO がリスクを受容済み</t>
        </is>
      </c>
    </row>
    <row r="69">
      <c r="A69" s="8" t="inlineStr">
        <is>
          <t>7. 見積り・予算・スケジュール（5.1.4）</t>
        </is>
      </c>
    </row>
    <row r="70">
      <c r="A70" s="2" t="inlineStr">
        <is>
          <t>書くこと：使った見積り技法と前提。再テストとリグレッションテストの工数を忘れずに積む。</t>
        </is>
      </c>
    </row>
    <row r="71">
      <c r="A71" s="6" t="inlineStr">
        <is>
          <t>見積り技法</t>
        </is>
      </c>
      <c r="B71" s="10" t="inlineStr">
        <is>
          <t>三点見積り</t>
        </is>
      </c>
    </row>
    <row r="73">
      <c r="A73" s="6" t="inlineStr">
        <is>
          <t>作業</t>
        </is>
      </c>
      <c r="B73" s="6" t="inlineStr">
        <is>
          <t>楽観 a（人日）</t>
        </is>
      </c>
      <c r="C73" s="6" t="inlineStr">
        <is>
          <t>最頻 m（人日）</t>
        </is>
      </c>
      <c r="D73" s="6" t="inlineStr">
        <is>
          <t>悲観 b（人日）</t>
        </is>
      </c>
      <c r="E73" s="6" t="inlineStr">
        <is>
          <t>見積り E（人日）</t>
        </is>
      </c>
      <c r="F73" s="6" t="inlineStr">
        <is>
          <t>開始日</t>
        </is>
      </c>
      <c r="G73" s="6" t="inlineStr">
        <is>
          <t>終了日</t>
        </is>
      </c>
    </row>
    <row r="74">
      <c r="A74" s="7" t="inlineStr">
        <is>
          <t>テスト分析・設計</t>
        </is>
      </c>
      <c r="B74" s="10" t="n"/>
      <c r="C74" s="10" t="n"/>
      <c r="D74" s="10" t="n"/>
      <c r="E74" s="13">
        <f>IF(COUNT(B74:D74)&lt;3,"",(B74+4*C74+D74)/6)</f>
        <v/>
      </c>
      <c r="F74" s="14" t="n"/>
      <c r="G74" s="14" t="n"/>
    </row>
    <row r="75">
      <c r="A75" s="7" t="inlineStr">
        <is>
          <t>テスト実装（データ・自動化）</t>
        </is>
      </c>
      <c r="B75" s="10" t="n"/>
      <c r="C75" s="10" t="n"/>
      <c r="D75" s="10" t="n"/>
      <c r="E75" s="13">
        <f>IF(COUNT(B75:D75)&lt;3,"",(B75+4*C75+D75)/6)</f>
        <v/>
      </c>
      <c r="F75" s="14" t="n"/>
      <c r="G75" s="14" t="n"/>
    </row>
    <row r="76">
      <c r="A76" s="7" t="inlineStr">
        <is>
          <t>テスト実行</t>
        </is>
      </c>
      <c r="B76" s="10" t="n"/>
      <c r="C76" s="10" t="n"/>
      <c r="D76" s="10" t="n"/>
      <c r="E76" s="13">
        <f>IF(COUNT(B76:D76)&lt;3,"",(B76+4*C76+D76)/6)</f>
        <v/>
      </c>
      <c r="F76" s="14" t="n"/>
      <c r="G76" s="14" t="n"/>
    </row>
    <row r="77">
      <c r="A77" s="7" t="inlineStr">
        <is>
          <t>再テスト・リグレッションテスト</t>
        </is>
      </c>
      <c r="B77" s="10" t="n"/>
      <c r="C77" s="10" t="n"/>
      <c r="D77" s="10" t="n"/>
      <c r="E77" s="13">
        <f>IF(COUNT(B77:D77)&lt;3,"",(B77+4*C77+D77)/6)</f>
        <v/>
      </c>
      <c r="F77" s="14" t="n"/>
      <c r="G77" s="14" t="n"/>
    </row>
    <row r="78">
      <c r="A78" s="7" t="inlineStr">
        <is>
          <t>報告・完了作業</t>
        </is>
      </c>
      <c r="B78" s="10" t="n"/>
      <c r="C78" s="10" t="n"/>
      <c r="D78" s="10" t="n"/>
      <c r="E78" s="13">
        <f>IF(COUNT(B78:D78)&lt;3,"",(B78+4*C78+D78)/6)</f>
        <v/>
      </c>
      <c r="F78" s="14" t="n"/>
      <c r="G78" s="14" t="n"/>
    </row>
    <row r="79">
      <c r="A79" s="6" t="inlineStr">
        <is>
          <t>合計</t>
        </is>
      </c>
      <c r="B79" s="15">
        <f>SUM(B74:B78)</f>
        <v/>
      </c>
      <c r="C79" s="15">
        <f>SUM(C74:C78)</f>
        <v/>
      </c>
      <c r="D79" s="15">
        <f>SUM(D74:D78)</f>
        <v/>
      </c>
      <c r="E79" s="15">
        <f>SUM(E74:E78)</f>
        <v/>
      </c>
      <c r="F79" s="6" t="inlineStr"/>
      <c r="G79" s="6" t="inlineStr"/>
    </row>
    <row r="80">
      <c r="A80" s="6" t="inlineStr">
        <is>
          <t>標準偏差 SD（合計）</t>
        </is>
      </c>
      <c r="E80" s="16">
        <f>(D79-B79)/6</f>
        <v/>
      </c>
    </row>
    <row r="81">
      <c r="A81" s="6" t="inlineStr">
        <is>
          <t>バッファ率</t>
        </is>
      </c>
      <c r="B81" s="17" t="n">
        <v>0.15</v>
      </c>
    </row>
    <row r="82">
      <c r="A82" s="6" t="inlineStr">
        <is>
          <t>バッファ込み工数（人日）</t>
        </is>
      </c>
      <c r="E82" s="16">
        <f>E79*(1+B81)</f>
        <v/>
      </c>
    </row>
    <row r="83">
      <c r="A83" s="6" t="inlineStr">
        <is>
          <t>予算</t>
        </is>
      </c>
      <c r="B83" s="10" t="inlineStr"/>
    </row>
    <row r="85">
      <c r="A85" s="8" t="inlineStr">
        <is>
          <t>8. テスト実行の優先順位（5.1.5）</t>
        </is>
      </c>
    </row>
    <row r="86">
      <c r="A86" s="6" t="inlineStr">
        <is>
          <t>項目</t>
        </is>
      </c>
      <c r="B86" s="6" t="inlineStr">
        <is>
          <t>記入欄</t>
        </is>
      </c>
      <c r="C86" s="6" t="inlineStr">
        <is>
          <t>例</t>
        </is>
      </c>
    </row>
    <row r="87">
      <c r="A87" s="7" t="inlineStr">
        <is>
          <t>優先順位付けの戦略</t>
        </is>
      </c>
      <c r="B87" s="10" t="inlineStr"/>
      <c r="C87" s="11" t="inlineStr">
        <is>
          <t>リスクベース。4章のレベル順</t>
        </is>
      </c>
    </row>
    <row r="88">
      <c r="A88" s="7" t="inlineStr">
        <is>
          <t>依存関係</t>
        </is>
      </c>
      <c r="B88" s="10" t="inlineStr"/>
      <c r="C88" s="11" t="inlineStr">
        <is>
          <t>会員登録 → ログイン → ロックの順に実行</t>
        </is>
      </c>
    </row>
    <row r="89">
      <c r="A89" s="7" t="inlineStr">
        <is>
          <t>リソースの制約</t>
        </is>
      </c>
      <c r="B89" s="10" t="inlineStr"/>
      <c r="C89" s="11" t="inlineStr">
        <is>
          <t>実機は水曜のみ使用可</t>
        </is>
      </c>
    </row>
    <row r="91">
      <c r="A91" s="8" t="inlineStr">
        <is>
          <t>9. コミュニケーションと欠陥管理（5.1.1）</t>
        </is>
      </c>
    </row>
    <row r="92">
      <c r="A92" s="6" t="inlineStr">
        <is>
          <t>項目</t>
        </is>
      </c>
      <c r="B92" s="6" t="inlineStr">
        <is>
          <t>記入欄</t>
        </is>
      </c>
      <c r="C92" s="6" t="inlineStr">
        <is>
          <t>例</t>
        </is>
      </c>
    </row>
    <row r="93">
      <c r="A93" s="7" t="inlineStr">
        <is>
          <t>進捗報告</t>
        </is>
      </c>
      <c r="B93" s="10" t="inlineStr"/>
      <c r="C93" s="11" t="inlineStr">
        <is>
          <t>毎日17時に Slack、毎週金曜に定例 MTG</t>
        </is>
      </c>
    </row>
    <row r="94">
      <c r="A94" s="7" t="inlineStr">
        <is>
          <t>報告テンプレート</t>
        </is>
      </c>
      <c r="B94" s="10" t="inlineStr"/>
      <c r="C94" s="11" t="inlineStr">
        <is>
          <t>テスト進捗レポート（消化率・欠陥数・課題）</t>
        </is>
      </c>
    </row>
    <row r="95">
      <c r="A95" s="7" t="inlineStr">
        <is>
          <t>欠陥の起票先</t>
        </is>
      </c>
      <c r="B95" s="10" t="inlineStr"/>
      <c r="C95" s="11" t="inlineStr">
        <is>
          <t>GitHub Issues（ラベル：bug）</t>
        </is>
      </c>
    </row>
    <row r="96">
      <c r="A96" s="7" t="inlineStr">
        <is>
          <t>重要度の定義</t>
        </is>
      </c>
      <c r="B96" s="10" t="inlineStr"/>
      <c r="C96" s="11" t="inlineStr">
        <is>
          <t>致命的／重大／中／軽微の4段階</t>
        </is>
      </c>
    </row>
    <row r="97">
      <c r="A97" s="7" t="inlineStr">
        <is>
          <t>トリアージ</t>
        </is>
      </c>
      <c r="B97" s="10" t="inlineStr"/>
      <c r="C97" s="11" t="inlineStr">
        <is>
          <t>開発リーダーと QA で毎朝15分</t>
        </is>
      </c>
    </row>
    <row r="98">
      <c r="A98" s="7" t="inlineStr">
        <is>
          <t>エスカレーション</t>
        </is>
      </c>
      <c r="B98" s="10" t="inlineStr"/>
      <c r="C98" s="11" t="inlineStr">
        <is>
          <t>致命的な欠陥は即日 PM に連絡</t>
        </is>
      </c>
    </row>
    <row r="100">
      <c r="A100" s="8" t="inlineStr">
        <is>
          <t>10. 改訂履歴</t>
        </is>
      </c>
    </row>
    <row r="101">
      <c r="A101" s="6" t="inlineStr">
        <is>
          <t>版</t>
        </is>
      </c>
      <c r="B101" s="6" t="inlineStr">
        <is>
          <t>日付</t>
        </is>
      </c>
      <c r="C101" s="6" t="inlineStr">
        <is>
          <t>変更内容</t>
        </is>
      </c>
      <c r="D101" s="6" t="inlineStr">
        <is>
          <t>変更者</t>
        </is>
      </c>
    </row>
    <row r="102">
      <c r="A102" s="10" t="inlineStr">
        <is>
          <t>1.0</t>
        </is>
      </c>
      <c r="B102" s="10" t="inlineStr"/>
      <c r="C102" s="10" t="inlineStr">
        <is>
          <t>初版作成</t>
        </is>
      </c>
      <c r="D102" s="10" t="inlineStr"/>
    </row>
    <row r="103">
      <c r="A103" s="10" t="inlineStr"/>
      <c r="B103" s="10" t="inlineStr"/>
      <c r="C103" s="10" t="inlineStr"/>
      <c r="D103" s="10" t="inlineStr"/>
    </row>
    <row r="104">
      <c r="A104" s="10" t="inlineStr"/>
      <c r="B104" s="10" t="inlineStr"/>
      <c r="C104" s="10" t="inlineStr"/>
      <c r="D104" s="10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2" customWidth="1" min="3" max="3"/>
    <col width="22" customWidth="1" min="4" max="4"/>
  </cols>
  <sheetData>
    <row r="1">
      <c r="A1" s="1" t="inlineStr">
        <is>
          <t>作成時チェックリスト</t>
        </is>
      </c>
    </row>
    <row r="2">
      <c r="A2" s="2" t="inlineStr">
        <is>
          <t>関係者にレビューを依頼する前に確認してください。No.1〜3 は特に後でもめる原因になりやすい項目です。</t>
        </is>
      </c>
    </row>
    <row r="4">
      <c r="A4" s="6" t="inlineStr">
        <is>
          <t>No</t>
        </is>
      </c>
      <c r="B4" s="6" t="inlineStr">
        <is>
          <t>確認項目</t>
        </is>
      </c>
      <c r="C4" s="6" t="inlineStr">
        <is>
          <t>対象章</t>
        </is>
      </c>
      <c r="D4" s="6" t="inlineStr">
        <is>
          <t>確認結果（OK／NG／対象外）</t>
        </is>
      </c>
    </row>
    <row r="5">
      <c r="A5" s="7" t="n">
        <v>1</v>
      </c>
      <c r="B5" s="7" t="inlineStr">
        <is>
          <t>スコープ外を明記し、PM／PO の合意を取った</t>
        </is>
      </c>
      <c r="C5" s="7" t="inlineStr">
        <is>
          <t>1章</t>
        </is>
      </c>
      <c r="D5" s="10" t="inlineStr"/>
    </row>
    <row r="6">
      <c r="A6" s="7" t="n">
        <v>2</v>
      </c>
      <c r="B6" s="7" t="inlineStr">
        <is>
          <t>終了基準が数値または Yes/No で判定できる</t>
        </is>
      </c>
      <c r="C6" s="7" t="inlineStr">
        <is>
          <t>6章</t>
        </is>
      </c>
      <c r="D6" s="10" t="inlineStr"/>
    </row>
    <row r="7">
      <c r="A7" s="7" t="n">
        <v>3</v>
      </c>
      <c r="B7" s="7" t="inlineStr">
        <is>
          <t>見積りの前提と誤差の可能性を関係者に伝えた</t>
        </is>
      </c>
      <c r="C7" s="7" t="inlineStr">
        <is>
          <t>2、7章</t>
        </is>
      </c>
      <c r="D7" s="10" t="inlineStr"/>
    </row>
    <row r="8">
      <c r="A8" s="7" t="n">
        <v>4</v>
      </c>
      <c r="B8" s="7" t="inlineStr">
        <is>
          <t>再テスト・リグレッションテストの工数を積んだ</t>
        </is>
      </c>
      <c r="C8" s="7" t="inlineStr">
        <is>
          <t>7章</t>
        </is>
      </c>
      <c r="D8" s="10" t="inlineStr"/>
    </row>
    <row r="9">
      <c r="A9" s="7" t="n">
        <v>5</v>
      </c>
      <c r="B9" s="7" t="inlineStr">
        <is>
          <t>プロダクトリスクとプロジェクトリスクの両方を挙げた</t>
        </is>
      </c>
      <c r="C9" s="7" t="inlineStr">
        <is>
          <t>4章</t>
        </is>
      </c>
      <c r="D9" s="10" t="inlineStr"/>
    </row>
    <row r="10">
      <c r="A10" s="7" t="n">
        <v>6</v>
      </c>
      <c r="B10" s="7" t="inlineStr">
        <is>
          <t>テスト環境・データ・実機の用意に担当者と期限がある</t>
        </is>
      </c>
      <c r="C10" s="7" t="inlineStr">
        <is>
          <t>2、5章</t>
        </is>
      </c>
      <c r="D10" s="10" t="inlineStr"/>
    </row>
    <row r="11">
      <c r="A11" s="7" t="n">
        <v>7</v>
      </c>
      <c r="B11" s="7" t="inlineStr">
        <is>
          <t>四象限で見て、抜けているテストタイプがないか確認した</t>
        </is>
      </c>
      <c r="C11" s="7" t="inlineStr">
        <is>
          <t>5章</t>
        </is>
      </c>
      <c r="D11" s="10" t="inlineStr"/>
    </row>
    <row r="12">
      <c r="A12" s="7" t="n">
        <v>8</v>
      </c>
      <c r="B12" s="7" t="inlineStr">
        <is>
          <t>欠陥の重要度定義とトリアージの担当を開発と合意した</t>
        </is>
      </c>
      <c r="C12" s="7" t="inlineStr">
        <is>
          <t>9章</t>
        </is>
      </c>
      <c r="D12" s="10" t="inlineStr"/>
    </row>
    <row r="13">
      <c r="A13" s="7" t="n">
        <v>9</v>
      </c>
      <c r="B13" s="7" t="inlineStr">
        <is>
          <t>計画を変更したときに改訂履歴を更新し、関係者に共有する運用にした</t>
        </is>
      </c>
      <c r="C13" s="7" t="inlineStr">
        <is>
          <t>10章</t>
        </is>
      </c>
      <c r="D13" s="10" t="inlineStr"/>
    </row>
    <row r="15">
      <c r="A15" s="2" t="inlineStr"/>
    </row>
    <row r="16">
      <c r="B16" s="6" t="inlineStr">
        <is>
          <t>OK の数</t>
        </is>
      </c>
      <c r="D16" s="18">
        <f>COUNTIF(D5:D13,"OK")&amp;" / 9"</f>
        <v/>
      </c>
    </row>
  </sheetData>
  <dataValidations count="1">
    <dataValidation sqref="D5:D13" showDropDown="0" showInputMessage="0" showErrorMessage="0" allowBlank="1" type="list">
      <formula1>"OK,NG,対象外"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2026-10-02T01:17:30Z</dcterms:created>
  <dcterms:modified xsi:type="dcterms:W3CDTF">2026-10-02T01:17:30Z</dcterms:modified>
</cp:coreProperties>
</file>