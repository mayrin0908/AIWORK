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接続一覧" sheetId="2" state="visible" r:id="rId2"/>
    <sheet name="疎通確認テストケース" sheetId="3" state="visible" r:id="rId3"/>
    <sheet name="集計" sheetId="4" state="visible" r:id="rId4"/>
  </sheets>
  <definedNames>
    <definedName name="_xlnm._FilterDatabase" localSheetId="2" hidden="1">'疎通確認テストケース'!$A$5:$S$105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%"/>
  </numFmts>
  <fonts count="7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sz val="10"/>
    </font>
    <font>
      <name val="Meiryo UI"/>
      <b val="1"/>
      <sz val="11"/>
    </font>
    <font>
      <name val="Meiryo UI"/>
      <color rgb="00808080"/>
      <sz val="9"/>
    </font>
    <font>
      <name val="Meiryo UI"/>
      <b val="1"/>
      <sz val="10"/>
    </font>
    <font>
      <name val="Meiryo UI"/>
      <b val="1"/>
      <sz val="12"/>
    </font>
  </fonts>
  <fills count="6">
    <fill>
      <patternFill/>
    </fill>
    <fill>
      <patternFill patternType="gray125"/>
    </fill>
    <fill>
      <patternFill patternType="solid">
        <fgColor rgb="00B7C9DD"/>
      </patternFill>
    </fill>
    <fill>
      <patternFill patternType="solid">
        <fgColor rgb="00DDE6F0"/>
      </patternFill>
    </fill>
    <fill>
      <patternFill patternType="solid">
        <fgColor rgb="00FFFF99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1" applyAlignment="1" pivotButton="0" quotePrefix="0" xfId="0">
      <alignment vertical="center" wrapText="1"/>
    </xf>
    <xf numFmtId="165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疎通確認テストケース（内部結合）の使い方</t>
        </is>
      </c>
    </row>
    <row r="2">
      <c r="B2" s="2" t="inlineStr"/>
    </row>
    <row r="3">
      <c r="B3" s="3" t="inlineStr">
        <is>
          <t>■ このひな形の目的</t>
        </is>
      </c>
    </row>
    <row r="4">
      <c r="B4" s="2" t="inlineStr">
        <is>
          <t>内部結合の最初に、画面・API・DB・バッチ・外部連携（スタブ）が「つながっていて、データが通る」ことを粗い粒度で確かめる。</t>
        </is>
      </c>
    </row>
    <row r="5">
      <c r="B5" s="2" t="inlineStr">
        <is>
          <t>全件OKになってから詳細なケース（因子水準表_テストケース_ひな形）に進む。全件合格を外部結合の開始条件にする。</t>
        </is>
      </c>
    </row>
    <row r="6">
      <c r="B6" s="2" t="inlineStr"/>
    </row>
    <row r="7">
      <c r="B7" s="3" t="inlineStr">
        <is>
          <t>■ 粒度の目安（詳細ケースとの違い）</t>
        </is>
      </c>
    </row>
    <row r="8">
      <c r="B8" s="2" t="inlineStr">
        <is>
          <t>・1ケース＝1つの経路（つながり）を、代表的なデータ1件で正常に通す。入力値のパターンや境界値は網羅しない</t>
        </is>
      </c>
    </row>
    <row r="9">
      <c r="B9" s="2" t="inlineStr">
        <is>
          <t>・操作は「画面A → 操作 → 画面B」のように、3〜5ステップを → でつないだ1行で書く（細かいクリック手順は書かない）</t>
        </is>
      </c>
    </row>
    <row r="10">
      <c r="B10" s="2" t="inlineStr">
        <is>
          <t>・確認ポイントは「画面」「データ（DB）」「ログ・スタブ」に分けて書く。スタブ連携は画面に結果が出ないことが多いので、何を見ればOKかまで書く</t>
        </is>
      </c>
    </row>
    <row r="11">
      <c r="B11" s="2" t="inlineStr">
        <is>
          <t>・異常系は「つながっていない／相手がエラーを返した時に、止まり方がおかしくないか」程度に絞る（例：スタブのエラー応答）</t>
        </is>
      </c>
    </row>
    <row r="12">
      <c r="B12" s="2" t="inlineStr"/>
    </row>
    <row r="13">
      <c r="B13" s="3" t="inlineStr">
        <is>
          <t>■ 作り方の順番</t>
        </is>
      </c>
    </row>
    <row r="14">
      <c r="B14" s="2" t="inlineStr">
        <is>
          <t>1. 「接続一覧」シートに、内部結合で確かめる経路（連携元 → 連携先）を書き出す。設計書の構成図・API一覧・テーブル一覧から拾う</t>
        </is>
      </c>
    </row>
    <row r="15">
      <c r="B15" s="2" t="inlineStr">
        <is>
          <t>2. 「疎通確認テストケース」シートに、経路IDを選んでケースを書く。1ケースで複数の経路を通す場合は「R-01,R-02」のようにカンマで並べて手入力してよい</t>
        </is>
      </c>
    </row>
    <row r="16">
      <c r="B16" s="2" t="inlineStr">
        <is>
          <t>3. 「接続一覧」のケース数が0の経路（状態＝ケース未作成）がなくなるまでケースを足す</t>
        </is>
      </c>
    </row>
    <row r="17">
      <c r="B17" s="2" t="inlineStr">
        <is>
          <t>4. 疎通確認シナリオ（SC-xx）と対応する場合は、シナリオID列に書いて紐付ける</t>
        </is>
      </c>
    </row>
    <row r="18">
      <c r="B18" s="2" t="inlineStr">
        <is>
          <t>5. 実行したら実行日・実行者・結果・証跡を書く。NGは欠陥IDを書く</t>
        </is>
      </c>
    </row>
    <row r="19">
      <c r="B19" s="2" t="inlineStr">
        <is>
          <t>6. 「集計」シートで進捗と外部結合の開始条件（全件OK）を確認する</t>
        </is>
      </c>
    </row>
    <row r="20">
      <c r="B20" s="2" t="inlineStr"/>
    </row>
    <row r="21">
      <c r="B21" s="3" t="inlineStr">
        <is>
          <t>■ セルの色</t>
        </is>
      </c>
    </row>
    <row r="22">
      <c r="B22" s="2" t="inlineStr">
        <is>
          <t>・黄色＝入力するセル　・灰色＝自動計算（編集しない）　・青＝見出し</t>
        </is>
      </c>
    </row>
    <row r="23">
      <c r="B23" s="2" t="inlineStr">
        <is>
          <t>・記入例（予約システムを想定した架空の内容）は、実際の機能に書き換えるか消して使う。会社の機密情報はこのファイルに書かない運用でもよい</t>
        </is>
      </c>
    </row>
    <row r="24">
      <c r="B24" s="2" t="inlineStr"/>
    </row>
    <row r="25">
      <c r="B25" s="3" t="inlineStr">
        <is>
          <t>■ プルダウンの選択肢</t>
        </is>
      </c>
    </row>
    <row r="26">
      <c r="B26" s="2" t="inlineStr">
        <is>
          <t>・連携方式：画面遷移／API／DB／バッチ／ファイル／メッセージ／外部連携</t>
        </is>
      </c>
    </row>
    <row r="27">
      <c r="B27" s="2" t="inlineStr">
        <is>
          <t>・内部結合での扱い・外部連携の扱い：対象（内部）／スタブ／実接続／未接続／なし</t>
        </is>
      </c>
    </row>
    <row r="28">
      <c r="B28" s="2" t="inlineStr">
        <is>
          <t>・結果：未実施／OK／NG／保留／対象外</t>
        </is>
      </c>
    </row>
    <row r="29">
      <c r="B29" s="2" t="inlineStr">
        <is>
          <t>・自動化候補：○＝Playwrightで自動化しやすい、△＝条件づくりが難しい、×＝手動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12" customWidth="1" min="4" max="4"/>
    <col width="30" customWidth="1" min="5" max="5"/>
    <col width="14" customWidth="1" min="6" max="6"/>
    <col width="34" customWidth="1" min="7" max="7"/>
    <col width="9" customWidth="1" min="8" max="8"/>
    <col width="8" customWidth="1" min="9" max="9"/>
    <col width="8" customWidth="1" min="10" max="10"/>
    <col width="13" customWidth="1" min="11" max="11"/>
    <col width="24" customWidth="1" min="12" max="12"/>
  </cols>
  <sheetData>
    <row r="1">
      <c r="A1" s="4" t="inlineStr">
        <is>
          <t>接続一覧：内部結合で疎通を確かめる経路（連携元 → 連携先）</t>
        </is>
      </c>
    </row>
    <row r="2">
      <c r="A2" s="5" t="inlineStr">
        <is>
          <t>ケース数・状態は「疎通確認テストケース」シートから自動で数えます（経路IDを書いたケースの件数）。</t>
        </is>
      </c>
    </row>
    <row r="3">
      <c r="A3" s="6" t="inlineStr">
        <is>
          <t>経路</t>
        </is>
      </c>
      <c r="B3" s="7" t="n"/>
      <c r="C3" s="7" t="n"/>
      <c r="D3" s="7" t="n"/>
      <c r="E3" s="7" t="n"/>
      <c r="F3" s="7" t="n"/>
      <c r="G3" s="8" t="n"/>
      <c r="H3" s="6" t="inlineStr">
        <is>
          <t>ケースの状況（自動）</t>
        </is>
      </c>
      <c r="I3" s="7" t="n"/>
      <c r="J3" s="7" t="n"/>
      <c r="K3" s="8" t="n"/>
      <c r="L3" s="6" t="inlineStr"/>
    </row>
    <row r="4" ht="30" customHeight="1">
      <c r="A4" s="9" t="inlineStr">
        <is>
          <t>経路ID</t>
        </is>
      </c>
      <c r="B4" s="9" t="inlineStr">
        <is>
          <t>連携元</t>
        </is>
      </c>
      <c r="C4" s="9" t="inlineStr">
        <is>
          <t>連携先</t>
        </is>
      </c>
      <c r="D4" s="9" t="inlineStr">
        <is>
          <t>連携方式</t>
        </is>
      </c>
      <c r="E4" s="9" t="inlineStr">
        <is>
          <t>受け渡す内容</t>
        </is>
      </c>
      <c r="F4" s="9" t="inlineStr">
        <is>
          <t>内部結合での扱い</t>
        </is>
      </c>
      <c r="G4" s="9" t="inlineStr">
        <is>
          <t>確認方法（何を見ればOKか）</t>
        </is>
      </c>
      <c r="H4" s="9" t="inlineStr">
        <is>
          <t>ケース数</t>
        </is>
      </c>
      <c r="I4" s="9" t="inlineStr">
        <is>
          <t>OK数</t>
        </is>
      </c>
      <c r="J4" s="9" t="inlineStr">
        <is>
          <t>NG数</t>
        </is>
      </c>
      <c r="K4" s="9" t="inlineStr">
        <is>
          <t>状態</t>
        </is>
      </c>
      <c r="L4" s="9" t="inlineStr">
        <is>
          <t>備考</t>
        </is>
      </c>
    </row>
    <row r="5">
      <c r="A5" s="10" t="inlineStr">
        <is>
          <t>R-01</t>
        </is>
      </c>
      <c r="B5" s="10" t="inlineStr">
        <is>
          <t>予約入力画面</t>
        </is>
      </c>
      <c r="C5" s="10" t="inlineStr">
        <is>
          <t>予約API</t>
        </is>
      </c>
      <c r="D5" s="10" t="inlineStr">
        <is>
          <t>API</t>
        </is>
      </c>
      <c r="E5" s="10" t="inlineStr">
        <is>
          <t>予約内容（日時・人数・会員ID）</t>
        </is>
      </c>
      <c r="F5" s="10" t="inlineStr">
        <is>
          <t>対象（内部）</t>
        </is>
      </c>
      <c r="G5" s="10" t="inlineStr">
        <is>
          <t>API応答が正常で確認画面に遷移する</t>
        </is>
      </c>
      <c r="H5" s="11">
        <f>IF(A5="","",COUNTIF('疎通確認テストケース'!$B$6:$B$105,"*"&amp;A5&amp;"*"))</f>
        <v/>
      </c>
      <c r="I5" s="11">
        <f>IF(A5="","",COUNTIFS('疎通確認テストケース'!$B$6:$B$105,"*"&amp;A5&amp;"*",'疎通確認テストケース'!$P$6:$P$105,"OK"))</f>
        <v/>
      </c>
      <c r="J5" s="11">
        <f>IF(A5="","",COUNTIFS('疎通確認テストケース'!$B$6:$B$105,"*"&amp;A5&amp;"*",'疎通確認テストケース'!$P$6:$P$105,"NG"))</f>
        <v/>
      </c>
      <c r="K5" s="11">
        <f>IF(A5="","",IF(H5=0,"ケース未作成",IF(J5&gt;0,"NGあり",IF(I5=H5,"疎通OK","未完了"))))</f>
        <v/>
      </c>
      <c r="L5" s="10" t="n"/>
    </row>
    <row r="6">
      <c r="A6" s="10" t="inlineStr">
        <is>
          <t>R-02</t>
        </is>
      </c>
      <c r="B6" s="10" t="inlineStr">
        <is>
          <t>予約API</t>
        </is>
      </c>
      <c r="C6" s="10" t="inlineStr">
        <is>
          <t>予約DB（予約テーブル）</t>
        </is>
      </c>
      <c r="D6" s="10" t="inlineStr">
        <is>
          <t>DB</t>
        </is>
      </c>
      <c r="E6" s="10" t="inlineStr">
        <is>
          <t>予約レコード</t>
        </is>
      </c>
      <c r="F6" s="10" t="inlineStr">
        <is>
          <t>対象（内部）</t>
        </is>
      </c>
      <c r="G6" s="10" t="inlineStr">
        <is>
          <t>予約テーブルに1件登録され、予約番号が採番される</t>
        </is>
      </c>
      <c r="H6" s="11">
        <f>IF(A6="","",COUNTIF('疎通確認テストケース'!$B$6:$B$105,"*"&amp;A6&amp;"*"))</f>
        <v/>
      </c>
      <c r="I6" s="11">
        <f>IF(A6="","",COUNTIFS('疎通確認テストケース'!$B$6:$B$105,"*"&amp;A6&amp;"*",'疎通確認テストケース'!$P$6:$P$105,"OK"))</f>
        <v/>
      </c>
      <c r="J6" s="11">
        <f>IF(A6="","",COUNTIFS('疎通確認テストケース'!$B$6:$B$105,"*"&amp;A6&amp;"*",'疎通確認テストケース'!$P$6:$P$105,"NG"))</f>
        <v/>
      </c>
      <c r="K6" s="11">
        <f>IF(A6="","",IF(H6=0,"ケース未作成",IF(J6&gt;0,"NGあり",IF(I6=H6,"疎通OK","未完了"))))</f>
        <v/>
      </c>
      <c r="L6" s="10" t="n"/>
    </row>
    <row r="7">
      <c r="A7" s="10" t="inlineStr">
        <is>
          <t>R-03</t>
        </is>
      </c>
      <c r="B7" s="10" t="inlineStr">
        <is>
          <t>予約API</t>
        </is>
      </c>
      <c r="C7" s="10" t="inlineStr">
        <is>
          <t>決済サービス</t>
        </is>
      </c>
      <c r="D7" s="10" t="inlineStr">
        <is>
          <t>外部連携</t>
        </is>
      </c>
      <c r="E7" s="10" t="inlineStr">
        <is>
          <t>決済依頼（金額・予約番号）</t>
        </is>
      </c>
      <c r="F7" s="10" t="inlineStr">
        <is>
          <t>スタブ</t>
        </is>
      </c>
      <c r="G7" s="10" t="inlineStr">
        <is>
          <t>スタブのログに決済依頼が記録される</t>
        </is>
      </c>
      <c r="H7" s="11">
        <f>IF(A7="","",COUNTIF('疎通確認テストケース'!$B$6:$B$105,"*"&amp;A7&amp;"*"))</f>
        <v/>
      </c>
      <c r="I7" s="11">
        <f>IF(A7="","",COUNTIFS('疎通確認テストケース'!$B$6:$B$105,"*"&amp;A7&amp;"*",'疎通確認テストケース'!$P$6:$P$105,"OK"))</f>
        <v/>
      </c>
      <c r="J7" s="11">
        <f>IF(A7="","",COUNTIFS('疎通確認テストケース'!$B$6:$B$105,"*"&amp;A7&amp;"*",'疎通確認テストケース'!$P$6:$P$105,"NG"))</f>
        <v/>
      </c>
      <c r="K7" s="11">
        <f>IF(A7="","",IF(H7=0,"ケース未作成",IF(J7&gt;0,"NGあり",IF(I7=H7,"疎通OK","未完了"))))</f>
        <v/>
      </c>
      <c r="L7" s="10" t="n"/>
    </row>
    <row r="8">
      <c r="A8" s="10" t="inlineStr">
        <is>
          <t>R-04</t>
        </is>
      </c>
      <c r="B8" s="10" t="inlineStr">
        <is>
          <t>予約API</t>
        </is>
      </c>
      <c r="C8" s="10" t="inlineStr">
        <is>
          <t>通知サービス</t>
        </is>
      </c>
      <c r="D8" s="10" t="inlineStr">
        <is>
          <t>外部連携</t>
        </is>
      </c>
      <c r="E8" s="10" t="inlineStr">
        <is>
          <t>予約完了通知の送信依頼</t>
        </is>
      </c>
      <c r="F8" s="10" t="inlineStr">
        <is>
          <t>スタブ</t>
        </is>
      </c>
      <c r="G8" s="10" t="inlineStr">
        <is>
          <t>スタブのログに送信依頼が記録される</t>
        </is>
      </c>
      <c r="H8" s="11">
        <f>IF(A8="","",COUNTIF('疎通確認テストケース'!$B$6:$B$105,"*"&amp;A8&amp;"*"))</f>
        <v/>
      </c>
      <c r="I8" s="11">
        <f>IF(A8="","",COUNTIFS('疎通確認テストケース'!$B$6:$B$105,"*"&amp;A8&amp;"*",'疎通確認テストケース'!$P$6:$P$105,"OK"))</f>
        <v/>
      </c>
      <c r="J8" s="11">
        <f>IF(A8="","",COUNTIFS('疎通確認テストケース'!$B$6:$B$105,"*"&amp;A8&amp;"*",'疎通確認テストケース'!$P$6:$P$105,"NG"))</f>
        <v/>
      </c>
      <c r="K8" s="11">
        <f>IF(A8="","",IF(H8=0,"ケース未作成",IF(J8&gt;0,"NGあり",IF(I8=H8,"疎通OK","未完了"))))</f>
        <v/>
      </c>
      <c r="L8" s="10" t="n"/>
    </row>
    <row r="9">
      <c r="A9" s="10" t="inlineStr">
        <is>
          <t>R-05</t>
        </is>
      </c>
      <c r="B9" s="10" t="inlineStr">
        <is>
          <t>管理画面</t>
        </is>
      </c>
      <c r="C9" s="10" t="inlineStr">
        <is>
          <t>予約API</t>
        </is>
      </c>
      <c r="D9" s="10" t="inlineStr">
        <is>
          <t>API</t>
        </is>
      </c>
      <c r="E9" s="10" t="inlineStr">
        <is>
          <t>予約検索条件</t>
        </is>
      </c>
      <c r="F9" s="10" t="inlineStr">
        <is>
          <t>対象（内部）</t>
        </is>
      </c>
      <c r="G9" s="10" t="inlineStr">
        <is>
          <t>利用者側で登録した予約が検索結果に出る</t>
        </is>
      </c>
      <c r="H9" s="11">
        <f>IF(A9="","",COUNTIF('疎通確認テストケース'!$B$6:$B$105,"*"&amp;A9&amp;"*"))</f>
        <v/>
      </c>
      <c r="I9" s="11">
        <f>IF(A9="","",COUNTIFS('疎通確認テストケース'!$B$6:$B$105,"*"&amp;A9&amp;"*",'疎通確認テストケース'!$P$6:$P$105,"OK"))</f>
        <v/>
      </c>
      <c r="J9" s="11">
        <f>IF(A9="","",COUNTIFS('疎通確認テストケース'!$B$6:$B$105,"*"&amp;A9&amp;"*",'疎通確認テストケース'!$P$6:$P$105,"NG"))</f>
        <v/>
      </c>
      <c r="K9" s="11">
        <f>IF(A9="","",IF(H9=0,"ケース未作成",IF(J9&gt;0,"NGあり",IF(I9=H9,"疎通OK","未完了"))))</f>
        <v/>
      </c>
      <c r="L9" s="10" t="n"/>
    </row>
    <row r="10">
      <c r="A10" s="10" t="inlineStr">
        <is>
          <t>R-06</t>
        </is>
      </c>
      <c r="B10" s="10" t="inlineStr">
        <is>
          <t>日次バッチ</t>
        </is>
      </c>
      <c r="C10" s="10" t="inlineStr">
        <is>
          <t>予約DB（集計テーブル）</t>
        </is>
      </c>
      <c r="D10" s="10" t="inlineStr">
        <is>
          <t>バッチ</t>
        </is>
      </c>
      <c r="E10" s="10" t="inlineStr">
        <is>
          <t>当日の予約件数</t>
        </is>
      </c>
      <c r="F10" s="10" t="inlineStr">
        <is>
          <t>対象（内部）</t>
        </is>
      </c>
      <c r="G10" s="10" t="inlineStr">
        <is>
          <t>バッチ正常終了・集計テーブルに当日分が入る</t>
        </is>
      </c>
      <c r="H10" s="11">
        <f>IF(A10="","",COUNTIF('疎通確認テストケース'!$B$6:$B$105,"*"&amp;A10&amp;"*"))</f>
        <v/>
      </c>
      <c r="I10" s="11">
        <f>IF(A10="","",COUNTIFS('疎通確認テストケース'!$B$6:$B$105,"*"&amp;A10&amp;"*",'疎通確認テストケース'!$P$6:$P$105,"OK"))</f>
        <v/>
      </c>
      <c r="J10" s="11">
        <f>IF(A10="","",COUNTIFS('疎通確認テストケース'!$B$6:$B$105,"*"&amp;A10&amp;"*",'疎通確認テストケース'!$P$6:$P$105,"NG"))</f>
        <v/>
      </c>
      <c r="K10" s="11">
        <f>IF(A10="","",IF(H10=0,"ケース未作成",IF(J10&gt;0,"NGあり",IF(I10=H10,"疎通OK","未完了"))))</f>
        <v/>
      </c>
      <c r="L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1">
        <f>IF(A11="","",COUNTIF('疎通確認テストケース'!$B$6:$B$105,"*"&amp;A11&amp;"*"))</f>
        <v/>
      </c>
      <c r="I11" s="11">
        <f>IF(A11="","",COUNTIFS('疎通確認テストケース'!$B$6:$B$105,"*"&amp;A11&amp;"*",'疎通確認テストケース'!$P$6:$P$105,"OK"))</f>
        <v/>
      </c>
      <c r="J11" s="11">
        <f>IF(A11="","",COUNTIFS('疎通確認テストケース'!$B$6:$B$105,"*"&amp;A11&amp;"*",'疎通確認テストケース'!$P$6:$P$105,"NG"))</f>
        <v/>
      </c>
      <c r="K11" s="11">
        <f>IF(A11="","",IF(H11=0,"ケース未作成",IF(J11&gt;0,"NGあり",IF(I11=H11,"疎通OK","未完了"))))</f>
        <v/>
      </c>
      <c r="L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1">
        <f>IF(A12="","",COUNTIF('疎通確認テストケース'!$B$6:$B$105,"*"&amp;A12&amp;"*"))</f>
        <v/>
      </c>
      <c r="I12" s="11">
        <f>IF(A12="","",COUNTIFS('疎通確認テストケース'!$B$6:$B$105,"*"&amp;A12&amp;"*",'疎通確認テストケース'!$P$6:$P$105,"OK"))</f>
        <v/>
      </c>
      <c r="J12" s="11">
        <f>IF(A12="","",COUNTIFS('疎通確認テストケース'!$B$6:$B$105,"*"&amp;A12&amp;"*",'疎通確認テストケース'!$P$6:$P$105,"NG"))</f>
        <v/>
      </c>
      <c r="K12" s="11">
        <f>IF(A12="","",IF(H12=0,"ケース未作成",IF(J12&gt;0,"NGあり",IF(I12=H12,"疎通OK","未完了"))))</f>
        <v/>
      </c>
      <c r="L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1">
        <f>IF(A13="","",COUNTIF('疎通確認テストケース'!$B$6:$B$105,"*"&amp;A13&amp;"*"))</f>
        <v/>
      </c>
      <c r="I13" s="11">
        <f>IF(A13="","",COUNTIFS('疎通確認テストケース'!$B$6:$B$105,"*"&amp;A13&amp;"*",'疎通確認テストケース'!$P$6:$P$105,"OK"))</f>
        <v/>
      </c>
      <c r="J13" s="11">
        <f>IF(A13="","",COUNTIFS('疎通確認テストケース'!$B$6:$B$105,"*"&amp;A13&amp;"*",'疎通確認テストケース'!$P$6:$P$105,"NG"))</f>
        <v/>
      </c>
      <c r="K13" s="11">
        <f>IF(A13="","",IF(H13=0,"ケース未作成",IF(J13&gt;0,"NGあり",IF(I13=H13,"疎通OK","未完了"))))</f>
        <v/>
      </c>
      <c r="L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1">
        <f>IF(A14="","",COUNTIF('疎通確認テストケース'!$B$6:$B$105,"*"&amp;A14&amp;"*"))</f>
        <v/>
      </c>
      <c r="I14" s="11">
        <f>IF(A14="","",COUNTIFS('疎通確認テストケース'!$B$6:$B$105,"*"&amp;A14&amp;"*",'疎通確認テストケース'!$P$6:$P$105,"OK"))</f>
        <v/>
      </c>
      <c r="J14" s="11">
        <f>IF(A14="","",COUNTIFS('疎通確認テストケース'!$B$6:$B$105,"*"&amp;A14&amp;"*",'疎通確認テストケース'!$P$6:$P$105,"NG"))</f>
        <v/>
      </c>
      <c r="K14" s="11">
        <f>IF(A14="","",IF(H14=0,"ケース未作成",IF(J14&gt;0,"NGあり",IF(I14=H14,"疎通OK","未完了"))))</f>
        <v/>
      </c>
      <c r="L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1">
        <f>IF(A15="","",COUNTIF('疎通確認テストケース'!$B$6:$B$105,"*"&amp;A15&amp;"*"))</f>
        <v/>
      </c>
      <c r="I15" s="11">
        <f>IF(A15="","",COUNTIFS('疎通確認テストケース'!$B$6:$B$105,"*"&amp;A15&amp;"*",'疎通確認テストケース'!$P$6:$P$105,"OK"))</f>
        <v/>
      </c>
      <c r="J15" s="11">
        <f>IF(A15="","",COUNTIFS('疎通確認テストケース'!$B$6:$B$105,"*"&amp;A15&amp;"*",'疎通確認テストケース'!$P$6:$P$105,"NG"))</f>
        <v/>
      </c>
      <c r="K15" s="11">
        <f>IF(A15="","",IF(H15=0,"ケース未作成",IF(J15&gt;0,"NGあり",IF(I15=H15,"疎通OK","未完了"))))</f>
        <v/>
      </c>
      <c r="L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1">
        <f>IF(A16="","",COUNTIF('疎通確認テストケース'!$B$6:$B$105,"*"&amp;A16&amp;"*"))</f>
        <v/>
      </c>
      <c r="I16" s="11">
        <f>IF(A16="","",COUNTIFS('疎通確認テストケース'!$B$6:$B$105,"*"&amp;A16&amp;"*",'疎通確認テストケース'!$P$6:$P$105,"OK"))</f>
        <v/>
      </c>
      <c r="J16" s="11">
        <f>IF(A16="","",COUNTIFS('疎通確認テストケース'!$B$6:$B$105,"*"&amp;A16&amp;"*",'疎通確認テストケース'!$P$6:$P$105,"NG"))</f>
        <v/>
      </c>
      <c r="K16" s="11">
        <f>IF(A16="","",IF(H16=0,"ケース未作成",IF(J16&gt;0,"NGあり",IF(I16=H16,"疎通OK","未完了"))))</f>
        <v/>
      </c>
      <c r="L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1">
        <f>IF(A17="","",COUNTIF('疎通確認テストケース'!$B$6:$B$105,"*"&amp;A17&amp;"*"))</f>
        <v/>
      </c>
      <c r="I17" s="11">
        <f>IF(A17="","",COUNTIFS('疎通確認テストケース'!$B$6:$B$105,"*"&amp;A17&amp;"*",'疎通確認テストケース'!$P$6:$P$105,"OK"))</f>
        <v/>
      </c>
      <c r="J17" s="11">
        <f>IF(A17="","",COUNTIFS('疎通確認テストケース'!$B$6:$B$105,"*"&amp;A17&amp;"*",'疎通確認テストケース'!$P$6:$P$105,"NG"))</f>
        <v/>
      </c>
      <c r="K17" s="11">
        <f>IF(A17="","",IF(H17=0,"ケース未作成",IF(J17&gt;0,"NGあり",IF(I17=H17,"疎通OK","未完了"))))</f>
        <v/>
      </c>
      <c r="L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1">
        <f>IF(A18="","",COUNTIF('疎通確認テストケース'!$B$6:$B$105,"*"&amp;A18&amp;"*"))</f>
        <v/>
      </c>
      <c r="I18" s="11">
        <f>IF(A18="","",COUNTIFS('疎通確認テストケース'!$B$6:$B$105,"*"&amp;A18&amp;"*",'疎通確認テストケース'!$P$6:$P$105,"OK"))</f>
        <v/>
      </c>
      <c r="J18" s="11">
        <f>IF(A18="","",COUNTIFS('疎通確認テストケース'!$B$6:$B$105,"*"&amp;A18&amp;"*",'疎通確認テストケース'!$P$6:$P$105,"NG"))</f>
        <v/>
      </c>
      <c r="K18" s="11">
        <f>IF(A18="","",IF(H18=0,"ケース未作成",IF(J18&gt;0,"NGあり",IF(I18=H18,"疎通OK","未完了"))))</f>
        <v/>
      </c>
      <c r="L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1">
        <f>IF(A19="","",COUNTIF('疎通確認テストケース'!$B$6:$B$105,"*"&amp;A19&amp;"*"))</f>
        <v/>
      </c>
      <c r="I19" s="11">
        <f>IF(A19="","",COUNTIFS('疎通確認テストケース'!$B$6:$B$105,"*"&amp;A19&amp;"*",'疎通確認テストケース'!$P$6:$P$105,"OK"))</f>
        <v/>
      </c>
      <c r="J19" s="11">
        <f>IF(A19="","",COUNTIFS('疎通確認テストケース'!$B$6:$B$105,"*"&amp;A19&amp;"*",'疎通確認テストケース'!$P$6:$P$105,"NG"))</f>
        <v/>
      </c>
      <c r="K19" s="11">
        <f>IF(A19="","",IF(H19=0,"ケース未作成",IF(J19&gt;0,"NGあり",IF(I19=H19,"疎通OK","未完了"))))</f>
        <v/>
      </c>
      <c r="L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1">
        <f>IF(A20="","",COUNTIF('疎通確認テストケース'!$B$6:$B$105,"*"&amp;A20&amp;"*"))</f>
        <v/>
      </c>
      <c r="I20" s="11">
        <f>IF(A20="","",COUNTIFS('疎通確認テストケース'!$B$6:$B$105,"*"&amp;A20&amp;"*",'疎通確認テストケース'!$P$6:$P$105,"OK"))</f>
        <v/>
      </c>
      <c r="J20" s="11">
        <f>IF(A20="","",COUNTIFS('疎通確認テストケース'!$B$6:$B$105,"*"&amp;A20&amp;"*",'疎通確認テストケース'!$P$6:$P$105,"NG"))</f>
        <v/>
      </c>
      <c r="K20" s="11">
        <f>IF(A20="","",IF(H20=0,"ケース未作成",IF(J20&gt;0,"NGあり",IF(I20=H20,"疎通OK","未完了"))))</f>
        <v/>
      </c>
      <c r="L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1">
        <f>IF(A21="","",COUNTIF('疎通確認テストケース'!$B$6:$B$105,"*"&amp;A21&amp;"*"))</f>
        <v/>
      </c>
      <c r="I21" s="11">
        <f>IF(A21="","",COUNTIFS('疎通確認テストケース'!$B$6:$B$105,"*"&amp;A21&amp;"*",'疎通確認テストケース'!$P$6:$P$105,"OK"))</f>
        <v/>
      </c>
      <c r="J21" s="11">
        <f>IF(A21="","",COUNTIFS('疎通確認テストケース'!$B$6:$B$105,"*"&amp;A21&amp;"*",'疎通確認テストケース'!$P$6:$P$105,"NG"))</f>
        <v/>
      </c>
      <c r="K21" s="11">
        <f>IF(A21="","",IF(H21=0,"ケース未作成",IF(J21&gt;0,"NGあり",IF(I21=H21,"疎通OK","未完了"))))</f>
        <v/>
      </c>
      <c r="L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1">
        <f>IF(A22="","",COUNTIF('疎通確認テストケース'!$B$6:$B$105,"*"&amp;A22&amp;"*"))</f>
        <v/>
      </c>
      <c r="I22" s="11">
        <f>IF(A22="","",COUNTIFS('疎通確認テストケース'!$B$6:$B$105,"*"&amp;A22&amp;"*",'疎通確認テストケース'!$P$6:$P$105,"OK"))</f>
        <v/>
      </c>
      <c r="J22" s="11">
        <f>IF(A22="","",COUNTIFS('疎通確認テストケース'!$B$6:$B$105,"*"&amp;A22&amp;"*",'疎通確認テストケース'!$P$6:$P$105,"NG"))</f>
        <v/>
      </c>
      <c r="K22" s="11">
        <f>IF(A22="","",IF(H22=0,"ケース未作成",IF(J22&gt;0,"NGあり",IF(I22=H22,"疎通OK","未完了"))))</f>
        <v/>
      </c>
      <c r="L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1">
        <f>IF(A23="","",COUNTIF('疎通確認テストケース'!$B$6:$B$105,"*"&amp;A23&amp;"*"))</f>
        <v/>
      </c>
      <c r="I23" s="11">
        <f>IF(A23="","",COUNTIFS('疎通確認テストケース'!$B$6:$B$105,"*"&amp;A23&amp;"*",'疎通確認テストケース'!$P$6:$P$105,"OK"))</f>
        <v/>
      </c>
      <c r="J23" s="11">
        <f>IF(A23="","",COUNTIFS('疎通確認テストケース'!$B$6:$B$105,"*"&amp;A23&amp;"*",'疎通確認テストケース'!$P$6:$P$105,"NG"))</f>
        <v/>
      </c>
      <c r="K23" s="11">
        <f>IF(A23="","",IF(H23=0,"ケース未作成",IF(J23&gt;0,"NGあり",IF(I23=H23,"疎通OK","未完了"))))</f>
        <v/>
      </c>
      <c r="L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1">
        <f>IF(A24="","",COUNTIF('疎通確認テストケース'!$B$6:$B$105,"*"&amp;A24&amp;"*"))</f>
        <v/>
      </c>
      <c r="I24" s="11">
        <f>IF(A24="","",COUNTIFS('疎通確認テストケース'!$B$6:$B$105,"*"&amp;A24&amp;"*",'疎通確認テストケース'!$P$6:$P$105,"OK"))</f>
        <v/>
      </c>
      <c r="J24" s="11">
        <f>IF(A24="","",COUNTIFS('疎通確認テストケース'!$B$6:$B$105,"*"&amp;A24&amp;"*",'疎通確認テストケース'!$P$6:$P$105,"NG"))</f>
        <v/>
      </c>
      <c r="K24" s="11">
        <f>IF(A24="","",IF(H24=0,"ケース未作成",IF(J24&gt;0,"NGあり",IF(I24=H24,"疎通OK","未完了"))))</f>
        <v/>
      </c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1">
        <f>IF(A25="","",COUNTIF('疎通確認テストケース'!$B$6:$B$105,"*"&amp;A25&amp;"*"))</f>
        <v/>
      </c>
      <c r="I25" s="11">
        <f>IF(A25="","",COUNTIFS('疎通確認テストケース'!$B$6:$B$105,"*"&amp;A25&amp;"*",'疎通確認テストケース'!$P$6:$P$105,"OK"))</f>
        <v/>
      </c>
      <c r="J25" s="11">
        <f>IF(A25="","",COUNTIFS('疎通確認テストケース'!$B$6:$B$105,"*"&amp;A25&amp;"*",'疎通確認テストケース'!$P$6:$P$105,"NG"))</f>
        <v/>
      </c>
      <c r="K25" s="11">
        <f>IF(A25="","",IF(H25=0,"ケース未作成",IF(J25&gt;0,"NGあり",IF(I25=H25,"疎通OK","未完了"))))</f>
        <v/>
      </c>
      <c r="L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1">
        <f>IF(A26="","",COUNTIF('疎通確認テストケース'!$B$6:$B$105,"*"&amp;A26&amp;"*"))</f>
        <v/>
      </c>
      <c r="I26" s="11">
        <f>IF(A26="","",COUNTIFS('疎通確認テストケース'!$B$6:$B$105,"*"&amp;A26&amp;"*",'疎通確認テストケース'!$P$6:$P$105,"OK"))</f>
        <v/>
      </c>
      <c r="J26" s="11">
        <f>IF(A26="","",COUNTIFS('疎通確認テストケース'!$B$6:$B$105,"*"&amp;A26&amp;"*",'疎通確認テストケース'!$P$6:$P$105,"NG"))</f>
        <v/>
      </c>
      <c r="K26" s="11">
        <f>IF(A26="","",IF(H26=0,"ケース未作成",IF(J26&gt;0,"NGあり",IF(I26=H26,"疎通OK","未完了"))))</f>
        <v/>
      </c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1">
        <f>IF(A27="","",COUNTIF('疎通確認テストケース'!$B$6:$B$105,"*"&amp;A27&amp;"*"))</f>
        <v/>
      </c>
      <c r="I27" s="11">
        <f>IF(A27="","",COUNTIFS('疎通確認テストケース'!$B$6:$B$105,"*"&amp;A27&amp;"*",'疎通確認テストケース'!$P$6:$P$105,"OK"))</f>
        <v/>
      </c>
      <c r="J27" s="11">
        <f>IF(A27="","",COUNTIFS('疎通確認テストケース'!$B$6:$B$105,"*"&amp;A27&amp;"*",'疎通確認テストケース'!$P$6:$P$105,"NG"))</f>
        <v/>
      </c>
      <c r="K27" s="11">
        <f>IF(A27="","",IF(H27=0,"ケース未作成",IF(J27&gt;0,"NGあり",IF(I27=H27,"疎通OK","未完了"))))</f>
        <v/>
      </c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1">
        <f>IF(A28="","",COUNTIF('疎通確認テストケース'!$B$6:$B$105,"*"&amp;A28&amp;"*"))</f>
        <v/>
      </c>
      <c r="I28" s="11">
        <f>IF(A28="","",COUNTIFS('疎通確認テストケース'!$B$6:$B$105,"*"&amp;A28&amp;"*",'疎通確認テストケース'!$P$6:$P$105,"OK"))</f>
        <v/>
      </c>
      <c r="J28" s="11">
        <f>IF(A28="","",COUNTIFS('疎通確認テストケース'!$B$6:$B$105,"*"&amp;A28&amp;"*",'疎通確認テストケース'!$P$6:$P$105,"NG"))</f>
        <v/>
      </c>
      <c r="K28" s="11">
        <f>IF(A28="","",IF(H28=0,"ケース未作成",IF(J28&gt;0,"NGあり",IF(I28=H28,"疎通OK","未完了"))))</f>
        <v/>
      </c>
      <c r="L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1">
        <f>IF(A29="","",COUNTIF('疎通確認テストケース'!$B$6:$B$105,"*"&amp;A29&amp;"*"))</f>
        <v/>
      </c>
      <c r="I29" s="11">
        <f>IF(A29="","",COUNTIFS('疎通確認テストケース'!$B$6:$B$105,"*"&amp;A29&amp;"*",'疎通確認テストケース'!$P$6:$P$105,"OK"))</f>
        <v/>
      </c>
      <c r="J29" s="11">
        <f>IF(A29="","",COUNTIFS('疎通確認テストケース'!$B$6:$B$105,"*"&amp;A29&amp;"*",'疎通確認テストケース'!$P$6:$P$105,"NG"))</f>
        <v/>
      </c>
      <c r="K29" s="11">
        <f>IF(A29="","",IF(H29=0,"ケース未作成",IF(J29&gt;0,"NGあり",IF(I29=H29,"疎通OK","未完了"))))</f>
        <v/>
      </c>
      <c r="L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1">
        <f>IF(A30="","",COUNTIF('疎通確認テストケース'!$B$6:$B$105,"*"&amp;A30&amp;"*"))</f>
        <v/>
      </c>
      <c r="I30" s="11">
        <f>IF(A30="","",COUNTIFS('疎通確認テストケース'!$B$6:$B$105,"*"&amp;A30&amp;"*",'疎通確認テストケース'!$P$6:$P$105,"OK"))</f>
        <v/>
      </c>
      <c r="J30" s="11">
        <f>IF(A30="","",COUNTIFS('疎通確認テストケース'!$B$6:$B$105,"*"&amp;A30&amp;"*",'疎通確認テストケース'!$P$6:$P$105,"NG"))</f>
        <v/>
      </c>
      <c r="K30" s="11">
        <f>IF(A30="","",IF(H30=0,"ケース未作成",IF(J30&gt;0,"NGあり",IF(I30=H30,"疎通OK","未完了"))))</f>
        <v/>
      </c>
      <c r="L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1">
        <f>IF(A31="","",COUNTIF('疎通確認テストケース'!$B$6:$B$105,"*"&amp;A31&amp;"*"))</f>
        <v/>
      </c>
      <c r="I31" s="11">
        <f>IF(A31="","",COUNTIFS('疎通確認テストケース'!$B$6:$B$105,"*"&amp;A31&amp;"*",'疎通確認テストケース'!$P$6:$P$105,"OK"))</f>
        <v/>
      </c>
      <c r="J31" s="11">
        <f>IF(A31="","",COUNTIFS('疎通確認テストケース'!$B$6:$B$105,"*"&amp;A31&amp;"*",'疎通確認テストケース'!$P$6:$P$105,"NG"))</f>
        <v/>
      </c>
      <c r="K31" s="11">
        <f>IF(A31="","",IF(H31=0,"ケース未作成",IF(J31&gt;0,"NGあり",IF(I31=H31,"疎通OK","未完了"))))</f>
        <v/>
      </c>
      <c r="L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1">
        <f>IF(A32="","",COUNTIF('疎通確認テストケース'!$B$6:$B$105,"*"&amp;A32&amp;"*"))</f>
        <v/>
      </c>
      <c r="I32" s="11">
        <f>IF(A32="","",COUNTIFS('疎通確認テストケース'!$B$6:$B$105,"*"&amp;A32&amp;"*",'疎通確認テストケース'!$P$6:$P$105,"OK"))</f>
        <v/>
      </c>
      <c r="J32" s="11">
        <f>IF(A32="","",COUNTIFS('疎通確認テストケース'!$B$6:$B$105,"*"&amp;A32&amp;"*",'疎通確認テストケース'!$P$6:$P$105,"NG"))</f>
        <v/>
      </c>
      <c r="K32" s="11">
        <f>IF(A32="","",IF(H32=0,"ケース未作成",IF(J32&gt;0,"NGあり",IF(I32=H32,"疎通OK","未完了"))))</f>
        <v/>
      </c>
      <c r="L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1">
        <f>IF(A33="","",COUNTIF('疎通確認テストケース'!$B$6:$B$105,"*"&amp;A33&amp;"*"))</f>
        <v/>
      </c>
      <c r="I33" s="11">
        <f>IF(A33="","",COUNTIFS('疎通確認テストケース'!$B$6:$B$105,"*"&amp;A33&amp;"*",'疎通確認テストケース'!$P$6:$P$105,"OK"))</f>
        <v/>
      </c>
      <c r="J33" s="11">
        <f>IF(A33="","",COUNTIFS('疎通確認テストケース'!$B$6:$B$105,"*"&amp;A33&amp;"*",'疎通確認テストケース'!$P$6:$P$105,"NG"))</f>
        <v/>
      </c>
      <c r="K33" s="11">
        <f>IF(A33="","",IF(H33=0,"ケース未作成",IF(J33&gt;0,"NGあり",IF(I33=H33,"疎通OK","未完了"))))</f>
        <v/>
      </c>
      <c r="L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1">
        <f>IF(A34="","",COUNTIF('疎通確認テストケース'!$B$6:$B$105,"*"&amp;A34&amp;"*"))</f>
        <v/>
      </c>
      <c r="I34" s="11">
        <f>IF(A34="","",COUNTIFS('疎通確認テストケース'!$B$6:$B$105,"*"&amp;A34&amp;"*",'疎通確認テストケース'!$P$6:$P$105,"OK"))</f>
        <v/>
      </c>
      <c r="J34" s="11">
        <f>IF(A34="","",COUNTIFS('疎通確認テストケース'!$B$6:$B$105,"*"&amp;A34&amp;"*",'疎通確認テストケース'!$P$6:$P$105,"NG"))</f>
        <v/>
      </c>
      <c r="K34" s="11">
        <f>IF(A34="","",IF(H34=0,"ケース未作成",IF(J34&gt;0,"NGあり",IF(I34=H34,"疎通OK","未完了"))))</f>
        <v/>
      </c>
      <c r="L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1">
        <f>IF(A35="","",COUNTIF('疎通確認テストケース'!$B$6:$B$105,"*"&amp;A35&amp;"*"))</f>
        <v/>
      </c>
      <c r="I35" s="11">
        <f>IF(A35="","",COUNTIFS('疎通確認テストケース'!$B$6:$B$105,"*"&amp;A35&amp;"*",'疎通確認テストケース'!$P$6:$P$105,"OK"))</f>
        <v/>
      </c>
      <c r="J35" s="11">
        <f>IF(A35="","",COUNTIFS('疎通確認テストケース'!$B$6:$B$105,"*"&amp;A35&amp;"*",'疎通確認テストケース'!$P$6:$P$105,"NG"))</f>
        <v/>
      </c>
      <c r="K35" s="11">
        <f>IF(A35="","",IF(H35=0,"ケース未作成",IF(J35&gt;0,"NGあり",IF(I35=H35,"疎通OK","未完了"))))</f>
        <v/>
      </c>
      <c r="L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1">
        <f>IF(A36="","",COUNTIF('疎通確認テストケース'!$B$6:$B$105,"*"&amp;A36&amp;"*"))</f>
        <v/>
      </c>
      <c r="I36" s="11">
        <f>IF(A36="","",COUNTIFS('疎通確認テストケース'!$B$6:$B$105,"*"&amp;A36&amp;"*",'疎通確認テストケース'!$P$6:$P$105,"OK"))</f>
        <v/>
      </c>
      <c r="J36" s="11">
        <f>IF(A36="","",COUNTIFS('疎通確認テストケース'!$B$6:$B$105,"*"&amp;A36&amp;"*",'疎通確認テストケース'!$P$6:$P$105,"NG"))</f>
        <v/>
      </c>
      <c r="K36" s="11">
        <f>IF(A36="","",IF(H36=0,"ケース未作成",IF(J36&gt;0,"NGあり",IF(I36=H36,"疎通OK","未完了"))))</f>
        <v/>
      </c>
      <c r="L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1">
        <f>IF(A37="","",COUNTIF('疎通確認テストケース'!$B$6:$B$105,"*"&amp;A37&amp;"*"))</f>
        <v/>
      </c>
      <c r="I37" s="11">
        <f>IF(A37="","",COUNTIFS('疎通確認テストケース'!$B$6:$B$105,"*"&amp;A37&amp;"*",'疎通確認テストケース'!$P$6:$P$105,"OK"))</f>
        <v/>
      </c>
      <c r="J37" s="11">
        <f>IF(A37="","",COUNTIFS('疎通確認テストケース'!$B$6:$B$105,"*"&amp;A37&amp;"*",'疎通確認テストケース'!$P$6:$P$105,"NG"))</f>
        <v/>
      </c>
      <c r="K37" s="11">
        <f>IF(A37="","",IF(H37=0,"ケース未作成",IF(J37&gt;0,"NGあり",IF(I37=H37,"疎通OK","未完了"))))</f>
        <v/>
      </c>
      <c r="L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1">
        <f>IF(A38="","",COUNTIF('疎通確認テストケース'!$B$6:$B$105,"*"&amp;A38&amp;"*"))</f>
        <v/>
      </c>
      <c r="I38" s="11">
        <f>IF(A38="","",COUNTIFS('疎通確認テストケース'!$B$6:$B$105,"*"&amp;A38&amp;"*",'疎通確認テストケース'!$P$6:$P$105,"OK"))</f>
        <v/>
      </c>
      <c r="J38" s="11">
        <f>IF(A38="","",COUNTIFS('疎通確認テストケース'!$B$6:$B$105,"*"&amp;A38&amp;"*",'疎通確認テストケース'!$P$6:$P$105,"NG"))</f>
        <v/>
      </c>
      <c r="K38" s="11">
        <f>IF(A38="","",IF(H38=0,"ケース未作成",IF(J38&gt;0,"NGあり",IF(I38=H38,"疎通OK","未完了"))))</f>
        <v/>
      </c>
      <c r="L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1">
        <f>IF(A39="","",COUNTIF('疎通確認テストケース'!$B$6:$B$105,"*"&amp;A39&amp;"*"))</f>
        <v/>
      </c>
      <c r="I39" s="11">
        <f>IF(A39="","",COUNTIFS('疎通確認テストケース'!$B$6:$B$105,"*"&amp;A39&amp;"*",'疎通確認テストケース'!$P$6:$P$105,"OK"))</f>
        <v/>
      </c>
      <c r="J39" s="11">
        <f>IF(A39="","",COUNTIFS('疎通確認テストケース'!$B$6:$B$105,"*"&amp;A39&amp;"*",'疎通確認テストケース'!$P$6:$P$105,"NG"))</f>
        <v/>
      </c>
      <c r="K39" s="11">
        <f>IF(A39="","",IF(H39=0,"ケース未作成",IF(J39&gt;0,"NGあり",IF(I39=H39,"疎通OK","未完了"))))</f>
        <v/>
      </c>
      <c r="L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1">
        <f>IF(A40="","",COUNTIF('疎通確認テストケース'!$B$6:$B$105,"*"&amp;A40&amp;"*"))</f>
        <v/>
      </c>
      <c r="I40" s="11">
        <f>IF(A40="","",COUNTIFS('疎通確認テストケース'!$B$6:$B$105,"*"&amp;A40&amp;"*",'疎通確認テストケース'!$P$6:$P$105,"OK"))</f>
        <v/>
      </c>
      <c r="J40" s="11">
        <f>IF(A40="","",COUNTIFS('疎通確認テストケース'!$B$6:$B$105,"*"&amp;A40&amp;"*",'疎通確認テストケース'!$P$6:$P$105,"NG"))</f>
        <v/>
      </c>
      <c r="K40" s="11">
        <f>IF(A40="","",IF(H40=0,"ケース未作成",IF(J40&gt;0,"NGあり",IF(I40=H40,"疎通OK","未完了"))))</f>
        <v/>
      </c>
      <c r="L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1">
        <f>IF(A41="","",COUNTIF('疎通確認テストケース'!$B$6:$B$105,"*"&amp;A41&amp;"*"))</f>
        <v/>
      </c>
      <c r="I41" s="11">
        <f>IF(A41="","",COUNTIFS('疎通確認テストケース'!$B$6:$B$105,"*"&amp;A41&amp;"*",'疎通確認テストケース'!$P$6:$P$105,"OK"))</f>
        <v/>
      </c>
      <c r="J41" s="11">
        <f>IF(A41="","",COUNTIFS('疎通確認テストケース'!$B$6:$B$105,"*"&amp;A41&amp;"*",'疎通確認テストケース'!$P$6:$P$105,"NG"))</f>
        <v/>
      </c>
      <c r="K41" s="11">
        <f>IF(A41="","",IF(H41=0,"ケース未作成",IF(J41&gt;0,"NGあり",IF(I41=H41,"疎通OK","未完了"))))</f>
        <v/>
      </c>
      <c r="L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1">
        <f>IF(A42="","",COUNTIF('疎通確認テストケース'!$B$6:$B$105,"*"&amp;A42&amp;"*"))</f>
        <v/>
      </c>
      <c r="I42" s="11">
        <f>IF(A42="","",COUNTIFS('疎通確認テストケース'!$B$6:$B$105,"*"&amp;A42&amp;"*",'疎通確認テストケース'!$P$6:$P$105,"OK"))</f>
        <v/>
      </c>
      <c r="J42" s="11">
        <f>IF(A42="","",COUNTIFS('疎通確認テストケース'!$B$6:$B$105,"*"&amp;A42&amp;"*",'疎通確認テストケース'!$P$6:$P$105,"NG"))</f>
        <v/>
      </c>
      <c r="K42" s="11">
        <f>IF(A42="","",IF(H42=0,"ケース未作成",IF(J42&gt;0,"NGあり",IF(I42=H42,"疎通OK","未完了"))))</f>
        <v/>
      </c>
      <c r="L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1">
        <f>IF(A43="","",COUNTIF('疎通確認テストケース'!$B$6:$B$105,"*"&amp;A43&amp;"*"))</f>
        <v/>
      </c>
      <c r="I43" s="11">
        <f>IF(A43="","",COUNTIFS('疎通確認テストケース'!$B$6:$B$105,"*"&amp;A43&amp;"*",'疎通確認テストケース'!$P$6:$P$105,"OK"))</f>
        <v/>
      </c>
      <c r="J43" s="11">
        <f>IF(A43="","",COUNTIFS('疎通確認テストケース'!$B$6:$B$105,"*"&amp;A43&amp;"*",'疎通確認テストケース'!$P$6:$P$105,"NG"))</f>
        <v/>
      </c>
      <c r="K43" s="11">
        <f>IF(A43="","",IF(H43=0,"ケース未作成",IF(J43&gt;0,"NGあり",IF(I43=H43,"疎通OK","未完了"))))</f>
        <v/>
      </c>
      <c r="L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1">
        <f>IF(A44="","",COUNTIF('疎通確認テストケース'!$B$6:$B$105,"*"&amp;A44&amp;"*"))</f>
        <v/>
      </c>
      <c r="I44" s="11">
        <f>IF(A44="","",COUNTIFS('疎通確認テストケース'!$B$6:$B$105,"*"&amp;A44&amp;"*",'疎通確認テストケース'!$P$6:$P$105,"OK"))</f>
        <v/>
      </c>
      <c r="J44" s="11">
        <f>IF(A44="","",COUNTIFS('疎通確認テストケース'!$B$6:$B$105,"*"&amp;A44&amp;"*",'疎通確認テストケース'!$P$6:$P$105,"NG"))</f>
        <v/>
      </c>
      <c r="K44" s="11">
        <f>IF(A44="","",IF(H44=0,"ケース未作成",IF(J44&gt;0,"NGあり",IF(I44=H44,"疎通OK","未完了"))))</f>
        <v/>
      </c>
      <c r="L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1">
        <f>IF(A45="","",COUNTIF('疎通確認テストケース'!$B$6:$B$105,"*"&amp;A45&amp;"*"))</f>
        <v/>
      </c>
      <c r="I45" s="11">
        <f>IF(A45="","",COUNTIFS('疎通確認テストケース'!$B$6:$B$105,"*"&amp;A45&amp;"*",'疎通確認テストケース'!$P$6:$P$105,"OK"))</f>
        <v/>
      </c>
      <c r="J45" s="11">
        <f>IF(A45="","",COUNTIFS('疎通確認テストケース'!$B$6:$B$105,"*"&amp;A45&amp;"*",'疎通確認テストケース'!$P$6:$P$105,"NG"))</f>
        <v/>
      </c>
      <c r="K45" s="11">
        <f>IF(A45="","",IF(H45=0,"ケース未作成",IF(J45&gt;0,"NGあり",IF(I45=H45,"疎通OK","未完了"))))</f>
        <v/>
      </c>
      <c r="L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1">
        <f>IF(A46="","",COUNTIF('疎通確認テストケース'!$B$6:$B$105,"*"&amp;A46&amp;"*"))</f>
        <v/>
      </c>
      <c r="I46" s="11">
        <f>IF(A46="","",COUNTIFS('疎通確認テストケース'!$B$6:$B$105,"*"&amp;A46&amp;"*",'疎通確認テストケース'!$P$6:$P$105,"OK"))</f>
        <v/>
      </c>
      <c r="J46" s="11">
        <f>IF(A46="","",COUNTIFS('疎通確認テストケース'!$B$6:$B$105,"*"&amp;A46&amp;"*",'疎通確認テストケース'!$P$6:$P$105,"NG"))</f>
        <v/>
      </c>
      <c r="K46" s="11">
        <f>IF(A46="","",IF(H46=0,"ケース未作成",IF(J46&gt;0,"NGあり",IF(I46=H46,"疎通OK","未完了"))))</f>
        <v/>
      </c>
      <c r="L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1">
        <f>IF(A47="","",COUNTIF('疎通確認テストケース'!$B$6:$B$105,"*"&amp;A47&amp;"*"))</f>
        <v/>
      </c>
      <c r="I47" s="11">
        <f>IF(A47="","",COUNTIFS('疎通確認テストケース'!$B$6:$B$105,"*"&amp;A47&amp;"*",'疎通確認テストケース'!$P$6:$P$105,"OK"))</f>
        <v/>
      </c>
      <c r="J47" s="11">
        <f>IF(A47="","",COUNTIFS('疎通確認テストケース'!$B$6:$B$105,"*"&amp;A47&amp;"*",'疎通確認テストケース'!$P$6:$P$105,"NG"))</f>
        <v/>
      </c>
      <c r="K47" s="11">
        <f>IF(A47="","",IF(H47=0,"ケース未作成",IF(J47&gt;0,"NGあり",IF(I47=H47,"疎通OK","未完了"))))</f>
        <v/>
      </c>
      <c r="L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1">
        <f>IF(A48="","",COUNTIF('疎通確認テストケース'!$B$6:$B$105,"*"&amp;A48&amp;"*"))</f>
        <v/>
      </c>
      <c r="I48" s="11">
        <f>IF(A48="","",COUNTIFS('疎通確認テストケース'!$B$6:$B$105,"*"&amp;A48&amp;"*",'疎通確認テストケース'!$P$6:$P$105,"OK"))</f>
        <v/>
      </c>
      <c r="J48" s="11">
        <f>IF(A48="","",COUNTIFS('疎通確認テストケース'!$B$6:$B$105,"*"&amp;A48&amp;"*",'疎通確認テストケース'!$P$6:$P$105,"NG"))</f>
        <v/>
      </c>
      <c r="K48" s="11">
        <f>IF(A48="","",IF(H48=0,"ケース未作成",IF(J48&gt;0,"NGあり",IF(I48=H48,"疎通OK","未完了"))))</f>
        <v/>
      </c>
      <c r="L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1">
        <f>IF(A49="","",COUNTIF('疎通確認テストケース'!$B$6:$B$105,"*"&amp;A49&amp;"*"))</f>
        <v/>
      </c>
      <c r="I49" s="11">
        <f>IF(A49="","",COUNTIFS('疎通確認テストケース'!$B$6:$B$105,"*"&amp;A49&amp;"*",'疎通確認テストケース'!$P$6:$P$105,"OK"))</f>
        <v/>
      </c>
      <c r="J49" s="11">
        <f>IF(A49="","",COUNTIFS('疎通確認テストケース'!$B$6:$B$105,"*"&amp;A49&amp;"*",'疎通確認テストケース'!$P$6:$P$105,"NG"))</f>
        <v/>
      </c>
      <c r="K49" s="11">
        <f>IF(A49="","",IF(H49=0,"ケース未作成",IF(J49&gt;0,"NGあり",IF(I49=H49,"疎通OK","未完了"))))</f>
        <v/>
      </c>
      <c r="L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1">
        <f>IF(A50="","",COUNTIF('疎通確認テストケース'!$B$6:$B$105,"*"&amp;A50&amp;"*"))</f>
        <v/>
      </c>
      <c r="I50" s="11">
        <f>IF(A50="","",COUNTIFS('疎通確認テストケース'!$B$6:$B$105,"*"&amp;A50&amp;"*",'疎通確認テストケース'!$P$6:$P$105,"OK"))</f>
        <v/>
      </c>
      <c r="J50" s="11">
        <f>IF(A50="","",COUNTIFS('疎通確認テストケース'!$B$6:$B$105,"*"&amp;A50&amp;"*",'疎通確認テストケース'!$P$6:$P$105,"NG"))</f>
        <v/>
      </c>
      <c r="K50" s="11">
        <f>IF(A50="","",IF(H50=0,"ケース未作成",IF(J50&gt;0,"NGあり",IF(I50=H50,"疎通OK","未完了"))))</f>
        <v/>
      </c>
      <c r="L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1">
        <f>IF(A51="","",COUNTIF('疎通確認テストケース'!$B$6:$B$105,"*"&amp;A51&amp;"*"))</f>
        <v/>
      </c>
      <c r="I51" s="11">
        <f>IF(A51="","",COUNTIFS('疎通確認テストケース'!$B$6:$B$105,"*"&amp;A51&amp;"*",'疎通確認テストケース'!$P$6:$P$105,"OK"))</f>
        <v/>
      </c>
      <c r="J51" s="11">
        <f>IF(A51="","",COUNTIFS('疎通確認テストケース'!$B$6:$B$105,"*"&amp;A51&amp;"*",'疎通確認テストケース'!$P$6:$P$105,"NG"))</f>
        <v/>
      </c>
      <c r="K51" s="11">
        <f>IF(A51="","",IF(H51=0,"ケース未作成",IF(J51&gt;0,"NGあり",IF(I51=H51,"疎通OK","未完了"))))</f>
        <v/>
      </c>
      <c r="L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1">
        <f>IF(A52="","",COUNTIF('疎通確認テストケース'!$B$6:$B$105,"*"&amp;A52&amp;"*"))</f>
        <v/>
      </c>
      <c r="I52" s="11">
        <f>IF(A52="","",COUNTIFS('疎通確認テストケース'!$B$6:$B$105,"*"&amp;A52&amp;"*",'疎通確認テストケース'!$P$6:$P$105,"OK"))</f>
        <v/>
      </c>
      <c r="J52" s="11">
        <f>IF(A52="","",COUNTIFS('疎通確認テストケース'!$B$6:$B$105,"*"&amp;A52&amp;"*",'疎通確認テストケース'!$P$6:$P$105,"NG"))</f>
        <v/>
      </c>
      <c r="K52" s="11">
        <f>IF(A52="","",IF(H52=0,"ケース未作成",IF(J52&gt;0,"NGあり",IF(I52=H52,"疎通OK","未完了"))))</f>
        <v/>
      </c>
      <c r="L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1">
        <f>IF(A53="","",COUNTIF('疎通確認テストケース'!$B$6:$B$105,"*"&amp;A53&amp;"*"))</f>
        <v/>
      </c>
      <c r="I53" s="11">
        <f>IF(A53="","",COUNTIFS('疎通確認テストケース'!$B$6:$B$105,"*"&amp;A53&amp;"*",'疎通確認テストケース'!$P$6:$P$105,"OK"))</f>
        <v/>
      </c>
      <c r="J53" s="11">
        <f>IF(A53="","",COUNTIFS('疎通確認テストケース'!$B$6:$B$105,"*"&amp;A53&amp;"*",'疎通確認テストケース'!$P$6:$P$105,"NG"))</f>
        <v/>
      </c>
      <c r="K53" s="11">
        <f>IF(A53="","",IF(H53=0,"ケース未作成",IF(J53&gt;0,"NGあり",IF(I53=H53,"疎通OK","未完了"))))</f>
        <v/>
      </c>
      <c r="L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1">
        <f>IF(A54="","",COUNTIF('疎通確認テストケース'!$B$6:$B$105,"*"&amp;A54&amp;"*"))</f>
        <v/>
      </c>
      <c r="I54" s="11">
        <f>IF(A54="","",COUNTIFS('疎通確認テストケース'!$B$6:$B$105,"*"&amp;A54&amp;"*",'疎通確認テストケース'!$P$6:$P$105,"OK"))</f>
        <v/>
      </c>
      <c r="J54" s="11">
        <f>IF(A54="","",COUNTIFS('疎通確認テストケース'!$B$6:$B$105,"*"&amp;A54&amp;"*",'疎通確認テストケース'!$P$6:$P$105,"NG"))</f>
        <v/>
      </c>
      <c r="K54" s="11">
        <f>IF(A54="","",IF(H54=0,"ケース未作成",IF(J54&gt;0,"NGあり",IF(I54=H54,"疎通OK","未完了"))))</f>
        <v/>
      </c>
      <c r="L54" s="10" t="n"/>
    </row>
  </sheetData>
  <mergeCells count="2">
    <mergeCell ref="A3:G3"/>
    <mergeCell ref="H3:K3"/>
  </mergeCells>
  <conditionalFormatting sqref="K5:K54">
    <cfRule type="cellIs" priority="1" operator="equal" dxfId="0">
      <formula>"疎通OK"</formula>
    </cfRule>
    <cfRule type="cellIs" priority="2" operator="equal" dxfId="1">
      <formula>"NGあり"</formula>
    </cfRule>
    <cfRule type="cellIs" priority="3" operator="equal" dxfId="2">
      <formula>"ケース未作成"</formula>
    </cfRule>
  </conditionalFormatting>
  <dataValidations count="2">
    <dataValidation sqref="D5:D54" showDropDown="0" showInputMessage="0" showErrorMessage="0" allowBlank="1" type="list">
      <formula1>"画面遷移,API,DB,バッチ,ファイル,メッセージ,外部連携"</formula1>
    </dataValidation>
    <dataValidation sqref="F5:F54" showDropDown="0" showInputMessage="0" showErrorMessage="0" allowBlank="1" type="list">
      <formula1>"対象（内部）,スタブ,実接続,未接続,なし"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8" customWidth="1" min="4" max="4"/>
    <col width="26" customWidth="1" min="5" max="5"/>
    <col width="24" customWidth="1" min="6" max="6"/>
    <col width="34" customWidth="1" min="7" max="7"/>
    <col width="24" customWidth="1" min="8" max="8"/>
    <col width="24" customWidth="1" min="9" max="9"/>
    <col width="24" customWidth="1" min="10" max="10"/>
    <col width="11" customWidth="1" min="11" max="11"/>
    <col width="7" customWidth="1" min="12" max="12"/>
    <col width="8" customWidth="1" min="13" max="13"/>
    <col width="11" customWidth="1" min="14" max="14"/>
    <col width="10" customWidth="1" min="15" max="15"/>
    <col width="9" customWidth="1" min="16" max="16"/>
    <col width="10" customWidth="1" min="17" max="17"/>
    <col width="20" customWidth="1" min="18" max="18"/>
    <col width="22" customWidth="1" min="19" max="19"/>
    <col hidden="1" width="12" customWidth="1" min="21" max="21"/>
  </cols>
  <sheetData>
    <row r="1">
      <c r="A1" s="4" t="inlineStr">
        <is>
          <t>疎通確認テストケース（内部結合）</t>
        </is>
      </c>
    </row>
    <row r="2">
      <c r="A2" s="9" t="inlineStr">
        <is>
          <t>対象システム</t>
        </is>
      </c>
      <c r="B2" s="12" t="inlineStr">
        <is>
          <t>予約システム（記入例）</t>
        </is>
      </c>
      <c r="C2" s="8" t="n"/>
      <c r="D2" s="9" t="inlineStr">
        <is>
          <t>環境</t>
        </is>
      </c>
      <c r="E2" s="12" t="inlineStr">
        <is>
          <t>STG</t>
        </is>
      </c>
      <c r="F2" s="8" t="n"/>
      <c r="G2" s="9" t="inlineStr">
        <is>
          <t>ビルド/版</t>
        </is>
      </c>
      <c r="H2" s="12" t="inlineStr"/>
      <c r="I2" s="8" t="n"/>
      <c r="J2" s="9" t="inlineStr">
        <is>
          <t>実施期間</t>
        </is>
      </c>
      <c r="K2" s="12" t="inlineStr"/>
      <c r="L2" s="7" t="n"/>
      <c r="M2" s="8" t="n"/>
    </row>
    <row r="3">
      <c r="A3" s="5" t="inlineStr">
        <is>
          <t>1ケース＝1経路を代表データ1件で通す。操作は → でつないだ1行で書く。経路IDはプルダウン（複数ならカンマ区切りで手入力）。</t>
        </is>
      </c>
    </row>
    <row r="4">
      <c r="A4" s="6" t="inlineStr">
        <is>
          <t>テストケース</t>
        </is>
      </c>
      <c r="B4" s="7" t="n"/>
      <c r="C4" s="7" t="n"/>
      <c r="D4" s="7" t="n"/>
      <c r="E4" s="7" t="n"/>
      <c r="F4" s="7" t="n"/>
      <c r="G4" s="8" t="n"/>
      <c r="H4" s="6" t="inlineStr">
        <is>
          <t>確認ポイント</t>
        </is>
      </c>
      <c r="I4" s="7" t="n"/>
      <c r="J4" s="8" t="n"/>
      <c r="K4" s="6" t="inlineStr"/>
      <c r="L4" s="7" t="n"/>
      <c r="M4" s="8" t="n"/>
      <c r="N4" s="6" t="inlineStr">
        <is>
          <t>実行結果</t>
        </is>
      </c>
      <c r="O4" s="7" t="n"/>
      <c r="P4" s="7" t="n"/>
      <c r="Q4" s="7" t="n"/>
      <c r="R4" s="7" t="n"/>
      <c r="S4" s="8" t="n"/>
    </row>
    <row r="5" ht="30" customHeight="1">
      <c r="A5" s="9" t="inlineStr">
        <is>
          <t>ID</t>
        </is>
      </c>
      <c r="B5" s="9" t="inlineStr">
        <is>
          <t>経路ID</t>
        </is>
      </c>
      <c r="C5" s="9" t="inlineStr">
        <is>
          <t>シナリオID</t>
        </is>
      </c>
      <c r="D5" s="9" t="inlineStr">
        <is>
          <t>区分</t>
        </is>
      </c>
      <c r="E5" s="9" t="inlineStr">
        <is>
          <t>確認したいこと</t>
        </is>
      </c>
      <c r="F5" s="9" t="inlineStr">
        <is>
          <t>事前条件・テストデータ</t>
        </is>
      </c>
      <c r="G5" s="9" t="inlineStr">
        <is>
          <t>操作の概要（→でつなぐ）</t>
        </is>
      </c>
      <c r="H5" s="9" t="inlineStr">
        <is>
          <t>画面</t>
        </is>
      </c>
      <c r="I5" s="9" t="inlineStr">
        <is>
          <t>データ（DB）</t>
        </is>
      </c>
      <c r="J5" s="9" t="inlineStr">
        <is>
          <t>ログ・スタブ</t>
        </is>
      </c>
      <c r="K5" s="9" t="inlineStr">
        <is>
          <t>外部連携の扱い</t>
        </is>
      </c>
      <c r="L5" s="9" t="inlineStr">
        <is>
          <t>優先度</t>
        </is>
      </c>
      <c r="M5" s="9" t="inlineStr">
        <is>
          <t>自動化候補</t>
        </is>
      </c>
      <c r="N5" s="9" t="inlineStr">
        <is>
          <t>実行日</t>
        </is>
      </c>
      <c r="O5" s="9" t="inlineStr">
        <is>
          <t>実行者</t>
        </is>
      </c>
      <c r="P5" s="9" t="inlineStr">
        <is>
          <t>結果</t>
        </is>
      </c>
      <c r="Q5" s="9" t="inlineStr">
        <is>
          <t>欠陥ID</t>
        </is>
      </c>
      <c r="R5" s="9" t="inlineStr">
        <is>
          <t>証跡（スクショ・ログ）</t>
        </is>
      </c>
      <c r="S5" s="9" t="inlineStr">
        <is>
          <t>備考</t>
        </is>
      </c>
      <c r="U5" s="6" t="inlineStr">
        <is>
          <t>プルダウン用（非表示・編集しない）</t>
        </is>
      </c>
    </row>
    <row r="6">
      <c r="A6" s="13" t="inlineStr">
        <is>
          <t>IT-01</t>
        </is>
      </c>
      <c r="B6" s="13" t="inlineStr">
        <is>
          <t>R-01,R-02</t>
        </is>
      </c>
      <c r="C6" s="13" t="inlineStr">
        <is>
          <t>SC-01</t>
        </is>
      </c>
      <c r="D6" s="13" t="inlineStr">
        <is>
          <t>正常系</t>
        </is>
      </c>
      <c r="E6" s="10" t="inlineStr">
        <is>
          <t>予約入力から登録までデータが通る</t>
        </is>
      </c>
      <c r="F6" s="10" t="inlineStr">
        <is>
          <t>会員アカウント1件／空き枠がある日時</t>
        </is>
      </c>
      <c r="G6" s="10" t="inlineStr">
        <is>
          <t>ログイン → 空き枠検索 → 日時を選択 → 入力 → 確定</t>
        </is>
      </c>
      <c r="H6" s="10" t="inlineStr">
        <is>
          <t>完了画面に予約番号が表示される</t>
        </is>
      </c>
      <c r="I6" s="10" t="inlineStr">
        <is>
          <t>予約テーブルに1件登録（予約番号・会員ID一致）</t>
        </is>
      </c>
      <c r="J6" s="10" t="inlineStr">
        <is>
          <t>APIログにエラーがない</t>
        </is>
      </c>
      <c r="K6" s="13" t="inlineStr">
        <is>
          <t>なし</t>
        </is>
      </c>
      <c r="L6" s="13" t="inlineStr">
        <is>
          <t>高</t>
        </is>
      </c>
      <c r="M6" s="13" t="inlineStr">
        <is>
          <t>○</t>
        </is>
      </c>
      <c r="N6" s="14" t="n"/>
      <c r="O6" s="13" t="n"/>
      <c r="P6" s="13" t="inlineStr">
        <is>
          <t>未実施</t>
        </is>
      </c>
      <c r="Q6" s="13" t="n"/>
      <c r="R6" s="10" t="n"/>
      <c r="S6" s="10" t="n"/>
      <c r="U6" s="15">
        <f>IF('接続一覧'!A5="","",'接続一覧'!A5)</f>
        <v/>
      </c>
    </row>
    <row r="7">
      <c r="A7" s="13" t="inlineStr">
        <is>
          <t>IT-02</t>
        </is>
      </c>
      <c r="B7" s="13" t="inlineStr">
        <is>
          <t>R-03</t>
        </is>
      </c>
      <c r="C7" s="13" t="inlineStr">
        <is>
          <t>SC-01</t>
        </is>
      </c>
      <c r="D7" s="13" t="inlineStr">
        <is>
          <t>正常系</t>
        </is>
      </c>
      <c r="E7" s="10" t="inlineStr">
        <is>
          <t>予約確定時に決済依頼がスタブへ届く</t>
        </is>
      </c>
      <c r="F7" s="10" t="inlineStr">
        <is>
          <t>IT-01と同じ</t>
        </is>
      </c>
      <c r="G7" s="10" t="inlineStr">
        <is>
          <t>IT-01の確定操作</t>
        </is>
      </c>
      <c r="H7" s="10" t="inlineStr">
        <is>
          <t>完了画面が表示される</t>
        </is>
      </c>
      <c r="I7" s="10" t="inlineStr">
        <is>
          <t>決済状態＝決済済み</t>
        </is>
      </c>
      <c r="J7" s="10" t="inlineStr">
        <is>
          <t>決済スタブのログに依頼（金額・予約番号）がある</t>
        </is>
      </c>
      <c r="K7" s="13" t="inlineStr">
        <is>
          <t>スタブ</t>
        </is>
      </c>
      <c r="L7" s="13" t="inlineStr">
        <is>
          <t>高</t>
        </is>
      </c>
      <c r="M7" s="13" t="inlineStr">
        <is>
          <t>○</t>
        </is>
      </c>
      <c r="N7" s="14" t="n"/>
      <c r="O7" s="13" t="n"/>
      <c r="P7" s="13" t="inlineStr">
        <is>
          <t>未実施</t>
        </is>
      </c>
      <c r="Q7" s="13" t="n"/>
      <c r="R7" s="10" t="n"/>
      <c r="S7" s="10" t="n"/>
      <c r="U7" s="15">
        <f>IF('接続一覧'!A6="","",'接続一覧'!A6)</f>
        <v/>
      </c>
    </row>
    <row r="8">
      <c r="A8" s="13" t="inlineStr">
        <is>
          <t>IT-03</t>
        </is>
      </c>
      <c r="B8" s="13" t="inlineStr">
        <is>
          <t>R-04</t>
        </is>
      </c>
      <c r="C8" s="13" t="inlineStr">
        <is>
          <t>SC-01</t>
        </is>
      </c>
      <c r="D8" s="13" t="inlineStr">
        <is>
          <t>正常系</t>
        </is>
      </c>
      <c r="E8" s="10" t="inlineStr">
        <is>
          <t>予約完了通知の送信依頼がスタブへ届く</t>
        </is>
      </c>
      <c r="F8" s="10" t="inlineStr">
        <is>
          <t>IT-01と同じ</t>
        </is>
      </c>
      <c r="G8" s="10" t="inlineStr">
        <is>
          <t>IT-01の確定操作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通知スタブのログに送信依頼がある</t>
        </is>
      </c>
      <c r="K8" s="13" t="inlineStr">
        <is>
          <t>スタブ</t>
        </is>
      </c>
      <c r="L8" s="13" t="inlineStr">
        <is>
          <t>中</t>
        </is>
      </c>
      <c r="M8" s="13" t="inlineStr">
        <is>
          <t>△</t>
        </is>
      </c>
      <c r="N8" s="14" t="n"/>
      <c r="O8" s="13" t="n"/>
      <c r="P8" s="13" t="inlineStr">
        <is>
          <t>未実施</t>
        </is>
      </c>
      <c r="Q8" s="13" t="n"/>
      <c r="R8" s="10" t="n"/>
      <c r="S8" s="10" t="n"/>
      <c r="U8" s="15">
        <f>IF('接続一覧'!A7="","",'接続一覧'!A7)</f>
        <v/>
      </c>
    </row>
    <row r="9">
      <c r="A9" s="13" t="inlineStr">
        <is>
          <t>IT-04</t>
        </is>
      </c>
      <c r="B9" s="13" t="inlineStr">
        <is>
          <t>R-03</t>
        </is>
      </c>
      <c r="C9" s="13" t="inlineStr">
        <is>
          <t>SC-07</t>
        </is>
      </c>
      <c r="D9" s="13" t="inlineStr">
        <is>
          <t>異常系</t>
        </is>
      </c>
      <c r="E9" s="10" t="inlineStr">
        <is>
          <t>決済がエラーを返したとき中途半端に残らない</t>
        </is>
      </c>
      <c r="F9" s="10" t="inlineStr">
        <is>
          <t>決済スタブをエラー応答に切り替え</t>
        </is>
      </c>
      <c r="G9" s="10" t="inlineStr">
        <is>
          <t>ログイン → 空き枠検索 → 入力 → 確定</t>
        </is>
      </c>
      <c r="H9" s="10" t="inlineStr">
        <is>
          <t>エラーメッセージが表示される</t>
        </is>
      </c>
      <c r="I9" s="10" t="inlineStr">
        <is>
          <t>予約テーブルに登録されない（または取消状態）</t>
        </is>
      </c>
      <c r="J9" s="10" t="inlineStr">
        <is>
          <t>スタブのログにエラー応答を返した記録</t>
        </is>
      </c>
      <c r="K9" s="13" t="inlineStr">
        <is>
          <t>スタブ</t>
        </is>
      </c>
      <c r="L9" s="13" t="inlineStr">
        <is>
          <t>高</t>
        </is>
      </c>
      <c r="M9" s="13" t="inlineStr">
        <is>
          <t>△</t>
        </is>
      </c>
      <c r="N9" s="14" t="n"/>
      <c r="O9" s="13" t="n"/>
      <c r="P9" s="13" t="inlineStr">
        <is>
          <t>未実施</t>
        </is>
      </c>
      <c r="Q9" s="13" t="n"/>
      <c r="R9" s="10" t="n"/>
      <c r="S9" s="10" t="n"/>
      <c r="U9" s="15">
        <f>IF('接続一覧'!A8="","",'接続一覧'!A8)</f>
        <v/>
      </c>
    </row>
    <row r="10">
      <c r="A10" s="13" t="inlineStr">
        <is>
          <t>IT-05</t>
        </is>
      </c>
      <c r="B10" s="13" t="inlineStr">
        <is>
          <t>R-05</t>
        </is>
      </c>
      <c r="C10" s="13" t="inlineStr">
        <is>
          <t>SC-10</t>
        </is>
      </c>
      <c r="D10" s="13" t="inlineStr">
        <is>
          <t>正常系</t>
        </is>
      </c>
      <c r="E10" s="10" t="inlineStr">
        <is>
          <t>利用者側の予約が管理画面で見える</t>
        </is>
      </c>
      <c r="F10" s="10" t="inlineStr">
        <is>
          <t>IT-01で登録した予約</t>
        </is>
      </c>
      <c r="G10" s="10" t="inlineStr">
        <is>
          <t>管理画面にログイン → 予約番号で検索 → 詳細表示</t>
        </is>
      </c>
      <c r="H10" s="10" t="inlineStr">
        <is>
          <t>IT-01の予約内容が表示される</t>
        </is>
      </c>
      <c r="I10" s="10" t="inlineStr">
        <is>
          <t>—</t>
        </is>
      </c>
      <c r="J10" s="10" t="inlineStr">
        <is>
          <t>—</t>
        </is>
      </c>
      <c r="K10" s="13" t="inlineStr">
        <is>
          <t>なし</t>
        </is>
      </c>
      <c r="L10" s="13" t="inlineStr">
        <is>
          <t>中</t>
        </is>
      </c>
      <c r="M10" s="13" t="inlineStr">
        <is>
          <t>○</t>
        </is>
      </c>
      <c r="N10" s="14" t="n"/>
      <c r="O10" s="13" t="n"/>
      <c r="P10" s="13" t="inlineStr">
        <is>
          <t>未実施</t>
        </is>
      </c>
      <c r="Q10" s="13" t="n"/>
      <c r="R10" s="10" t="n"/>
      <c r="S10" s="10" t="n"/>
      <c r="U10" s="15">
        <f>IF('接続一覧'!A9="","",'接続一覧'!A9)</f>
        <v/>
      </c>
    </row>
    <row r="11">
      <c r="A11" s="13" t="inlineStr">
        <is>
          <t>IT-06</t>
        </is>
      </c>
      <c r="B11" s="13" t="inlineStr">
        <is>
          <t>R-06</t>
        </is>
      </c>
      <c r="C11" s="13" t="inlineStr"/>
      <c r="D11" s="13" t="inlineStr">
        <is>
          <t>正常系</t>
        </is>
      </c>
      <c r="E11" s="10" t="inlineStr">
        <is>
          <t>日次バッチが予約DBを読んで集計できる</t>
        </is>
      </c>
      <c r="F11" s="10" t="inlineStr">
        <is>
          <t>当日の予約が1件以上ある</t>
        </is>
      </c>
      <c r="G11" s="10" t="inlineStr">
        <is>
          <t>バッチを手動実行</t>
        </is>
      </c>
      <c r="H11" s="10" t="inlineStr">
        <is>
          <t>—</t>
        </is>
      </c>
      <c r="I11" s="10" t="inlineStr">
        <is>
          <t>集計テーブルに当日分の件数が入る</t>
        </is>
      </c>
      <c r="J11" s="10" t="inlineStr">
        <is>
          <t>バッチログが正常終了</t>
        </is>
      </c>
      <c r="K11" s="13" t="inlineStr">
        <is>
          <t>なし</t>
        </is>
      </c>
      <c r="L11" s="13" t="inlineStr">
        <is>
          <t>中</t>
        </is>
      </c>
      <c r="M11" s="13" t="inlineStr">
        <is>
          <t>×</t>
        </is>
      </c>
      <c r="N11" s="14" t="n"/>
      <c r="O11" s="13" t="n"/>
      <c r="P11" s="13" t="inlineStr">
        <is>
          <t>未実施</t>
        </is>
      </c>
      <c r="Q11" s="13" t="n"/>
      <c r="R11" s="10" t="n"/>
      <c r="S11" s="10" t="n"/>
      <c r="U11" s="15">
        <f>IF('接続一覧'!A10="","",'接続一覧'!A10)</f>
        <v/>
      </c>
    </row>
    <row r="12">
      <c r="A12" s="13" t="n"/>
      <c r="B12" s="13" t="n"/>
      <c r="C12" s="13" t="n"/>
      <c r="D12" s="13" t="n"/>
      <c r="E12" s="10" t="n"/>
      <c r="F12" s="10" t="n"/>
      <c r="G12" s="10" t="n"/>
      <c r="H12" s="10" t="n"/>
      <c r="I12" s="10" t="n"/>
      <c r="J12" s="10" t="n"/>
      <c r="K12" s="13" t="n"/>
      <c r="L12" s="13" t="n"/>
      <c r="M12" s="13" t="n"/>
      <c r="N12" s="14" t="n"/>
      <c r="O12" s="13" t="n"/>
      <c r="P12" s="13" t="n"/>
      <c r="Q12" s="13" t="n"/>
      <c r="R12" s="10" t="n"/>
      <c r="S12" s="10" t="n"/>
      <c r="U12" s="15">
        <f>IF('接続一覧'!A11="","",'接続一覧'!A11)</f>
        <v/>
      </c>
    </row>
    <row r="13">
      <c r="A13" s="13" t="n"/>
      <c r="B13" s="13" t="n"/>
      <c r="C13" s="13" t="n"/>
      <c r="D13" s="13" t="n"/>
      <c r="E13" s="10" t="n"/>
      <c r="F13" s="10" t="n"/>
      <c r="G13" s="10" t="n"/>
      <c r="H13" s="10" t="n"/>
      <c r="I13" s="10" t="n"/>
      <c r="J13" s="10" t="n"/>
      <c r="K13" s="13" t="n"/>
      <c r="L13" s="13" t="n"/>
      <c r="M13" s="13" t="n"/>
      <c r="N13" s="14" t="n"/>
      <c r="O13" s="13" t="n"/>
      <c r="P13" s="13" t="n"/>
      <c r="Q13" s="13" t="n"/>
      <c r="R13" s="10" t="n"/>
      <c r="S13" s="10" t="n"/>
      <c r="U13" s="15">
        <f>IF('接続一覧'!A12="","",'接続一覧'!A12)</f>
        <v/>
      </c>
    </row>
    <row r="14">
      <c r="A14" s="13" t="n"/>
      <c r="B14" s="13" t="n"/>
      <c r="C14" s="13" t="n"/>
      <c r="D14" s="13" t="n"/>
      <c r="E14" s="10" t="n"/>
      <c r="F14" s="10" t="n"/>
      <c r="G14" s="10" t="n"/>
      <c r="H14" s="10" t="n"/>
      <c r="I14" s="10" t="n"/>
      <c r="J14" s="10" t="n"/>
      <c r="K14" s="13" t="n"/>
      <c r="L14" s="13" t="n"/>
      <c r="M14" s="13" t="n"/>
      <c r="N14" s="14" t="n"/>
      <c r="O14" s="13" t="n"/>
      <c r="P14" s="13" t="n"/>
      <c r="Q14" s="13" t="n"/>
      <c r="R14" s="10" t="n"/>
      <c r="S14" s="10" t="n"/>
      <c r="U14" s="15">
        <f>IF('接続一覧'!A13="","",'接続一覧'!A13)</f>
        <v/>
      </c>
    </row>
    <row r="15">
      <c r="A15" s="13" t="n"/>
      <c r="B15" s="13" t="n"/>
      <c r="C15" s="13" t="n"/>
      <c r="D15" s="13" t="n"/>
      <c r="E15" s="10" t="n"/>
      <c r="F15" s="10" t="n"/>
      <c r="G15" s="10" t="n"/>
      <c r="H15" s="10" t="n"/>
      <c r="I15" s="10" t="n"/>
      <c r="J15" s="10" t="n"/>
      <c r="K15" s="13" t="n"/>
      <c r="L15" s="13" t="n"/>
      <c r="M15" s="13" t="n"/>
      <c r="N15" s="14" t="n"/>
      <c r="O15" s="13" t="n"/>
      <c r="P15" s="13" t="n"/>
      <c r="Q15" s="13" t="n"/>
      <c r="R15" s="10" t="n"/>
      <c r="S15" s="10" t="n"/>
      <c r="U15" s="15">
        <f>IF('接続一覧'!A14="","",'接続一覧'!A14)</f>
        <v/>
      </c>
    </row>
    <row r="16">
      <c r="A16" s="13" t="n"/>
      <c r="B16" s="13" t="n"/>
      <c r="C16" s="13" t="n"/>
      <c r="D16" s="13" t="n"/>
      <c r="E16" s="10" t="n"/>
      <c r="F16" s="10" t="n"/>
      <c r="G16" s="10" t="n"/>
      <c r="H16" s="10" t="n"/>
      <c r="I16" s="10" t="n"/>
      <c r="J16" s="10" t="n"/>
      <c r="K16" s="13" t="n"/>
      <c r="L16" s="13" t="n"/>
      <c r="M16" s="13" t="n"/>
      <c r="N16" s="14" t="n"/>
      <c r="O16" s="13" t="n"/>
      <c r="P16" s="13" t="n"/>
      <c r="Q16" s="13" t="n"/>
      <c r="R16" s="10" t="n"/>
      <c r="S16" s="10" t="n"/>
      <c r="U16" s="15">
        <f>IF('接続一覧'!A15="","",'接続一覧'!A15)</f>
        <v/>
      </c>
    </row>
    <row r="17">
      <c r="A17" s="13" t="n"/>
      <c r="B17" s="13" t="n"/>
      <c r="C17" s="13" t="n"/>
      <c r="D17" s="13" t="n"/>
      <c r="E17" s="10" t="n"/>
      <c r="F17" s="10" t="n"/>
      <c r="G17" s="10" t="n"/>
      <c r="H17" s="10" t="n"/>
      <c r="I17" s="10" t="n"/>
      <c r="J17" s="10" t="n"/>
      <c r="K17" s="13" t="n"/>
      <c r="L17" s="13" t="n"/>
      <c r="M17" s="13" t="n"/>
      <c r="N17" s="14" t="n"/>
      <c r="O17" s="13" t="n"/>
      <c r="P17" s="13" t="n"/>
      <c r="Q17" s="13" t="n"/>
      <c r="R17" s="10" t="n"/>
      <c r="S17" s="10" t="n"/>
      <c r="U17" s="15">
        <f>IF('接続一覧'!A16="","",'接続一覧'!A16)</f>
        <v/>
      </c>
    </row>
    <row r="18">
      <c r="A18" s="13" t="n"/>
      <c r="B18" s="13" t="n"/>
      <c r="C18" s="13" t="n"/>
      <c r="D18" s="13" t="n"/>
      <c r="E18" s="10" t="n"/>
      <c r="F18" s="10" t="n"/>
      <c r="G18" s="10" t="n"/>
      <c r="H18" s="10" t="n"/>
      <c r="I18" s="10" t="n"/>
      <c r="J18" s="10" t="n"/>
      <c r="K18" s="13" t="n"/>
      <c r="L18" s="13" t="n"/>
      <c r="M18" s="13" t="n"/>
      <c r="N18" s="14" t="n"/>
      <c r="O18" s="13" t="n"/>
      <c r="P18" s="13" t="n"/>
      <c r="Q18" s="13" t="n"/>
      <c r="R18" s="10" t="n"/>
      <c r="S18" s="10" t="n"/>
      <c r="U18" s="15">
        <f>IF('接続一覧'!A17="","",'接続一覧'!A17)</f>
        <v/>
      </c>
    </row>
    <row r="19">
      <c r="A19" s="13" t="n"/>
      <c r="B19" s="13" t="n"/>
      <c r="C19" s="13" t="n"/>
      <c r="D19" s="13" t="n"/>
      <c r="E19" s="10" t="n"/>
      <c r="F19" s="10" t="n"/>
      <c r="G19" s="10" t="n"/>
      <c r="H19" s="10" t="n"/>
      <c r="I19" s="10" t="n"/>
      <c r="J19" s="10" t="n"/>
      <c r="K19" s="13" t="n"/>
      <c r="L19" s="13" t="n"/>
      <c r="M19" s="13" t="n"/>
      <c r="N19" s="14" t="n"/>
      <c r="O19" s="13" t="n"/>
      <c r="P19" s="13" t="n"/>
      <c r="Q19" s="13" t="n"/>
      <c r="R19" s="10" t="n"/>
      <c r="S19" s="10" t="n"/>
      <c r="U19" s="15">
        <f>IF('接続一覧'!A18="","",'接続一覧'!A18)</f>
        <v/>
      </c>
    </row>
    <row r="20">
      <c r="A20" s="13" t="n"/>
      <c r="B20" s="13" t="n"/>
      <c r="C20" s="13" t="n"/>
      <c r="D20" s="13" t="n"/>
      <c r="E20" s="10" t="n"/>
      <c r="F20" s="10" t="n"/>
      <c r="G20" s="10" t="n"/>
      <c r="H20" s="10" t="n"/>
      <c r="I20" s="10" t="n"/>
      <c r="J20" s="10" t="n"/>
      <c r="K20" s="13" t="n"/>
      <c r="L20" s="13" t="n"/>
      <c r="M20" s="13" t="n"/>
      <c r="N20" s="14" t="n"/>
      <c r="O20" s="13" t="n"/>
      <c r="P20" s="13" t="n"/>
      <c r="Q20" s="13" t="n"/>
      <c r="R20" s="10" t="n"/>
      <c r="S20" s="10" t="n"/>
      <c r="U20" s="15">
        <f>IF('接続一覧'!A19="","",'接続一覧'!A19)</f>
        <v/>
      </c>
    </row>
    <row r="21">
      <c r="A21" s="13" t="n"/>
      <c r="B21" s="13" t="n"/>
      <c r="C21" s="13" t="n"/>
      <c r="D21" s="13" t="n"/>
      <c r="E21" s="10" t="n"/>
      <c r="F21" s="10" t="n"/>
      <c r="G21" s="10" t="n"/>
      <c r="H21" s="10" t="n"/>
      <c r="I21" s="10" t="n"/>
      <c r="J21" s="10" t="n"/>
      <c r="K21" s="13" t="n"/>
      <c r="L21" s="13" t="n"/>
      <c r="M21" s="13" t="n"/>
      <c r="N21" s="14" t="n"/>
      <c r="O21" s="13" t="n"/>
      <c r="P21" s="13" t="n"/>
      <c r="Q21" s="13" t="n"/>
      <c r="R21" s="10" t="n"/>
      <c r="S21" s="10" t="n"/>
      <c r="U21" s="15">
        <f>IF('接続一覧'!A20="","",'接続一覧'!A20)</f>
        <v/>
      </c>
    </row>
    <row r="22">
      <c r="A22" s="13" t="n"/>
      <c r="B22" s="13" t="n"/>
      <c r="C22" s="13" t="n"/>
      <c r="D22" s="13" t="n"/>
      <c r="E22" s="10" t="n"/>
      <c r="F22" s="10" t="n"/>
      <c r="G22" s="10" t="n"/>
      <c r="H22" s="10" t="n"/>
      <c r="I22" s="10" t="n"/>
      <c r="J22" s="10" t="n"/>
      <c r="K22" s="13" t="n"/>
      <c r="L22" s="13" t="n"/>
      <c r="M22" s="13" t="n"/>
      <c r="N22" s="14" t="n"/>
      <c r="O22" s="13" t="n"/>
      <c r="P22" s="13" t="n"/>
      <c r="Q22" s="13" t="n"/>
      <c r="R22" s="10" t="n"/>
      <c r="S22" s="10" t="n"/>
      <c r="U22" s="15">
        <f>IF('接続一覧'!A21="","",'接続一覧'!A21)</f>
        <v/>
      </c>
    </row>
    <row r="23">
      <c r="A23" s="13" t="n"/>
      <c r="B23" s="13" t="n"/>
      <c r="C23" s="13" t="n"/>
      <c r="D23" s="13" t="n"/>
      <c r="E23" s="10" t="n"/>
      <c r="F23" s="10" t="n"/>
      <c r="G23" s="10" t="n"/>
      <c r="H23" s="10" t="n"/>
      <c r="I23" s="10" t="n"/>
      <c r="J23" s="10" t="n"/>
      <c r="K23" s="13" t="n"/>
      <c r="L23" s="13" t="n"/>
      <c r="M23" s="13" t="n"/>
      <c r="N23" s="14" t="n"/>
      <c r="O23" s="13" t="n"/>
      <c r="P23" s="13" t="n"/>
      <c r="Q23" s="13" t="n"/>
      <c r="R23" s="10" t="n"/>
      <c r="S23" s="10" t="n"/>
      <c r="U23" s="15">
        <f>IF('接続一覧'!A22="","",'接続一覧'!A22)</f>
        <v/>
      </c>
    </row>
    <row r="24">
      <c r="A24" s="13" t="n"/>
      <c r="B24" s="13" t="n"/>
      <c r="C24" s="13" t="n"/>
      <c r="D24" s="13" t="n"/>
      <c r="E24" s="10" t="n"/>
      <c r="F24" s="10" t="n"/>
      <c r="G24" s="10" t="n"/>
      <c r="H24" s="10" t="n"/>
      <c r="I24" s="10" t="n"/>
      <c r="J24" s="10" t="n"/>
      <c r="K24" s="13" t="n"/>
      <c r="L24" s="13" t="n"/>
      <c r="M24" s="13" t="n"/>
      <c r="N24" s="14" t="n"/>
      <c r="O24" s="13" t="n"/>
      <c r="P24" s="13" t="n"/>
      <c r="Q24" s="13" t="n"/>
      <c r="R24" s="10" t="n"/>
      <c r="S24" s="10" t="n"/>
      <c r="U24" s="15">
        <f>IF('接続一覧'!A23="","",'接続一覧'!A23)</f>
        <v/>
      </c>
    </row>
    <row r="25">
      <c r="A25" s="13" t="n"/>
      <c r="B25" s="13" t="n"/>
      <c r="C25" s="13" t="n"/>
      <c r="D25" s="13" t="n"/>
      <c r="E25" s="10" t="n"/>
      <c r="F25" s="10" t="n"/>
      <c r="G25" s="10" t="n"/>
      <c r="H25" s="10" t="n"/>
      <c r="I25" s="10" t="n"/>
      <c r="J25" s="10" t="n"/>
      <c r="K25" s="13" t="n"/>
      <c r="L25" s="13" t="n"/>
      <c r="M25" s="13" t="n"/>
      <c r="N25" s="14" t="n"/>
      <c r="O25" s="13" t="n"/>
      <c r="P25" s="13" t="n"/>
      <c r="Q25" s="13" t="n"/>
      <c r="R25" s="10" t="n"/>
      <c r="S25" s="10" t="n"/>
      <c r="U25" s="15">
        <f>IF('接続一覧'!A24="","",'接続一覧'!A24)</f>
        <v/>
      </c>
    </row>
    <row r="26">
      <c r="A26" s="13" t="n"/>
      <c r="B26" s="13" t="n"/>
      <c r="C26" s="13" t="n"/>
      <c r="D26" s="13" t="n"/>
      <c r="E26" s="10" t="n"/>
      <c r="F26" s="10" t="n"/>
      <c r="G26" s="10" t="n"/>
      <c r="H26" s="10" t="n"/>
      <c r="I26" s="10" t="n"/>
      <c r="J26" s="10" t="n"/>
      <c r="K26" s="13" t="n"/>
      <c r="L26" s="13" t="n"/>
      <c r="M26" s="13" t="n"/>
      <c r="N26" s="14" t="n"/>
      <c r="O26" s="13" t="n"/>
      <c r="P26" s="13" t="n"/>
      <c r="Q26" s="13" t="n"/>
      <c r="R26" s="10" t="n"/>
      <c r="S26" s="10" t="n"/>
      <c r="U26" s="15">
        <f>IF('接続一覧'!A25="","",'接続一覧'!A25)</f>
        <v/>
      </c>
    </row>
    <row r="27">
      <c r="A27" s="13" t="n"/>
      <c r="B27" s="13" t="n"/>
      <c r="C27" s="13" t="n"/>
      <c r="D27" s="13" t="n"/>
      <c r="E27" s="10" t="n"/>
      <c r="F27" s="10" t="n"/>
      <c r="G27" s="10" t="n"/>
      <c r="H27" s="10" t="n"/>
      <c r="I27" s="10" t="n"/>
      <c r="J27" s="10" t="n"/>
      <c r="K27" s="13" t="n"/>
      <c r="L27" s="13" t="n"/>
      <c r="M27" s="13" t="n"/>
      <c r="N27" s="14" t="n"/>
      <c r="O27" s="13" t="n"/>
      <c r="P27" s="13" t="n"/>
      <c r="Q27" s="13" t="n"/>
      <c r="R27" s="10" t="n"/>
      <c r="S27" s="10" t="n"/>
      <c r="U27" s="15">
        <f>IF('接続一覧'!A26="","",'接続一覧'!A26)</f>
        <v/>
      </c>
    </row>
    <row r="28">
      <c r="A28" s="13" t="n"/>
      <c r="B28" s="13" t="n"/>
      <c r="C28" s="13" t="n"/>
      <c r="D28" s="13" t="n"/>
      <c r="E28" s="10" t="n"/>
      <c r="F28" s="10" t="n"/>
      <c r="G28" s="10" t="n"/>
      <c r="H28" s="10" t="n"/>
      <c r="I28" s="10" t="n"/>
      <c r="J28" s="10" t="n"/>
      <c r="K28" s="13" t="n"/>
      <c r="L28" s="13" t="n"/>
      <c r="M28" s="13" t="n"/>
      <c r="N28" s="14" t="n"/>
      <c r="O28" s="13" t="n"/>
      <c r="P28" s="13" t="n"/>
      <c r="Q28" s="13" t="n"/>
      <c r="R28" s="10" t="n"/>
      <c r="S28" s="10" t="n"/>
      <c r="U28" s="15">
        <f>IF('接続一覧'!A27="","",'接続一覧'!A27)</f>
        <v/>
      </c>
    </row>
    <row r="29">
      <c r="A29" s="13" t="n"/>
      <c r="B29" s="13" t="n"/>
      <c r="C29" s="13" t="n"/>
      <c r="D29" s="13" t="n"/>
      <c r="E29" s="10" t="n"/>
      <c r="F29" s="10" t="n"/>
      <c r="G29" s="10" t="n"/>
      <c r="H29" s="10" t="n"/>
      <c r="I29" s="10" t="n"/>
      <c r="J29" s="10" t="n"/>
      <c r="K29" s="13" t="n"/>
      <c r="L29" s="13" t="n"/>
      <c r="M29" s="13" t="n"/>
      <c r="N29" s="14" t="n"/>
      <c r="O29" s="13" t="n"/>
      <c r="P29" s="13" t="n"/>
      <c r="Q29" s="13" t="n"/>
      <c r="R29" s="10" t="n"/>
      <c r="S29" s="10" t="n"/>
      <c r="U29" s="15">
        <f>IF('接続一覧'!A28="","",'接続一覧'!A28)</f>
        <v/>
      </c>
    </row>
    <row r="30">
      <c r="A30" s="13" t="n"/>
      <c r="B30" s="13" t="n"/>
      <c r="C30" s="13" t="n"/>
      <c r="D30" s="13" t="n"/>
      <c r="E30" s="10" t="n"/>
      <c r="F30" s="10" t="n"/>
      <c r="G30" s="10" t="n"/>
      <c r="H30" s="10" t="n"/>
      <c r="I30" s="10" t="n"/>
      <c r="J30" s="10" t="n"/>
      <c r="K30" s="13" t="n"/>
      <c r="L30" s="13" t="n"/>
      <c r="M30" s="13" t="n"/>
      <c r="N30" s="14" t="n"/>
      <c r="O30" s="13" t="n"/>
      <c r="P30" s="13" t="n"/>
      <c r="Q30" s="13" t="n"/>
      <c r="R30" s="10" t="n"/>
      <c r="S30" s="10" t="n"/>
      <c r="U30" s="15">
        <f>IF('接続一覧'!A29="","",'接続一覧'!A29)</f>
        <v/>
      </c>
    </row>
    <row r="31">
      <c r="A31" s="13" t="n"/>
      <c r="B31" s="13" t="n"/>
      <c r="C31" s="13" t="n"/>
      <c r="D31" s="13" t="n"/>
      <c r="E31" s="10" t="n"/>
      <c r="F31" s="10" t="n"/>
      <c r="G31" s="10" t="n"/>
      <c r="H31" s="10" t="n"/>
      <c r="I31" s="10" t="n"/>
      <c r="J31" s="10" t="n"/>
      <c r="K31" s="13" t="n"/>
      <c r="L31" s="13" t="n"/>
      <c r="M31" s="13" t="n"/>
      <c r="N31" s="14" t="n"/>
      <c r="O31" s="13" t="n"/>
      <c r="P31" s="13" t="n"/>
      <c r="Q31" s="13" t="n"/>
      <c r="R31" s="10" t="n"/>
      <c r="S31" s="10" t="n"/>
      <c r="U31" s="15">
        <f>IF('接続一覧'!A30="","",'接続一覧'!A30)</f>
        <v/>
      </c>
    </row>
    <row r="32">
      <c r="A32" s="13" t="n"/>
      <c r="B32" s="13" t="n"/>
      <c r="C32" s="13" t="n"/>
      <c r="D32" s="13" t="n"/>
      <c r="E32" s="10" t="n"/>
      <c r="F32" s="10" t="n"/>
      <c r="G32" s="10" t="n"/>
      <c r="H32" s="10" t="n"/>
      <c r="I32" s="10" t="n"/>
      <c r="J32" s="10" t="n"/>
      <c r="K32" s="13" t="n"/>
      <c r="L32" s="13" t="n"/>
      <c r="M32" s="13" t="n"/>
      <c r="N32" s="14" t="n"/>
      <c r="O32" s="13" t="n"/>
      <c r="P32" s="13" t="n"/>
      <c r="Q32" s="13" t="n"/>
      <c r="R32" s="10" t="n"/>
      <c r="S32" s="10" t="n"/>
      <c r="U32" s="15">
        <f>IF('接続一覧'!A31="","",'接続一覧'!A31)</f>
        <v/>
      </c>
    </row>
    <row r="33">
      <c r="A33" s="13" t="n"/>
      <c r="B33" s="13" t="n"/>
      <c r="C33" s="13" t="n"/>
      <c r="D33" s="13" t="n"/>
      <c r="E33" s="10" t="n"/>
      <c r="F33" s="10" t="n"/>
      <c r="G33" s="10" t="n"/>
      <c r="H33" s="10" t="n"/>
      <c r="I33" s="10" t="n"/>
      <c r="J33" s="10" t="n"/>
      <c r="K33" s="13" t="n"/>
      <c r="L33" s="13" t="n"/>
      <c r="M33" s="13" t="n"/>
      <c r="N33" s="14" t="n"/>
      <c r="O33" s="13" t="n"/>
      <c r="P33" s="13" t="n"/>
      <c r="Q33" s="13" t="n"/>
      <c r="R33" s="10" t="n"/>
      <c r="S33" s="10" t="n"/>
      <c r="U33" s="15">
        <f>IF('接続一覧'!A32="","",'接続一覧'!A32)</f>
        <v/>
      </c>
    </row>
    <row r="34">
      <c r="A34" s="13" t="n"/>
      <c r="B34" s="13" t="n"/>
      <c r="C34" s="13" t="n"/>
      <c r="D34" s="13" t="n"/>
      <c r="E34" s="10" t="n"/>
      <c r="F34" s="10" t="n"/>
      <c r="G34" s="10" t="n"/>
      <c r="H34" s="10" t="n"/>
      <c r="I34" s="10" t="n"/>
      <c r="J34" s="10" t="n"/>
      <c r="K34" s="13" t="n"/>
      <c r="L34" s="13" t="n"/>
      <c r="M34" s="13" t="n"/>
      <c r="N34" s="14" t="n"/>
      <c r="O34" s="13" t="n"/>
      <c r="P34" s="13" t="n"/>
      <c r="Q34" s="13" t="n"/>
      <c r="R34" s="10" t="n"/>
      <c r="S34" s="10" t="n"/>
      <c r="U34" s="15">
        <f>IF('接続一覧'!A33="","",'接続一覧'!A33)</f>
        <v/>
      </c>
    </row>
    <row r="35">
      <c r="A35" s="13" t="n"/>
      <c r="B35" s="13" t="n"/>
      <c r="C35" s="13" t="n"/>
      <c r="D35" s="13" t="n"/>
      <c r="E35" s="10" t="n"/>
      <c r="F35" s="10" t="n"/>
      <c r="G35" s="10" t="n"/>
      <c r="H35" s="10" t="n"/>
      <c r="I35" s="10" t="n"/>
      <c r="J35" s="10" t="n"/>
      <c r="K35" s="13" t="n"/>
      <c r="L35" s="13" t="n"/>
      <c r="M35" s="13" t="n"/>
      <c r="N35" s="14" t="n"/>
      <c r="O35" s="13" t="n"/>
      <c r="P35" s="13" t="n"/>
      <c r="Q35" s="13" t="n"/>
      <c r="R35" s="10" t="n"/>
      <c r="S35" s="10" t="n"/>
      <c r="U35" s="15">
        <f>IF('接続一覧'!A34="","",'接続一覧'!A34)</f>
        <v/>
      </c>
    </row>
    <row r="36">
      <c r="A36" s="13" t="n"/>
      <c r="B36" s="13" t="n"/>
      <c r="C36" s="13" t="n"/>
      <c r="D36" s="13" t="n"/>
      <c r="E36" s="10" t="n"/>
      <c r="F36" s="10" t="n"/>
      <c r="G36" s="10" t="n"/>
      <c r="H36" s="10" t="n"/>
      <c r="I36" s="10" t="n"/>
      <c r="J36" s="10" t="n"/>
      <c r="K36" s="13" t="n"/>
      <c r="L36" s="13" t="n"/>
      <c r="M36" s="13" t="n"/>
      <c r="N36" s="14" t="n"/>
      <c r="O36" s="13" t="n"/>
      <c r="P36" s="13" t="n"/>
      <c r="Q36" s="13" t="n"/>
      <c r="R36" s="10" t="n"/>
      <c r="S36" s="10" t="n"/>
      <c r="U36" s="15">
        <f>IF('接続一覧'!A35="","",'接続一覧'!A35)</f>
        <v/>
      </c>
    </row>
    <row r="37">
      <c r="A37" s="13" t="n"/>
      <c r="B37" s="13" t="n"/>
      <c r="C37" s="13" t="n"/>
      <c r="D37" s="13" t="n"/>
      <c r="E37" s="10" t="n"/>
      <c r="F37" s="10" t="n"/>
      <c r="G37" s="10" t="n"/>
      <c r="H37" s="10" t="n"/>
      <c r="I37" s="10" t="n"/>
      <c r="J37" s="10" t="n"/>
      <c r="K37" s="13" t="n"/>
      <c r="L37" s="13" t="n"/>
      <c r="M37" s="13" t="n"/>
      <c r="N37" s="14" t="n"/>
      <c r="O37" s="13" t="n"/>
      <c r="P37" s="13" t="n"/>
      <c r="Q37" s="13" t="n"/>
      <c r="R37" s="10" t="n"/>
      <c r="S37" s="10" t="n"/>
      <c r="U37" s="15">
        <f>IF('接続一覧'!A36="","",'接続一覧'!A36)</f>
        <v/>
      </c>
    </row>
    <row r="38">
      <c r="A38" s="13" t="n"/>
      <c r="B38" s="13" t="n"/>
      <c r="C38" s="13" t="n"/>
      <c r="D38" s="13" t="n"/>
      <c r="E38" s="10" t="n"/>
      <c r="F38" s="10" t="n"/>
      <c r="G38" s="10" t="n"/>
      <c r="H38" s="10" t="n"/>
      <c r="I38" s="10" t="n"/>
      <c r="J38" s="10" t="n"/>
      <c r="K38" s="13" t="n"/>
      <c r="L38" s="13" t="n"/>
      <c r="M38" s="13" t="n"/>
      <c r="N38" s="14" t="n"/>
      <c r="O38" s="13" t="n"/>
      <c r="P38" s="13" t="n"/>
      <c r="Q38" s="13" t="n"/>
      <c r="R38" s="10" t="n"/>
      <c r="S38" s="10" t="n"/>
      <c r="U38" s="15">
        <f>IF('接続一覧'!A37="","",'接続一覧'!A37)</f>
        <v/>
      </c>
    </row>
    <row r="39">
      <c r="A39" s="13" t="n"/>
      <c r="B39" s="13" t="n"/>
      <c r="C39" s="13" t="n"/>
      <c r="D39" s="13" t="n"/>
      <c r="E39" s="10" t="n"/>
      <c r="F39" s="10" t="n"/>
      <c r="G39" s="10" t="n"/>
      <c r="H39" s="10" t="n"/>
      <c r="I39" s="10" t="n"/>
      <c r="J39" s="10" t="n"/>
      <c r="K39" s="13" t="n"/>
      <c r="L39" s="13" t="n"/>
      <c r="M39" s="13" t="n"/>
      <c r="N39" s="14" t="n"/>
      <c r="O39" s="13" t="n"/>
      <c r="P39" s="13" t="n"/>
      <c r="Q39" s="13" t="n"/>
      <c r="R39" s="10" t="n"/>
      <c r="S39" s="10" t="n"/>
      <c r="U39" s="15">
        <f>IF('接続一覧'!A38="","",'接続一覧'!A38)</f>
        <v/>
      </c>
    </row>
    <row r="40">
      <c r="A40" s="13" t="n"/>
      <c r="B40" s="13" t="n"/>
      <c r="C40" s="13" t="n"/>
      <c r="D40" s="13" t="n"/>
      <c r="E40" s="10" t="n"/>
      <c r="F40" s="10" t="n"/>
      <c r="G40" s="10" t="n"/>
      <c r="H40" s="10" t="n"/>
      <c r="I40" s="10" t="n"/>
      <c r="J40" s="10" t="n"/>
      <c r="K40" s="13" t="n"/>
      <c r="L40" s="13" t="n"/>
      <c r="M40" s="13" t="n"/>
      <c r="N40" s="14" t="n"/>
      <c r="O40" s="13" t="n"/>
      <c r="P40" s="13" t="n"/>
      <c r="Q40" s="13" t="n"/>
      <c r="R40" s="10" t="n"/>
      <c r="S40" s="10" t="n"/>
      <c r="U40" s="15">
        <f>IF('接続一覧'!A39="","",'接続一覧'!A39)</f>
        <v/>
      </c>
    </row>
    <row r="41">
      <c r="A41" s="13" t="n"/>
      <c r="B41" s="13" t="n"/>
      <c r="C41" s="13" t="n"/>
      <c r="D41" s="13" t="n"/>
      <c r="E41" s="10" t="n"/>
      <c r="F41" s="10" t="n"/>
      <c r="G41" s="10" t="n"/>
      <c r="H41" s="10" t="n"/>
      <c r="I41" s="10" t="n"/>
      <c r="J41" s="10" t="n"/>
      <c r="K41" s="13" t="n"/>
      <c r="L41" s="13" t="n"/>
      <c r="M41" s="13" t="n"/>
      <c r="N41" s="14" t="n"/>
      <c r="O41" s="13" t="n"/>
      <c r="P41" s="13" t="n"/>
      <c r="Q41" s="13" t="n"/>
      <c r="R41" s="10" t="n"/>
      <c r="S41" s="10" t="n"/>
      <c r="U41" s="15">
        <f>IF('接続一覧'!A40="","",'接続一覧'!A40)</f>
        <v/>
      </c>
    </row>
    <row r="42">
      <c r="A42" s="13" t="n"/>
      <c r="B42" s="13" t="n"/>
      <c r="C42" s="13" t="n"/>
      <c r="D42" s="13" t="n"/>
      <c r="E42" s="10" t="n"/>
      <c r="F42" s="10" t="n"/>
      <c r="G42" s="10" t="n"/>
      <c r="H42" s="10" t="n"/>
      <c r="I42" s="10" t="n"/>
      <c r="J42" s="10" t="n"/>
      <c r="K42" s="13" t="n"/>
      <c r="L42" s="13" t="n"/>
      <c r="M42" s="13" t="n"/>
      <c r="N42" s="14" t="n"/>
      <c r="O42" s="13" t="n"/>
      <c r="P42" s="13" t="n"/>
      <c r="Q42" s="13" t="n"/>
      <c r="R42" s="10" t="n"/>
      <c r="S42" s="10" t="n"/>
      <c r="U42" s="15">
        <f>IF('接続一覧'!A41="","",'接続一覧'!A41)</f>
        <v/>
      </c>
    </row>
    <row r="43">
      <c r="A43" s="13" t="n"/>
      <c r="B43" s="13" t="n"/>
      <c r="C43" s="13" t="n"/>
      <c r="D43" s="13" t="n"/>
      <c r="E43" s="10" t="n"/>
      <c r="F43" s="10" t="n"/>
      <c r="G43" s="10" t="n"/>
      <c r="H43" s="10" t="n"/>
      <c r="I43" s="10" t="n"/>
      <c r="J43" s="10" t="n"/>
      <c r="K43" s="13" t="n"/>
      <c r="L43" s="13" t="n"/>
      <c r="M43" s="13" t="n"/>
      <c r="N43" s="14" t="n"/>
      <c r="O43" s="13" t="n"/>
      <c r="P43" s="13" t="n"/>
      <c r="Q43" s="13" t="n"/>
      <c r="R43" s="10" t="n"/>
      <c r="S43" s="10" t="n"/>
      <c r="U43" s="15">
        <f>IF('接続一覧'!A42="","",'接続一覧'!A42)</f>
        <v/>
      </c>
    </row>
    <row r="44">
      <c r="A44" s="13" t="n"/>
      <c r="B44" s="13" t="n"/>
      <c r="C44" s="13" t="n"/>
      <c r="D44" s="13" t="n"/>
      <c r="E44" s="10" t="n"/>
      <c r="F44" s="10" t="n"/>
      <c r="G44" s="10" t="n"/>
      <c r="H44" s="10" t="n"/>
      <c r="I44" s="10" t="n"/>
      <c r="J44" s="10" t="n"/>
      <c r="K44" s="13" t="n"/>
      <c r="L44" s="13" t="n"/>
      <c r="M44" s="13" t="n"/>
      <c r="N44" s="14" t="n"/>
      <c r="O44" s="13" t="n"/>
      <c r="P44" s="13" t="n"/>
      <c r="Q44" s="13" t="n"/>
      <c r="R44" s="10" t="n"/>
      <c r="S44" s="10" t="n"/>
      <c r="U44" s="15">
        <f>IF('接続一覧'!A43="","",'接続一覧'!A43)</f>
        <v/>
      </c>
    </row>
    <row r="45">
      <c r="A45" s="13" t="n"/>
      <c r="B45" s="13" t="n"/>
      <c r="C45" s="13" t="n"/>
      <c r="D45" s="13" t="n"/>
      <c r="E45" s="10" t="n"/>
      <c r="F45" s="10" t="n"/>
      <c r="G45" s="10" t="n"/>
      <c r="H45" s="10" t="n"/>
      <c r="I45" s="10" t="n"/>
      <c r="J45" s="10" t="n"/>
      <c r="K45" s="13" t="n"/>
      <c r="L45" s="13" t="n"/>
      <c r="M45" s="13" t="n"/>
      <c r="N45" s="14" t="n"/>
      <c r="O45" s="13" t="n"/>
      <c r="P45" s="13" t="n"/>
      <c r="Q45" s="13" t="n"/>
      <c r="R45" s="10" t="n"/>
      <c r="S45" s="10" t="n"/>
      <c r="U45" s="15">
        <f>IF('接続一覧'!A44="","",'接続一覧'!A44)</f>
        <v/>
      </c>
    </row>
    <row r="46">
      <c r="A46" s="13" t="n"/>
      <c r="B46" s="13" t="n"/>
      <c r="C46" s="13" t="n"/>
      <c r="D46" s="13" t="n"/>
      <c r="E46" s="10" t="n"/>
      <c r="F46" s="10" t="n"/>
      <c r="G46" s="10" t="n"/>
      <c r="H46" s="10" t="n"/>
      <c r="I46" s="10" t="n"/>
      <c r="J46" s="10" t="n"/>
      <c r="K46" s="13" t="n"/>
      <c r="L46" s="13" t="n"/>
      <c r="M46" s="13" t="n"/>
      <c r="N46" s="14" t="n"/>
      <c r="O46" s="13" t="n"/>
      <c r="P46" s="13" t="n"/>
      <c r="Q46" s="13" t="n"/>
      <c r="R46" s="10" t="n"/>
      <c r="S46" s="10" t="n"/>
      <c r="U46" s="15">
        <f>IF('接続一覧'!A45="","",'接続一覧'!A45)</f>
        <v/>
      </c>
    </row>
    <row r="47">
      <c r="A47" s="13" t="n"/>
      <c r="B47" s="13" t="n"/>
      <c r="C47" s="13" t="n"/>
      <c r="D47" s="13" t="n"/>
      <c r="E47" s="10" t="n"/>
      <c r="F47" s="10" t="n"/>
      <c r="G47" s="10" t="n"/>
      <c r="H47" s="10" t="n"/>
      <c r="I47" s="10" t="n"/>
      <c r="J47" s="10" t="n"/>
      <c r="K47" s="13" t="n"/>
      <c r="L47" s="13" t="n"/>
      <c r="M47" s="13" t="n"/>
      <c r="N47" s="14" t="n"/>
      <c r="O47" s="13" t="n"/>
      <c r="P47" s="13" t="n"/>
      <c r="Q47" s="13" t="n"/>
      <c r="R47" s="10" t="n"/>
      <c r="S47" s="10" t="n"/>
      <c r="U47" s="15">
        <f>IF('接続一覧'!A46="","",'接続一覧'!A46)</f>
        <v/>
      </c>
    </row>
    <row r="48">
      <c r="A48" s="13" t="n"/>
      <c r="B48" s="13" t="n"/>
      <c r="C48" s="13" t="n"/>
      <c r="D48" s="13" t="n"/>
      <c r="E48" s="10" t="n"/>
      <c r="F48" s="10" t="n"/>
      <c r="G48" s="10" t="n"/>
      <c r="H48" s="10" t="n"/>
      <c r="I48" s="10" t="n"/>
      <c r="J48" s="10" t="n"/>
      <c r="K48" s="13" t="n"/>
      <c r="L48" s="13" t="n"/>
      <c r="M48" s="13" t="n"/>
      <c r="N48" s="14" t="n"/>
      <c r="O48" s="13" t="n"/>
      <c r="P48" s="13" t="n"/>
      <c r="Q48" s="13" t="n"/>
      <c r="R48" s="10" t="n"/>
      <c r="S48" s="10" t="n"/>
      <c r="U48" s="15">
        <f>IF('接続一覧'!A47="","",'接続一覧'!A47)</f>
        <v/>
      </c>
    </row>
    <row r="49">
      <c r="A49" s="13" t="n"/>
      <c r="B49" s="13" t="n"/>
      <c r="C49" s="13" t="n"/>
      <c r="D49" s="13" t="n"/>
      <c r="E49" s="10" t="n"/>
      <c r="F49" s="10" t="n"/>
      <c r="G49" s="10" t="n"/>
      <c r="H49" s="10" t="n"/>
      <c r="I49" s="10" t="n"/>
      <c r="J49" s="10" t="n"/>
      <c r="K49" s="13" t="n"/>
      <c r="L49" s="13" t="n"/>
      <c r="M49" s="13" t="n"/>
      <c r="N49" s="14" t="n"/>
      <c r="O49" s="13" t="n"/>
      <c r="P49" s="13" t="n"/>
      <c r="Q49" s="13" t="n"/>
      <c r="R49" s="10" t="n"/>
      <c r="S49" s="10" t="n"/>
      <c r="U49" s="15">
        <f>IF('接続一覧'!A48="","",'接続一覧'!A48)</f>
        <v/>
      </c>
    </row>
    <row r="50">
      <c r="A50" s="13" t="n"/>
      <c r="B50" s="13" t="n"/>
      <c r="C50" s="13" t="n"/>
      <c r="D50" s="13" t="n"/>
      <c r="E50" s="10" t="n"/>
      <c r="F50" s="10" t="n"/>
      <c r="G50" s="10" t="n"/>
      <c r="H50" s="10" t="n"/>
      <c r="I50" s="10" t="n"/>
      <c r="J50" s="10" t="n"/>
      <c r="K50" s="13" t="n"/>
      <c r="L50" s="13" t="n"/>
      <c r="M50" s="13" t="n"/>
      <c r="N50" s="14" t="n"/>
      <c r="O50" s="13" t="n"/>
      <c r="P50" s="13" t="n"/>
      <c r="Q50" s="13" t="n"/>
      <c r="R50" s="10" t="n"/>
      <c r="S50" s="10" t="n"/>
      <c r="U50" s="15">
        <f>IF('接続一覧'!A49="","",'接続一覧'!A49)</f>
        <v/>
      </c>
    </row>
    <row r="51">
      <c r="A51" s="13" t="n"/>
      <c r="B51" s="13" t="n"/>
      <c r="C51" s="13" t="n"/>
      <c r="D51" s="13" t="n"/>
      <c r="E51" s="10" t="n"/>
      <c r="F51" s="10" t="n"/>
      <c r="G51" s="10" t="n"/>
      <c r="H51" s="10" t="n"/>
      <c r="I51" s="10" t="n"/>
      <c r="J51" s="10" t="n"/>
      <c r="K51" s="13" t="n"/>
      <c r="L51" s="13" t="n"/>
      <c r="M51" s="13" t="n"/>
      <c r="N51" s="14" t="n"/>
      <c r="O51" s="13" t="n"/>
      <c r="P51" s="13" t="n"/>
      <c r="Q51" s="13" t="n"/>
      <c r="R51" s="10" t="n"/>
      <c r="S51" s="10" t="n"/>
      <c r="U51" s="15">
        <f>IF('接続一覧'!A50="","",'接続一覧'!A50)</f>
        <v/>
      </c>
    </row>
    <row r="52">
      <c r="A52" s="13" t="n"/>
      <c r="B52" s="13" t="n"/>
      <c r="C52" s="13" t="n"/>
      <c r="D52" s="13" t="n"/>
      <c r="E52" s="10" t="n"/>
      <c r="F52" s="10" t="n"/>
      <c r="G52" s="10" t="n"/>
      <c r="H52" s="10" t="n"/>
      <c r="I52" s="10" t="n"/>
      <c r="J52" s="10" t="n"/>
      <c r="K52" s="13" t="n"/>
      <c r="L52" s="13" t="n"/>
      <c r="M52" s="13" t="n"/>
      <c r="N52" s="14" t="n"/>
      <c r="O52" s="13" t="n"/>
      <c r="P52" s="13" t="n"/>
      <c r="Q52" s="13" t="n"/>
      <c r="R52" s="10" t="n"/>
      <c r="S52" s="10" t="n"/>
      <c r="U52" s="15">
        <f>IF('接続一覧'!A51="","",'接続一覧'!A51)</f>
        <v/>
      </c>
    </row>
    <row r="53">
      <c r="A53" s="13" t="n"/>
      <c r="B53" s="13" t="n"/>
      <c r="C53" s="13" t="n"/>
      <c r="D53" s="13" t="n"/>
      <c r="E53" s="10" t="n"/>
      <c r="F53" s="10" t="n"/>
      <c r="G53" s="10" t="n"/>
      <c r="H53" s="10" t="n"/>
      <c r="I53" s="10" t="n"/>
      <c r="J53" s="10" t="n"/>
      <c r="K53" s="13" t="n"/>
      <c r="L53" s="13" t="n"/>
      <c r="M53" s="13" t="n"/>
      <c r="N53" s="14" t="n"/>
      <c r="O53" s="13" t="n"/>
      <c r="P53" s="13" t="n"/>
      <c r="Q53" s="13" t="n"/>
      <c r="R53" s="10" t="n"/>
      <c r="S53" s="10" t="n"/>
      <c r="U53" s="15">
        <f>IF('接続一覧'!A52="","",'接続一覧'!A52)</f>
        <v/>
      </c>
    </row>
    <row r="54">
      <c r="A54" s="13" t="n"/>
      <c r="B54" s="13" t="n"/>
      <c r="C54" s="13" t="n"/>
      <c r="D54" s="13" t="n"/>
      <c r="E54" s="10" t="n"/>
      <c r="F54" s="10" t="n"/>
      <c r="G54" s="10" t="n"/>
      <c r="H54" s="10" t="n"/>
      <c r="I54" s="10" t="n"/>
      <c r="J54" s="10" t="n"/>
      <c r="K54" s="13" t="n"/>
      <c r="L54" s="13" t="n"/>
      <c r="M54" s="13" t="n"/>
      <c r="N54" s="14" t="n"/>
      <c r="O54" s="13" t="n"/>
      <c r="P54" s="13" t="n"/>
      <c r="Q54" s="13" t="n"/>
      <c r="R54" s="10" t="n"/>
      <c r="S54" s="10" t="n"/>
      <c r="U54" s="15">
        <f>IF('接続一覧'!A53="","",'接続一覧'!A53)</f>
        <v/>
      </c>
    </row>
    <row r="55">
      <c r="A55" s="13" t="n"/>
      <c r="B55" s="13" t="n"/>
      <c r="C55" s="13" t="n"/>
      <c r="D55" s="13" t="n"/>
      <c r="E55" s="10" t="n"/>
      <c r="F55" s="10" t="n"/>
      <c r="G55" s="10" t="n"/>
      <c r="H55" s="10" t="n"/>
      <c r="I55" s="10" t="n"/>
      <c r="J55" s="10" t="n"/>
      <c r="K55" s="13" t="n"/>
      <c r="L55" s="13" t="n"/>
      <c r="M55" s="13" t="n"/>
      <c r="N55" s="14" t="n"/>
      <c r="O55" s="13" t="n"/>
      <c r="P55" s="13" t="n"/>
      <c r="Q55" s="13" t="n"/>
      <c r="R55" s="10" t="n"/>
      <c r="S55" s="10" t="n"/>
      <c r="U55" s="15">
        <f>IF('接続一覧'!A54="","",'接続一覧'!A54)</f>
        <v/>
      </c>
    </row>
    <row r="56">
      <c r="A56" s="13" t="n"/>
      <c r="B56" s="13" t="n"/>
      <c r="C56" s="13" t="n"/>
      <c r="D56" s="13" t="n"/>
      <c r="E56" s="10" t="n"/>
      <c r="F56" s="10" t="n"/>
      <c r="G56" s="10" t="n"/>
      <c r="H56" s="10" t="n"/>
      <c r="I56" s="10" t="n"/>
      <c r="J56" s="10" t="n"/>
      <c r="K56" s="13" t="n"/>
      <c r="L56" s="13" t="n"/>
      <c r="M56" s="13" t="n"/>
      <c r="N56" s="14" t="n"/>
      <c r="O56" s="13" t="n"/>
      <c r="P56" s="13" t="n"/>
      <c r="Q56" s="13" t="n"/>
      <c r="R56" s="10" t="n"/>
      <c r="S56" s="10" t="n"/>
    </row>
    <row r="57">
      <c r="A57" s="13" t="n"/>
      <c r="B57" s="13" t="n"/>
      <c r="C57" s="13" t="n"/>
      <c r="D57" s="13" t="n"/>
      <c r="E57" s="10" t="n"/>
      <c r="F57" s="10" t="n"/>
      <c r="G57" s="10" t="n"/>
      <c r="H57" s="10" t="n"/>
      <c r="I57" s="10" t="n"/>
      <c r="J57" s="10" t="n"/>
      <c r="K57" s="13" t="n"/>
      <c r="L57" s="13" t="n"/>
      <c r="M57" s="13" t="n"/>
      <c r="N57" s="14" t="n"/>
      <c r="O57" s="13" t="n"/>
      <c r="P57" s="13" t="n"/>
      <c r="Q57" s="13" t="n"/>
      <c r="R57" s="10" t="n"/>
      <c r="S57" s="10" t="n"/>
    </row>
    <row r="58">
      <c r="A58" s="13" t="n"/>
      <c r="B58" s="13" t="n"/>
      <c r="C58" s="13" t="n"/>
      <c r="D58" s="13" t="n"/>
      <c r="E58" s="10" t="n"/>
      <c r="F58" s="10" t="n"/>
      <c r="G58" s="10" t="n"/>
      <c r="H58" s="10" t="n"/>
      <c r="I58" s="10" t="n"/>
      <c r="J58" s="10" t="n"/>
      <c r="K58" s="13" t="n"/>
      <c r="L58" s="13" t="n"/>
      <c r="M58" s="13" t="n"/>
      <c r="N58" s="14" t="n"/>
      <c r="O58" s="13" t="n"/>
      <c r="P58" s="13" t="n"/>
      <c r="Q58" s="13" t="n"/>
      <c r="R58" s="10" t="n"/>
      <c r="S58" s="10" t="n"/>
    </row>
    <row r="59">
      <c r="A59" s="13" t="n"/>
      <c r="B59" s="13" t="n"/>
      <c r="C59" s="13" t="n"/>
      <c r="D59" s="13" t="n"/>
      <c r="E59" s="10" t="n"/>
      <c r="F59" s="10" t="n"/>
      <c r="G59" s="10" t="n"/>
      <c r="H59" s="10" t="n"/>
      <c r="I59" s="10" t="n"/>
      <c r="J59" s="10" t="n"/>
      <c r="K59" s="13" t="n"/>
      <c r="L59" s="13" t="n"/>
      <c r="M59" s="13" t="n"/>
      <c r="N59" s="14" t="n"/>
      <c r="O59" s="13" t="n"/>
      <c r="P59" s="13" t="n"/>
      <c r="Q59" s="13" t="n"/>
      <c r="R59" s="10" t="n"/>
      <c r="S59" s="10" t="n"/>
    </row>
    <row r="60">
      <c r="A60" s="13" t="n"/>
      <c r="B60" s="13" t="n"/>
      <c r="C60" s="13" t="n"/>
      <c r="D60" s="13" t="n"/>
      <c r="E60" s="10" t="n"/>
      <c r="F60" s="10" t="n"/>
      <c r="G60" s="10" t="n"/>
      <c r="H60" s="10" t="n"/>
      <c r="I60" s="10" t="n"/>
      <c r="J60" s="10" t="n"/>
      <c r="K60" s="13" t="n"/>
      <c r="L60" s="13" t="n"/>
      <c r="M60" s="13" t="n"/>
      <c r="N60" s="14" t="n"/>
      <c r="O60" s="13" t="n"/>
      <c r="P60" s="13" t="n"/>
      <c r="Q60" s="13" t="n"/>
      <c r="R60" s="10" t="n"/>
      <c r="S60" s="10" t="n"/>
    </row>
    <row r="61">
      <c r="A61" s="13" t="n"/>
      <c r="B61" s="13" t="n"/>
      <c r="C61" s="13" t="n"/>
      <c r="D61" s="13" t="n"/>
      <c r="E61" s="10" t="n"/>
      <c r="F61" s="10" t="n"/>
      <c r="G61" s="10" t="n"/>
      <c r="H61" s="10" t="n"/>
      <c r="I61" s="10" t="n"/>
      <c r="J61" s="10" t="n"/>
      <c r="K61" s="13" t="n"/>
      <c r="L61" s="13" t="n"/>
      <c r="M61" s="13" t="n"/>
      <c r="N61" s="14" t="n"/>
      <c r="O61" s="13" t="n"/>
      <c r="P61" s="13" t="n"/>
      <c r="Q61" s="13" t="n"/>
      <c r="R61" s="10" t="n"/>
      <c r="S61" s="10" t="n"/>
    </row>
    <row r="62">
      <c r="A62" s="13" t="n"/>
      <c r="B62" s="13" t="n"/>
      <c r="C62" s="13" t="n"/>
      <c r="D62" s="13" t="n"/>
      <c r="E62" s="10" t="n"/>
      <c r="F62" s="10" t="n"/>
      <c r="G62" s="10" t="n"/>
      <c r="H62" s="10" t="n"/>
      <c r="I62" s="10" t="n"/>
      <c r="J62" s="10" t="n"/>
      <c r="K62" s="13" t="n"/>
      <c r="L62" s="13" t="n"/>
      <c r="M62" s="13" t="n"/>
      <c r="N62" s="14" t="n"/>
      <c r="O62" s="13" t="n"/>
      <c r="P62" s="13" t="n"/>
      <c r="Q62" s="13" t="n"/>
      <c r="R62" s="10" t="n"/>
      <c r="S62" s="10" t="n"/>
    </row>
    <row r="63">
      <c r="A63" s="13" t="n"/>
      <c r="B63" s="13" t="n"/>
      <c r="C63" s="13" t="n"/>
      <c r="D63" s="13" t="n"/>
      <c r="E63" s="10" t="n"/>
      <c r="F63" s="10" t="n"/>
      <c r="G63" s="10" t="n"/>
      <c r="H63" s="10" t="n"/>
      <c r="I63" s="10" t="n"/>
      <c r="J63" s="10" t="n"/>
      <c r="K63" s="13" t="n"/>
      <c r="L63" s="13" t="n"/>
      <c r="M63" s="13" t="n"/>
      <c r="N63" s="14" t="n"/>
      <c r="O63" s="13" t="n"/>
      <c r="P63" s="13" t="n"/>
      <c r="Q63" s="13" t="n"/>
      <c r="R63" s="10" t="n"/>
      <c r="S63" s="10" t="n"/>
    </row>
    <row r="64">
      <c r="A64" s="13" t="n"/>
      <c r="B64" s="13" t="n"/>
      <c r="C64" s="13" t="n"/>
      <c r="D64" s="13" t="n"/>
      <c r="E64" s="10" t="n"/>
      <c r="F64" s="10" t="n"/>
      <c r="G64" s="10" t="n"/>
      <c r="H64" s="10" t="n"/>
      <c r="I64" s="10" t="n"/>
      <c r="J64" s="10" t="n"/>
      <c r="K64" s="13" t="n"/>
      <c r="L64" s="13" t="n"/>
      <c r="M64" s="13" t="n"/>
      <c r="N64" s="14" t="n"/>
      <c r="O64" s="13" t="n"/>
      <c r="P64" s="13" t="n"/>
      <c r="Q64" s="13" t="n"/>
      <c r="R64" s="10" t="n"/>
      <c r="S64" s="10" t="n"/>
    </row>
    <row r="65">
      <c r="A65" s="13" t="n"/>
      <c r="B65" s="13" t="n"/>
      <c r="C65" s="13" t="n"/>
      <c r="D65" s="13" t="n"/>
      <c r="E65" s="10" t="n"/>
      <c r="F65" s="10" t="n"/>
      <c r="G65" s="10" t="n"/>
      <c r="H65" s="10" t="n"/>
      <c r="I65" s="10" t="n"/>
      <c r="J65" s="10" t="n"/>
      <c r="K65" s="13" t="n"/>
      <c r="L65" s="13" t="n"/>
      <c r="M65" s="13" t="n"/>
      <c r="N65" s="14" t="n"/>
      <c r="O65" s="13" t="n"/>
      <c r="P65" s="13" t="n"/>
      <c r="Q65" s="13" t="n"/>
      <c r="R65" s="10" t="n"/>
      <c r="S65" s="10" t="n"/>
    </row>
    <row r="66">
      <c r="A66" s="13" t="n"/>
      <c r="B66" s="13" t="n"/>
      <c r="C66" s="13" t="n"/>
      <c r="D66" s="13" t="n"/>
      <c r="E66" s="10" t="n"/>
      <c r="F66" s="10" t="n"/>
      <c r="G66" s="10" t="n"/>
      <c r="H66" s="10" t="n"/>
      <c r="I66" s="10" t="n"/>
      <c r="J66" s="10" t="n"/>
      <c r="K66" s="13" t="n"/>
      <c r="L66" s="13" t="n"/>
      <c r="M66" s="13" t="n"/>
      <c r="N66" s="14" t="n"/>
      <c r="O66" s="13" t="n"/>
      <c r="P66" s="13" t="n"/>
      <c r="Q66" s="13" t="n"/>
      <c r="R66" s="10" t="n"/>
      <c r="S66" s="10" t="n"/>
    </row>
    <row r="67">
      <c r="A67" s="13" t="n"/>
      <c r="B67" s="13" t="n"/>
      <c r="C67" s="13" t="n"/>
      <c r="D67" s="13" t="n"/>
      <c r="E67" s="10" t="n"/>
      <c r="F67" s="10" t="n"/>
      <c r="G67" s="10" t="n"/>
      <c r="H67" s="10" t="n"/>
      <c r="I67" s="10" t="n"/>
      <c r="J67" s="10" t="n"/>
      <c r="K67" s="13" t="n"/>
      <c r="L67" s="13" t="n"/>
      <c r="M67" s="13" t="n"/>
      <c r="N67" s="14" t="n"/>
      <c r="O67" s="13" t="n"/>
      <c r="P67" s="13" t="n"/>
      <c r="Q67" s="13" t="n"/>
      <c r="R67" s="10" t="n"/>
      <c r="S67" s="10" t="n"/>
    </row>
    <row r="68">
      <c r="A68" s="13" t="n"/>
      <c r="B68" s="13" t="n"/>
      <c r="C68" s="13" t="n"/>
      <c r="D68" s="13" t="n"/>
      <c r="E68" s="10" t="n"/>
      <c r="F68" s="10" t="n"/>
      <c r="G68" s="10" t="n"/>
      <c r="H68" s="10" t="n"/>
      <c r="I68" s="10" t="n"/>
      <c r="J68" s="10" t="n"/>
      <c r="K68" s="13" t="n"/>
      <c r="L68" s="13" t="n"/>
      <c r="M68" s="13" t="n"/>
      <c r="N68" s="14" t="n"/>
      <c r="O68" s="13" t="n"/>
      <c r="P68" s="13" t="n"/>
      <c r="Q68" s="13" t="n"/>
      <c r="R68" s="10" t="n"/>
      <c r="S68" s="10" t="n"/>
    </row>
    <row r="69">
      <c r="A69" s="13" t="n"/>
      <c r="B69" s="13" t="n"/>
      <c r="C69" s="13" t="n"/>
      <c r="D69" s="13" t="n"/>
      <c r="E69" s="10" t="n"/>
      <c r="F69" s="10" t="n"/>
      <c r="G69" s="10" t="n"/>
      <c r="H69" s="10" t="n"/>
      <c r="I69" s="10" t="n"/>
      <c r="J69" s="10" t="n"/>
      <c r="K69" s="13" t="n"/>
      <c r="L69" s="13" t="n"/>
      <c r="M69" s="13" t="n"/>
      <c r="N69" s="14" t="n"/>
      <c r="O69" s="13" t="n"/>
      <c r="P69" s="13" t="n"/>
      <c r="Q69" s="13" t="n"/>
      <c r="R69" s="10" t="n"/>
      <c r="S69" s="10" t="n"/>
    </row>
    <row r="70">
      <c r="A70" s="13" t="n"/>
      <c r="B70" s="13" t="n"/>
      <c r="C70" s="13" t="n"/>
      <c r="D70" s="13" t="n"/>
      <c r="E70" s="10" t="n"/>
      <c r="F70" s="10" t="n"/>
      <c r="G70" s="10" t="n"/>
      <c r="H70" s="10" t="n"/>
      <c r="I70" s="10" t="n"/>
      <c r="J70" s="10" t="n"/>
      <c r="K70" s="13" t="n"/>
      <c r="L70" s="13" t="n"/>
      <c r="M70" s="13" t="n"/>
      <c r="N70" s="14" t="n"/>
      <c r="O70" s="13" t="n"/>
      <c r="P70" s="13" t="n"/>
      <c r="Q70" s="13" t="n"/>
      <c r="R70" s="10" t="n"/>
      <c r="S70" s="10" t="n"/>
    </row>
    <row r="71">
      <c r="A71" s="13" t="n"/>
      <c r="B71" s="13" t="n"/>
      <c r="C71" s="13" t="n"/>
      <c r="D71" s="13" t="n"/>
      <c r="E71" s="10" t="n"/>
      <c r="F71" s="10" t="n"/>
      <c r="G71" s="10" t="n"/>
      <c r="H71" s="10" t="n"/>
      <c r="I71" s="10" t="n"/>
      <c r="J71" s="10" t="n"/>
      <c r="K71" s="13" t="n"/>
      <c r="L71" s="13" t="n"/>
      <c r="M71" s="13" t="n"/>
      <c r="N71" s="14" t="n"/>
      <c r="O71" s="13" t="n"/>
      <c r="P71" s="13" t="n"/>
      <c r="Q71" s="13" t="n"/>
      <c r="R71" s="10" t="n"/>
      <c r="S71" s="10" t="n"/>
    </row>
    <row r="72">
      <c r="A72" s="13" t="n"/>
      <c r="B72" s="13" t="n"/>
      <c r="C72" s="13" t="n"/>
      <c r="D72" s="13" t="n"/>
      <c r="E72" s="10" t="n"/>
      <c r="F72" s="10" t="n"/>
      <c r="G72" s="10" t="n"/>
      <c r="H72" s="10" t="n"/>
      <c r="I72" s="10" t="n"/>
      <c r="J72" s="10" t="n"/>
      <c r="K72" s="13" t="n"/>
      <c r="L72" s="13" t="n"/>
      <c r="M72" s="13" t="n"/>
      <c r="N72" s="14" t="n"/>
      <c r="O72" s="13" t="n"/>
      <c r="P72" s="13" t="n"/>
      <c r="Q72" s="13" t="n"/>
      <c r="R72" s="10" t="n"/>
      <c r="S72" s="10" t="n"/>
    </row>
    <row r="73">
      <c r="A73" s="13" t="n"/>
      <c r="B73" s="13" t="n"/>
      <c r="C73" s="13" t="n"/>
      <c r="D73" s="13" t="n"/>
      <c r="E73" s="10" t="n"/>
      <c r="F73" s="10" t="n"/>
      <c r="G73" s="10" t="n"/>
      <c r="H73" s="10" t="n"/>
      <c r="I73" s="10" t="n"/>
      <c r="J73" s="10" t="n"/>
      <c r="K73" s="13" t="n"/>
      <c r="L73" s="13" t="n"/>
      <c r="M73" s="13" t="n"/>
      <c r="N73" s="14" t="n"/>
      <c r="O73" s="13" t="n"/>
      <c r="P73" s="13" t="n"/>
      <c r="Q73" s="13" t="n"/>
      <c r="R73" s="10" t="n"/>
      <c r="S73" s="10" t="n"/>
    </row>
    <row r="74">
      <c r="A74" s="13" t="n"/>
      <c r="B74" s="13" t="n"/>
      <c r="C74" s="13" t="n"/>
      <c r="D74" s="13" t="n"/>
      <c r="E74" s="10" t="n"/>
      <c r="F74" s="10" t="n"/>
      <c r="G74" s="10" t="n"/>
      <c r="H74" s="10" t="n"/>
      <c r="I74" s="10" t="n"/>
      <c r="J74" s="10" t="n"/>
      <c r="K74" s="13" t="n"/>
      <c r="L74" s="13" t="n"/>
      <c r="M74" s="13" t="n"/>
      <c r="N74" s="14" t="n"/>
      <c r="O74" s="13" t="n"/>
      <c r="P74" s="13" t="n"/>
      <c r="Q74" s="13" t="n"/>
      <c r="R74" s="10" t="n"/>
      <c r="S74" s="10" t="n"/>
    </row>
    <row r="75">
      <c r="A75" s="13" t="n"/>
      <c r="B75" s="13" t="n"/>
      <c r="C75" s="13" t="n"/>
      <c r="D75" s="13" t="n"/>
      <c r="E75" s="10" t="n"/>
      <c r="F75" s="10" t="n"/>
      <c r="G75" s="10" t="n"/>
      <c r="H75" s="10" t="n"/>
      <c r="I75" s="10" t="n"/>
      <c r="J75" s="10" t="n"/>
      <c r="K75" s="13" t="n"/>
      <c r="L75" s="13" t="n"/>
      <c r="M75" s="13" t="n"/>
      <c r="N75" s="14" t="n"/>
      <c r="O75" s="13" t="n"/>
      <c r="P75" s="13" t="n"/>
      <c r="Q75" s="13" t="n"/>
      <c r="R75" s="10" t="n"/>
      <c r="S75" s="10" t="n"/>
    </row>
    <row r="76">
      <c r="A76" s="13" t="n"/>
      <c r="B76" s="13" t="n"/>
      <c r="C76" s="13" t="n"/>
      <c r="D76" s="13" t="n"/>
      <c r="E76" s="10" t="n"/>
      <c r="F76" s="10" t="n"/>
      <c r="G76" s="10" t="n"/>
      <c r="H76" s="10" t="n"/>
      <c r="I76" s="10" t="n"/>
      <c r="J76" s="10" t="n"/>
      <c r="K76" s="13" t="n"/>
      <c r="L76" s="13" t="n"/>
      <c r="M76" s="13" t="n"/>
      <c r="N76" s="14" t="n"/>
      <c r="O76" s="13" t="n"/>
      <c r="P76" s="13" t="n"/>
      <c r="Q76" s="13" t="n"/>
      <c r="R76" s="10" t="n"/>
      <c r="S76" s="10" t="n"/>
    </row>
    <row r="77">
      <c r="A77" s="13" t="n"/>
      <c r="B77" s="13" t="n"/>
      <c r="C77" s="13" t="n"/>
      <c r="D77" s="13" t="n"/>
      <c r="E77" s="10" t="n"/>
      <c r="F77" s="10" t="n"/>
      <c r="G77" s="10" t="n"/>
      <c r="H77" s="10" t="n"/>
      <c r="I77" s="10" t="n"/>
      <c r="J77" s="10" t="n"/>
      <c r="K77" s="13" t="n"/>
      <c r="L77" s="13" t="n"/>
      <c r="M77" s="13" t="n"/>
      <c r="N77" s="14" t="n"/>
      <c r="O77" s="13" t="n"/>
      <c r="P77" s="13" t="n"/>
      <c r="Q77" s="13" t="n"/>
      <c r="R77" s="10" t="n"/>
      <c r="S77" s="10" t="n"/>
    </row>
    <row r="78">
      <c r="A78" s="13" t="n"/>
      <c r="B78" s="13" t="n"/>
      <c r="C78" s="13" t="n"/>
      <c r="D78" s="13" t="n"/>
      <c r="E78" s="10" t="n"/>
      <c r="F78" s="10" t="n"/>
      <c r="G78" s="10" t="n"/>
      <c r="H78" s="10" t="n"/>
      <c r="I78" s="10" t="n"/>
      <c r="J78" s="10" t="n"/>
      <c r="K78" s="13" t="n"/>
      <c r="L78" s="13" t="n"/>
      <c r="M78" s="13" t="n"/>
      <c r="N78" s="14" t="n"/>
      <c r="O78" s="13" t="n"/>
      <c r="P78" s="13" t="n"/>
      <c r="Q78" s="13" t="n"/>
      <c r="R78" s="10" t="n"/>
      <c r="S78" s="10" t="n"/>
    </row>
    <row r="79">
      <c r="A79" s="13" t="n"/>
      <c r="B79" s="13" t="n"/>
      <c r="C79" s="13" t="n"/>
      <c r="D79" s="13" t="n"/>
      <c r="E79" s="10" t="n"/>
      <c r="F79" s="10" t="n"/>
      <c r="G79" s="10" t="n"/>
      <c r="H79" s="10" t="n"/>
      <c r="I79" s="10" t="n"/>
      <c r="J79" s="10" t="n"/>
      <c r="K79" s="13" t="n"/>
      <c r="L79" s="13" t="n"/>
      <c r="M79" s="13" t="n"/>
      <c r="N79" s="14" t="n"/>
      <c r="O79" s="13" t="n"/>
      <c r="P79" s="13" t="n"/>
      <c r="Q79" s="13" t="n"/>
      <c r="R79" s="10" t="n"/>
      <c r="S79" s="10" t="n"/>
    </row>
    <row r="80">
      <c r="A80" s="13" t="n"/>
      <c r="B80" s="13" t="n"/>
      <c r="C80" s="13" t="n"/>
      <c r="D80" s="13" t="n"/>
      <c r="E80" s="10" t="n"/>
      <c r="F80" s="10" t="n"/>
      <c r="G80" s="10" t="n"/>
      <c r="H80" s="10" t="n"/>
      <c r="I80" s="10" t="n"/>
      <c r="J80" s="10" t="n"/>
      <c r="K80" s="13" t="n"/>
      <c r="L80" s="13" t="n"/>
      <c r="M80" s="13" t="n"/>
      <c r="N80" s="14" t="n"/>
      <c r="O80" s="13" t="n"/>
      <c r="P80" s="13" t="n"/>
      <c r="Q80" s="13" t="n"/>
      <c r="R80" s="10" t="n"/>
      <c r="S80" s="10" t="n"/>
    </row>
    <row r="81">
      <c r="A81" s="13" t="n"/>
      <c r="B81" s="13" t="n"/>
      <c r="C81" s="13" t="n"/>
      <c r="D81" s="13" t="n"/>
      <c r="E81" s="10" t="n"/>
      <c r="F81" s="10" t="n"/>
      <c r="G81" s="10" t="n"/>
      <c r="H81" s="10" t="n"/>
      <c r="I81" s="10" t="n"/>
      <c r="J81" s="10" t="n"/>
      <c r="K81" s="13" t="n"/>
      <c r="L81" s="13" t="n"/>
      <c r="M81" s="13" t="n"/>
      <c r="N81" s="14" t="n"/>
      <c r="O81" s="13" t="n"/>
      <c r="P81" s="13" t="n"/>
      <c r="Q81" s="13" t="n"/>
      <c r="R81" s="10" t="n"/>
      <c r="S81" s="10" t="n"/>
    </row>
    <row r="82">
      <c r="A82" s="13" t="n"/>
      <c r="B82" s="13" t="n"/>
      <c r="C82" s="13" t="n"/>
      <c r="D82" s="13" t="n"/>
      <c r="E82" s="10" t="n"/>
      <c r="F82" s="10" t="n"/>
      <c r="G82" s="10" t="n"/>
      <c r="H82" s="10" t="n"/>
      <c r="I82" s="10" t="n"/>
      <c r="J82" s="10" t="n"/>
      <c r="K82" s="13" t="n"/>
      <c r="L82" s="13" t="n"/>
      <c r="M82" s="13" t="n"/>
      <c r="N82" s="14" t="n"/>
      <c r="O82" s="13" t="n"/>
      <c r="P82" s="13" t="n"/>
      <c r="Q82" s="13" t="n"/>
      <c r="R82" s="10" t="n"/>
      <c r="S82" s="10" t="n"/>
    </row>
    <row r="83">
      <c r="A83" s="13" t="n"/>
      <c r="B83" s="13" t="n"/>
      <c r="C83" s="13" t="n"/>
      <c r="D83" s="13" t="n"/>
      <c r="E83" s="10" t="n"/>
      <c r="F83" s="10" t="n"/>
      <c r="G83" s="10" t="n"/>
      <c r="H83" s="10" t="n"/>
      <c r="I83" s="10" t="n"/>
      <c r="J83" s="10" t="n"/>
      <c r="K83" s="13" t="n"/>
      <c r="L83" s="13" t="n"/>
      <c r="M83" s="13" t="n"/>
      <c r="N83" s="14" t="n"/>
      <c r="O83" s="13" t="n"/>
      <c r="P83" s="13" t="n"/>
      <c r="Q83" s="13" t="n"/>
      <c r="R83" s="10" t="n"/>
      <c r="S83" s="10" t="n"/>
    </row>
    <row r="84">
      <c r="A84" s="13" t="n"/>
      <c r="B84" s="13" t="n"/>
      <c r="C84" s="13" t="n"/>
      <c r="D84" s="13" t="n"/>
      <c r="E84" s="10" t="n"/>
      <c r="F84" s="10" t="n"/>
      <c r="G84" s="10" t="n"/>
      <c r="H84" s="10" t="n"/>
      <c r="I84" s="10" t="n"/>
      <c r="J84" s="10" t="n"/>
      <c r="K84" s="13" t="n"/>
      <c r="L84" s="13" t="n"/>
      <c r="M84" s="13" t="n"/>
      <c r="N84" s="14" t="n"/>
      <c r="O84" s="13" t="n"/>
      <c r="P84" s="13" t="n"/>
      <c r="Q84" s="13" t="n"/>
      <c r="R84" s="10" t="n"/>
      <c r="S84" s="10" t="n"/>
    </row>
    <row r="85">
      <c r="A85" s="13" t="n"/>
      <c r="B85" s="13" t="n"/>
      <c r="C85" s="13" t="n"/>
      <c r="D85" s="13" t="n"/>
      <c r="E85" s="10" t="n"/>
      <c r="F85" s="10" t="n"/>
      <c r="G85" s="10" t="n"/>
      <c r="H85" s="10" t="n"/>
      <c r="I85" s="10" t="n"/>
      <c r="J85" s="10" t="n"/>
      <c r="K85" s="13" t="n"/>
      <c r="L85" s="13" t="n"/>
      <c r="M85" s="13" t="n"/>
      <c r="N85" s="14" t="n"/>
      <c r="O85" s="13" t="n"/>
      <c r="P85" s="13" t="n"/>
      <c r="Q85" s="13" t="n"/>
      <c r="R85" s="10" t="n"/>
      <c r="S85" s="10" t="n"/>
    </row>
    <row r="86">
      <c r="A86" s="13" t="n"/>
      <c r="B86" s="13" t="n"/>
      <c r="C86" s="13" t="n"/>
      <c r="D86" s="13" t="n"/>
      <c r="E86" s="10" t="n"/>
      <c r="F86" s="10" t="n"/>
      <c r="G86" s="10" t="n"/>
      <c r="H86" s="10" t="n"/>
      <c r="I86" s="10" t="n"/>
      <c r="J86" s="10" t="n"/>
      <c r="K86" s="13" t="n"/>
      <c r="L86" s="13" t="n"/>
      <c r="M86" s="13" t="n"/>
      <c r="N86" s="14" t="n"/>
      <c r="O86" s="13" t="n"/>
      <c r="P86" s="13" t="n"/>
      <c r="Q86" s="13" t="n"/>
      <c r="R86" s="10" t="n"/>
      <c r="S86" s="10" t="n"/>
    </row>
    <row r="87">
      <c r="A87" s="13" t="n"/>
      <c r="B87" s="13" t="n"/>
      <c r="C87" s="13" t="n"/>
      <c r="D87" s="13" t="n"/>
      <c r="E87" s="10" t="n"/>
      <c r="F87" s="10" t="n"/>
      <c r="G87" s="10" t="n"/>
      <c r="H87" s="10" t="n"/>
      <c r="I87" s="10" t="n"/>
      <c r="J87" s="10" t="n"/>
      <c r="K87" s="13" t="n"/>
      <c r="L87" s="13" t="n"/>
      <c r="M87" s="13" t="n"/>
      <c r="N87" s="14" t="n"/>
      <c r="O87" s="13" t="n"/>
      <c r="P87" s="13" t="n"/>
      <c r="Q87" s="13" t="n"/>
      <c r="R87" s="10" t="n"/>
      <c r="S87" s="10" t="n"/>
    </row>
    <row r="88">
      <c r="A88" s="13" t="n"/>
      <c r="B88" s="13" t="n"/>
      <c r="C88" s="13" t="n"/>
      <c r="D88" s="13" t="n"/>
      <c r="E88" s="10" t="n"/>
      <c r="F88" s="10" t="n"/>
      <c r="G88" s="10" t="n"/>
      <c r="H88" s="10" t="n"/>
      <c r="I88" s="10" t="n"/>
      <c r="J88" s="10" t="n"/>
      <c r="K88" s="13" t="n"/>
      <c r="L88" s="13" t="n"/>
      <c r="M88" s="13" t="n"/>
      <c r="N88" s="14" t="n"/>
      <c r="O88" s="13" t="n"/>
      <c r="P88" s="13" t="n"/>
      <c r="Q88" s="13" t="n"/>
      <c r="R88" s="10" t="n"/>
      <c r="S88" s="10" t="n"/>
    </row>
    <row r="89">
      <c r="A89" s="13" t="n"/>
      <c r="B89" s="13" t="n"/>
      <c r="C89" s="13" t="n"/>
      <c r="D89" s="13" t="n"/>
      <c r="E89" s="10" t="n"/>
      <c r="F89" s="10" t="n"/>
      <c r="G89" s="10" t="n"/>
      <c r="H89" s="10" t="n"/>
      <c r="I89" s="10" t="n"/>
      <c r="J89" s="10" t="n"/>
      <c r="K89" s="13" t="n"/>
      <c r="L89" s="13" t="n"/>
      <c r="M89" s="13" t="n"/>
      <c r="N89" s="14" t="n"/>
      <c r="O89" s="13" t="n"/>
      <c r="P89" s="13" t="n"/>
      <c r="Q89" s="13" t="n"/>
      <c r="R89" s="10" t="n"/>
      <c r="S89" s="10" t="n"/>
    </row>
    <row r="90">
      <c r="A90" s="13" t="n"/>
      <c r="B90" s="13" t="n"/>
      <c r="C90" s="13" t="n"/>
      <c r="D90" s="13" t="n"/>
      <c r="E90" s="10" t="n"/>
      <c r="F90" s="10" t="n"/>
      <c r="G90" s="10" t="n"/>
      <c r="H90" s="10" t="n"/>
      <c r="I90" s="10" t="n"/>
      <c r="J90" s="10" t="n"/>
      <c r="K90" s="13" t="n"/>
      <c r="L90" s="13" t="n"/>
      <c r="M90" s="13" t="n"/>
      <c r="N90" s="14" t="n"/>
      <c r="O90" s="13" t="n"/>
      <c r="P90" s="13" t="n"/>
      <c r="Q90" s="13" t="n"/>
      <c r="R90" s="10" t="n"/>
      <c r="S90" s="10" t="n"/>
    </row>
    <row r="91">
      <c r="A91" s="13" t="n"/>
      <c r="B91" s="13" t="n"/>
      <c r="C91" s="13" t="n"/>
      <c r="D91" s="13" t="n"/>
      <c r="E91" s="10" t="n"/>
      <c r="F91" s="10" t="n"/>
      <c r="G91" s="10" t="n"/>
      <c r="H91" s="10" t="n"/>
      <c r="I91" s="10" t="n"/>
      <c r="J91" s="10" t="n"/>
      <c r="K91" s="13" t="n"/>
      <c r="L91" s="13" t="n"/>
      <c r="M91" s="13" t="n"/>
      <c r="N91" s="14" t="n"/>
      <c r="O91" s="13" t="n"/>
      <c r="P91" s="13" t="n"/>
      <c r="Q91" s="13" t="n"/>
      <c r="R91" s="10" t="n"/>
      <c r="S91" s="10" t="n"/>
    </row>
    <row r="92">
      <c r="A92" s="13" t="n"/>
      <c r="B92" s="13" t="n"/>
      <c r="C92" s="13" t="n"/>
      <c r="D92" s="13" t="n"/>
      <c r="E92" s="10" t="n"/>
      <c r="F92" s="10" t="n"/>
      <c r="G92" s="10" t="n"/>
      <c r="H92" s="10" t="n"/>
      <c r="I92" s="10" t="n"/>
      <c r="J92" s="10" t="n"/>
      <c r="K92" s="13" t="n"/>
      <c r="L92" s="13" t="n"/>
      <c r="M92" s="13" t="n"/>
      <c r="N92" s="14" t="n"/>
      <c r="O92" s="13" t="n"/>
      <c r="P92" s="13" t="n"/>
      <c r="Q92" s="13" t="n"/>
      <c r="R92" s="10" t="n"/>
      <c r="S92" s="10" t="n"/>
    </row>
    <row r="93">
      <c r="A93" s="13" t="n"/>
      <c r="B93" s="13" t="n"/>
      <c r="C93" s="13" t="n"/>
      <c r="D93" s="13" t="n"/>
      <c r="E93" s="10" t="n"/>
      <c r="F93" s="10" t="n"/>
      <c r="G93" s="10" t="n"/>
      <c r="H93" s="10" t="n"/>
      <c r="I93" s="10" t="n"/>
      <c r="J93" s="10" t="n"/>
      <c r="K93" s="13" t="n"/>
      <c r="L93" s="13" t="n"/>
      <c r="M93" s="13" t="n"/>
      <c r="N93" s="14" t="n"/>
      <c r="O93" s="13" t="n"/>
      <c r="P93" s="13" t="n"/>
      <c r="Q93" s="13" t="n"/>
      <c r="R93" s="10" t="n"/>
      <c r="S93" s="10" t="n"/>
    </row>
    <row r="94">
      <c r="A94" s="13" t="n"/>
      <c r="B94" s="13" t="n"/>
      <c r="C94" s="13" t="n"/>
      <c r="D94" s="13" t="n"/>
      <c r="E94" s="10" t="n"/>
      <c r="F94" s="10" t="n"/>
      <c r="G94" s="10" t="n"/>
      <c r="H94" s="10" t="n"/>
      <c r="I94" s="10" t="n"/>
      <c r="J94" s="10" t="n"/>
      <c r="K94" s="13" t="n"/>
      <c r="L94" s="13" t="n"/>
      <c r="M94" s="13" t="n"/>
      <c r="N94" s="14" t="n"/>
      <c r="O94" s="13" t="n"/>
      <c r="P94" s="13" t="n"/>
      <c r="Q94" s="13" t="n"/>
      <c r="R94" s="10" t="n"/>
      <c r="S94" s="10" t="n"/>
    </row>
    <row r="95">
      <c r="A95" s="13" t="n"/>
      <c r="B95" s="13" t="n"/>
      <c r="C95" s="13" t="n"/>
      <c r="D95" s="13" t="n"/>
      <c r="E95" s="10" t="n"/>
      <c r="F95" s="10" t="n"/>
      <c r="G95" s="10" t="n"/>
      <c r="H95" s="10" t="n"/>
      <c r="I95" s="10" t="n"/>
      <c r="J95" s="10" t="n"/>
      <c r="K95" s="13" t="n"/>
      <c r="L95" s="13" t="n"/>
      <c r="M95" s="13" t="n"/>
      <c r="N95" s="14" t="n"/>
      <c r="O95" s="13" t="n"/>
      <c r="P95" s="13" t="n"/>
      <c r="Q95" s="13" t="n"/>
      <c r="R95" s="10" t="n"/>
      <c r="S95" s="10" t="n"/>
    </row>
    <row r="96">
      <c r="A96" s="13" t="n"/>
      <c r="B96" s="13" t="n"/>
      <c r="C96" s="13" t="n"/>
      <c r="D96" s="13" t="n"/>
      <c r="E96" s="10" t="n"/>
      <c r="F96" s="10" t="n"/>
      <c r="G96" s="10" t="n"/>
      <c r="H96" s="10" t="n"/>
      <c r="I96" s="10" t="n"/>
      <c r="J96" s="10" t="n"/>
      <c r="K96" s="13" t="n"/>
      <c r="L96" s="13" t="n"/>
      <c r="M96" s="13" t="n"/>
      <c r="N96" s="14" t="n"/>
      <c r="O96" s="13" t="n"/>
      <c r="P96" s="13" t="n"/>
      <c r="Q96" s="13" t="n"/>
      <c r="R96" s="10" t="n"/>
      <c r="S96" s="10" t="n"/>
    </row>
    <row r="97">
      <c r="A97" s="13" t="n"/>
      <c r="B97" s="13" t="n"/>
      <c r="C97" s="13" t="n"/>
      <c r="D97" s="13" t="n"/>
      <c r="E97" s="10" t="n"/>
      <c r="F97" s="10" t="n"/>
      <c r="G97" s="10" t="n"/>
      <c r="H97" s="10" t="n"/>
      <c r="I97" s="10" t="n"/>
      <c r="J97" s="10" t="n"/>
      <c r="K97" s="13" t="n"/>
      <c r="L97" s="13" t="n"/>
      <c r="M97" s="13" t="n"/>
      <c r="N97" s="14" t="n"/>
      <c r="O97" s="13" t="n"/>
      <c r="P97" s="13" t="n"/>
      <c r="Q97" s="13" t="n"/>
      <c r="R97" s="10" t="n"/>
      <c r="S97" s="10" t="n"/>
    </row>
    <row r="98">
      <c r="A98" s="13" t="n"/>
      <c r="B98" s="13" t="n"/>
      <c r="C98" s="13" t="n"/>
      <c r="D98" s="13" t="n"/>
      <c r="E98" s="10" t="n"/>
      <c r="F98" s="10" t="n"/>
      <c r="G98" s="10" t="n"/>
      <c r="H98" s="10" t="n"/>
      <c r="I98" s="10" t="n"/>
      <c r="J98" s="10" t="n"/>
      <c r="K98" s="13" t="n"/>
      <c r="L98" s="13" t="n"/>
      <c r="M98" s="13" t="n"/>
      <c r="N98" s="14" t="n"/>
      <c r="O98" s="13" t="n"/>
      <c r="P98" s="13" t="n"/>
      <c r="Q98" s="13" t="n"/>
      <c r="R98" s="10" t="n"/>
      <c r="S98" s="10" t="n"/>
    </row>
    <row r="99">
      <c r="A99" s="13" t="n"/>
      <c r="B99" s="13" t="n"/>
      <c r="C99" s="13" t="n"/>
      <c r="D99" s="13" t="n"/>
      <c r="E99" s="10" t="n"/>
      <c r="F99" s="10" t="n"/>
      <c r="G99" s="10" t="n"/>
      <c r="H99" s="10" t="n"/>
      <c r="I99" s="10" t="n"/>
      <c r="J99" s="10" t="n"/>
      <c r="K99" s="13" t="n"/>
      <c r="L99" s="13" t="n"/>
      <c r="M99" s="13" t="n"/>
      <c r="N99" s="14" t="n"/>
      <c r="O99" s="13" t="n"/>
      <c r="P99" s="13" t="n"/>
      <c r="Q99" s="13" t="n"/>
      <c r="R99" s="10" t="n"/>
      <c r="S99" s="10" t="n"/>
    </row>
    <row r="100">
      <c r="A100" s="13" t="n"/>
      <c r="B100" s="13" t="n"/>
      <c r="C100" s="13" t="n"/>
      <c r="D100" s="13" t="n"/>
      <c r="E100" s="10" t="n"/>
      <c r="F100" s="10" t="n"/>
      <c r="G100" s="10" t="n"/>
      <c r="H100" s="10" t="n"/>
      <c r="I100" s="10" t="n"/>
      <c r="J100" s="10" t="n"/>
      <c r="K100" s="13" t="n"/>
      <c r="L100" s="13" t="n"/>
      <c r="M100" s="13" t="n"/>
      <c r="N100" s="14" t="n"/>
      <c r="O100" s="13" t="n"/>
      <c r="P100" s="13" t="n"/>
      <c r="Q100" s="13" t="n"/>
      <c r="R100" s="10" t="n"/>
      <c r="S100" s="10" t="n"/>
    </row>
    <row r="101">
      <c r="A101" s="13" t="n"/>
      <c r="B101" s="13" t="n"/>
      <c r="C101" s="13" t="n"/>
      <c r="D101" s="13" t="n"/>
      <c r="E101" s="10" t="n"/>
      <c r="F101" s="10" t="n"/>
      <c r="G101" s="10" t="n"/>
      <c r="H101" s="10" t="n"/>
      <c r="I101" s="10" t="n"/>
      <c r="J101" s="10" t="n"/>
      <c r="K101" s="13" t="n"/>
      <c r="L101" s="13" t="n"/>
      <c r="M101" s="13" t="n"/>
      <c r="N101" s="14" t="n"/>
      <c r="O101" s="13" t="n"/>
      <c r="P101" s="13" t="n"/>
      <c r="Q101" s="13" t="n"/>
      <c r="R101" s="10" t="n"/>
      <c r="S101" s="10" t="n"/>
    </row>
    <row r="102">
      <c r="A102" s="13" t="n"/>
      <c r="B102" s="13" t="n"/>
      <c r="C102" s="13" t="n"/>
      <c r="D102" s="13" t="n"/>
      <c r="E102" s="10" t="n"/>
      <c r="F102" s="10" t="n"/>
      <c r="G102" s="10" t="n"/>
      <c r="H102" s="10" t="n"/>
      <c r="I102" s="10" t="n"/>
      <c r="J102" s="10" t="n"/>
      <c r="K102" s="13" t="n"/>
      <c r="L102" s="13" t="n"/>
      <c r="M102" s="13" t="n"/>
      <c r="N102" s="14" t="n"/>
      <c r="O102" s="13" t="n"/>
      <c r="P102" s="13" t="n"/>
      <c r="Q102" s="13" t="n"/>
      <c r="R102" s="10" t="n"/>
      <c r="S102" s="10" t="n"/>
    </row>
    <row r="103">
      <c r="A103" s="13" t="n"/>
      <c r="B103" s="13" t="n"/>
      <c r="C103" s="13" t="n"/>
      <c r="D103" s="13" t="n"/>
      <c r="E103" s="10" t="n"/>
      <c r="F103" s="10" t="n"/>
      <c r="G103" s="10" t="n"/>
      <c r="H103" s="10" t="n"/>
      <c r="I103" s="10" t="n"/>
      <c r="J103" s="10" t="n"/>
      <c r="K103" s="13" t="n"/>
      <c r="L103" s="13" t="n"/>
      <c r="M103" s="13" t="n"/>
      <c r="N103" s="14" t="n"/>
      <c r="O103" s="13" t="n"/>
      <c r="P103" s="13" t="n"/>
      <c r="Q103" s="13" t="n"/>
      <c r="R103" s="10" t="n"/>
      <c r="S103" s="10" t="n"/>
    </row>
    <row r="104">
      <c r="A104" s="13" t="n"/>
      <c r="B104" s="13" t="n"/>
      <c r="C104" s="13" t="n"/>
      <c r="D104" s="13" t="n"/>
      <c r="E104" s="10" t="n"/>
      <c r="F104" s="10" t="n"/>
      <c r="G104" s="10" t="n"/>
      <c r="H104" s="10" t="n"/>
      <c r="I104" s="10" t="n"/>
      <c r="J104" s="10" t="n"/>
      <c r="K104" s="13" t="n"/>
      <c r="L104" s="13" t="n"/>
      <c r="M104" s="13" t="n"/>
      <c r="N104" s="14" t="n"/>
      <c r="O104" s="13" t="n"/>
      <c r="P104" s="13" t="n"/>
      <c r="Q104" s="13" t="n"/>
      <c r="R104" s="10" t="n"/>
      <c r="S104" s="10" t="n"/>
    </row>
    <row r="105">
      <c r="A105" s="13" t="n"/>
      <c r="B105" s="13" t="n"/>
      <c r="C105" s="13" t="n"/>
      <c r="D105" s="13" t="n"/>
      <c r="E105" s="10" t="n"/>
      <c r="F105" s="10" t="n"/>
      <c r="G105" s="10" t="n"/>
      <c r="H105" s="10" t="n"/>
      <c r="I105" s="10" t="n"/>
      <c r="J105" s="10" t="n"/>
      <c r="K105" s="13" t="n"/>
      <c r="L105" s="13" t="n"/>
      <c r="M105" s="13" t="n"/>
      <c r="N105" s="14" t="n"/>
      <c r="O105" s="13" t="n"/>
      <c r="P105" s="13" t="n"/>
      <c r="Q105" s="13" t="n"/>
      <c r="R105" s="10" t="n"/>
      <c r="S105" s="10" t="n"/>
    </row>
  </sheetData>
  <autoFilter ref="A5:S105"/>
  <mergeCells count="8">
    <mergeCell ref="B2:C2"/>
    <mergeCell ref="H2:I2"/>
    <mergeCell ref="K2:M2"/>
    <mergeCell ref="E2:F2"/>
    <mergeCell ref="K4:M4"/>
    <mergeCell ref="A4:G4"/>
    <mergeCell ref="H4:J4"/>
    <mergeCell ref="N4:S4"/>
  </mergeCells>
  <conditionalFormatting sqref="P6:P105">
    <cfRule type="cellIs" priority="1" operator="equal" dxfId="0">
      <formula>"OK"</formula>
    </cfRule>
    <cfRule type="cellIs" priority="2" operator="equal" dxfId="1">
      <formula>"NG"</formula>
    </cfRule>
    <cfRule type="cellIs" priority="3" operator="equal" dxfId="2">
      <formula>"保留"</formula>
    </cfRule>
    <cfRule type="cellIs" priority="4" operator="equal" dxfId="3">
      <formula>"対象外"</formula>
    </cfRule>
  </conditionalFormatting>
  <dataValidations count="7">
    <dataValidation sqref="B6:B105" showDropDown="0" showInputMessage="0" showErrorMessage="0" allowBlank="1" type="list">
      <formula1>'疎通確認テストケース'!$U$6:$U$55</formula1>
    </dataValidation>
    <dataValidation sqref="D6:D105" showDropDown="0" showInputMessage="0" showErrorMessage="0" allowBlank="1" type="list">
      <formula1>"正常系,異常系"</formula1>
    </dataValidation>
    <dataValidation sqref="K6:K105" showDropDown="0" showInputMessage="0" showErrorMessage="0" allowBlank="1" type="list">
      <formula1>"対象（内部）,スタブ,実接続,未接続,なし"</formula1>
    </dataValidation>
    <dataValidation sqref="L6:L105" showDropDown="0" showInputMessage="0" showErrorMessage="0" allowBlank="1" type="list">
      <formula1>"高,中,低"</formula1>
    </dataValidation>
    <dataValidation sqref="M6:M105" showDropDown="0" showInputMessage="0" showErrorMessage="0" allowBlank="1" type="list">
      <formula1>"○,△,×"</formula1>
    </dataValidation>
    <dataValidation sqref="P6:P105" showDropDown="0" showInputMessage="0" showErrorMessage="0" allowBlank="1" type="list">
      <formula1>"未実施,OK,NG,保留,対象外"</formula1>
    </dataValidation>
    <dataValidation sqref="N6:N105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50" customWidth="1" min="4" max="4"/>
  </cols>
  <sheetData>
    <row r="1">
      <c r="A1" s="4" t="inlineStr">
        <is>
          <t>集計（自動計算・編集しない）</t>
        </is>
      </c>
    </row>
    <row r="3">
      <c r="A3" s="6" t="inlineStr">
        <is>
          <t>テストケースの結果</t>
        </is>
      </c>
      <c r="B3" s="6" t="inlineStr">
        <is>
          <t>件数</t>
        </is>
      </c>
      <c r="C3" s="6" t="inlineStr">
        <is>
          <t>高優先度</t>
        </is>
      </c>
      <c r="D3" s="6" t="inlineStr">
        <is>
          <t>メモ</t>
        </is>
      </c>
    </row>
    <row r="4">
      <c r="A4" s="16" t="inlineStr">
        <is>
          <t>ケース総数</t>
        </is>
      </c>
      <c r="B4" s="11">
        <f>COUNTA('疎通確認テストケース'!$A$6:$A$105)</f>
        <v/>
      </c>
      <c r="C4" s="11">
        <f>COUNTIFS('疎通確認テストケース'!$A$6:$A$105,"&lt;&gt;",'疎通確認テストケース'!$L$6:$L$105,"高")</f>
        <v/>
      </c>
      <c r="D4" s="16" t="inlineStr">
        <is>
          <t>ID列が入っている行を数える</t>
        </is>
      </c>
    </row>
    <row r="5">
      <c r="A5" s="16" t="inlineStr">
        <is>
          <t>OK</t>
        </is>
      </c>
      <c r="B5" s="11">
        <f>COUNTIFS('疎通確認テストケース'!$A$6:$A$105,"&lt;&gt;",'疎通確認テストケース'!$P$6:$P$105,"OK")</f>
        <v/>
      </c>
      <c r="C5" s="11">
        <f>COUNTIFS('疎通確認テストケース'!$A$6:$A$105,"&lt;&gt;",'疎通確認テストケース'!$P$6:$P$105,"OK",'疎通確認テストケース'!$L$6:$L$105,"高")</f>
        <v/>
      </c>
      <c r="D5" s="16" t="inlineStr"/>
    </row>
    <row r="6">
      <c r="A6" s="16" t="inlineStr">
        <is>
          <t>NG</t>
        </is>
      </c>
      <c r="B6" s="11">
        <f>COUNTIFS('疎通確認テストケース'!$A$6:$A$105,"&lt;&gt;",'疎通確認テストケース'!$P$6:$P$105,"NG")</f>
        <v/>
      </c>
      <c r="C6" s="11">
        <f>COUNTIFS('疎通確認テストケース'!$A$6:$A$105,"&lt;&gt;",'疎通確認テストケース'!$P$6:$P$105,"NG",'疎通確認テストケース'!$L$6:$L$105,"高")</f>
        <v/>
      </c>
      <c r="D6" s="16" t="inlineStr"/>
    </row>
    <row r="7">
      <c r="A7" s="16" t="inlineStr">
        <is>
          <t>保留</t>
        </is>
      </c>
      <c r="B7" s="11">
        <f>COUNTIFS('疎通確認テストケース'!$A$6:$A$105,"&lt;&gt;",'疎通確認テストケース'!$P$6:$P$105,"保留")</f>
        <v/>
      </c>
      <c r="C7" s="11">
        <f>COUNTIFS('疎通確認テストケース'!$A$6:$A$105,"&lt;&gt;",'疎通確認テストケース'!$P$6:$P$105,"保留",'疎通確認テストケース'!$L$6:$L$105,"高")</f>
        <v/>
      </c>
      <c r="D7" s="16" t="inlineStr"/>
    </row>
    <row r="8">
      <c r="A8" s="16" t="inlineStr">
        <is>
          <t>対象外</t>
        </is>
      </c>
      <c r="B8" s="11">
        <f>COUNTIFS('疎通確認テストケース'!$A$6:$A$105,"&lt;&gt;",'疎通確認テストケース'!$P$6:$P$105,"対象外")</f>
        <v/>
      </c>
      <c r="C8" s="11">
        <f>COUNTIFS('疎通確認テストケース'!$A$6:$A$105,"&lt;&gt;",'疎通確認テストケース'!$P$6:$P$105,"対象外",'疎通確認テストケース'!$L$6:$L$105,"高")</f>
        <v/>
      </c>
      <c r="D8" s="16" t="inlineStr"/>
    </row>
    <row r="9">
      <c r="A9" s="16" t="inlineStr">
        <is>
          <t>未実施（空欄含む）</t>
        </is>
      </c>
      <c r="B9" s="11">
        <f>B4-SUM(B5:B8)</f>
        <v/>
      </c>
      <c r="C9" s="11">
        <f>C4-SUM(C5:C8)</f>
        <v/>
      </c>
      <c r="D9" s="16" t="inlineStr"/>
    </row>
    <row r="10">
      <c r="A10" s="16" t="inlineStr">
        <is>
          <t>実施率</t>
        </is>
      </c>
      <c r="B10" s="17">
        <f>IF(B4=0,"",(B4-B9)/B4)</f>
        <v/>
      </c>
      <c r="C10" s="17">
        <f>IF(C4=0,"",(C4-C9)/C4)</f>
        <v/>
      </c>
      <c r="D10" s="16" t="inlineStr">
        <is>
          <t>（総数－未実施）÷総数</t>
        </is>
      </c>
    </row>
    <row r="11">
      <c r="A11" s="16" t="inlineStr">
        <is>
          <t>合格率（対象外を除く）</t>
        </is>
      </c>
      <c r="B11" s="17">
        <f>IF(B4-B8=0,"",B5/(B4-B8))</f>
        <v/>
      </c>
      <c r="C11" s="17">
        <f>IF(C4-C8=0,"",C5/(C4-C8))</f>
        <v/>
      </c>
      <c r="D11" s="16" t="inlineStr">
        <is>
          <t>OK÷（総数－対象外）</t>
        </is>
      </c>
    </row>
    <row r="13">
      <c r="A13" s="6" t="inlineStr">
        <is>
          <t>経路のカバー</t>
        </is>
      </c>
      <c r="B13" s="6" t="inlineStr">
        <is>
          <t>件数</t>
        </is>
      </c>
      <c r="C13" s="6" t="inlineStr"/>
      <c r="D13" s="6" t="inlineStr">
        <is>
          <t>メモ</t>
        </is>
      </c>
    </row>
    <row r="14">
      <c r="A14" s="16" t="inlineStr">
        <is>
          <t>経路数</t>
        </is>
      </c>
      <c r="B14" s="11">
        <f>COUNTA('接続一覧'!$A$5:$A$54)</f>
        <v/>
      </c>
      <c r="C14" s="11" t="inlineStr"/>
      <c r="D14" s="16" t="inlineStr">
        <is>
          <t>接続一覧に書いた経路</t>
        </is>
      </c>
    </row>
    <row r="15">
      <c r="A15" s="16" t="inlineStr">
        <is>
          <t>疎通OK</t>
        </is>
      </c>
      <c r="B15" s="11">
        <f>COUNTIF('接続一覧'!$K$5:$K$54,"疎通OK")</f>
        <v/>
      </c>
      <c r="C15" s="11" t="inlineStr"/>
      <c r="D15" s="16" t="inlineStr"/>
    </row>
    <row r="16">
      <c r="A16" s="16" t="inlineStr">
        <is>
          <t>NGあり</t>
        </is>
      </c>
      <c r="B16" s="11">
        <f>COUNTIF('接続一覧'!$K$5:$K$54,"NGあり")</f>
        <v/>
      </c>
      <c r="C16" s="11" t="inlineStr"/>
      <c r="D16" s="16" t="inlineStr"/>
    </row>
    <row r="17">
      <c r="A17" s="16" t="inlineStr">
        <is>
          <t>未完了</t>
        </is>
      </c>
      <c r="B17" s="11">
        <f>COUNTIF('接続一覧'!$K$5:$K$54,"未完了")</f>
        <v/>
      </c>
      <c r="C17" s="11" t="inlineStr"/>
      <c r="D17" s="16" t="inlineStr"/>
    </row>
    <row r="18">
      <c r="A18" s="16" t="inlineStr">
        <is>
          <t>ケース未作成</t>
        </is>
      </c>
      <c r="B18" s="11">
        <f>COUNTIF('接続一覧'!$K$5:$K$54,"ケース未作成")</f>
        <v/>
      </c>
      <c r="C18" s="11" t="inlineStr"/>
      <c r="D18" s="16" t="inlineStr">
        <is>
          <t>0になるまでケースを足す</t>
        </is>
      </c>
    </row>
    <row r="20">
      <c r="A20" s="6" t="inlineStr">
        <is>
          <t>外部結合の開始条件</t>
        </is>
      </c>
      <c r="B20" s="6" t="inlineStr">
        <is>
          <t>判定</t>
        </is>
      </c>
      <c r="C20" s="8" t="n"/>
      <c r="D20" s="6" t="inlineStr">
        <is>
          <t>条件</t>
        </is>
      </c>
    </row>
    <row r="21">
      <c r="A21" s="16" t="inlineStr">
        <is>
          <t>疎通確認 全件OK</t>
        </is>
      </c>
      <c r="B21" s="18">
        <f>IF(B4=0,"未達",IF(AND(B5+B8=B4,B18=0),"達成","未達"))</f>
        <v/>
      </c>
      <c r="C21" s="8" t="n"/>
      <c r="D21" s="16" t="inlineStr">
        <is>
          <t>全ケースがOKまたは対象外、かつケース未作成の経路がない</t>
        </is>
      </c>
    </row>
  </sheetData>
  <mergeCells count="2">
    <mergeCell ref="B21:C21"/>
    <mergeCell ref="B20:C20"/>
  </mergeCells>
  <conditionalFormatting sqref="B21">
    <cfRule type="cellIs" priority="1" operator="equal" dxfId="0">
      <formula>"達成"</formula>
    </cfRule>
    <cfRule type="cellIs" priority="2" operator="equal" dxfId="1">
      <formula>"未達"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2026-10-07T07:48:58Z</dcterms:created>
  <dcterms:modified xsi:type="dcterms:W3CDTF">2026-10-07T07:48:58Z</dcterms:modified>
</cp:coreProperties>
</file>