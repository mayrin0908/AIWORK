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使い方" sheetId="1" state="visible" r:id="rId1"/>
    <sheet name="質問一覧" sheetId="2" state="visible" r:id="rId2"/>
    <sheet name="集計" sheetId="3" state="visible" r:id="rId3"/>
  </sheets>
  <definedNames>
    <definedName name="_xlnm._FilterDatabase" localSheetId="1" hidden="1">'質問一覧'!$A$4:$R$204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&quot;日&quot;"/>
    <numFmt numFmtId="166" formatCode="0.0&quot;日&quot;"/>
  </numFmts>
  <fonts count="7">
    <font>
      <name val="Calibri"/>
      <family val="2"/>
      <color theme="1"/>
      <sz val="11"/>
      <scheme val="minor"/>
    </font>
    <font>
      <name val="Meiryo UI"/>
      <b val="1"/>
      <color rgb="00000000"/>
      <sz val="14"/>
    </font>
    <font>
      <name val="Meiryo UI"/>
      <color rgb="00595959"/>
      <sz val="9"/>
    </font>
    <font>
      <name val="Meiryo UI"/>
      <b val="1"/>
      <color rgb="00FFFFFF"/>
      <sz val="10"/>
    </font>
    <font>
      <name val="Meiryo UI"/>
      <color rgb="00000000"/>
      <sz val="10"/>
    </font>
    <font>
      <name val="Meiryo UI"/>
      <b val="1"/>
      <color rgb="00000000"/>
      <sz val="11"/>
    </font>
    <font>
      <name val="Meiryo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9E5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164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165" fontId="4" fillId="5" borderId="1" applyAlignment="1" pivotButton="0" quotePrefix="0" xfId="0">
      <alignment horizontal="center" vertical="top"/>
    </xf>
    <xf numFmtId="164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</cellXfs>
  <cellStyles count="1">
    <cellStyle name="Normal" xfId="0" builtinId="0" hidden="0"/>
  </cellStyles>
  <dxfs count="8">
    <dxf>
      <font>
        <color rgb="00808080"/>
      </font>
      <fill>
        <patternFill patternType="solid">
          <fgColor rgb="00D9D9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DDEBF7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質問管理表の使い方</t>
        </is>
      </c>
    </row>
    <row r="3">
      <c r="A3" s="2" t="inlineStr">
        <is>
          <t>目的</t>
        </is>
      </c>
      <c r="B3" s="2" t="inlineStr">
        <is>
          <t>直属のリーダーへの質問を一覧で管理し、聞き漏れ・回答の放置・同じ質問の繰り返しを防ぐ。</t>
        </is>
      </c>
    </row>
    <row r="4">
      <c r="A4" s="2" t="inlineStr"/>
      <c r="B4" s="2" t="inlineStr"/>
    </row>
    <row r="5">
      <c r="A5" s="3" t="inlineStr">
        <is>
          <t>■ 入力ルール</t>
        </is>
      </c>
      <c r="B5" s="2" t="inlineStr"/>
    </row>
    <row r="6">
      <c r="A6" s="4" t="inlineStr">
        <is>
          <t>白いセル</t>
        </is>
      </c>
      <c r="B6" s="2" t="inlineStr">
        <is>
          <t>自分で入力する欄。</t>
        </is>
      </c>
    </row>
    <row r="7">
      <c r="A7" s="5" t="inlineStr">
        <is>
          <t>グレーのセル</t>
        </is>
      </c>
      <c r="B7" s="2" t="inlineStr">
        <is>
          <t>自動計算（No・期限・経過日数）。入力・削除しない。</t>
        </is>
      </c>
    </row>
    <row r="8">
      <c r="A8" s="6" t="inlineStr">
        <is>
          <t>黄色のセル</t>
        </is>
      </c>
      <c r="B8" s="2" t="inlineStr">
        <is>
          <t>記入例（質問一覧の5行目）。使い始めたら行ごと削除してOK。</t>
        </is>
      </c>
    </row>
    <row r="9">
      <c r="A9" s="2" t="inlineStr"/>
      <c r="B9" s="2" t="inlineStr"/>
    </row>
    <row r="10">
      <c r="A10" s="3" t="inlineStr">
        <is>
          <t>■ 列の説明</t>
        </is>
      </c>
      <c r="B10" s="2" t="inlineStr"/>
    </row>
    <row r="11">
      <c r="A11" s="2" t="inlineStr">
        <is>
          <t>No</t>
        </is>
      </c>
      <c r="B11" s="2" t="inlineStr">
        <is>
          <t>質問内容を入れると自動で番号が付く。</t>
        </is>
      </c>
    </row>
    <row r="12">
      <c r="A12" s="2" t="inlineStr">
        <is>
          <t>カテゴリ / 優先度 / ステータス / 質問方法</t>
        </is>
      </c>
      <c r="B12" s="2" t="inlineStr">
        <is>
          <t>プルダウンから選ぶ。</t>
        </is>
      </c>
    </row>
    <row r="13">
      <c r="A13" s="2" t="inlineStr">
        <is>
          <t>質問内容</t>
        </is>
      </c>
      <c r="B13" s="2" t="inlineStr">
        <is>
          <t>1行1質問。「はい/いいえ」や選択肢で答えられる形にすると回答をもらいやすい。</t>
        </is>
      </c>
    </row>
    <row r="14">
      <c r="A14" s="2" t="inlineStr">
        <is>
          <t>背景・困っていること</t>
        </is>
      </c>
      <c r="B14" s="2" t="inlineStr">
        <is>
          <t>なぜ知りたいのか。リーダーが状況をすぐ把握できるように書く。</t>
        </is>
      </c>
    </row>
    <row r="15">
      <c r="A15" s="2" t="inlineStr">
        <is>
          <t>自分の考え・仮説</t>
        </is>
      </c>
      <c r="B15" s="2" t="inlineStr">
        <is>
          <t>「〇〇だと思いますが合っていますか？」と聞けるように、自分の案を書いておく。</t>
        </is>
      </c>
    </row>
    <row r="16">
      <c r="A16" s="2" t="inlineStr">
        <is>
          <t>回答希望日</t>
        </is>
      </c>
      <c r="B16" s="2" t="inlineStr">
        <is>
          <t>いつまでに回答が必要か。過ぎると「期限」列に「超過」、3日以内だと「間近」と表示される。</t>
        </is>
      </c>
    </row>
    <row r="17">
      <c r="A17" s="2" t="inlineStr">
        <is>
          <t>質問日 / 回答日</t>
        </is>
      </c>
      <c r="B17" s="2" t="inlineStr">
        <is>
          <t>質問した日・回答をもらった日。「経過日数」が自動計算される。</t>
        </is>
      </c>
    </row>
    <row r="18">
      <c r="A18" s="2" t="inlineStr">
        <is>
          <t>回答内容 / 次のアクション</t>
        </is>
      </c>
      <c r="B18" s="2" t="inlineStr">
        <is>
          <t>もらった回答と、それを受けて自分がやること。</t>
        </is>
      </c>
    </row>
    <row r="19">
      <c r="A19" s="2" t="inlineStr"/>
      <c r="B19" s="2" t="inlineStr"/>
    </row>
    <row r="20">
      <c r="A20" s="3" t="inlineStr">
        <is>
          <t>■ ステータスの流れ</t>
        </is>
      </c>
      <c r="B20" s="2" t="inlineStr">
        <is>
          <t>未質問 → 質問済み → 回答済み → クローズ（次のアクションまで終わったら）</t>
        </is>
      </c>
    </row>
    <row r="21">
      <c r="A21" s="2" t="inlineStr"/>
      <c r="B21" s="2" t="inlineStr">
        <is>
          <t>すぐに答えが出ない・後回しにすると決まったものは「保留」。</t>
        </is>
      </c>
    </row>
    <row r="22">
      <c r="A22" s="2" t="inlineStr"/>
      <c r="B22" s="2" t="inlineStr"/>
    </row>
    <row r="23">
      <c r="A23" s="3" t="inlineStr">
        <is>
          <t>■ 運用のコツ</t>
        </is>
      </c>
      <c r="B23" s="2" t="inlineStr">
        <is>
          <t>・1on1や定例の前に、フィルターで「未質問」「優先度：高」を絞り込んで、まとめて聞く。</t>
        </is>
      </c>
    </row>
    <row r="24">
      <c r="A24" s="2" t="inlineStr"/>
      <c r="B24" s="2" t="inlineStr">
        <is>
          <t>・「集計」シートで未解決・期限超過の件数を確認する。</t>
        </is>
      </c>
    </row>
    <row r="25">
      <c r="A25" s="2" t="inlineStr"/>
      <c r="B25" s="2" t="inlineStr">
        <is>
          <t>・回答内容は後から見返せるように具体的に残す（同じ質問を2回しないため）。</t>
        </is>
      </c>
    </row>
    <row r="26">
      <c r="A26" s="2" t="inlineStr"/>
      <c r="B26" s="2" t="inlineStr"/>
    </row>
    <row r="27">
      <c r="A27" s="3" t="inlineStr">
        <is>
          <t>■ 選択肢の変更</t>
        </is>
      </c>
      <c r="B27" s="2" t="inlineStr">
        <is>
          <t>カテゴリなどの選択肢を変えたいときは、該当列を選択 →［データ］→［データの入力規則］で編集。</t>
        </is>
      </c>
    </row>
    <row r="28">
      <c r="A28" s="2" t="inlineStr"/>
      <c r="B28" s="2" t="inlineStr">
        <is>
          <t>変更した場合は「集計」シートのA列の区分名も同じ名前に書き換える。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4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40" customWidth="1" min="4" max="4"/>
    <col width="32" customWidth="1" min="5" max="5"/>
    <col width="30" customWidth="1" min="6" max="6"/>
    <col width="8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40" customWidth="1" min="13" max="13"/>
    <col width="30" customWidth="1" min="14" max="14"/>
    <col width="24" customWidth="1" min="15" max="15"/>
    <col width="20" customWidth="1" min="16" max="16"/>
    <col width="8" customWidth="1" min="17" max="17"/>
    <col width="9" customWidth="1" min="18" max="18"/>
  </cols>
  <sheetData>
    <row r="1">
      <c r="A1" s="1" t="inlineStr">
        <is>
          <t>リーダーへの質問管理表</t>
        </is>
      </c>
    </row>
    <row r="2">
      <c r="A2" s="7" t="inlineStr">
        <is>
          <t>白いセルに入力 / グレーのセルは自動計算（入力不要）。5行目は記入例なので不要になったら行ごと削除してください。</t>
        </is>
      </c>
    </row>
    <row r="4" ht="30" customHeight="1">
      <c r="A4" s="8" t="inlineStr">
        <is>
          <t>No</t>
        </is>
      </c>
      <c r="B4" s="9" t="inlineStr">
        <is>
          <t>登録日</t>
        </is>
      </c>
      <c r="C4" s="9" t="inlineStr">
        <is>
          <t>カテゴリ</t>
        </is>
      </c>
      <c r="D4" s="9" t="inlineStr">
        <is>
          <t>質問内容</t>
        </is>
      </c>
      <c r="E4" s="9" t="inlineStr">
        <is>
          <t>背景・困っていること</t>
        </is>
      </c>
      <c r="F4" s="9" t="inlineStr">
        <is>
          <t>自分の考え・仮説</t>
        </is>
      </c>
      <c r="G4" s="9" t="inlineStr">
        <is>
          <t>優先度</t>
        </is>
      </c>
      <c r="H4" s="9" t="inlineStr">
        <is>
          <t>回答希望日</t>
        </is>
      </c>
      <c r="I4" s="9" t="inlineStr">
        <is>
          <t>ステータス</t>
        </is>
      </c>
      <c r="J4" s="9" t="inlineStr">
        <is>
          <t>質問日</t>
        </is>
      </c>
      <c r="K4" s="9" t="inlineStr">
        <is>
          <t>質問方法</t>
        </is>
      </c>
      <c r="L4" s="9" t="inlineStr">
        <is>
          <t>回答日</t>
        </is>
      </c>
      <c r="M4" s="9" t="inlineStr">
        <is>
          <t>回答内容</t>
        </is>
      </c>
      <c r="N4" s="9" t="inlineStr">
        <is>
          <t>次のアクション</t>
        </is>
      </c>
      <c r="O4" s="9" t="inlineStr">
        <is>
          <t>関連資料・リンク</t>
        </is>
      </c>
      <c r="P4" s="9" t="inlineStr">
        <is>
          <t>備考</t>
        </is>
      </c>
      <c r="Q4" s="8" t="inlineStr">
        <is>
          <t>期限</t>
        </is>
      </c>
      <c r="R4" s="8" t="inlineStr">
        <is>
          <t>経過日数</t>
        </is>
      </c>
    </row>
    <row r="5">
      <c r="A5" s="10">
        <f>IF(D5="","",ROW()-4)</f>
        <v/>
      </c>
      <c r="B5" s="11" t="n">
        <v>46300</v>
      </c>
      <c r="C5" s="12" t="inlineStr">
        <is>
          <t>テスト設計</t>
        </is>
      </c>
      <c r="D5" s="6" t="inlineStr">
        <is>
          <t>因子水準表のレビューは、誰に・どのタイミングで依頼すればよいですか？</t>
        </is>
      </c>
      <c r="E5" s="6" t="inlineStr">
        <is>
          <t>テストケース作成前にレビューを入れたいが、社内の流れが分からない</t>
        </is>
      </c>
      <c r="F5" s="6" t="inlineStr">
        <is>
          <t>テスト設計完了時点で、リーダーにレビュー依頼するのが良いと考えている</t>
        </is>
      </c>
      <c r="G5" s="12" t="inlineStr">
        <is>
          <t>高</t>
        </is>
      </c>
      <c r="H5" s="11" t="n">
        <v>46302</v>
      </c>
      <c r="I5" s="12" t="inlineStr">
        <is>
          <t>回答済み</t>
        </is>
      </c>
      <c r="J5" s="11" t="n">
        <v>46300</v>
      </c>
      <c r="K5" s="12" t="inlineStr">
        <is>
          <t>チャット</t>
        </is>
      </c>
      <c r="L5" s="11" t="n">
        <v>46301</v>
      </c>
      <c r="M5" s="6" t="inlineStr">
        <is>
          <t>テスト設計が終わった時点でリーダーへ依頼。レビュー記録は共有フォルダに残す</t>
        </is>
      </c>
      <c r="N5" s="6" t="inlineStr">
        <is>
          <t>レビュー依頼のテンプレートを作る</t>
        </is>
      </c>
      <c r="O5" s="6" t="inlineStr">
        <is>
          <t>共有フォルダ/テスト設計/</t>
        </is>
      </c>
      <c r="P5" s="6" t="inlineStr">
        <is>
          <t>記入例</t>
        </is>
      </c>
      <c r="Q5" s="10">
        <f>IF(OR(H5="",I5="回答済み",I5="クローズ"),"",IF(H5&lt;TODAY(),"超過",IF(H5-TODAY()&lt;=3,"間近","")))</f>
        <v/>
      </c>
      <c r="R5" s="13">
        <f>IF(J5="","",IF(L5="",TODAY(),L5)-J5)</f>
        <v/>
      </c>
    </row>
    <row r="6">
      <c r="A6" s="10">
        <f>IF(D6="","",ROW()-4)</f>
        <v/>
      </c>
      <c r="B6" s="14" t="n"/>
      <c r="C6" s="15" t="n"/>
      <c r="D6" s="4" t="n"/>
      <c r="E6" s="4" t="n"/>
      <c r="F6" s="4" t="n"/>
      <c r="G6" s="15" t="n"/>
      <c r="H6" s="14" t="n"/>
      <c r="I6" s="15" t="n"/>
      <c r="J6" s="14" t="n"/>
      <c r="K6" s="15" t="n"/>
      <c r="L6" s="14" t="n"/>
      <c r="M6" s="4" t="n"/>
      <c r="N6" s="4" t="n"/>
      <c r="O6" s="4" t="n"/>
      <c r="P6" s="4" t="n"/>
      <c r="Q6" s="10">
        <f>IF(OR(H6="",I6="回答済み",I6="クローズ"),"",IF(H6&lt;TODAY(),"超過",IF(H6-TODAY()&lt;=3,"間近","")))</f>
        <v/>
      </c>
      <c r="R6" s="13">
        <f>IF(J6="","",IF(L6="",TODAY(),L6)-J6)</f>
        <v/>
      </c>
    </row>
    <row r="7">
      <c r="A7" s="10">
        <f>IF(D7="","",ROW()-4)</f>
        <v/>
      </c>
      <c r="B7" s="14" t="n"/>
      <c r="C7" s="15" t="n"/>
      <c r="D7" s="4" t="n"/>
      <c r="E7" s="4" t="n"/>
      <c r="F7" s="4" t="n"/>
      <c r="G7" s="15" t="n"/>
      <c r="H7" s="14" t="n"/>
      <c r="I7" s="15" t="n"/>
      <c r="J7" s="14" t="n"/>
      <c r="K7" s="15" t="n"/>
      <c r="L7" s="14" t="n"/>
      <c r="M7" s="4" t="n"/>
      <c r="N7" s="4" t="n"/>
      <c r="O7" s="4" t="n"/>
      <c r="P7" s="4" t="n"/>
      <c r="Q7" s="10">
        <f>IF(OR(H7="",I7="回答済み",I7="クローズ"),"",IF(H7&lt;TODAY(),"超過",IF(H7-TODAY()&lt;=3,"間近","")))</f>
        <v/>
      </c>
      <c r="R7" s="13">
        <f>IF(J7="","",IF(L7="",TODAY(),L7)-J7)</f>
        <v/>
      </c>
    </row>
    <row r="8">
      <c r="A8" s="10">
        <f>IF(D8="","",ROW()-4)</f>
        <v/>
      </c>
      <c r="B8" s="14" t="n"/>
      <c r="C8" s="15" t="n"/>
      <c r="D8" s="4" t="n"/>
      <c r="E8" s="4" t="n"/>
      <c r="F8" s="4" t="n"/>
      <c r="G8" s="15" t="n"/>
      <c r="H8" s="14" t="n"/>
      <c r="I8" s="15" t="n"/>
      <c r="J8" s="14" t="n"/>
      <c r="K8" s="15" t="n"/>
      <c r="L8" s="14" t="n"/>
      <c r="M8" s="4" t="n"/>
      <c r="N8" s="4" t="n"/>
      <c r="O8" s="4" t="n"/>
      <c r="P8" s="4" t="n"/>
      <c r="Q8" s="10">
        <f>IF(OR(H8="",I8="回答済み",I8="クローズ"),"",IF(H8&lt;TODAY(),"超過",IF(H8-TODAY()&lt;=3,"間近","")))</f>
        <v/>
      </c>
      <c r="R8" s="13">
        <f>IF(J8="","",IF(L8="",TODAY(),L8)-J8)</f>
        <v/>
      </c>
    </row>
    <row r="9">
      <c r="A9" s="10">
        <f>IF(D9="","",ROW()-4)</f>
        <v/>
      </c>
      <c r="B9" s="14" t="n"/>
      <c r="C9" s="15" t="n"/>
      <c r="D9" s="4" t="n"/>
      <c r="E9" s="4" t="n"/>
      <c r="F9" s="4" t="n"/>
      <c r="G9" s="15" t="n"/>
      <c r="H9" s="14" t="n"/>
      <c r="I9" s="15" t="n"/>
      <c r="J9" s="14" t="n"/>
      <c r="K9" s="15" t="n"/>
      <c r="L9" s="14" t="n"/>
      <c r="M9" s="4" t="n"/>
      <c r="N9" s="4" t="n"/>
      <c r="O9" s="4" t="n"/>
      <c r="P9" s="4" t="n"/>
      <c r="Q9" s="10">
        <f>IF(OR(H9="",I9="回答済み",I9="クローズ"),"",IF(H9&lt;TODAY(),"超過",IF(H9-TODAY()&lt;=3,"間近","")))</f>
        <v/>
      </c>
      <c r="R9" s="13">
        <f>IF(J9="","",IF(L9="",TODAY(),L9)-J9)</f>
        <v/>
      </c>
    </row>
    <row r="10">
      <c r="A10" s="10">
        <f>IF(D10="","",ROW()-4)</f>
        <v/>
      </c>
      <c r="B10" s="14" t="n"/>
      <c r="C10" s="15" t="n"/>
      <c r="D10" s="4" t="n"/>
      <c r="E10" s="4" t="n"/>
      <c r="F10" s="4" t="n"/>
      <c r="G10" s="15" t="n"/>
      <c r="H10" s="14" t="n"/>
      <c r="I10" s="15" t="n"/>
      <c r="J10" s="14" t="n"/>
      <c r="K10" s="15" t="n"/>
      <c r="L10" s="14" t="n"/>
      <c r="M10" s="4" t="n"/>
      <c r="N10" s="4" t="n"/>
      <c r="O10" s="4" t="n"/>
      <c r="P10" s="4" t="n"/>
      <c r="Q10" s="10">
        <f>IF(OR(H10="",I10="回答済み",I10="クローズ"),"",IF(H10&lt;TODAY(),"超過",IF(H10-TODAY()&lt;=3,"間近","")))</f>
        <v/>
      </c>
      <c r="R10" s="13">
        <f>IF(J10="","",IF(L10="",TODAY(),L10)-J10)</f>
        <v/>
      </c>
    </row>
    <row r="11">
      <c r="A11" s="10">
        <f>IF(D11="","",ROW()-4)</f>
        <v/>
      </c>
      <c r="B11" s="14" t="n"/>
      <c r="C11" s="15" t="n"/>
      <c r="D11" s="4" t="n"/>
      <c r="E11" s="4" t="n"/>
      <c r="F11" s="4" t="n"/>
      <c r="G11" s="15" t="n"/>
      <c r="H11" s="14" t="n"/>
      <c r="I11" s="15" t="n"/>
      <c r="J11" s="14" t="n"/>
      <c r="K11" s="15" t="n"/>
      <c r="L11" s="14" t="n"/>
      <c r="M11" s="4" t="n"/>
      <c r="N11" s="4" t="n"/>
      <c r="O11" s="4" t="n"/>
      <c r="P11" s="4" t="n"/>
      <c r="Q11" s="10">
        <f>IF(OR(H11="",I11="回答済み",I11="クローズ"),"",IF(H11&lt;TODAY(),"超過",IF(H11-TODAY()&lt;=3,"間近","")))</f>
        <v/>
      </c>
      <c r="R11" s="13">
        <f>IF(J11="","",IF(L11="",TODAY(),L11)-J11)</f>
        <v/>
      </c>
    </row>
    <row r="12">
      <c r="A12" s="10">
        <f>IF(D12="","",ROW()-4)</f>
        <v/>
      </c>
      <c r="B12" s="14" t="n"/>
      <c r="C12" s="15" t="n"/>
      <c r="D12" s="4" t="n"/>
      <c r="E12" s="4" t="n"/>
      <c r="F12" s="4" t="n"/>
      <c r="G12" s="15" t="n"/>
      <c r="H12" s="14" t="n"/>
      <c r="I12" s="15" t="n"/>
      <c r="J12" s="14" t="n"/>
      <c r="K12" s="15" t="n"/>
      <c r="L12" s="14" t="n"/>
      <c r="M12" s="4" t="n"/>
      <c r="N12" s="4" t="n"/>
      <c r="O12" s="4" t="n"/>
      <c r="P12" s="4" t="n"/>
      <c r="Q12" s="10">
        <f>IF(OR(H12="",I12="回答済み",I12="クローズ"),"",IF(H12&lt;TODAY(),"超過",IF(H12-TODAY()&lt;=3,"間近","")))</f>
        <v/>
      </c>
      <c r="R12" s="13">
        <f>IF(J12="","",IF(L12="",TODAY(),L12)-J12)</f>
        <v/>
      </c>
    </row>
    <row r="13">
      <c r="A13" s="10">
        <f>IF(D13="","",ROW()-4)</f>
        <v/>
      </c>
      <c r="B13" s="14" t="n"/>
      <c r="C13" s="15" t="n"/>
      <c r="D13" s="4" t="n"/>
      <c r="E13" s="4" t="n"/>
      <c r="F13" s="4" t="n"/>
      <c r="G13" s="15" t="n"/>
      <c r="H13" s="14" t="n"/>
      <c r="I13" s="15" t="n"/>
      <c r="J13" s="14" t="n"/>
      <c r="K13" s="15" t="n"/>
      <c r="L13" s="14" t="n"/>
      <c r="M13" s="4" t="n"/>
      <c r="N13" s="4" t="n"/>
      <c r="O13" s="4" t="n"/>
      <c r="P13" s="4" t="n"/>
      <c r="Q13" s="10">
        <f>IF(OR(H13="",I13="回答済み",I13="クローズ"),"",IF(H13&lt;TODAY(),"超過",IF(H13-TODAY()&lt;=3,"間近","")))</f>
        <v/>
      </c>
      <c r="R13" s="13">
        <f>IF(J13="","",IF(L13="",TODAY(),L13)-J13)</f>
        <v/>
      </c>
    </row>
    <row r="14">
      <c r="A14" s="10">
        <f>IF(D14="","",ROW()-4)</f>
        <v/>
      </c>
      <c r="B14" s="14" t="n"/>
      <c r="C14" s="15" t="n"/>
      <c r="D14" s="4" t="n"/>
      <c r="E14" s="4" t="n"/>
      <c r="F14" s="4" t="n"/>
      <c r="G14" s="15" t="n"/>
      <c r="H14" s="14" t="n"/>
      <c r="I14" s="15" t="n"/>
      <c r="J14" s="14" t="n"/>
      <c r="K14" s="15" t="n"/>
      <c r="L14" s="14" t="n"/>
      <c r="M14" s="4" t="n"/>
      <c r="N14" s="4" t="n"/>
      <c r="O14" s="4" t="n"/>
      <c r="P14" s="4" t="n"/>
      <c r="Q14" s="10">
        <f>IF(OR(H14="",I14="回答済み",I14="クローズ"),"",IF(H14&lt;TODAY(),"超過",IF(H14-TODAY()&lt;=3,"間近","")))</f>
        <v/>
      </c>
      <c r="R14" s="13">
        <f>IF(J14="","",IF(L14="",TODAY(),L14)-J14)</f>
        <v/>
      </c>
    </row>
    <row r="15">
      <c r="A15" s="10">
        <f>IF(D15="","",ROW()-4)</f>
        <v/>
      </c>
      <c r="B15" s="14" t="n"/>
      <c r="C15" s="15" t="n"/>
      <c r="D15" s="4" t="n"/>
      <c r="E15" s="4" t="n"/>
      <c r="F15" s="4" t="n"/>
      <c r="G15" s="15" t="n"/>
      <c r="H15" s="14" t="n"/>
      <c r="I15" s="15" t="n"/>
      <c r="J15" s="14" t="n"/>
      <c r="K15" s="15" t="n"/>
      <c r="L15" s="14" t="n"/>
      <c r="M15" s="4" t="n"/>
      <c r="N15" s="4" t="n"/>
      <c r="O15" s="4" t="n"/>
      <c r="P15" s="4" t="n"/>
      <c r="Q15" s="10">
        <f>IF(OR(H15="",I15="回答済み",I15="クローズ"),"",IF(H15&lt;TODAY(),"超過",IF(H15-TODAY()&lt;=3,"間近","")))</f>
        <v/>
      </c>
      <c r="R15" s="13">
        <f>IF(J15="","",IF(L15="",TODAY(),L15)-J15)</f>
        <v/>
      </c>
    </row>
    <row r="16">
      <c r="A16" s="10">
        <f>IF(D16="","",ROW()-4)</f>
        <v/>
      </c>
      <c r="B16" s="14" t="n"/>
      <c r="C16" s="15" t="n"/>
      <c r="D16" s="4" t="n"/>
      <c r="E16" s="4" t="n"/>
      <c r="F16" s="4" t="n"/>
      <c r="G16" s="15" t="n"/>
      <c r="H16" s="14" t="n"/>
      <c r="I16" s="15" t="n"/>
      <c r="J16" s="14" t="n"/>
      <c r="K16" s="15" t="n"/>
      <c r="L16" s="14" t="n"/>
      <c r="M16" s="4" t="n"/>
      <c r="N16" s="4" t="n"/>
      <c r="O16" s="4" t="n"/>
      <c r="P16" s="4" t="n"/>
      <c r="Q16" s="10">
        <f>IF(OR(H16="",I16="回答済み",I16="クローズ"),"",IF(H16&lt;TODAY(),"超過",IF(H16-TODAY()&lt;=3,"間近","")))</f>
        <v/>
      </c>
      <c r="R16" s="13">
        <f>IF(J16="","",IF(L16="",TODAY(),L16)-J16)</f>
        <v/>
      </c>
    </row>
    <row r="17">
      <c r="A17" s="10">
        <f>IF(D17="","",ROW()-4)</f>
        <v/>
      </c>
      <c r="B17" s="14" t="n"/>
      <c r="C17" s="15" t="n"/>
      <c r="D17" s="4" t="n"/>
      <c r="E17" s="4" t="n"/>
      <c r="F17" s="4" t="n"/>
      <c r="G17" s="15" t="n"/>
      <c r="H17" s="14" t="n"/>
      <c r="I17" s="15" t="n"/>
      <c r="J17" s="14" t="n"/>
      <c r="K17" s="15" t="n"/>
      <c r="L17" s="14" t="n"/>
      <c r="M17" s="4" t="n"/>
      <c r="N17" s="4" t="n"/>
      <c r="O17" s="4" t="n"/>
      <c r="P17" s="4" t="n"/>
      <c r="Q17" s="10">
        <f>IF(OR(H17="",I17="回答済み",I17="クローズ"),"",IF(H17&lt;TODAY(),"超過",IF(H17-TODAY()&lt;=3,"間近","")))</f>
        <v/>
      </c>
      <c r="R17" s="13">
        <f>IF(J17="","",IF(L17="",TODAY(),L17)-J17)</f>
        <v/>
      </c>
    </row>
    <row r="18">
      <c r="A18" s="10">
        <f>IF(D18="","",ROW()-4)</f>
        <v/>
      </c>
      <c r="B18" s="14" t="n"/>
      <c r="C18" s="15" t="n"/>
      <c r="D18" s="4" t="n"/>
      <c r="E18" s="4" t="n"/>
      <c r="F18" s="4" t="n"/>
      <c r="G18" s="15" t="n"/>
      <c r="H18" s="14" t="n"/>
      <c r="I18" s="15" t="n"/>
      <c r="J18" s="14" t="n"/>
      <c r="K18" s="15" t="n"/>
      <c r="L18" s="14" t="n"/>
      <c r="M18" s="4" t="n"/>
      <c r="N18" s="4" t="n"/>
      <c r="O18" s="4" t="n"/>
      <c r="P18" s="4" t="n"/>
      <c r="Q18" s="10">
        <f>IF(OR(H18="",I18="回答済み",I18="クローズ"),"",IF(H18&lt;TODAY(),"超過",IF(H18-TODAY()&lt;=3,"間近","")))</f>
        <v/>
      </c>
      <c r="R18" s="13">
        <f>IF(J18="","",IF(L18="",TODAY(),L18)-J18)</f>
        <v/>
      </c>
    </row>
    <row r="19">
      <c r="A19" s="10">
        <f>IF(D19="","",ROW()-4)</f>
        <v/>
      </c>
      <c r="B19" s="14" t="n"/>
      <c r="C19" s="15" t="n"/>
      <c r="D19" s="4" t="n"/>
      <c r="E19" s="4" t="n"/>
      <c r="F19" s="4" t="n"/>
      <c r="G19" s="15" t="n"/>
      <c r="H19" s="14" t="n"/>
      <c r="I19" s="15" t="n"/>
      <c r="J19" s="14" t="n"/>
      <c r="K19" s="15" t="n"/>
      <c r="L19" s="14" t="n"/>
      <c r="M19" s="4" t="n"/>
      <c r="N19" s="4" t="n"/>
      <c r="O19" s="4" t="n"/>
      <c r="P19" s="4" t="n"/>
      <c r="Q19" s="10">
        <f>IF(OR(H19="",I19="回答済み",I19="クローズ"),"",IF(H19&lt;TODAY(),"超過",IF(H19-TODAY()&lt;=3,"間近","")))</f>
        <v/>
      </c>
      <c r="R19" s="13">
        <f>IF(J19="","",IF(L19="",TODAY(),L19)-J19)</f>
        <v/>
      </c>
    </row>
    <row r="20">
      <c r="A20" s="10">
        <f>IF(D20="","",ROW()-4)</f>
        <v/>
      </c>
      <c r="B20" s="14" t="n"/>
      <c r="C20" s="15" t="n"/>
      <c r="D20" s="4" t="n"/>
      <c r="E20" s="4" t="n"/>
      <c r="F20" s="4" t="n"/>
      <c r="G20" s="15" t="n"/>
      <c r="H20" s="14" t="n"/>
      <c r="I20" s="15" t="n"/>
      <c r="J20" s="14" t="n"/>
      <c r="K20" s="15" t="n"/>
      <c r="L20" s="14" t="n"/>
      <c r="M20" s="4" t="n"/>
      <c r="N20" s="4" t="n"/>
      <c r="O20" s="4" t="n"/>
      <c r="P20" s="4" t="n"/>
      <c r="Q20" s="10">
        <f>IF(OR(H20="",I20="回答済み",I20="クローズ"),"",IF(H20&lt;TODAY(),"超過",IF(H20-TODAY()&lt;=3,"間近","")))</f>
        <v/>
      </c>
      <c r="R20" s="13">
        <f>IF(J20="","",IF(L20="",TODAY(),L20)-J20)</f>
        <v/>
      </c>
    </row>
    <row r="21">
      <c r="A21" s="10">
        <f>IF(D21="","",ROW()-4)</f>
        <v/>
      </c>
      <c r="B21" s="14" t="n"/>
      <c r="C21" s="15" t="n"/>
      <c r="D21" s="4" t="n"/>
      <c r="E21" s="4" t="n"/>
      <c r="F21" s="4" t="n"/>
      <c r="G21" s="15" t="n"/>
      <c r="H21" s="14" t="n"/>
      <c r="I21" s="15" t="n"/>
      <c r="J21" s="14" t="n"/>
      <c r="K21" s="15" t="n"/>
      <c r="L21" s="14" t="n"/>
      <c r="M21" s="4" t="n"/>
      <c r="N21" s="4" t="n"/>
      <c r="O21" s="4" t="n"/>
      <c r="P21" s="4" t="n"/>
      <c r="Q21" s="10">
        <f>IF(OR(H21="",I21="回答済み",I21="クローズ"),"",IF(H21&lt;TODAY(),"超過",IF(H21-TODAY()&lt;=3,"間近","")))</f>
        <v/>
      </c>
      <c r="R21" s="13">
        <f>IF(J21="","",IF(L21="",TODAY(),L21)-J21)</f>
        <v/>
      </c>
    </row>
    <row r="22">
      <c r="A22" s="10">
        <f>IF(D22="","",ROW()-4)</f>
        <v/>
      </c>
      <c r="B22" s="14" t="n"/>
      <c r="C22" s="15" t="n"/>
      <c r="D22" s="4" t="n"/>
      <c r="E22" s="4" t="n"/>
      <c r="F22" s="4" t="n"/>
      <c r="G22" s="15" t="n"/>
      <c r="H22" s="14" t="n"/>
      <c r="I22" s="15" t="n"/>
      <c r="J22" s="14" t="n"/>
      <c r="K22" s="15" t="n"/>
      <c r="L22" s="14" t="n"/>
      <c r="M22" s="4" t="n"/>
      <c r="N22" s="4" t="n"/>
      <c r="O22" s="4" t="n"/>
      <c r="P22" s="4" t="n"/>
      <c r="Q22" s="10">
        <f>IF(OR(H22="",I22="回答済み",I22="クローズ"),"",IF(H22&lt;TODAY(),"超過",IF(H22-TODAY()&lt;=3,"間近","")))</f>
        <v/>
      </c>
      <c r="R22" s="13">
        <f>IF(J22="","",IF(L22="",TODAY(),L22)-J22)</f>
        <v/>
      </c>
    </row>
    <row r="23">
      <c r="A23" s="10">
        <f>IF(D23="","",ROW()-4)</f>
        <v/>
      </c>
      <c r="B23" s="14" t="n"/>
      <c r="C23" s="15" t="n"/>
      <c r="D23" s="4" t="n"/>
      <c r="E23" s="4" t="n"/>
      <c r="F23" s="4" t="n"/>
      <c r="G23" s="15" t="n"/>
      <c r="H23" s="14" t="n"/>
      <c r="I23" s="15" t="n"/>
      <c r="J23" s="14" t="n"/>
      <c r="K23" s="15" t="n"/>
      <c r="L23" s="14" t="n"/>
      <c r="M23" s="4" t="n"/>
      <c r="N23" s="4" t="n"/>
      <c r="O23" s="4" t="n"/>
      <c r="P23" s="4" t="n"/>
      <c r="Q23" s="10">
        <f>IF(OR(H23="",I23="回答済み",I23="クローズ"),"",IF(H23&lt;TODAY(),"超過",IF(H23-TODAY()&lt;=3,"間近","")))</f>
        <v/>
      </c>
      <c r="R23" s="13">
        <f>IF(J23="","",IF(L23="",TODAY(),L23)-J23)</f>
        <v/>
      </c>
    </row>
    <row r="24">
      <c r="A24" s="10">
        <f>IF(D24="","",ROW()-4)</f>
        <v/>
      </c>
      <c r="B24" s="14" t="n"/>
      <c r="C24" s="15" t="n"/>
      <c r="D24" s="4" t="n"/>
      <c r="E24" s="4" t="n"/>
      <c r="F24" s="4" t="n"/>
      <c r="G24" s="15" t="n"/>
      <c r="H24" s="14" t="n"/>
      <c r="I24" s="15" t="n"/>
      <c r="J24" s="14" t="n"/>
      <c r="K24" s="15" t="n"/>
      <c r="L24" s="14" t="n"/>
      <c r="M24" s="4" t="n"/>
      <c r="N24" s="4" t="n"/>
      <c r="O24" s="4" t="n"/>
      <c r="P24" s="4" t="n"/>
      <c r="Q24" s="10">
        <f>IF(OR(H24="",I24="回答済み",I24="クローズ"),"",IF(H24&lt;TODAY(),"超過",IF(H24-TODAY()&lt;=3,"間近","")))</f>
        <v/>
      </c>
      <c r="R24" s="13">
        <f>IF(J24="","",IF(L24="",TODAY(),L24)-J24)</f>
        <v/>
      </c>
    </row>
    <row r="25">
      <c r="A25" s="10">
        <f>IF(D25="","",ROW()-4)</f>
        <v/>
      </c>
      <c r="B25" s="14" t="n"/>
      <c r="C25" s="15" t="n"/>
      <c r="D25" s="4" t="n"/>
      <c r="E25" s="4" t="n"/>
      <c r="F25" s="4" t="n"/>
      <c r="G25" s="15" t="n"/>
      <c r="H25" s="14" t="n"/>
      <c r="I25" s="15" t="n"/>
      <c r="J25" s="14" t="n"/>
      <c r="K25" s="15" t="n"/>
      <c r="L25" s="14" t="n"/>
      <c r="M25" s="4" t="n"/>
      <c r="N25" s="4" t="n"/>
      <c r="O25" s="4" t="n"/>
      <c r="P25" s="4" t="n"/>
      <c r="Q25" s="10">
        <f>IF(OR(H25="",I25="回答済み",I25="クローズ"),"",IF(H25&lt;TODAY(),"超過",IF(H25-TODAY()&lt;=3,"間近","")))</f>
        <v/>
      </c>
      <c r="R25" s="13">
        <f>IF(J25="","",IF(L25="",TODAY(),L25)-J25)</f>
        <v/>
      </c>
    </row>
    <row r="26">
      <c r="A26" s="10">
        <f>IF(D26="","",ROW()-4)</f>
        <v/>
      </c>
      <c r="B26" s="14" t="n"/>
      <c r="C26" s="15" t="n"/>
      <c r="D26" s="4" t="n"/>
      <c r="E26" s="4" t="n"/>
      <c r="F26" s="4" t="n"/>
      <c r="G26" s="15" t="n"/>
      <c r="H26" s="14" t="n"/>
      <c r="I26" s="15" t="n"/>
      <c r="J26" s="14" t="n"/>
      <c r="K26" s="15" t="n"/>
      <c r="L26" s="14" t="n"/>
      <c r="M26" s="4" t="n"/>
      <c r="N26" s="4" t="n"/>
      <c r="O26" s="4" t="n"/>
      <c r="P26" s="4" t="n"/>
      <c r="Q26" s="10">
        <f>IF(OR(H26="",I26="回答済み",I26="クローズ"),"",IF(H26&lt;TODAY(),"超過",IF(H26-TODAY()&lt;=3,"間近","")))</f>
        <v/>
      </c>
      <c r="R26" s="13">
        <f>IF(J26="","",IF(L26="",TODAY(),L26)-J26)</f>
        <v/>
      </c>
    </row>
    <row r="27">
      <c r="A27" s="10">
        <f>IF(D27="","",ROW()-4)</f>
        <v/>
      </c>
      <c r="B27" s="14" t="n"/>
      <c r="C27" s="15" t="n"/>
      <c r="D27" s="4" t="n"/>
      <c r="E27" s="4" t="n"/>
      <c r="F27" s="4" t="n"/>
      <c r="G27" s="15" t="n"/>
      <c r="H27" s="14" t="n"/>
      <c r="I27" s="15" t="n"/>
      <c r="J27" s="14" t="n"/>
      <c r="K27" s="15" t="n"/>
      <c r="L27" s="14" t="n"/>
      <c r="M27" s="4" t="n"/>
      <c r="N27" s="4" t="n"/>
      <c r="O27" s="4" t="n"/>
      <c r="P27" s="4" t="n"/>
      <c r="Q27" s="10">
        <f>IF(OR(H27="",I27="回答済み",I27="クローズ"),"",IF(H27&lt;TODAY(),"超過",IF(H27-TODAY()&lt;=3,"間近","")))</f>
        <v/>
      </c>
      <c r="R27" s="13">
        <f>IF(J27="","",IF(L27="",TODAY(),L27)-J27)</f>
        <v/>
      </c>
    </row>
    <row r="28">
      <c r="A28" s="10">
        <f>IF(D28="","",ROW()-4)</f>
        <v/>
      </c>
      <c r="B28" s="14" t="n"/>
      <c r="C28" s="15" t="n"/>
      <c r="D28" s="4" t="n"/>
      <c r="E28" s="4" t="n"/>
      <c r="F28" s="4" t="n"/>
      <c r="G28" s="15" t="n"/>
      <c r="H28" s="14" t="n"/>
      <c r="I28" s="15" t="n"/>
      <c r="J28" s="14" t="n"/>
      <c r="K28" s="15" t="n"/>
      <c r="L28" s="14" t="n"/>
      <c r="M28" s="4" t="n"/>
      <c r="N28" s="4" t="n"/>
      <c r="O28" s="4" t="n"/>
      <c r="P28" s="4" t="n"/>
      <c r="Q28" s="10">
        <f>IF(OR(H28="",I28="回答済み",I28="クローズ"),"",IF(H28&lt;TODAY(),"超過",IF(H28-TODAY()&lt;=3,"間近","")))</f>
        <v/>
      </c>
      <c r="R28" s="13">
        <f>IF(J28="","",IF(L28="",TODAY(),L28)-J28)</f>
        <v/>
      </c>
    </row>
    <row r="29">
      <c r="A29" s="10">
        <f>IF(D29="","",ROW()-4)</f>
        <v/>
      </c>
      <c r="B29" s="14" t="n"/>
      <c r="C29" s="15" t="n"/>
      <c r="D29" s="4" t="n"/>
      <c r="E29" s="4" t="n"/>
      <c r="F29" s="4" t="n"/>
      <c r="G29" s="15" t="n"/>
      <c r="H29" s="14" t="n"/>
      <c r="I29" s="15" t="n"/>
      <c r="J29" s="14" t="n"/>
      <c r="K29" s="15" t="n"/>
      <c r="L29" s="14" t="n"/>
      <c r="M29" s="4" t="n"/>
      <c r="N29" s="4" t="n"/>
      <c r="O29" s="4" t="n"/>
      <c r="P29" s="4" t="n"/>
      <c r="Q29" s="10">
        <f>IF(OR(H29="",I29="回答済み",I29="クローズ"),"",IF(H29&lt;TODAY(),"超過",IF(H29-TODAY()&lt;=3,"間近","")))</f>
        <v/>
      </c>
      <c r="R29" s="13">
        <f>IF(J29="","",IF(L29="",TODAY(),L29)-J29)</f>
        <v/>
      </c>
    </row>
    <row r="30">
      <c r="A30" s="10">
        <f>IF(D30="","",ROW()-4)</f>
        <v/>
      </c>
      <c r="B30" s="14" t="n"/>
      <c r="C30" s="15" t="n"/>
      <c r="D30" s="4" t="n"/>
      <c r="E30" s="4" t="n"/>
      <c r="F30" s="4" t="n"/>
      <c r="G30" s="15" t="n"/>
      <c r="H30" s="14" t="n"/>
      <c r="I30" s="15" t="n"/>
      <c r="J30" s="14" t="n"/>
      <c r="K30" s="15" t="n"/>
      <c r="L30" s="14" t="n"/>
      <c r="M30" s="4" t="n"/>
      <c r="N30" s="4" t="n"/>
      <c r="O30" s="4" t="n"/>
      <c r="P30" s="4" t="n"/>
      <c r="Q30" s="10">
        <f>IF(OR(H30="",I30="回答済み",I30="クローズ"),"",IF(H30&lt;TODAY(),"超過",IF(H30-TODAY()&lt;=3,"間近","")))</f>
        <v/>
      </c>
      <c r="R30" s="13">
        <f>IF(J30="","",IF(L30="",TODAY(),L30)-J30)</f>
        <v/>
      </c>
    </row>
    <row r="31">
      <c r="A31" s="10">
        <f>IF(D31="","",ROW()-4)</f>
        <v/>
      </c>
      <c r="B31" s="14" t="n"/>
      <c r="C31" s="15" t="n"/>
      <c r="D31" s="4" t="n"/>
      <c r="E31" s="4" t="n"/>
      <c r="F31" s="4" t="n"/>
      <c r="G31" s="15" t="n"/>
      <c r="H31" s="14" t="n"/>
      <c r="I31" s="15" t="n"/>
      <c r="J31" s="14" t="n"/>
      <c r="K31" s="15" t="n"/>
      <c r="L31" s="14" t="n"/>
      <c r="M31" s="4" t="n"/>
      <c r="N31" s="4" t="n"/>
      <c r="O31" s="4" t="n"/>
      <c r="P31" s="4" t="n"/>
      <c r="Q31" s="10">
        <f>IF(OR(H31="",I31="回答済み",I31="クローズ"),"",IF(H31&lt;TODAY(),"超過",IF(H31-TODAY()&lt;=3,"間近","")))</f>
        <v/>
      </c>
      <c r="R31" s="13">
        <f>IF(J31="","",IF(L31="",TODAY(),L31)-J31)</f>
        <v/>
      </c>
    </row>
    <row r="32">
      <c r="A32" s="10">
        <f>IF(D32="","",ROW()-4)</f>
        <v/>
      </c>
      <c r="B32" s="14" t="n"/>
      <c r="C32" s="15" t="n"/>
      <c r="D32" s="4" t="n"/>
      <c r="E32" s="4" t="n"/>
      <c r="F32" s="4" t="n"/>
      <c r="G32" s="15" t="n"/>
      <c r="H32" s="14" t="n"/>
      <c r="I32" s="15" t="n"/>
      <c r="J32" s="14" t="n"/>
      <c r="K32" s="15" t="n"/>
      <c r="L32" s="14" t="n"/>
      <c r="M32" s="4" t="n"/>
      <c r="N32" s="4" t="n"/>
      <c r="O32" s="4" t="n"/>
      <c r="P32" s="4" t="n"/>
      <c r="Q32" s="10">
        <f>IF(OR(H32="",I32="回答済み",I32="クローズ"),"",IF(H32&lt;TODAY(),"超過",IF(H32-TODAY()&lt;=3,"間近","")))</f>
        <v/>
      </c>
      <c r="R32" s="13">
        <f>IF(J32="","",IF(L32="",TODAY(),L32)-J32)</f>
        <v/>
      </c>
    </row>
    <row r="33">
      <c r="A33" s="10">
        <f>IF(D33="","",ROW()-4)</f>
        <v/>
      </c>
      <c r="B33" s="14" t="n"/>
      <c r="C33" s="15" t="n"/>
      <c r="D33" s="4" t="n"/>
      <c r="E33" s="4" t="n"/>
      <c r="F33" s="4" t="n"/>
      <c r="G33" s="15" t="n"/>
      <c r="H33" s="14" t="n"/>
      <c r="I33" s="15" t="n"/>
      <c r="J33" s="14" t="n"/>
      <c r="K33" s="15" t="n"/>
      <c r="L33" s="14" t="n"/>
      <c r="M33" s="4" t="n"/>
      <c r="N33" s="4" t="n"/>
      <c r="O33" s="4" t="n"/>
      <c r="P33" s="4" t="n"/>
      <c r="Q33" s="10">
        <f>IF(OR(H33="",I33="回答済み",I33="クローズ"),"",IF(H33&lt;TODAY(),"超過",IF(H33-TODAY()&lt;=3,"間近","")))</f>
        <v/>
      </c>
      <c r="R33" s="13">
        <f>IF(J33="","",IF(L33="",TODAY(),L33)-J33)</f>
        <v/>
      </c>
    </row>
    <row r="34">
      <c r="A34" s="10">
        <f>IF(D34="","",ROW()-4)</f>
        <v/>
      </c>
      <c r="B34" s="14" t="n"/>
      <c r="C34" s="15" t="n"/>
      <c r="D34" s="4" t="n"/>
      <c r="E34" s="4" t="n"/>
      <c r="F34" s="4" t="n"/>
      <c r="G34" s="15" t="n"/>
      <c r="H34" s="14" t="n"/>
      <c r="I34" s="15" t="n"/>
      <c r="J34" s="14" t="n"/>
      <c r="K34" s="15" t="n"/>
      <c r="L34" s="14" t="n"/>
      <c r="M34" s="4" t="n"/>
      <c r="N34" s="4" t="n"/>
      <c r="O34" s="4" t="n"/>
      <c r="P34" s="4" t="n"/>
      <c r="Q34" s="10">
        <f>IF(OR(H34="",I34="回答済み",I34="クローズ"),"",IF(H34&lt;TODAY(),"超過",IF(H34-TODAY()&lt;=3,"間近","")))</f>
        <v/>
      </c>
      <c r="R34" s="13">
        <f>IF(J34="","",IF(L34="",TODAY(),L34)-J34)</f>
        <v/>
      </c>
    </row>
    <row r="35">
      <c r="A35" s="10">
        <f>IF(D35="","",ROW()-4)</f>
        <v/>
      </c>
      <c r="B35" s="14" t="n"/>
      <c r="C35" s="15" t="n"/>
      <c r="D35" s="4" t="n"/>
      <c r="E35" s="4" t="n"/>
      <c r="F35" s="4" t="n"/>
      <c r="G35" s="15" t="n"/>
      <c r="H35" s="14" t="n"/>
      <c r="I35" s="15" t="n"/>
      <c r="J35" s="14" t="n"/>
      <c r="K35" s="15" t="n"/>
      <c r="L35" s="14" t="n"/>
      <c r="M35" s="4" t="n"/>
      <c r="N35" s="4" t="n"/>
      <c r="O35" s="4" t="n"/>
      <c r="P35" s="4" t="n"/>
      <c r="Q35" s="10">
        <f>IF(OR(H35="",I35="回答済み",I35="クローズ"),"",IF(H35&lt;TODAY(),"超過",IF(H35-TODAY()&lt;=3,"間近","")))</f>
        <v/>
      </c>
      <c r="R35" s="13">
        <f>IF(J35="","",IF(L35="",TODAY(),L35)-J35)</f>
        <v/>
      </c>
    </row>
    <row r="36">
      <c r="A36" s="10">
        <f>IF(D36="","",ROW()-4)</f>
        <v/>
      </c>
      <c r="B36" s="14" t="n"/>
      <c r="C36" s="15" t="n"/>
      <c r="D36" s="4" t="n"/>
      <c r="E36" s="4" t="n"/>
      <c r="F36" s="4" t="n"/>
      <c r="G36" s="15" t="n"/>
      <c r="H36" s="14" t="n"/>
      <c r="I36" s="15" t="n"/>
      <c r="J36" s="14" t="n"/>
      <c r="K36" s="15" t="n"/>
      <c r="L36" s="14" t="n"/>
      <c r="M36" s="4" t="n"/>
      <c r="N36" s="4" t="n"/>
      <c r="O36" s="4" t="n"/>
      <c r="P36" s="4" t="n"/>
      <c r="Q36" s="10">
        <f>IF(OR(H36="",I36="回答済み",I36="クローズ"),"",IF(H36&lt;TODAY(),"超過",IF(H36-TODAY()&lt;=3,"間近","")))</f>
        <v/>
      </c>
      <c r="R36" s="13">
        <f>IF(J36="","",IF(L36="",TODAY(),L36)-J36)</f>
        <v/>
      </c>
    </row>
    <row r="37">
      <c r="A37" s="10">
        <f>IF(D37="","",ROW()-4)</f>
        <v/>
      </c>
      <c r="B37" s="14" t="n"/>
      <c r="C37" s="15" t="n"/>
      <c r="D37" s="4" t="n"/>
      <c r="E37" s="4" t="n"/>
      <c r="F37" s="4" t="n"/>
      <c r="G37" s="15" t="n"/>
      <c r="H37" s="14" t="n"/>
      <c r="I37" s="15" t="n"/>
      <c r="J37" s="14" t="n"/>
      <c r="K37" s="15" t="n"/>
      <c r="L37" s="14" t="n"/>
      <c r="M37" s="4" t="n"/>
      <c r="N37" s="4" t="n"/>
      <c r="O37" s="4" t="n"/>
      <c r="P37" s="4" t="n"/>
      <c r="Q37" s="10">
        <f>IF(OR(H37="",I37="回答済み",I37="クローズ"),"",IF(H37&lt;TODAY(),"超過",IF(H37-TODAY()&lt;=3,"間近","")))</f>
        <v/>
      </c>
      <c r="R37" s="13">
        <f>IF(J37="","",IF(L37="",TODAY(),L37)-J37)</f>
        <v/>
      </c>
    </row>
    <row r="38">
      <c r="A38" s="10">
        <f>IF(D38="","",ROW()-4)</f>
        <v/>
      </c>
      <c r="B38" s="14" t="n"/>
      <c r="C38" s="15" t="n"/>
      <c r="D38" s="4" t="n"/>
      <c r="E38" s="4" t="n"/>
      <c r="F38" s="4" t="n"/>
      <c r="G38" s="15" t="n"/>
      <c r="H38" s="14" t="n"/>
      <c r="I38" s="15" t="n"/>
      <c r="J38" s="14" t="n"/>
      <c r="K38" s="15" t="n"/>
      <c r="L38" s="14" t="n"/>
      <c r="M38" s="4" t="n"/>
      <c r="N38" s="4" t="n"/>
      <c r="O38" s="4" t="n"/>
      <c r="P38" s="4" t="n"/>
      <c r="Q38" s="10">
        <f>IF(OR(H38="",I38="回答済み",I38="クローズ"),"",IF(H38&lt;TODAY(),"超過",IF(H38-TODAY()&lt;=3,"間近","")))</f>
        <v/>
      </c>
      <c r="R38" s="13">
        <f>IF(J38="","",IF(L38="",TODAY(),L38)-J38)</f>
        <v/>
      </c>
    </row>
    <row r="39">
      <c r="A39" s="10">
        <f>IF(D39="","",ROW()-4)</f>
        <v/>
      </c>
      <c r="B39" s="14" t="n"/>
      <c r="C39" s="15" t="n"/>
      <c r="D39" s="4" t="n"/>
      <c r="E39" s="4" t="n"/>
      <c r="F39" s="4" t="n"/>
      <c r="G39" s="15" t="n"/>
      <c r="H39" s="14" t="n"/>
      <c r="I39" s="15" t="n"/>
      <c r="J39" s="14" t="n"/>
      <c r="K39" s="15" t="n"/>
      <c r="L39" s="14" t="n"/>
      <c r="M39" s="4" t="n"/>
      <c r="N39" s="4" t="n"/>
      <c r="O39" s="4" t="n"/>
      <c r="P39" s="4" t="n"/>
      <c r="Q39" s="10">
        <f>IF(OR(H39="",I39="回答済み",I39="クローズ"),"",IF(H39&lt;TODAY(),"超過",IF(H39-TODAY()&lt;=3,"間近","")))</f>
        <v/>
      </c>
      <c r="R39" s="13">
        <f>IF(J39="","",IF(L39="",TODAY(),L39)-J39)</f>
        <v/>
      </c>
    </row>
    <row r="40">
      <c r="A40" s="10">
        <f>IF(D40="","",ROW()-4)</f>
        <v/>
      </c>
      <c r="B40" s="14" t="n"/>
      <c r="C40" s="15" t="n"/>
      <c r="D40" s="4" t="n"/>
      <c r="E40" s="4" t="n"/>
      <c r="F40" s="4" t="n"/>
      <c r="G40" s="15" t="n"/>
      <c r="H40" s="14" t="n"/>
      <c r="I40" s="15" t="n"/>
      <c r="J40" s="14" t="n"/>
      <c r="K40" s="15" t="n"/>
      <c r="L40" s="14" t="n"/>
      <c r="M40" s="4" t="n"/>
      <c r="N40" s="4" t="n"/>
      <c r="O40" s="4" t="n"/>
      <c r="P40" s="4" t="n"/>
      <c r="Q40" s="10">
        <f>IF(OR(H40="",I40="回答済み",I40="クローズ"),"",IF(H40&lt;TODAY(),"超過",IF(H40-TODAY()&lt;=3,"間近","")))</f>
        <v/>
      </c>
      <c r="R40" s="13">
        <f>IF(J40="","",IF(L40="",TODAY(),L40)-J40)</f>
        <v/>
      </c>
    </row>
    <row r="41">
      <c r="A41" s="10">
        <f>IF(D41="","",ROW()-4)</f>
        <v/>
      </c>
      <c r="B41" s="14" t="n"/>
      <c r="C41" s="15" t="n"/>
      <c r="D41" s="4" t="n"/>
      <c r="E41" s="4" t="n"/>
      <c r="F41" s="4" t="n"/>
      <c r="G41" s="15" t="n"/>
      <c r="H41" s="14" t="n"/>
      <c r="I41" s="15" t="n"/>
      <c r="J41" s="14" t="n"/>
      <c r="K41" s="15" t="n"/>
      <c r="L41" s="14" t="n"/>
      <c r="M41" s="4" t="n"/>
      <c r="N41" s="4" t="n"/>
      <c r="O41" s="4" t="n"/>
      <c r="P41" s="4" t="n"/>
      <c r="Q41" s="10">
        <f>IF(OR(H41="",I41="回答済み",I41="クローズ"),"",IF(H41&lt;TODAY(),"超過",IF(H41-TODAY()&lt;=3,"間近","")))</f>
        <v/>
      </c>
      <c r="R41" s="13">
        <f>IF(J41="","",IF(L41="",TODAY(),L41)-J41)</f>
        <v/>
      </c>
    </row>
    <row r="42">
      <c r="A42" s="10">
        <f>IF(D42="","",ROW()-4)</f>
        <v/>
      </c>
      <c r="B42" s="14" t="n"/>
      <c r="C42" s="15" t="n"/>
      <c r="D42" s="4" t="n"/>
      <c r="E42" s="4" t="n"/>
      <c r="F42" s="4" t="n"/>
      <c r="G42" s="15" t="n"/>
      <c r="H42" s="14" t="n"/>
      <c r="I42" s="15" t="n"/>
      <c r="J42" s="14" t="n"/>
      <c r="K42" s="15" t="n"/>
      <c r="L42" s="14" t="n"/>
      <c r="M42" s="4" t="n"/>
      <c r="N42" s="4" t="n"/>
      <c r="O42" s="4" t="n"/>
      <c r="P42" s="4" t="n"/>
      <c r="Q42" s="10">
        <f>IF(OR(H42="",I42="回答済み",I42="クローズ"),"",IF(H42&lt;TODAY(),"超過",IF(H42-TODAY()&lt;=3,"間近","")))</f>
        <v/>
      </c>
      <c r="R42" s="13">
        <f>IF(J42="","",IF(L42="",TODAY(),L42)-J42)</f>
        <v/>
      </c>
    </row>
    <row r="43">
      <c r="A43" s="10">
        <f>IF(D43="","",ROW()-4)</f>
        <v/>
      </c>
      <c r="B43" s="14" t="n"/>
      <c r="C43" s="15" t="n"/>
      <c r="D43" s="4" t="n"/>
      <c r="E43" s="4" t="n"/>
      <c r="F43" s="4" t="n"/>
      <c r="G43" s="15" t="n"/>
      <c r="H43" s="14" t="n"/>
      <c r="I43" s="15" t="n"/>
      <c r="J43" s="14" t="n"/>
      <c r="K43" s="15" t="n"/>
      <c r="L43" s="14" t="n"/>
      <c r="M43" s="4" t="n"/>
      <c r="N43" s="4" t="n"/>
      <c r="O43" s="4" t="n"/>
      <c r="P43" s="4" t="n"/>
      <c r="Q43" s="10">
        <f>IF(OR(H43="",I43="回答済み",I43="クローズ"),"",IF(H43&lt;TODAY(),"超過",IF(H43-TODAY()&lt;=3,"間近","")))</f>
        <v/>
      </c>
      <c r="R43" s="13">
        <f>IF(J43="","",IF(L43="",TODAY(),L43)-J43)</f>
        <v/>
      </c>
    </row>
    <row r="44">
      <c r="A44" s="10">
        <f>IF(D44="","",ROW()-4)</f>
        <v/>
      </c>
      <c r="B44" s="14" t="n"/>
      <c r="C44" s="15" t="n"/>
      <c r="D44" s="4" t="n"/>
      <c r="E44" s="4" t="n"/>
      <c r="F44" s="4" t="n"/>
      <c r="G44" s="15" t="n"/>
      <c r="H44" s="14" t="n"/>
      <c r="I44" s="15" t="n"/>
      <c r="J44" s="14" t="n"/>
      <c r="K44" s="15" t="n"/>
      <c r="L44" s="14" t="n"/>
      <c r="M44" s="4" t="n"/>
      <c r="N44" s="4" t="n"/>
      <c r="O44" s="4" t="n"/>
      <c r="P44" s="4" t="n"/>
      <c r="Q44" s="10">
        <f>IF(OR(H44="",I44="回答済み",I44="クローズ"),"",IF(H44&lt;TODAY(),"超過",IF(H44-TODAY()&lt;=3,"間近","")))</f>
        <v/>
      </c>
      <c r="R44" s="13">
        <f>IF(J44="","",IF(L44="",TODAY(),L44)-J44)</f>
        <v/>
      </c>
    </row>
    <row r="45">
      <c r="A45" s="10">
        <f>IF(D45="","",ROW()-4)</f>
        <v/>
      </c>
      <c r="B45" s="14" t="n"/>
      <c r="C45" s="15" t="n"/>
      <c r="D45" s="4" t="n"/>
      <c r="E45" s="4" t="n"/>
      <c r="F45" s="4" t="n"/>
      <c r="G45" s="15" t="n"/>
      <c r="H45" s="14" t="n"/>
      <c r="I45" s="15" t="n"/>
      <c r="J45" s="14" t="n"/>
      <c r="K45" s="15" t="n"/>
      <c r="L45" s="14" t="n"/>
      <c r="M45" s="4" t="n"/>
      <c r="N45" s="4" t="n"/>
      <c r="O45" s="4" t="n"/>
      <c r="P45" s="4" t="n"/>
      <c r="Q45" s="10">
        <f>IF(OR(H45="",I45="回答済み",I45="クローズ"),"",IF(H45&lt;TODAY(),"超過",IF(H45-TODAY()&lt;=3,"間近","")))</f>
        <v/>
      </c>
      <c r="R45" s="13">
        <f>IF(J45="","",IF(L45="",TODAY(),L45)-J45)</f>
        <v/>
      </c>
    </row>
    <row r="46">
      <c r="A46" s="10">
        <f>IF(D46="","",ROW()-4)</f>
        <v/>
      </c>
      <c r="B46" s="14" t="n"/>
      <c r="C46" s="15" t="n"/>
      <c r="D46" s="4" t="n"/>
      <c r="E46" s="4" t="n"/>
      <c r="F46" s="4" t="n"/>
      <c r="G46" s="15" t="n"/>
      <c r="H46" s="14" t="n"/>
      <c r="I46" s="15" t="n"/>
      <c r="J46" s="14" t="n"/>
      <c r="K46" s="15" t="n"/>
      <c r="L46" s="14" t="n"/>
      <c r="M46" s="4" t="n"/>
      <c r="N46" s="4" t="n"/>
      <c r="O46" s="4" t="n"/>
      <c r="P46" s="4" t="n"/>
      <c r="Q46" s="10">
        <f>IF(OR(H46="",I46="回答済み",I46="クローズ"),"",IF(H46&lt;TODAY(),"超過",IF(H46-TODAY()&lt;=3,"間近","")))</f>
        <v/>
      </c>
      <c r="R46" s="13">
        <f>IF(J46="","",IF(L46="",TODAY(),L46)-J46)</f>
        <v/>
      </c>
    </row>
    <row r="47">
      <c r="A47" s="10">
        <f>IF(D47="","",ROW()-4)</f>
        <v/>
      </c>
      <c r="B47" s="14" t="n"/>
      <c r="C47" s="15" t="n"/>
      <c r="D47" s="4" t="n"/>
      <c r="E47" s="4" t="n"/>
      <c r="F47" s="4" t="n"/>
      <c r="G47" s="15" t="n"/>
      <c r="H47" s="14" t="n"/>
      <c r="I47" s="15" t="n"/>
      <c r="J47" s="14" t="n"/>
      <c r="K47" s="15" t="n"/>
      <c r="L47" s="14" t="n"/>
      <c r="M47" s="4" t="n"/>
      <c r="N47" s="4" t="n"/>
      <c r="O47" s="4" t="n"/>
      <c r="P47" s="4" t="n"/>
      <c r="Q47" s="10">
        <f>IF(OR(H47="",I47="回答済み",I47="クローズ"),"",IF(H47&lt;TODAY(),"超過",IF(H47-TODAY()&lt;=3,"間近","")))</f>
        <v/>
      </c>
      <c r="R47" s="13">
        <f>IF(J47="","",IF(L47="",TODAY(),L47)-J47)</f>
        <v/>
      </c>
    </row>
    <row r="48">
      <c r="A48" s="10">
        <f>IF(D48="","",ROW()-4)</f>
        <v/>
      </c>
      <c r="B48" s="14" t="n"/>
      <c r="C48" s="15" t="n"/>
      <c r="D48" s="4" t="n"/>
      <c r="E48" s="4" t="n"/>
      <c r="F48" s="4" t="n"/>
      <c r="G48" s="15" t="n"/>
      <c r="H48" s="14" t="n"/>
      <c r="I48" s="15" t="n"/>
      <c r="J48" s="14" t="n"/>
      <c r="K48" s="15" t="n"/>
      <c r="L48" s="14" t="n"/>
      <c r="M48" s="4" t="n"/>
      <c r="N48" s="4" t="n"/>
      <c r="O48" s="4" t="n"/>
      <c r="P48" s="4" t="n"/>
      <c r="Q48" s="10">
        <f>IF(OR(H48="",I48="回答済み",I48="クローズ"),"",IF(H48&lt;TODAY(),"超過",IF(H48-TODAY()&lt;=3,"間近","")))</f>
        <v/>
      </c>
      <c r="R48" s="13">
        <f>IF(J48="","",IF(L48="",TODAY(),L48)-J48)</f>
        <v/>
      </c>
    </row>
    <row r="49">
      <c r="A49" s="10">
        <f>IF(D49="","",ROW()-4)</f>
        <v/>
      </c>
      <c r="B49" s="14" t="n"/>
      <c r="C49" s="15" t="n"/>
      <c r="D49" s="4" t="n"/>
      <c r="E49" s="4" t="n"/>
      <c r="F49" s="4" t="n"/>
      <c r="G49" s="15" t="n"/>
      <c r="H49" s="14" t="n"/>
      <c r="I49" s="15" t="n"/>
      <c r="J49" s="14" t="n"/>
      <c r="K49" s="15" t="n"/>
      <c r="L49" s="14" t="n"/>
      <c r="M49" s="4" t="n"/>
      <c r="N49" s="4" t="n"/>
      <c r="O49" s="4" t="n"/>
      <c r="P49" s="4" t="n"/>
      <c r="Q49" s="10">
        <f>IF(OR(H49="",I49="回答済み",I49="クローズ"),"",IF(H49&lt;TODAY(),"超過",IF(H49-TODAY()&lt;=3,"間近","")))</f>
        <v/>
      </c>
      <c r="R49" s="13">
        <f>IF(J49="","",IF(L49="",TODAY(),L49)-J49)</f>
        <v/>
      </c>
    </row>
    <row r="50">
      <c r="A50" s="10">
        <f>IF(D50="","",ROW()-4)</f>
        <v/>
      </c>
      <c r="B50" s="14" t="n"/>
      <c r="C50" s="15" t="n"/>
      <c r="D50" s="4" t="n"/>
      <c r="E50" s="4" t="n"/>
      <c r="F50" s="4" t="n"/>
      <c r="G50" s="15" t="n"/>
      <c r="H50" s="14" t="n"/>
      <c r="I50" s="15" t="n"/>
      <c r="J50" s="14" t="n"/>
      <c r="K50" s="15" t="n"/>
      <c r="L50" s="14" t="n"/>
      <c r="M50" s="4" t="n"/>
      <c r="N50" s="4" t="n"/>
      <c r="O50" s="4" t="n"/>
      <c r="P50" s="4" t="n"/>
      <c r="Q50" s="10">
        <f>IF(OR(H50="",I50="回答済み",I50="クローズ"),"",IF(H50&lt;TODAY(),"超過",IF(H50-TODAY()&lt;=3,"間近","")))</f>
        <v/>
      </c>
      <c r="R50" s="13">
        <f>IF(J50="","",IF(L50="",TODAY(),L50)-J50)</f>
        <v/>
      </c>
    </row>
    <row r="51">
      <c r="A51" s="10">
        <f>IF(D51="","",ROW()-4)</f>
        <v/>
      </c>
      <c r="B51" s="14" t="n"/>
      <c r="C51" s="15" t="n"/>
      <c r="D51" s="4" t="n"/>
      <c r="E51" s="4" t="n"/>
      <c r="F51" s="4" t="n"/>
      <c r="G51" s="15" t="n"/>
      <c r="H51" s="14" t="n"/>
      <c r="I51" s="15" t="n"/>
      <c r="J51" s="14" t="n"/>
      <c r="K51" s="15" t="n"/>
      <c r="L51" s="14" t="n"/>
      <c r="M51" s="4" t="n"/>
      <c r="N51" s="4" t="n"/>
      <c r="O51" s="4" t="n"/>
      <c r="P51" s="4" t="n"/>
      <c r="Q51" s="10">
        <f>IF(OR(H51="",I51="回答済み",I51="クローズ"),"",IF(H51&lt;TODAY(),"超過",IF(H51-TODAY()&lt;=3,"間近","")))</f>
        <v/>
      </c>
      <c r="R51" s="13">
        <f>IF(J51="","",IF(L51="",TODAY(),L51)-J51)</f>
        <v/>
      </c>
    </row>
    <row r="52">
      <c r="A52" s="10">
        <f>IF(D52="","",ROW()-4)</f>
        <v/>
      </c>
      <c r="B52" s="14" t="n"/>
      <c r="C52" s="15" t="n"/>
      <c r="D52" s="4" t="n"/>
      <c r="E52" s="4" t="n"/>
      <c r="F52" s="4" t="n"/>
      <c r="G52" s="15" t="n"/>
      <c r="H52" s="14" t="n"/>
      <c r="I52" s="15" t="n"/>
      <c r="J52" s="14" t="n"/>
      <c r="K52" s="15" t="n"/>
      <c r="L52" s="14" t="n"/>
      <c r="M52" s="4" t="n"/>
      <c r="N52" s="4" t="n"/>
      <c r="O52" s="4" t="n"/>
      <c r="P52" s="4" t="n"/>
      <c r="Q52" s="10">
        <f>IF(OR(H52="",I52="回答済み",I52="クローズ"),"",IF(H52&lt;TODAY(),"超過",IF(H52-TODAY()&lt;=3,"間近","")))</f>
        <v/>
      </c>
      <c r="R52" s="13">
        <f>IF(J52="","",IF(L52="",TODAY(),L52)-J52)</f>
        <v/>
      </c>
    </row>
    <row r="53">
      <c r="A53" s="10">
        <f>IF(D53="","",ROW()-4)</f>
        <v/>
      </c>
      <c r="B53" s="14" t="n"/>
      <c r="C53" s="15" t="n"/>
      <c r="D53" s="4" t="n"/>
      <c r="E53" s="4" t="n"/>
      <c r="F53" s="4" t="n"/>
      <c r="G53" s="15" t="n"/>
      <c r="H53" s="14" t="n"/>
      <c r="I53" s="15" t="n"/>
      <c r="J53" s="14" t="n"/>
      <c r="K53" s="15" t="n"/>
      <c r="L53" s="14" t="n"/>
      <c r="M53" s="4" t="n"/>
      <c r="N53" s="4" t="n"/>
      <c r="O53" s="4" t="n"/>
      <c r="P53" s="4" t="n"/>
      <c r="Q53" s="10">
        <f>IF(OR(H53="",I53="回答済み",I53="クローズ"),"",IF(H53&lt;TODAY(),"超過",IF(H53-TODAY()&lt;=3,"間近","")))</f>
        <v/>
      </c>
      <c r="R53" s="13">
        <f>IF(J53="","",IF(L53="",TODAY(),L53)-J53)</f>
        <v/>
      </c>
    </row>
    <row r="54">
      <c r="A54" s="10">
        <f>IF(D54="","",ROW()-4)</f>
        <v/>
      </c>
      <c r="B54" s="14" t="n"/>
      <c r="C54" s="15" t="n"/>
      <c r="D54" s="4" t="n"/>
      <c r="E54" s="4" t="n"/>
      <c r="F54" s="4" t="n"/>
      <c r="G54" s="15" t="n"/>
      <c r="H54" s="14" t="n"/>
      <c r="I54" s="15" t="n"/>
      <c r="J54" s="14" t="n"/>
      <c r="K54" s="15" t="n"/>
      <c r="L54" s="14" t="n"/>
      <c r="M54" s="4" t="n"/>
      <c r="N54" s="4" t="n"/>
      <c r="O54" s="4" t="n"/>
      <c r="P54" s="4" t="n"/>
      <c r="Q54" s="10">
        <f>IF(OR(H54="",I54="回答済み",I54="クローズ"),"",IF(H54&lt;TODAY(),"超過",IF(H54-TODAY()&lt;=3,"間近","")))</f>
        <v/>
      </c>
      <c r="R54" s="13">
        <f>IF(J54="","",IF(L54="",TODAY(),L54)-J54)</f>
        <v/>
      </c>
    </row>
    <row r="55">
      <c r="A55" s="10">
        <f>IF(D55="","",ROW()-4)</f>
        <v/>
      </c>
      <c r="B55" s="14" t="n"/>
      <c r="C55" s="15" t="n"/>
      <c r="D55" s="4" t="n"/>
      <c r="E55" s="4" t="n"/>
      <c r="F55" s="4" t="n"/>
      <c r="G55" s="15" t="n"/>
      <c r="H55" s="14" t="n"/>
      <c r="I55" s="15" t="n"/>
      <c r="J55" s="14" t="n"/>
      <c r="K55" s="15" t="n"/>
      <c r="L55" s="14" t="n"/>
      <c r="M55" s="4" t="n"/>
      <c r="N55" s="4" t="n"/>
      <c r="O55" s="4" t="n"/>
      <c r="P55" s="4" t="n"/>
      <c r="Q55" s="10">
        <f>IF(OR(H55="",I55="回答済み",I55="クローズ"),"",IF(H55&lt;TODAY(),"超過",IF(H55-TODAY()&lt;=3,"間近","")))</f>
        <v/>
      </c>
      <c r="R55" s="13">
        <f>IF(J55="","",IF(L55="",TODAY(),L55)-J55)</f>
        <v/>
      </c>
    </row>
    <row r="56">
      <c r="A56" s="10">
        <f>IF(D56="","",ROW()-4)</f>
        <v/>
      </c>
      <c r="B56" s="14" t="n"/>
      <c r="C56" s="15" t="n"/>
      <c r="D56" s="4" t="n"/>
      <c r="E56" s="4" t="n"/>
      <c r="F56" s="4" t="n"/>
      <c r="G56" s="15" t="n"/>
      <c r="H56" s="14" t="n"/>
      <c r="I56" s="15" t="n"/>
      <c r="J56" s="14" t="n"/>
      <c r="K56" s="15" t="n"/>
      <c r="L56" s="14" t="n"/>
      <c r="M56" s="4" t="n"/>
      <c r="N56" s="4" t="n"/>
      <c r="O56" s="4" t="n"/>
      <c r="P56" s="4" t="n"/>
      <c r="Q56" s="10">
        <f>IF(OR(H56="",I56="回答済み",I56="クローズ"),"",IF(H56&lt;TODAY(),"超過",IF(H56-TODAY()&lt;=3,"間近","")))</f>
        <v/>
      </c>
      <c r="R56" s="13">
        <f>IF(J56="","",IF(L56="",TODAY(),L56)-J56)</f>
        <v/>
      </c>
    </row>
    <row r="57">
      <c r="A57" s="10">
        <f>IF(D57="","",ROW()-4)</f>
        <v/>
      </c>
      <c r="B57" s="14" t="n"/>
      <c r="C57" s="15" t="n"/>
      <c r="D57" s="4" t="n"/>
      <c r="E57" s="4" t="n"/>
      <c r="F57" s="4" t="n"/>
      <c r="G57" s="15" t="n"/>
      <c r="H57" s="14" t="n"/>
      <c r="I57" s="15" t="n"/>
      <c r="J57" s="14" t="n"/>
      <c r="K57" s="15" t="n"/>
      <c r="L57" s="14" t="n"/>
      <c r="M57" s="4" t="n"/>
      <c r="N57" s="4" t="n"/>
      <c r="O57" s="4" t="n"/>
      <c r="P57" s="4" t="n"/>
      <c r="Q57" s="10">
        <f>IF(OR(H57="",I57="回答済み",I57="クローズ"),"",IF(H57&lt;TODAY(),"超過",IF(H57-TODAY()&lt;=3,"間近","")))</f>
        <v/>
      </c>
      <c r="R57" s="13">
        <f>IF(J57="","",IF(L57="",TODAY(),L57)-J57)</f>
        <v/>
      </c>
    </row>
    <row r="58">
      <c r="A58" s="10">
        <f>IF(D58="","",ROW()-4)</f>
        <v/>
      </c>
      <c r="B58" s="14" t="n"/>
      <c r="C58" s="15" t="n"/>
      <c r="D58" s="4" t="n"/>
      <c r="E58" s="4" t="n"/>
      <c r="F58" s="4" t="n"/>
      <c r="G58" s="15" t="n"/>
      <c r="H58" s="14" t="n"/>
      <c r="I58" s="15" t="n"/>
      <c r="J58" s="14" t="n"/>
      <c r="K58" s="15" t="n"/>
      <c r="L58" s="14" t="n"/>
      <c r="M58" s="4" t="n"/>
      <c r="N58" s="4" t="n"/>
      <c r="O58" s="4" t="n"/>
      <c r="P58" s="4" t="n"/>
      <c r="Q58" s="10">
        <f>IF(OR(H58="",I58="回答済み",I58="クローズ"),"",IF(H58&lt;TODAY(),"超過",IF(H58-TODAY()&lt;=3,"間近","")))</f>
        <v/>
      </c>
      <c r="R58" s="13">
        <f>IF(J58="","",IF(L58="",TODAY(),L58)-J58)</f>
        <v/>
      </c>
    </row>
    <row r="59">
      <c r="A59" s="10">
        <f>IF(D59="","",ROW()-4)</f>
        <v/>
      </c>
      <c r="B59" s="14" t="n"/>
      <c r="C59" s="15" t="n"/>
      <c r="D59" s="4" t="n"/>
      <c r="E59" s="4" t="n"/>
      <c r="F59" s="4" t="n"/>
      <c r="G59" s="15" t="n"/>
      <c r="H59" s="14" t="n"/>
      <c r="I59" s="15" t="n"/>
      <c r="J59" s="14" t="n"/>
      <c r="K59" s="15" t="n"/>
      <c r="L59" s="14" t="n"/>
      <c r="M59" s="4" t="n"/>
      <c r="N59" s="4" t="n"/>
      <c r="O59" s="4" t="n"/>
      <c r="P59" s="4" t="n"/>
      <c r="Q59" s="10">
        <f>IF(OR(H59="",I59="回答済み",I59="クローズ"),"",IF(H59&lt;TODAY(),"超過",IF(H59-TODAY()&lt;=3,"間近","")))</f>
        <v/>
      </c>
      <c r="R59" s="13">
        <f>IF(J59="","",IF(L59="",TODAY(),L59)-J59)</f>
        <v/>
      </c>
    </row>
    <row r="60">
      <c r="A60" s="10">
        <f>IF(D60="","",ROW()-4)</f>
        <v/>
      </c>
      <c r="B60" s="14" t="n"/>
      <c r="C60" s="15" t="n"/>
      <c r="D60" s="4" t="n"/>
      <c r="E60" s="4" t="n"/>
      <c r="F60" s="4" t="n"/>
      <c r="G60" s="15" t="n"/>
      <c r="H60" s="14" t="n"/>
      <c r="I60" s="15" t="n"/>
      <c r="J60" s="14" t="n"/>
      <c r="K60" s="15" t="n"/>
      <c r="L60" s="14" t="n"/>
      <c r="M60" s="4" t="n"/>
      <c r="N60" s="4" t="n"/>
      <c r="O60" s="4" t="n"/>
      <c r="P60" s="4" t="n"/>
      <c r="Q60" s="10">
        <f>IF(OR(H60="",I60="回答済み",I60="クローズ"),"",IF(H60&lt;TODAY(),"超過",IF(H60-TODAY()&lt;=3,"間近","")))</f>
        <v/>
      </c>
      <c r="R60" s="13">
        <f>IF(J60="","",IF(L60="",TODAY(),L60)-J60)</f>
        <v/>
      </c>
    </row>
    <row r="61">
      <c r="A61" s="10">
        <f>IF(D61="","",ROW()-4)</f>
        <v/>
      </c>
      <c r="B61" s="14" t="n"/>
      <c r="C61" s="15" t="n"/>
      <c r="D61" s="4" t="n"/>
      <c r="E61" s="4" t="n"/>
      <c r="F61" s="4" t="n"/>
      <c r="G61" s="15" t="n"/>
      <c r="H61" s="14" t="n"/>
      <c r="I61" s="15" t="n"/>
      <c r="J61" s="14" t="n"/>
      <c r="K61" s="15" t="n"/>
      <c r="L61" s="14" t="n"/>
      <c r="M61" s="4" t="n"/>
      <c r="N61" s="4" t="n"/>
      <c r="O61" s="4" t="n"/>
      <c r="P61" s="4" t="n"/>
      <c r="Q61" s="10">
        <f>IF(OR(H61="",I61="回答済み",I61="クローズ"),"",IF(H61&lt;TODAY(),"超過",IF(H61-TODAY()&lt;=3,"間近","")))</f>
        <v/>
      </c>
      <c r="R61" s="13">
        <f>IF(J61="","",IF(L61="",TODAY(),L61)-J61)</f>
        <v/>
      </c>
    </row>
    <row r="62">
      <c r="A62" s="10">
        <f>IF(D62="","",ROW()-4)</f>
        <v/>
      </c>
      <c r="B62" s="14" t="n"/>
      <c r="C62" s="15" t="n"/>
      <c r="D62" s="4" t="n"/>
      <c r="E62" s="4" t="n"/>
      <c r="F62" s="4" t="n"/>
      <c r="G62" s="15" t="n"/>
      <c r="H62" s="14" t="n"/>
      <c r="I62" s="15" t="n"/>
      <c r="J62" s="14" t="n"/>
      <c r="K62" s="15" t="n"/>
      <c r="L62" s="14" t="n"/>
      <c r="M62" s="4" t="n"/>
      <c r="N62" s="4" t="n"/>
      <c r="O62" s="4" t="n"/>
      <c r="P62" s="4" t="n"/>
      <c r="Q62" s="10">
        <f>IF(OR(H62="",I62="回答済み",I62="クローズ"),"",IF(H62&lt;TODAY(),"超過",IF(H62-TODAY()&lt;=3,"間近","")))</f>
        <v/>
      </c>
      <c r="R62" s="13">
        <f>IF(J62="","",IF(L62="",TODAY(),L62)-J62)</f>
        <v/>
      </c>
    </row>
    <row r="63">
      <c r="A63" s="10">
        <f>IF(D63="","",ROW()-4)</f>
        <v/>
      </c>
      <c r="B63" s="14" t="n"/>
      <c r="C63" s="15" t="n"/>
      <c r="D63" s="4" t="n"/>
      <c r="E63" s="4" t="n"/>
      <c r="F63" s="4" t="n"/>
      <c r="G63" s="15" t="n"/>
      <c r="H63" s="14" t="n"/>
      <c r="I63" s="15" t="n"/>
      <c r="J63" s="14" t="n"/>
      <c r="K63" s="15" t="n"/>
      <c r="L63" s="14" t="n"/>
      <c r="M63" s="4" t="n"/>
      <c r="N63" s="4" t="n"/>
      <c r="O63" s="4" t="n"/>
      <c r="P63" s="4" t="n"/>
      <c r="Q63" s="10">
        <f>IF(OR(H63="",I63="回答済み",I63="クローズ"),"",IF(H63&lt;TODAY(),"超過",IF(H63-TODAY()&lt;=3,"間近","")))</f>
        <v/>
      </c>
      <c r="R63" s="13">
        <f>IF(J63="","",IF(L63="",TODAY(),L63)-J63)</f>
        <v/>
      </c>
    </row>
    <row r="64">
      <c r="A64" s="10">
        <f>IF(D64="","",ROW()-4)</f>
        <v/>
      </c>
      <c r="B64" s="14" t="n"/>
      <c r="C64" s="15" t="n"/>
      <c r="D64" s="4" t="n"/>
      <c r="E64" s="4" t="n"/>
      <c r="F64" s="4" t="n"/>
      <c r="G64" s="15" t="n"/>
      <c r="H64" s="14" t="n"/>
      <c r="I64" s="15" t="n"/>
      <c r="J64" s="14" t="n"/>
      <c r="K64" s="15" t="n"/>
      <c r="L64" s="14" t="n"/>
      <c r="M64" s="4" t="n"/>
      <c r="N64" s="4" t="n"/>
      <c r="O64" s="4" t="n"/>
      <c r="P64" s="4" t="n"/>
      <c r="Q64" s="10">
        <f>IF(OR(H64="",I64="回答済み",I64="クローズ"),"",IF(H64&lt;TODAY(),"超過",IF(H64-TODAY()&lt;=3,"間近","")))</f>
        <v/>
      </c>
      <c r="R64" s="13">
        <f>IF(J64="","",IF(L64="",TODAY(),L64)-J64)</f>
        <v/>
      </c>
    </row>
    <row r="65">
      <c r="A65" s="10">
        <f>IF(D65="","",ROW()-4)</f>
        <v/>
      </c>
      <c r="B65" s="14" t="n"/>
      <c r="C65" s="15" t="n"/>
      <c r="D65" s="4" t="n"/>
      <c r="E65" s="4" t="n"/>
      <c r="F65" s="4" t="n"/>
      <c r="G65" s="15" t="n"/>
      <c r="H65" s="14" t="n"/>
      <c r="I65" s="15" t="n"/>
      <c r="J65" s="14" t="n"/>
      <c r="K65" s="15" t="n"/>
      <c r="L65" s="14" t="n"/>
      <c r="M65" s="4" t="n"/>
      <c r="N65" s="4" t="n"/>
      <c r="O65" s="4" t="n"/>
      <c r="P65" s="4" t="n"/>
      <c r="Q65" s="10">
        <f>IF(OR(H65="",I65="回答済み",I65="クローズ"),"",IF(H65&lt;TODAY(),"超過",IF(H65-TODAY()&lt;=3,"間近","")))</f>
        <v/>
      </c>
      <c r="R65" s="13">
        <f>IF(J65="","",IF(L65="",TODAY(),L65)-J65)</f>
        <v/>
      </c>
    </row>
    <row r="66">
      <c r="A66" s="10">
        <f>IF(D66="","",ROW()-4)</f>
        <v/>
      </c>
      <c r="B66" s="14" t="n"/>
      <c r="C66" s="15" t="n"/>
      <c r="D66" s="4" t="n"/>
      <c r="E66" s="4" t="n"/>
      <c r="F66" s="4" t="n"/>
      <c r="G66" s="15" t="n"/>
      <c r="H66" s="14" t="n"/>
      <c r="I66" s="15" t="n"/>
      <c r="J66" s="14" t="n"/>
      <c r="K66" s="15" t="n"/>
      <c r="L66" s="14" t="n"/>
      <c r="M66" s="4" t="n"/>
      <c r="N66" s="4" t="n"/>
      <c r="O66" s="4" t="n"/>
      <c r="P66" s="4" t="n"/>
      <c r="Q66" s="10">
        <f>IF(OR(H66="",I66="回答済み",I66="クローズ"),"",IF(H66&lt;TODAY(),"超過",IF(H66-TODAY()&lt;=3,"間近","")))</f>
        <v/>
      </c>
      <c r="R66" s="13">
        <f>IF(J66="","",IF(L66="",TODAY(),L66)-J66)</f>
        <v/>
      </c>
    </row>
    <row r="67">
      <c r="A67" s="10">
        <f>IF(D67="","",ROW()-4)</f>
        <v/>
      </c>
      <c r="B67" s="14" t="n"/>
      <c r="C67" s="15" t="n"/>
      <c r="D67" s="4" t="n"/>
      <c r="E67" s="4" t="n"/>
      <c r="F67" s="4" t="n"/>
      <c r="G67" s="15" t="n"/>
      <c r="H67" s="14" t="n"/>
      <c r="I67" s="15" t="n"/>
      <c r="J67" s="14" t="n"/>
      <c r="K67" s="15" t="n"/>
      <c r="L67" s="14" t="n"/>
      <c r="M67" s="4" t="n"/>
      <c r="N67" s="4" t="n"/>
      <c r="O67" s="4" t="n"/>
      <c r="P67" s="4" t="n"/>
      <c r="Q67" s="10">
        <f>IF(OR(H67="",I67="回答済み",I67="クローズ"),"",IF(H67&lt;TODAY(),"超過",IF(H67-TODAY()&lt;=3,"間近","")))</f>
        <v/>
      </c>
      <c r="R67" s="13">
        <f>IF(J67="","",IF(L67="",TODAY(),L67)-J67)</f>
        <v/>
      </c>
    </row>
    <row r="68">
      <c r="A68" s="10">
        <f>IF(D68="","",ROW()-4)</f>
        <v/>
      </c>
      <c r="B68" s="14" t="n"/>
      <c r="C68" s="15" t="n"/>
      <c r="D68" s="4" t="n"/>
      <c r="E68" s="4" t="n"/>
      <c r="F68" s="4" t="n"/>
      <c r="G68" s="15" t="n"/>
      <c r="H68" s="14" t="n"/>
      <c r="I68" s="15" t="n"/>
      <c r="J68" s="14" t="n"/>
      <c r="K68" s="15" t="n"/>
      <c r="L68" s="14" t="n"/>
      <c r="M68" s="4" t="n"/>
      <c r="N68" s="4" t="n"/>
      <c r="O68" s="4" t="n"/>
      <c r="P68" s="4" t="n"/>
      <c r="Q68" s="10">
        <f>IF(OR(H68="",I68="回答済み",I68="クローズ"),"",IF(H68&lt;TODAY(),"超過",IF(H68-TODAY()&lt;=3,"間近","")))</f>
        <v/>
      </c>
      <c r="R68" s="13">
        <f>IF(J68="","",IF(L68="",TODAY(),L68)-J68)</f>
        <v/>
      </c>
    </row>
    <row r="69">
      <c r="A69" s="10">
        <f>IF(D69="","",ROW()-4)</f>
        <v/>
      </c>
      <c r="B69" s="14" t="n"/>
      <c r="C69" s="15" t="n"/>
      <c r="D69" s="4" t="n"/>
      <c r="E69" s="4" t="n"/>
      <c r="F69" s="4" t="n"/>
      <c r="G69" s="15" t="n"/>
      <c r="H69" s="14" t="n"/>
      <c r="I69" s="15" t="n"/>
      <c r="J69" s="14" t="n"/>
      <c r="K69" s="15" t="n"/>
      <c r="L69" s="14" t="n"/>
      <c r="M69" s="4" t="n"/>
      <c r="N69" s="4" t="n"/>
      <c r="O69" s="4" t="n"/>
      <c r="P69" s="4" t="n"/>
      <c r="Q69" s="10">
        <f>IF(OR(H69="",I69="回答済み",I69="クローズ"),"",IF(H69&lt;TODAY(),"超過",IF(H69-TODAY()&lt;=3,"間近","")))</f>
        <v/>
      </c>
      <c r="R69" s="13">
        <f>IF(J69="","",IF(L69="",TODAY(),L69)-J69)</f>
        <v/>
      </c>
    </row>
    <row r="70">
      <c r="A70" s="10">
        <f>IF(D70="","",ROW()-4)</f>
        <v/>
      </c>
      <c r="B70" s="14" t="n"/>
      <c r="C70" s="15" t="n"/>
      <c r="D70" s="4" t="n"/>
      <c r="E70" s="4" t="n"/>
      <c r="F70" s="4" t="n"/>
      <c r="G70" s="15" t="n"/>
      <c r="H70" s="14" t="n"/>
      <c r="I70" s="15" t="n"/>
      <c r="J70" s="14" t="n"/>
      <c r="K70" s="15" t="n"/>
      <c r="L70" s="14" t="n"/>
      <c r="M70" s="4" t="n"/>
      <c r="N70" s="4" t="n"/>
      <c r="O70" s="4" t="n"/>
      <c r="P70" s="4" t="n"/>
      <c r="Q70" s="10">
        <f>IF(OR(H70="",I70="回答済み",I70="クローズ"),"",IF(H70&lt;TODAY(),"超過",IF(H70-TODAY()&lt;=3,"間近","")))</f>
        <v/>
      </c>
      <c r="R70" s="13">
        <f>IF(J70="","",IF(L70="",TODAY(),L70)-J70)</f>
        <v/>
      </c>
    </row>
    <row r="71">
      <c r="A71" s="10">
        <f>IF(D71="","",ROW()-4)</f>
        <v/>
      </c>
      <c r="B71" s="14" t="n"/>
      <c r="C71" s="15" t="n"/>
      <c r="D71" s="4" t="n"/>
      <c r="E71" s="4" t="n"/>
      <c r="F71" s="4" t="n"/>
      <c r="G71" s="15" t="n"/>
      <c r="H71" s="14" t="n"/>
      <c r="I71" s="15" t="n"/>
      <c r="J71" s="14" t="n"/>
      <c r="K71" s="15" t="n"/>
      <c r="L71" s="14" t="n"/>
      <c r="M71" s="4" t="n"/>
      <c r="N71" s="4" t="n"/>
      <c r="O71" s="4" t="n"/>
      <c r="P71" s="4" t="n"/>
      <c r="Q71" s="10">
        <f>IF(OR(H71="",I71="回答済み",I71="クローズ"),"",IF(H71&lt;TODAY(),"超過",IF(H71-TODAY()&lt;=3,"間近","")))</f>
        <v/>
      </c>
      <c r="R71" s="13">
        <f>IF(J71="","",IF(L71="",TODAY(),L71)-J71)</f>
        <v/>
      </c>
    </row>
    <row r="72">
      <c r="A72" s="10">
        <f>IF(D72="","",ROW()-4)</f>
        <v/>
      </c>
      <c r="B72" s="14" t="n"/>
      <c r="C72" s="15" t="n"/>
      <c r="D72" s="4" t="n"/>
      <c r="E72" s="4" t="n"/>
      <c r="F72" s="4" t="n"/>
      <c r="G72" s="15" t="n"/>
      <c r="H72" s="14" t="n"/>
      <c r="I72" s="15" t="n"/>
      <c r="J72" s="14" t="n"/>
      <c r="K72" s="15" t="n"/>
      <c r="L72" s="14" t="n"/>
      <c r="M72" s="4" t="n"/>
      <c r="N72" s="4" t="n"/>
      <c r="O72" s="4" t="n"/>
      <c r="P72" s="4" t="n"/>
      <c r="Q72" s="10">
        <f>IF(OR(H72="",I72="回答済み",I72="クローズ"),"",IF(H72&lt;TODAY(),"超過",IF(H72-TODAY()&lt;=3,"間近","")))</f>
        <v/>
      </c>
      <c r="R72" s="13">
        <f>IF(J72="","",IF(L72="",TODAY(),L72)-J72)</f>
        <v/>
      </c>
    </row>
    <row r="73">
      <c r="A73" s="10">
        <f>IF(D73="","",ROW()-4)</f>
        <v/>
      </c>
      <c r="B73" s="14" t="n"/>
      <c r="C73" s="15" t="n"/>
      <c r="D73" s="4" t="n"/>
      <c r="E73" s="4" t="n"/>
      <c r="F73" s="4" t="n"/>
      <c r="G73" s="15" t="n"/>
      <c r="H73" s="14" t="n"/>
      <c r="I73" s="15" t="n"/>
      <c r="J73" s="14" t="n"/>
      <c r="K73" s="15" t="n"/>
      <c r="L73" s="14" t="n"/>
      <c r="M73" s="4" t="n"/>
      <c r="N73" s="4" t="n"/>
      <c r="O73" s="4" t="n"/>
      <c r="P73" s="4" t="n"/>
      <c r="Q73" s="10">
        <f>IF(OR(H73="",I73="回答済み",I73="クローズ"),"",IF(H73&lt;TODAY(),"超過",IF(H73-TODAY()&lt;=3,"間近","")))</f>
        <v/>
      </c>
      <c r="R73" s="13">
        <f>IF(J73="","",IF(L73="",TODAY(),L73)-J73)</f>
        <v/>
      </c>
    </row>
    <row r="74">
      <c r="A74" s="10">
        <f>IF(D74="","",ROW()-4)</f>
        <v/>
      </c>
      <c r="B74" s="14" t="n"/>
      <c r="C74" s="15" t="n"/>
      <c r="D74" s="4" t="n"/>
      <c r="E74" s="4" t="n"/>
      <c r="F74" s="4" t="n"/>
      <c r="G74" s="15" t="n"/>
      <c r="H74" s="14" t="n"/>
      <c r="I74" s="15" t="n"/>
      <c r="J74" s="14" t="n"/>
      <c r="K74" s="15" t="n"/>
      <c r="L74" s="14" t="n"/>
      <c r="M74" s="4" t="n"/>
      <c r="N74" s="4" t="n"/>
      <c r="O74" s="4" t="n"/>
      <c r="P74" s="4" t="n"/>
      <c r="Q74" s="10">
        <f>IF(OR(H74="",I74="回答済み",I74="クローズ"),"",IF(H74&lt;TODAY(),"超過",IF(H74-TODAY()&lt;=3,"間近","")))</f>
        <v/>
      </c>
      <c r="R74" s="13">
        <f>IF(J74="","",IF(L74="",TODAY(),L74)-J74)</f>
        <v/>
      </c>
    </row>
    <row r="75">
      <c r="A75" s="10">
        <f>IF(D75="","",ROW()-4)</f>
        <v/>
      </c>
      <c r="B75" s="14" t="n"/>
      <c r="C75" s="15" t="n"/>
      <c r="D75" s="4" t="n"/>
      <c r="E75" s="4" t="n"/>
      <c r="F75" s="4" t="n"/>
      <c r="G75" s="15" t="n"/>
      <c r="H75" s="14" t="n"/>
      <c r="I75" s="15" t="n"/>
      <c r="J75" s="14" t="n"/>
      <c r="K75" s="15" t="n"/>
      <c r="L75" s="14" t="n"/>
      <c r="M75" s="4" t="n"/>
      <c r="N75" s="4" t="n"/>
      <c r="O75" s="4" t="n"/>
      <c r="P75" s="4" t="n"/>
      <c r="Q75" s="10">
        <f>IF(OR(H75="",I75="回答済み",I75="クローズ"),"",IF(H75&lt;TODAY(),"超過",IF(H75-TODAY()&lt;=3,"間近","")))</f>
        <v/>
      </c>
      <c r="R75" s="13">
        <f>IF(J75="","",IF(L75="",TODAY(),L75)-J75)</f>
        <v/>
      </c>
    </row>
    <row r="76">
      <c r="A76" s="10">
        <f>IF(D76="","",ROW()-4)</f>
        <v/>
      </c>
      <c r="B76" s="14" t="n"/>
      <c r="C76" s="15" t="n"/>
      <c r="D76" s="4" t="n"/>
      <c r="E76" s="4" t="n"/>
      <c r="F76" s="4" t="n"/>
      <c r="G76" s="15" t="n"/>
      <c r="H76" s="14" t="n"/>
      <c r="I76" s="15" t="n"/>
      <c r="J76" s="14" t="n"/>
      <c r="K76" s="15" t="n"/>
      <c r="L76" s="14" t="n"/>
      <c r="M76" s="4" t="n"/>
      <c r="N76" s="4" t="n"/>
      <c r="O76" s="4" t="n"/>
      <c r="P76" s="4" t="n"/>
      <c r="Q76" s="10">
        <f>IF(OR(H76="",I76="回答済み",I76="クローズ"),"",IF(H76&lt;TODAY(),"超過",IF(H76-TODAY()&lt;=3,"間近","")))</f>
        <v/>
      </c>
      <c r="R76" s="13">
        <f>IF(J76="","",IF(L76="",TODAY(),L76)-J76)</f>
        <v/>
      </c>
    </row>
    <row r="77">
      <c r="A77" s="10">
        <f>IF(D77="","",ROW()-4)</f>
        <v/>
      </c>
      <c r="B77" s="14" t="n"/>
      <c r="C77" s="15" t="n"/>
      <c r="D77" s="4" t="n"/>
      <c r="E77" s="4" t="n"/>
      <c r="F77" s="4" t="n"/>
      <c r="G77" s="15" t="n"/>
      <c r="H77" s="14" t="n"/>
      <c r="I77" s="15" t="n"/>
      <c r="J77" s="14" t="n"/>
      <c r="K77" s="15" t="n"/>
      <c r="L77" s="14" t="n"/>
      <c r="M77" s="4" t="n"/>
      <c r="N77" s="4" t="n"/>
      <c r="O77" s="4" t="n"/>
      <c r="P77" s="4" t="n"/>
      <c r="Q77" s="10">
        <f>IF(OR(H77="",I77="回答済み",I77="クローズ"),"",IF(H77&lt;TODAY(),"超過",IF(H77-TODAY()&lt;=3,"間近","")))</f>
        <v/>
      </c>
      <c r="R77" s="13">
        <f>IF(J77="","",IF(L77="",TODAY(),L77)-J77)</f>
        <v/>
      </c>
    </row>
    <row r="78">
      <c r="A78" s="10">
        <f>IF(D78="","",ROW()-4)</f>
        <v/>
      </c>
      <c r="B78" s="14" t="n"/>
      <c r="C78" s="15" t="n"/>
      <c r="D78" s="4" t="n"/>
      <c r="E78" s="4" t="n"/>
      <c r="F78" s="4" t="n"/>
      <c r="G78" s="15" t="n"/>
      <c r="H78" s="14" t="n"/>
      <c r="I78" s="15" t="n"/>
      <c r="J78" s="14" t="n"/>
      <c r="K78" s="15" t="n"/>
      <c r="L78" s="14" t="n"/>
      <c r="M78" s="4" t="n"/>
      <c r="N78" s="4" t="n"/>
      <c r="O78" s="4" t="n"/>
      <c r="P78" s="4" t="n"/>
      <c r="Q78" s="10">
        <f>IF(OR(H78="",I78="回答済み",I78="クローズ"),"",IF(H78&lt;TODAY(),"超過",IF(H78-TODAY()&lt;=3,"間近","")))</f>
        <v/>
      </c>
      <c r="R78" s="13">
        <f>IF(J78="","",IF(L78="",TODAY(),L78)-J78)</f>
        <v/>
      </c>
    </row>
    <row r="79">
      <c r="A79" s="10">
        <f>IF(D79="","",ROW()-4)</f>
        <v/>
      </c>
      <c r="B79" s="14" t="n"/>
      <c r="C79" s="15" t="n"/>
      <c r="D79" s="4" t="n"/>
      <c r="E79" s="4" t="n"/>
      <c r="F79" s="4" t="n"/>
      <c r="G79" s="15" t="n"/>
      <c r="H79" s="14" t="n"/>
      <c r="I79" s="15" t="n"/>
      <c r="J79" s="14" t="n"/>
      <c r="K79" s="15" t="n"/>
      <c r="L79" s="14" t="n"/>
      <c r="M79" s="4" t="n"/>
      <c r="N79" s="4" t="n"/>
      <c r="O79" s="4" t="n"/>
      <c r="P79" s="4" t="n"/>
      <c r="Q79" s="10">
        <f>IF(OR(H79="",I79="回答済み",I79="クローズ"),"",IF(H79&lt;TODAY(),"超過",IF(H79-TODAY()&lt;=3,"間近","")))</f>
        <v/>
      </c>
      <c r="R79" s="13">
        <f>IF(J79="","",IF(L79="",TODAY(),L79)-J79)</f>
        <v/>
      </c>
    </row>
    <row r="80">
      <c r="A80" s="10">
        <f>IF(D80="","",ROW()-4)</f>
        <v/>
      </c>
      <c r="B80" s="14" t="n"/>
      <c r="C80" s="15" t="n"/>
      <c r="D80" s="4" t="n"/>
      <c r="E80" s="4" t="n"/>
      <c r="F80" s="4" t="n"/>
      <c r="G80" s="15" t="n"/>
      <c r="H80" s="14" t="n"/>
      <c r="I80" s="15" t="n"/>
      <c r="J80" s="14" t="n"/>
      <c r="K80" s="15" t="n"/>
      <c r="L80" s="14" t="n"/>
      <c r="M80" s="4" t="n"/>
      <c r="N80" s="4" t="n"/>
      <c r="O80" s="4" t="n"/>
      <c r="P80" s="4" t="n"/>
      <c r="Q80" s="10">
        <f>IF(OR(H80="",I80="回答済み",I80="クローズ"),"",IF(H80&lt;TODAY(),"超過",IF(H80-TODAY()&lt;=3,"間近","")))</f>
        <v/>
      </c>
      <c r="R80" s="13">
        <f>IF(J80="","",IF(L80="",TODAY(),L80)-J80)</f>
        <v/>
      </c>
    </row>
    <row r="81">
      <c r="A81" s="10">
        <f>IF(D81="","",ROW()-4)</f>
        <v/>
      </c>
      <c r="B81" s="14" t="n"/>
      <c r="C81" s="15" t="n"/>
      <c r="D81" s="4" t="n"/>
      <c r="E81" s="4" t="n"/>
      <c r="F81" s="4" t="n"/>
      <c r="G81" s="15" t="n"/>
      <c r="H81" s="14" t="n"/>
      <c r="I81" s="15" t="n"/>
      <c r="J81" s="14" t="n"/>
      <c r="K81" s="15" t="n"/>
      <c r="L81" s="14" t="n"/>
      <c r="M81" s="4" t="n"/>
      <c r="N81" s="4" t="n"/>
      <c r="O81" s="4" t="n"/>
      <c r="P81" s="4" t="n"/>
      <c r="Q81" s="10">
        <f>IF(OR(H81="",I81="回答済み",I81="クローズ"),"",IF(H81&lt;TODAY(),"超過",IF(H81-TODAY()&lt;=3,"間近","")))</f>
        <v/>
      </c>
      <c r="R81" s="13">
        <f>IF(J81="","",IF(L81="",TODAY(),L81)-J81)</f>
        <v/>
      </c>
    </row>
    <row r="82">
      <c r="A82" s="10">
        <f>IF(D82="","",ROW()-4)</f>
        <v/>
      </c>
      <c r="B82" s="14" t="n"/>
      <c r="C82" s="15" t="n"/>
      <c r="D82" s="4" t="n"/>
      <c r="E82" s="4" t="n"/>
      <c r="F82" s="4" t="n"/>
      <c r="G82" s="15" t="n"/>
      <c r="H82" s="14" t="n"/>
      <c r="I82" s="15" t="n"/>
      <c r="J82" s="14" t="n"/>
      <c r="K82" s="15" t="n"/>
      <c r="L82" s="14" t="n"/>
      <c r="M82" s="4" t="n"/>
      <c r="N82" s="4" t="n"/>
      <c r="O82" s="4" t="n"/>
      <c r="P82" s="4" t="n"/>
      <c r="Q82" s="10">
        <f>IF(OR(H82="",I82="回答済み",I82="クローズ"),"",IF(H82&lt;TODAY(),"超過",IF(H82-TODAY()&lt;=3,"間近","")))</f>
        <v/>
      </c>
      <c r="R82" s="13">
        <f>IF(J82="","",IF(L82="",TODAY(),L82)-J82)</f>
        <v/>
      </c>
    </row>
    <row r="83">
      <c r="A83" s="10">
        <f>IF(D83="","",ROW()-4)</f>
        <v/>
      </c>
      <c r="B83" s="14" t="n"/>
      <c r="C83" s="15" t="n"/>
      <c r="D83" s="4" t="n"/>
      <c r="E83" s="4" t="n"/>
      <c r="F83" s="4" t="n"/>
      <c r="G83" s="15" t="n"/>
      <c r="H83" s="14" t="n"/>
      <c r="I83" s="15" t="n"/>
      <c r="J83" s="14" t="n"/>
      <c r="K83" s="15" t="n"/>
      <c r="L83" s="14" t="n"/>
      <c r="M83" s="4" t="n"/>
      <c r="N83" s="4" t="n"/>
      <c r="O83" s="4" t="n"/>
      <c r="P83" s="4" t="n"/>
      <c r="Q83" s="10">
        <f>IF(OR(H83="",I83="回答済み",I83="クローズ"),"",IF(H83&lt;TODAY(),"超過",IF(H83-TODAY()&lt;=3,"間近","")))</f>
        <v/>
      </c>
      <c r="R83" s="13">
        <f>IF(J83="","",IF(L83="",TODAY(),L83)-J83)</f>
        <v/>
      </c>
    </row>
    <row r="84">
      <c r="A84" s="10">
        <f>IF(D84="","",ROW()-4)</f>
        <v/>
      </c>
      <c r="B84" s="14" t="n"/>
      <c r="C84" s="15" t="n"/>
      <c r="D84" s="4" t="n"/>
      <c r="E84" s="4" t="n"/>
      <c r="F84" s="4" t="n"/>
      <c r="G84" s="15" t="n"/>
      <c r="H84" s="14" t="n"/>
      <c r="I84" s="15" t="n"/>
      <c r="J84" s="14" t="n"/>
      <c r="K84" s="15" t="n"/>
      <c r="L84" s="14" t="n"/>
      <c r="M84" s="4" t="n"/>
      <c r="N84" s="4" t="n"/>
      <c r="O84" s="4" t="n"/>
      <c r="P84" s="4" t="n"/>
      <c r="Q84" s="10">
        <f>IF(OR(H84="",I84="回答済み",I84="クローズ"),"",IF(H84&lt;TODAY(),"超過",IF(H84-TODAY()&lt;=3,"間近","")))</f>
        <v/>
      </c>
      <c r="R84" s="13">
        <f>IF(J84="","",IF(L84="",TODAY(),L84)-J84)</f>
        <v/>
      </c>
    </row>
    <row r="85">
      <c r="A85" s="10">
        <f>IF(D85="","",ROW()-4)</f>
        <v/>
      </c>
      <c r="B85" s="14" t="n"/>
      <c r="C85" s="15" t="n"/>
      <c r="D85" s="4" t="n"/>
      <c r="E85" s="4" t="n"/>
      <c r="F85" s="4" t="n"/>
      <c r="G85" s="15" t="n"/>
      <c r="H85" s="14" t="n"/>
      <c r="I85" s="15" t="n"/>
      <c r="J85" s="14" t="n"/>
      <c r="K85" s="15" t="n"/>
      <c r="L85" s="14" t="n"/>
      <c r="M85" s="4" t="n"/>
      <c r="N85" s="4" t="n"/>
      <c r="O85" s="4" t="n"/>
      <c r="P85" s="4" t="n"/>
      <c r="Q85" s="10">
        <f>IF(OR(H85="",I85="回答済み",I85="クローズ"),"",IF(H85&lt;TODAY(),"超過",IF(H85-TODAY()&lt;=3,"間近","")))</f>
        <v/>
      </c>
      <c r="R85" s="13">
        <f>IF(J85="","",IF(L85="",TODAY(),L85)-J85)</f>
        <v/>
      </c>
    </row>
    <row r="86">
      <c r="A86" s="10">
        <f>IF(D86="","",ROW()-4)</f>
        <v/>
      </c>
      <c r="B86" s="14" t="n"/>
      <c r="C86" s="15" t="n"/>
      <c r="D86" s="4" t="n"/>
      <c r="E86" s="4" t="n"/>
      <c r="F86" s="4" t="n"/>
      <c r="G86" s="15" t="n"/>
      <c r="H86" s="14" t="n"/>
      <c r="I86" s="15" t="n"/>
      <c r="J86" s="14" t="n"/>
      <c r="K86" s="15" t="n"/>
      <c r="L86" s="14" t="n"/>
      <c r="M86" s="4" t="n"/>
      <c r="N86" s="4" t="n"/>
      <c r="O86" s="4" t="n"/>
      <c r="P86" s="4" t="n"/>
      <c r="Q86" s="10">
        <f>IF(OR(H86="",I86="回答済み",I86="クローズ"),"",IF(H86&lt;TODAY(),"超過",IF(H86-TODAY()&lt;=3,"間近","")))</f>
        <v/>
      </c>
      <c r="R86" s="13">
        <f>IF(J86="","",IF(L86="",TODAY(),L86)-J86)</f>
        <v/>
      </c>
    </row>
    <row r="87">
      <c r="A87" s="10">
        <f>IF(D87="","",ROW()-4)</f>
        <v/>
      </c>
      <c r="B87" s="14" t="n"/>
      <c r="C87" s="15" t="n"/>
      <c r="D87" s="4" t="n"/>
      <c r="E87" s="4" t="n"/>
      <c r="F87" s="4" t="n"/>
      <c r="G87" s="15" t="n"/>
      <c r="H87" s="14" t="n"/>
      <c r="I87" s="15" t="n"/>
      <c r="J87" s="14" t="n"/>
      <c r="K87" s="15" t="n"/>
      <c r="L87" s="14" t="n"/>
      <c r="M87" s="4" t="n"/>
      <c r="N87" s="4" t="n"/>
      <c r="O87" s="4" t="n"/>
      <c r="P87" s="4" t="n"/>
      <c r="Q87" s="10">
        <f>IF(OR(H87="",I87="回答済み",I87="クローズ"),"",IF(H87&lt;TODAY(),"超過",IF(H87-TODAY()&lt;=3,"間近","")))</f>
        <v/>
      </c>
      <c r="R87" s="13">
        <f>IF(J87="","",IF(L87="",TODAY(),L87)-J87)</f>
        <v/>
      </c>
    </row>
    <row r="88">
      <c r="A88" s="10">
        <f>IF(D88="","",ROW()-4)</f>
        <v/>
      </c>
      <c r="B88" s="14" t="n"/>
      <c r="C88" s="15" t="n"/>
      <c r="D88" s="4" t="n"/>
      <c r="E88" s="4" t="n"/>
      <c r="F88" s="4" t="n"/>
      <c r="G88" s="15" t="n"/>
      <c r="H88" s="14" t="n"/>
      <c r="I88" s="15" t="n"/>
      <c r="J88" s="14" t="n"/>
      <c r="K88" s="15" t="n"/>
      <c r="L88" s="14" t="n"/>
      <c r="M88" s="4" t="n"/>
      <c r="N88" s="4" t="n"/>
      <c r="O88" s="4" t="n"/>
      <c r="P88" s="4" t="n"/>
      <c r="Q88" s="10">
        <f>IF(OR(H88="",I88="回答済み",I88="クローズ"),"",IF(H88&lt;TODAY(),"超過",IF(H88-TODAY()&lt;=3,"間近","")))</f>
        <v/>
      </c>
      <c r="R88" s="13">
        <f>IF(J88="","",IF(L88="",TODAY(),L88)-J88)</f>
        <v/>
      </c>
    </row>
    <row r="89">
      <c r="A89" s="10">
        <f>IF(D89="","",ROW()-4)</f>
        <v/>
      </c>
      <c r="B89" s="14" t="n"/>
      <c r="C89" s="15" t="n"/>
      <c r="D89" s="4" t="n"/>
      <c r="E89" s="4" t="n"/>
      <c r="F89" s="4" t="n"/>
      <c r="G89" s="15" t="n"/>
      <c r="H89" s="14" t="n"/>
      <c r="I89" s="15" t="n"/>
      <c r="J89" s="14" t="n"/>
      <c r="K89" s="15" t="n"/>
      <c r="L89" s="14" t="n"/>
      <c r="M89" s="4" t="n"/>
      <c r="N89" s="4" t="n"/>
      <c r="O89" s="4" t="n"/>
      <c r="P89" s="4" t="n"/>
      <c r="Q89" s="10">
        <f>IF(OR(H89="",I89="回答済み",I89="クローズ"),"",IF(H89&lt;TODAY(),"超過",IF(H89-TODAY()&lt;=3,"間近","")))</f>
        <v/>
      </c>
      <c r="R89" s="13">
        <f>IF(J89="","",IF(L89="",TODAY(),L89)-J89)</f>
        <v/>
      </c>
    </row>
    <row r="90">
      <c r="A90" s="10">
        <f>IF(D90="","",ROW()-4)</f>
        <v/>
      </c>
      <c r="B90" s="14" t="n"/>
      <c r="C90" s="15" t="n"/>
      <c r="D90" s="4" t="n"/>
      <c r="E90" s="4" t="n"/>
      <c r="F90" s="4" t="n"/>
      <c r="G90" s="15" t="n"/>
      <c r="H90" s="14" t="n"/>
      <c r="I90" s="15" t="n"/>
      <c r="J90" s="14" t="n"/>
      <c r="K90" s="15" t="n"/>
      <c r="L90" s="14" t="n"/>
      <c r="M90" s="4" t="n"/>
      <c r="N90" s="4" t="n"/>
      <c r="O90" s="4" t="n"/>
      <c r="P90" s="4" t="n"/>
      <c r="Q90" s="10">
        <f>IF(OR(H90="",I90="回答済み",I90="クローズ"),"",IF(H90&lt;TODAY(),"超過",IF(H90-TODAY()&lt;=3,"間近","")))</f>
        <v/>
      </c>
      <c r="R90" s="13">
        <f>IF(J90="","",IF(L90="",TODAY(),L90)-J90)</f>
        <v/>
      </c>
    </row>
    <row r="91">
      <c r="A91" s="10">
        <f>IF(D91="","",ROW()-4)</f>
        <v/>
      </c>
      <c r="B91" s="14" t="n"/>
      <c r="C91" s="15" t="n"/>
      <c r="D91" s="4" t="n"/>
      <c r="E91" s="4" t="n"/>
      <c r="F91" s="4" t="n"/>
      <c r="G91" s="15" t="n"/>
      <c r="H91" s="14" t="n"/>
      <c r="I91" s="15" t="n"/>
      <c r="J91" s="14" t="n"/>
      <c r="K91" s="15" t="n"/>
      <c r="L91" s="14" t="n"/>
      <c r="M91" s="4" t="n"/>
      <c r="N91" s="4" t="n"/>
      <c r="O91" s="4" t="n"/>
      <c r="P91" s="4" t="n"/>
      <c r="Q91" s="10">
        <f>IF(OR(H91="",I91="回答済み",I91="クローズ"),"",IF(H91&lt;TODAY(),"超過",IF(H91-TODAY()&lt;=3,"間近","")))</f>
        <v/>
      </c>
      <c r="R91" s="13">
        <f>IF(J91="","",IF(L91="",TODAY(),L91)-J91)</f>
        <v/>
      </c>
    </row>
    <row r="92">
      <c r="A92" s="10">
        <f>IF(D92="","",ROW()-4)</f>
        <v/>
      </c>
      <c r="B92" s="14" t="n"/>
      <c r="C92" s="15" t="n"/>
      <c r="D92" s="4" t="n"/>
      <c r="E92" s="4" t="n"/>
      <c r="F92" s="4" t="n"/>
      <c r="G92" s="15" t="n"/>
      <c r="H92" s="14" t="n"/>
      <c r="I92" s="15" t="n"/>
      <c r="J92" s="14" t="n"/>
      <c r="K92" s="15" t="n"/>
      <c r="L92" s="14" t="n"/>
      <c r="M92" s="4" t="n"/>
      <c r="N92" s="4" t="n"/>
      <c r="O92" s="4" t="n"/>
      <c r="P92" s="4" t="n"/>
      <c r="Q92" s="10">
        <f>IF(OR(H92="",I92="回答済み",I92="クローズ"),"",IF(H92&lt;TODAY(),"超過",IF(H92-TODAY()&lt;=3,"間近","")))</f>
        <v/>
      </c>
      <c r="R92" s="13">
        <f>IF(J92="","",IF(L92="",TODAY(),L92)-J92)</f>
        <v/>
      </c>
    </row>
    <row r="93">
      <c r="A93" s="10">
        <f>IF(D93="","",ROW()-4)</f>
        <v/>
      </c>
      <c r="B93" s="14" t="n"/>
      <c r="C93" s="15" t="n"/>
      <c r="D93" s="4" t="n"/>
      <c r="E93" s="4" t="n"/>
      <c r="F93" s="4" t="n"/>
      <c r="G93" s="15" t="n"/>
      <c r="H93" s="14" t="n"/>
      <c r="I93" s="15" t="n"/>
      <c r="J93" s="14" t="n"/>
      <c r="K93" s="15" t="n"/>
      <c r="L93" s="14" t="n"/>
      <c r="M93" s="4" t="n"/>
      <c r="N93" s="4" t="n"/>
      <c r="O93" s="4" t="n"/>
      <c r="P93" s="4" t="n"/>
      <c r="Q93" s="10">
        <f>IF(OR(H93="",I93="回答済み",I93="クローズ"),"",IF(H93&lt;TODAY(),"超過",IF(H93-TODAY()&lt;=3,"間近","")))</f>
        <v/>
      </c>
      <c r="R93" s="13">
        <f>IF(J93="","",IF(L93="",TODAY(),L93)-J93)</f>
        <v/>
      </c>
    </row>
    <row r="94">
      <c r="A94" s="10">
        <f>IF(D94="","",ROW()-4)</f>
        <v/>
      </c>
      <c r="B94" s="14" t="n"/>
      <c r="C94" s="15" t="n"/>
      <c r="D94" s="4" t="n"/>
      <c r="E94" s="4" t="n"/>
      <c r="F94" s="4" t="n"/>
      <c r="G94" s="15" t="n"/>
      <c r="H94" s="14" t="n"/>
      <c r="I94" s="15" t="n"/>
      <c r="J94" s="14" t="n"/>
      <c r="K94" s="15" t="n"/>
      <c r="L94" s="14" t="n"/>
      <c r="M94" s="4" t="n"/>
      <c r="N94" s="4" t="n"/>
      <c r="O94" s="4" t="n"/>
      <c r="P94" s="4" t="n"/>
      <c r="Q94" s="10">
        <f>IF(OR(H94="",I94="回答済み",I94="クローズ"),"",IF(H94&lt;TODAY(),"超過",IF(H94-TODAY()&lt;=3,"間近","")))</f>
        <v/>
      </c>
      <c r="R94" s="13">
        <f>IF(J94="","",IF(L94="",TODAY(),L94)-J94)</f>
        <v/>
      </c>
    </row>
    <row r="95">
      <c r="A95" s="10">
        <f>IF(D95="","",ROW()-4)</f>
        <v/>
      </c>
      <c r="B95" s="14" t="n"/>
      <c r="C95" s="15" t="n"/>
      <c r="D95" s="4" t="n"/>
      <c r="E95" s="4" t="n"/>
      <c r="F95" s="4" t="n"/>
      <c r="G95" s="15" t="n"/>
      <c r="H95" s="14" t="n"/>
      <c r="I95" s="15" t="n"/>
      <c r="J95" s="14" t="n"/>
      <c r="K95" s="15" t="n"/>
      <c r="L95" s="14" t="n"/>
      <c r="M95" s="4" t="n"/>
      <c r="N95" s="4" t="n"/>
      <c r="O95" s="4" t="n"/>
      <c r="P95" s="4" t="n"/>
      <c r="Q95" s="10">
        <f>IF(OR(H95="",I95="回答済み",I95="クローズ"),"",IF(H95&lt;TODAY(),"超過",IF(H95-TODAY()&lt;=3,"間近","")))</f>
        <v/>
      </c>
      <c r="R95" s="13">
        <f>IF(J95="","",IF(L95="",TODAY(),L95)-J95)</f>
        <v/>
      </c>
    </row>
    <row r="96">
      <c r="A96" s="10">
        <f>IF(D96="","",ROW()-4)</f>
        <v/>
      </c>
      <c r="B96" s="14" t="n"/>
      <c r="C96" s="15" t="n"/>
      <c r="D96" s="4" t="n"/>
      <c r="E96" s="4" t="n"/>
      <c r="F96" s="4" t="n"/>
      <c r="G96" s="15" t="n"/>
      <c r="H96" s="14" t="n"/>
      <c r="I96" s="15" t="n"/>
      <c r="J96" s="14" t="n"/>
      <c r="K96" s="15" t="n"/>
      <c r="L96" s="14" t="n"/>
      <c r="M96" s="4" t="n"/>
      <c r="N96" s="4" t="n"/>
      <c r="O96" s="4" t="n"/>
      <c r="P96" s="4" t="n"/>
      <c r="Q96" s="10">
        <f>IF(OR(H96="",I96="回答済み",I96="クローズ"),"",IF(H96&lt;TODAY(),"超過",IF(H96-TODAY()&lt;=3,"間近","")))</f>
        <v/>
      </c>
      <c r="R96" s="13">
        <f>IF(J96="","",IF(L96="",TODAY(),L96)-J96)</f>
        <v/>
      </c>
    </row>
    <row r="97">
      <c r="A97" s="10">
        <f>IF(D97="","",ROW()-4)</f>
        <v/>
      </c>
      <c r="B97" s="14" t="n"/>
      <c r="C97" s="15" t="n"/>
      <c r="D97" s="4" t="n"/>
      <c r="E97" s="4" t="n"/>
      <c r="F97" s="4" t="n"/>
      <c r="G97" s="15" t="n"/>
      <c r="H97" s="14" t="n"/>
      <c r="I97" s="15" t="n"/>
      <c r="J97" s="14" t="n"/>
      <c r="K97" s="15" t="n"/>
      <c r="L97" s="14" t="n"/>
      <c r="M97" s="4" t="n"/>
      <c r="N97" s="4" t="n"/>
      <c r="O97" s="4" t="n"/>
      <c r="P97" s="4" t="n"/>
      <c r="Q97" s="10">
        <f>IF(OR(H97="",I97="回答済み",I97="クローズ"),"",IF(H97&lt;TODAY(),"超過",IF(H97-TODAY()&lt;=3,"間近","")))</f>
        <v/>
      </c>
      <c r="R97" s="13">
        <f>IF(J97="","",IF(L97="",TODAY(),L97)-J97)</f>
        <v/>
      </c>
    </row>
    <row r="98">
      <c r="A98" s="10">
        <f>IF(D98="","",ROW()-4)</f>
        <v/>
      </c>
      <c r="B98" s="14" t="n"/>
      <c r="C98" s="15" t="n"/>
      <c r="D98" s="4" t="n"/>
      <c r="E98" s="4" t="n"/>
      <c r="F98" s="4" t="n"/>
      <c r="G98" s="15" t="n"/>
      <c r="H98" s="14" t="n"/>
      <c r="I98" s="15" t="n"/>
      <c r="J98" s="14" t="n"/>
      <c r="K98" s="15" t="n"/>
      <c r="L98" s="14" t="n"/>
      <c r="M98" s="4" t="n"/>
      <c r="N98" s="4" t="n"/>
      <c r="O98" s="4" t="n"/>
      <c r="P98" s="4" t="n"/>
      <c r="Q98" s="10">
        <f>IF(OR(H98="",I98="回答済み",I98="クローズ"),"",IF(H98&lt;TODAY(),"超過",IF(H98-TODAY()&lt;=3,"間近","")))</f>
        <v/>
      </c>
      <c r="R98" s="13">
        <f>IF(J98="","",IF(L98="",TODAY(),L98)-J98)</f>
        <v/>
      </c>
    </row>
    <row r="99">
      <c r="A99" s="10">
        <f>IF(D99="","",ROW()-4)</f>
        <v/>
      </c>
      <c r="B99" s="14" t="n"/>
      <c r="C99" s="15" t="n"/>
      <c r="D99" s="4" t="n"/>
      <c r="E99" s="4" t="n"/>
      <c r="F99" s="4" t="n"/>
      <c r="G99" s="15" t="n"/>
      <c r="H99" s="14" t="n"/>
      <c r="I99" s="15" t="n"/>
      <c r="J99" s="14" t="n"/>
      <c r="K99" s="15" t="n"/>
      <c r="L99" s="14" t="n"/>
      <c r="M99" s="4" t="n"/>
      <c r="N99" s="4" t="n"/>
      <c r="O99" s="4" t="n"/>
      <c r="P99" s="4" t="n"/>
      <c r="Q99" s="10">
        <f>IF(OR(H99="",I99="回答済み",I99="クローズ"),"",IF(H99&lt;TODAY(),"超過",IF(H99-TODAY()&lt;=3,"間近","")))</f>
        <v/>
      </c>
      <c r="R99" s="13">
        <f>IF(J99="","",IF(L99="",TODAY(),L99)-J99)</f>
        <v/>
      </c>
    </row>
    <row r="100">
      <c r="A100" s="10">
        <f>IF(D100="","",ROW()-4)</f>
        <v/>
      </c>
      <c r="B100" s="14" t="n"/>
      <c r="C100" s="15" t="n"/>
      <c r="D100" s="4" t="n"/>
      <c r="E100" s="4" t="n"/>
      <c r="F100" s="4" t="n"/>
      <c r="G100" s="15" t="n"/>
      <c r="H100" s="14" t="n"/>
      <c r="I100" s="15" t="n"/>
      <c r="J100" s="14" t="n"/>
      <c r="K100" s="15" t="n"/>
      <c r="L100" s="14" t="n"/>
      <c r="M100" s="4" t="n"/>
      <c r="N100" s="4" t="n"/>
      <c r="O100" s="4" t="n"/>
      <c r="P100" s="4" t="n"/>
      <c r="Q100" s="10">
        <f>IF(OR(H100="",I100="回答済み",I100="クローズ"),"",IF(H100&lt;TODAY(),"超過",IF(H100-TODAY()&lt;=3,"間近","")))</f>
        <v/>
      </c>
      <c r="R100" s="13">
        <f>IF(J100="","",IF(L100="",TODAY(),L100)-J100)</f>
        <v/>
      </c>
    </row>
    <row r="101">
      <c r="A101" s="10">
        <f>IF(D101="","",ROW()-4)</f>
        <v/>
      </c>
      <c r="B101" s="14" t="n"/>
      <c r="C101" s="15" t="n"/>
      <c r="D101" s="4" t="n"/>
      <c r="E101" s="4" t="n"/>
      <c r="F101" s="4" t="n"/>
      <c r="G101" s="15" t="n"/>
      <c r="H101" s="14" t="n"/>
      <c r="I101" s="15" t="n"/>
      <c r="J101" s="14" t="n"/>
      <c r="K101" s="15" t="n"/>
      <c r="L101" s="14" t="n"/>
      <c r="M101" s="4" t="n"/>
      <c r="N101" s="4" t="n"/>
      <c r="O101" s="4" t="n"/>
      <c r="P101" s="4" t="n"/>
      <c r="Q101" s="10">
        <f>IF(OR(H101="",I101="回答済み",I101="クローズ"),"",IF(H101&lt;TODAY(),"超過",IF(H101-TODAY()&lt;=3,"間近","")))</f>
        <v/>
      </c>
      <c r="R101" s="13">
        <f>IF(J101="","",IF(L101="",TODAY(),L101)-J101)</f>
        <v/>
      </c>
    </row>
    <row r="102">
      <c r="A102" s="10">
        <f>IF(D102="","",ROW()-4)</f>
        <v/>
      </c>
      <c r="B102" s="14" t="n"/>
      <c r="C102" s="15" t="n"/>
      <c r="D102" s="4" t="n"/>
      <c r="E102" s="4" t="n"/>
      <c r="F102" s="4" t="n"/>
      <c r="G102" s="15" t="n"/>
      <c r="H102" s="14" t="n"/>
      <c r="I102" s="15" t="n"/>
      <c r="J102" s="14" t="n"/>
      <c r="K102" s="15" t="n"/>
      <c r="L102" s="14" t="n"/>
      <c r="M102" s="4" t="n"/>
      <c r="N102" s="4" t="n"/>
      <c r="O102" s="4" t="n"/>
      <c r="P102" s="4" t="n"/>
      <c r="Q102" s="10">
        <f>IF(OR(H102="",I102="回答済み",I102="クローズ"),"",IF(H102&lt;TODAY(),"超過",IF(H102-TODAY()&lt;=3,"間近","")))</f>
        <v/>
      </c>
      <c r="R102" s="13">
        <f>IF(J102="","",IF(L102="",TODAY(),L102)-J102)</f>
        <v/>
      </c>
    </row>
    <row r="103">
      <c r="A103" s="10">
        <f>IF(D103="","",ROW()-4)</f>
        <v/>
      </c>
      <c r="B103" s="14" t="n"/>
      <c r="C103" s="15" t="n"/>
      <c r="D103" s="4" t="n"/>
      <c r="E103" s="4" t="n"/>
      <c r="F103" s="4" t="n"/>
      <c r="G103" s="15" t="n"/>
      <c r="H103" s="14" t="n"/>
      <c r="I103" s="15" t="n"/>
      <c r="J103" s="14" t="n"/>
      <c r="K103" s="15" t="n"/>
      <c r="L103" s="14" t="n"/>
      <c r="M103" s="4" t="n"/>
      <c r="N103" s="4" t="n"/>
      <c r="O103" s="4" t="n"/>
      <c r="P103" s="4" t="n"/>
      <c r="Q103" s="10">
        <f>IF(OR(H103="",I103="回答済み",I103="クローズ"),"",IF(H103&lt;TODAY(),"超過",IF(H103-TODAY()&lt;=3,"間近","")))</f>
        <v/>
      </c>
      <c r="R103" s="13">
        <f>IF(J103="","",IF(L103="",TODAY(),L103)-J103)</f>
        <v/>
      </c>
    </row>
    <row r="104">
      <c r="A104" s="10">
        <f>IF(D104="","",ROW()-4)</f>
        <v/>
      </c>
      <c r="B104" s="14" t="n"/>
      <c r="C104" s="15" t="n"/>
      <c r="D104" s="4" t="n"/>
      <c r="E104" s="4" t="n"/>
      <c r="F104" s="4" t="n"/>
      <c r="G104" s="15" t="n"/>
      <c r="H104" s="14" t="n"/>
      <c r="I104" s="15" t="n"/>
      <c r="J104" s="14" t="n"/>
      <c r="K104" s="15" t="n"/>
      <c r="L104" s="14" t="n"/>
      <c r="M104" s="4" t="n"/>
      <c r="N104" s="4" t="n"/>
      <c r="O104" s="4" t="n"/>
      <c r="P104" s="4" t="n"/>
      <c r="Q104" s="10">
        <f>IF(OR(H104="",I104="回答済み",I104="クローズ"),"",IF(H104&lt;TODAY(),"超過",IF(H104-TODAY()&lt;=3,"間近","")))</f>
        <v/>
      </c>
      <c r="R104" s="13">
        <f>IF(J104="","",IF(L104="",TODAY(),L104)-J104)</f>
        <v/>
      </c>
    </row>
    <row r="105">
      <c r="A105" s="10">
        <f>IF(D105="","",ROW()-4)</f>
        <v/>
      </c>
      <c r="B105" s="14" t="n"/>
      <c r="C105" s="15" t="n"/>
      <c r="D105" s="4" t="n"/>
      <c r="E105" s="4" t="n"/>
      <c r="F105" s="4" t="n"/>
      <c r="G105" s="15" t="n"/>
      <c r="H105" s="14" t="n"/>
      <c r="I105" s="15" t="n"/>
      <c r="J105" s="14" t="n"/>
      <c r="K105" s="15" t="n"/>
      <c r="L105" s="14" t="n"/>
      <c r="M105" s="4" t="n"/>
      <c r="N105" s="4" t="n"/>
      <c r="O105" s="4" t="n"/>
      <c r="P105" s="4" t="n"/>
      <c r="Q105" s="10">
        <f>IF(OR(H105="",I105="回答済み",I105="クローズ"),"",IF(H105&lt;TODAY(),"超過",IF(H105-TODAY()&lt;=3,"間近","")))</f>
        <v/>
      </c>
      <c r="R105" s="13">
        <f>IF(J105="","",IF(L105="",TODAY(),L105)-J105)</f>
        <v/>
      </c>
    </row>
    <row r="106">
      <c r="A106" s="10">
        <f>IF(D106="","",ROW()-4)</f>
        <v/>
      </c>
      <c r="B106" s="14" t="n"/>
      <c r="C106" s="15" t="n"/>
      <c r="D106" s="4" t="n"/>
      <c r="E106" s="4" t="n"/>
      <c r="F106" s="4" t="n"/>
      <c r="G106" s="15" t="n"/>
      <c r="H106" s="14" t="n"/>
      <c r="I106" s="15" t="n"/>
      <c r="J106" s="14" t="n"/>
      <c r="K106" s="15" t="n"/>
      <c r="L106" s="14" t="n"/>
      <c r="M106" s="4" t="n"/>
      <c r="N106" s="4" t="n"/>
      <c r="O106" s="4" t="n"/>
      <c r="P106" s="4" t="n"/>
      <c r="Q106" s="10">
        <f>IF(OR(H106="",I106="回答済み",I106="クローズ"),"",IF(H106&lt;TODAY(),"超過",IF(H106-TODAY()&lt;=3,"間近","")))</f>
        <v/>
      </c>
      <c r="R106" s="13">
        <f>IF(J106="","",IF(L106="",TODAY(),L106)-J106)</f>
        <v/>
      </c>
    </row>
    <row r="107">
      <c r="A107" s="10">
        <f>IF(D107="","",ROW()-4)</f>
        <v/>
      </c>
      <c r="B107" s="14" t="n"/>
      <c r="C107" s="15" t="n"/>
      <c r="D107" s="4" t="n"/>
      <c r="E107" s="4" t="n"/>
      <c r="F107" s="4" t="n"/>
      <c r="G107" s="15" t="n"/>
      <c r="H107" s="14" t="n"/>
      <c r="I107" s="15" t="n"/>
      <c r="J107" s="14" t="n"/>
      <c r="K107" s="15" t="n"/>
      <c r="L107" s="14" t="n"/>
      <c r="M107" s="4" t="n"/>
      <c r="N107" s="4" t="n"/>
      <c r="O107" s="4" t="n"/>
      <c r="P107" s="4" t="n"/>
      <c r="Q107" s="10">
        <f>IF(OR(H107="",I107="回答済み",I107="クローズ"),"",IF(H107&lt;TODAY(),"超過",IF(H107-TODAY()&lt;=3,"間近","")))</f>
        <v/>
      </c>
      <c r="R107" s="13">
        <f>IF(J107="","",IF(L107="",TODAY(),L107)-J107)</f>
        <v/>
      </c>
    </row>
    <row r="108">
      <c r="A108" s="10">
        <f>IF(D108="","",ROW()-4)</f>
        <v/>
      </c>
      <c r="B108" s="14" t="n"/>
      <c r="C108" s="15" t="n"/>
      <c r="D108" s="4" t="n"/>
      <c r="E108" s="4" t="n"/>
      <c r="F108" s="4" t="n"/>
      <c r="G108" s="15" t="n"/>
      <c r="H108" s="14" t="n"/>
      <c r="I108" s="15" t="n"/>
      <c r="J108" s="14" t="n"/>
      <c r="K108" s="15" t="n"/>
      <c r="L108" s="14" t="n"/>
      <c r="M108" s="4" t="n"/>
      <c r="N108" s="4" t="n"/>
      <c r="O108" s="4" t="n"/>
      <c r="P108" s="4" t="n"/>
      <c r="Q108" s="10">
        <f>IF(OR(H108="",I108="回答済み",I108="クローズ"),"",IF(H108&lt;TODAY(),"超過",IF(H108-TODAY()&lt;=3,"間近","")))</f>
        <v/>
      </c>
      <c r="R108" s="13">
        <f>IF(J108="","",IF(L108="",TODAY(),L108)-J108)</f>
        <v/>
      </c>
    </row>
    <row r="109">
      <c r="A109" s="10">
        <f>IF(D109="","",ROW()-4)</f>
        <v/>
      </c>
      <c r="B109" s="14" t="n"/>
      <c r="C109" s="15" t="n"/>
      <c r="D109" s="4" t="n"/>
      <c r="E109" s="4" t="n"/>
      <c r="F109" s="4" t="n"/>
      <c r="G109" s="15" t="n"/>
      <c r="H109" s="14" t="n"/>
      <c r="I109" s="15" t="n"/>
      <c r="J109" s="14" t="n"/>
      <c r="K109" s="15" t="n"/>
      <c r="L109" s="14" t="n"/>
      <c r="M109" s="4" t="n"/>
      <c r="N109" s="4" t="n"/>
      <c r="O109" s="4" t="n"/>
      <c r="P109" s="4" t="n"/>
      <c r="Q109" s="10">
        <f>IF(OR(H109="",I109="回答済み",I109="クローズ"),"",IF(H109&lt;TODAY(),"超過",IF(H109-TODAY()&lt;=3,"間近","")))</f>
        <v/>
      </c>
      <c r="R109" s="13">
        <f>IF(J109="","",IF(L109="",TODAY(),L109)-J109)</f>
        <v/>
      </c>
    </row>
    <row r="110">
      <c r="A110" s="10">
        <f>IF(D110="","",ROW()-4)</f>
        <v/>
      </c>
      <c r="B110" s="14" t="n"/>
      <c r="C110" s="15" t="n"/>
      <c r="D110" s="4" t="n"/>
      <c r="E110" s="4" t="n"/>
      <c r="F110" s="4" t="n"/>
      <c r="G110" s="15" t="n"/>
      <c r="H110" s="14" t="n"/>
      <c r="I110" s="15" t="n"/>
      <c r="J110" s="14" t="n"/>
      <c r="K110" s="15" t="n"/>
      <c r="L110" s="14" t="n"/>
      <c r="M110" s="4" t="n"/>
      <c r="N110" s="4" t="n"/>
      <c r="O110" s="4" t="n"/>
      <c r="P110" s="4" t="n"/>
      <c r="Q110" s="10">
        <f>IF(OR(H110="",I110="回答済み",I110="クローズ"),"",IF(H110&lt;TODAY(),"超過",IF(H110-TODAY()&lt;=3,"間近","")))</f>
        <v/>
      </c>
      <c r="R110" s="13">
        <f>IF(J110="","",IF(L110="",TODAY(),L110)-J110)</f>
        <v/>
      </c>
    </row>
    <row r="111">
      <c r="A111" s="10">
        <f>IF(D111="","",ROW()-4)</f>
        <v/>
      </c>
      <c r="B111" s="14" t="n"/>
      <c r="C111" s="15" t="n"/>
      <c r="D111" s="4" t="n"/>
      <c r="E111" s="4" t="n"/>
      <c r="F111" s="4" t="n"/>
      <c r="G111" s="15" t="n"/>
      <c r="H111" s="14" t="n"/>
      <c r="I111" s="15" t="n"/>
      <c r="J111" s="14" t="n"/>
      <c r="K111" s="15" t="n"/>
      <c r="L111" s="14" t="n"/>
      <c r="M111" s="4" t="n"/>
      <c r="N111" s="4" t="n"/>
      <c r="O111" s="4" t="n"/>
      <c r="P111" s="4" t="n"/>
      <c r="Q111" s="10">
        <f>IF(OR(H111="",I111="回答済み",I111="クローズ"),"",IF(H111&lt;TODAY(),"超過",IF(H111-TODAY()&lt;=3,"間近","")))</f>
        <v/>
      </c>
      <c r="R111" s="13">
        <f>IF(J111="","",IF(L111="",TODAY(),L111)-J111)</f>
        <v/>
      </c>
    </row>
    <row r="112">
      <c r="A112" s="10">
        <f>IF(D112="","",ROW()-4)</f>
        <v/>
      </c>
      <c r="B112" s="14" t="n"/>
      <c r="C112" s="15" t="n"/>
      <c r="D112" s="4" t="n"/>
      <c r="E112" s="4" t="n"/>
      <c r="F112" s="4" t="n"/>
      <c r="G112" s="15" t="n"/>
      <c r="H112" s="14" t="n"/>
      <c r="I112" s="15" t="n"/>
      <c r="J112" s="14" t="n"/>
      <c r="K112" s="15" t="n"/>
      <c r="L112" s="14" t="n"/>
      <c r="M112" s="4" t="n"/>
      <c r="N112" s="4" t="n"/>
      <c r="O112" s="4" t="n"/>
      <c r="P112" s="4" t="n"/>
      <c r="Q112" s="10">
        <f>IF(OR(H112="",I112="回答済み",I112="クローズ"),"",IF(H112&lt;TODAY(),"超過",IF(H112-TODAY()&lt;=3,"間近","")))</f>
        <v/>
      </c>
      <c r="R112" s="13">
        <f>IF(J112="","",IF(L112="",TODAY(),L112)-J112)</f>
        <v/>
      </c>
    </row>
    <row r="113">
      <c r="A113" s="10">
        <f>IF(D113="","",ROW()-4)</f>
        <v/>
      </c>
      <c r="B113" s="14" t="n"/>
      <c r="C113" s="15" t="n"/>
      <c r="D113" s="4" t="n"/>
      <c r="E113" s="4" t="n"/>
      <c r="F113" s="4" t="n"/>
      <c r="G113" s="15" t="n"/>
      <c r="H113" s="14" t="n"/>
      <c r="I113" s="15" t="n"/>
      <c r="J113" s="14" t="n"/>
      <c r="K113" s="15" t="n"/>
      <c r="L113" s="14" t="n"/>
      <c r="M113" s="4" t="n"/>
      <c r="N113" s="4" t="n"/>
      <c r="O113" s="4" t="n"/>
      <c r="P113" s="4" t="n"/>
      <c r="Q113" s="10">
        <f>IF(OR(H113="",I113="回答済み",I113="クローズ"),"",IF(H113&lt;TODAY(),"超過",IF(H113-TODAY()&lt;=3,"間近","")))</f>
        <v/>
      </c>
      <c r="R113" s="13">
        <f>IF(J113="","",IF(L113="",TODAY(),L113)-J113)</f>
        <v/>
      </c>
    </row>
    <row r="114">
      <c r="A114" s="10">
        <f>IF(D114="","",ROW()-4)</f>
        <v/>
      </c>
      <c r="B114" s="14" t="n"/>
      <c r="C114" s="15" t="n"/>
      <c r="D114" s="4" t="n"/>
      <c r="E114" s="4" t="n"/>
      <c r="F114" s="4" t="n"/>
      <c r="G114" s="15" t="n"/>
      <c r="H114" s="14" t="n"/>
      <c r="I114" s="15" t="n"/>
      <c r="J114" s="14" t="n"/>
      <c r="K114" s="15" t="n"/>
      <c r="L114" s="14" t="n"/>
      <c r="M114" s="4" t="n"/>
      <c r="N114" s="4" t="n"/>
      <c r="O114" s="4" t="n"/>
      <c r="P114" s="4" t="n"/>
      <c r="Q114" s="10">
        <f>IF(OR(H114="",I114="回答済み",I114="クローズ"),"",IF(H114&lt;TODAY(),"超過",IF(H114-TODAY()&lt;=3,"間近","")))</f>
        <v/>
      </c>
      <c r="R114" s="13">
        <f>IF(J114="","",IF(L114="",TODAY(),L114)-J114)</f>
        <v/>
      </c>
    </row>
    <row r="115">
      <c r="A115" s="10">
        <f>IF(D115="","",ROW()-4)</f>
        <v/>
      </c>
      <c r="B115" s="14" t="n"/>
      <c r="C115" s="15" t="n"/>
      <c r="D115" s="4" t="n"/>
      <c r="E115" s="4" t="n"/>
      <c r="F115" s="4" t="n"/>
      <c r="G115" s="15" t="n"/>
      <c r="H115" s="14" t="n"/>
      <c r="I115" s="15" t="n"/>
      <c r="J115" s="14" t="n"/>
      <c r="K115" s="15" t="n"/>
      <c r="L115" s="14" t="n"/>
      <c r="M115" s="4" t="n"/>
      <c r="N115" s="4" t="n"/>
      <c r="O115" s="4" t="n"/>
      <c r="P115" s="4" t="n"/>
      <c r="Q115" s="10">
        <f>IF(OR(H115="",I115="回答済み",I115="クローズ"),"",IF(H115&lt;TODAY(),"超過",IF(H115-TODAY()&lt;=3,"間近","")))</f>
        <v/>
      </c>
      <c r="R115" s="13">
        <f>IF(J115="","",IF(L115="",TODAY(),L115)-J115)</f>
        <v/>
      </c>
    </row>
    <row r="116">
      <c r="A116" s="10">
        <f>IF(D116="","",ROW()-4)</f>
        <v/>
      </c>
      <c r="B116" s="14" t="n"/>
      <c r="C116" s="15" t="n"/>
      <c r="D116" s="4" t="n"/>
      <c r="E116" s="4" t="n"/>
      <c r="F116" s="4" t="n"/>
      <c r="G116" s="15" t="n"/>
      <c r="H116" s="14" t="n"/>
      <c r="I116" s="15" t="n"/>
      <c r="J116" s="14" t="n"/>
      <c r="K116" s="15" t="n"/>
      <c r="L116" s="14" t="n"/>
      <c r="M116" s="4" t="n"/>
      <c r="N116" s="4" t="n"/>
      <c r="O116" s="4" t="n"/>
      <c r="P116" s="4" t="n"/>
      <c r="Q116" s="10">
        <f>IF(OR(H116="",I116="回答済み",I116="クローズ"),"",IF(H116&lt;TODAY(),"超過",IF(H116-TODAY()&lt;=3,"間近","")))</f>
        <v/>
      </c>
      <c r="R116" s="13">
        <f>IF(J116="","",IF(L116="",TODAY(),L116)-J116)</f>
        <v/>
      </c>
    </row>
    <row r="117">
      <c r="A117" s="10">
        <f>IF(D117="","",ROW()-4)</f>
        <v/>
      </c>
      <c r="B117" s="14" t="n"/>
      <c r="C117" s="15" t="n"/>
      <c r="D117" s="4" t="n"/>
      <c r="E117" s="4" t="n"/>
      <c r="F117" s="4" t="n"/>
      <c r="G117" s="15" t="n"/>
      <c r="H117" s="14" t="n"/>
      <c r="I117" s="15" t="n"/>
      <c r="J117" s="14" t="n"/>
      <c r="K117" s="15" t="n"/>
      <c r="L117" s="14" t="n"/>
      <c r="M117" s="4" t="n"/>
      <c r="N117" s="4" t="n"/>
      <c r="O117" s="4" t="n"/>
      <c r="P117" s="4" t="n"/>
      <c r="Q117" s="10">
        <f>IF(OR(H117="",I117="回答済み",I117="クローズ"),"",IF(H117&lt;TODAY(),"超過",IF(H117-TODAY()&lt;=3,"間近","")))</f>
        <v/>
      </c>
      <c r="R117" s="13">
        <f>IF(J117="","",IF(L117="",TODAY(),L117)-J117)</f>
        <v/>
      </c>
    </row>
    <row r="118">
      <c r="A118" s="10">
        <f>IF(D118="","",ROW()-4)</f>
        <v/>
      </c>
      <c r="B118" s="14" t="n"/>
      <c r="C118" s="15" t="n"/>
      <c r="D118" s="4" t="n"/>
      <c r="E118" s="4" t="n"/>
      <c r="F118" s="4" t="n"/>
      <c r="G118" s="15" t="n"/>
      <c r="H118" s="14" t="n"/>
      <c r="I118" s="15" t="n"/>
      <c r="J118" s="14" t="n"/>
      <c r="K118" s="15" t="n"/>
      <c r="L118" s="14" t="n"/>
      <c r="M118" s="4" t="n"/>
      <c r="N118" s="4" t="n"/>
      <c r="O118" s="4" t="n"/>
      <c r="P118" s="4" t="n"/>
      <c r="Q118" s="10">
        <f>IF(OR(H118="",I118="回答済み",I118="クローズ"),"",IF(H118&lt;TODAY(),"超過",IF(H118-TODAY()&lt;=3,"間近","")))</f>
        <v/>
      </c>
      <c r="R118" s="13">
        <f>IF(J118="","",IF(L118="",TODAY(),L118)-J118)</f>
        <v/>
      </c>
    </row>
    <row r="119">
      <c r="A119" s="10">
        <f>IF(D119="","",ROW()-4)</f>
        <v/>
      </c>
      <c r="B119" s="14" t="n"/>
      <c r="C119" s="15" t="n"/>
      <c r="D119" s="4" t="n"/>
      <c r="E119" s="4" t="n"/>
      <c r="F119" s="4" t="n"/>
      <c r="G119" s="15" t="n"/>
      <c r="H119" s="14" t="n"/>
      <c r="I119" s="15" t="n"/>
      <c r="J119" s="14" t="n"/>
      <c r="K119" s="15" t="n"/>
      <c r="L119" s="14" t="n"/>
      <c r="M119" s="4" t="n"/>
      <c r="N119" s="4" t="n"/>
      <c r="O119" s="4" t="n"/>
      <c r="P119" s="4" t="n"/>
      <c r="Q119" s="10">
        <f>IF(OR(H119="",I119="回答済み",I119="クローズ"),"",IF(H119&lt;TODAY(),"超過",IF(H119-TODAY()&lt;=3,"間近","")))</f>
        <v/>
      </c>
      <c r="R119" s="13">
        <f>IF(J119="","",IF(L119="",TODAY(),L119)-J119)</f>
        <v/>
      </c>
    </row>
    <row r="120">
      <c r="A120" s="10">
        <f>IF(D120="","",ROW()-4)</f>
        <v/>
      </c>
      <c r="B120" s="14" t="n"/>
      <c r="C120" s="15" t="n"/>
      <c r="D120" s="4" t="n"/>
      <c r="E120" s="4" t="n"/>
      <c r="F120" s="4" t="n"/>
      <c r="G120" s="15" t="n"/>
      <c r="H120" s="14" t="n"/>
      <c r="I120" s="15" t="n"/>
      <c r="J120" s="14" t="n"/>
      <c r="K120" s="15" t="n"/>
      <c r="L120" s="14" t="n"/>
      <c r="M120" s="4" t="n"/>
      <c r="N120" s="4" t="n"/>
      <c r="O120" s="4" t="n"/>
      <c r="P120" s="4" t="n"/>
      <c r="Q120" s="10">
        <f>IF(OR(H120="",I120="回答済み",I120="クローズ"),"",IF(H120&lt;TODAY(),"超過",IF(H120-TODAY()&lt;=3,"間近","")))</f>
        <v/>
      </c>
      <c r="R120" s="13">
        <f>IF(J120="","",IF(L120="",TODAY(),L120)-J120)</f>
        <v/>
      </c>
    </row>
    <row r="121">
      <c r="A121" s="10">
        <f>IF(D121="","",ROW()-4)</f>
        <v/>
      </c>
      <c r="B121" s="14" t="n"/>
      <c r="C121" s="15" t="n"/>
      <c r="D121" s="4" t="n"/>
      <c r="E121" s="4" t="n"/>
      <c r="F121" s="4" t="n"/>
      <c r="G121" s="15" t="n"/>
      <c r="H121" s="14" t="n"/>
      <c r="I121" s="15" t="n"/>
      <c r="J121" s="14" t="n"/>
      <c r="K121" s="15" t="n"/>
      <c r="L121" s="14" t="n"/>
      <c r="M121" s="4" t="n"/>
      <c r="N121" s="4" t="n"/>
      <c r="O121" s="4" t="n"/>
      <c r="P121" s="4" t="n"/>
      <c r="Q121" s="10">
        <f>IF(OR(H121="",I121="回答済み",I121="クローズ"),"",IF(H121&lt;TODAY(),"超過",IF(H121-TODAY()&lt;=3,"間近","")))</f>
        <v/>
      </c>
      <c r="R121" s="13">
        <f>IF(J121="","",IF(L121="",TODAY(),L121)-J121)</f>
        <v/>
      </c>
    </row>
    <row r="122">
      <c r="A122" s="10">
        <f>IF(D122="","",ROW()-4)</f>
        <v/>
      </c>
      <c r="B122" s="14" t="n"/>
      <c r="C122" s="15" t="n"/>
      <c r="D122" s="4" t="n"/>
      <c r="E122" s="4" t="n"/>
      <c r="F122" s="4" t="n"/>
      <c r="G122" s="15" t="n"/>
      <c r="H122" s="14" t="n"/>
      <c r="I122" s="15" t="n"/>
      <c r="J122" s="14" t="n"/>
      <c r="K122" s="15" t="n"/>
      <c r="L122" s="14" t="n"/>
      <c r="M122" s="4" t="n"/>
      <c r="N122" s="4" t="n"/>
      <c r="O122" s="4" t="n"/>
      <c r="P122" s="4" t="n"/>
      <c r="Q122" s="10">
        <f>IF(OR(H122="",I122="回答済み",I122="クローズ"),"",IF(H122&lt;TODAY(),"超過",IF(H122-TODAY()&lt;=3,"間近","")))</f>
        <v/>
      </c>
      <c r="R122" s="13">
        <f>IF(J122="","",IF(L122="",TODAY(),L122)-J122)</f>
        <v/>
      </c>
    </row>
    <row r="123">
      <c r="A123" s="10">
        <f>IF(D123="","",ROW()-4)</f>
        <v/>
      </c>
      <c r="B123" s="14" t="n"/>
      <c r="C123" s="15" t="n"/>
      <c r="D123" s="4" t="n"/>
      <c r="E123" s="4" t="n"/>
      <c r="F123" s="4" t="n"/>
      <c r="G123" s="15" t="n"/>
      <c r="H123" s="14" t="n"/>
      <c r="I123" s="15" t="n"/>
      <c r="J123" s="14" t="n"/>
      <c r="K123" s="15" t="n"/>
      <c r="L123" s="14" t="n"/>
      <c r="M123" s="4" t="n"/>
      <c r="N123" s="4" t="n"/>
      <c r="O123" s="4" t="n"/>
      <c r="P123" s="4" t="n"/>
      <c r="Q123" s="10">
        <f>IF(OR(H123="",I123="回答済み",I123="クローズ"),"",IF(H123&lt;TODAY(),"超過",IF(H123-TODAY()&lt;=3,"間近","")))</f>
        <v/>
      </c>
      <c r="R123" s="13">
        <f>IF(J123="","",IF(L123="",TODAY(),L123)-J123)</f>
        <v/>
      </c>
    </row>
    <row r="124">
      <c r="A124" s="10">
        <f>IF(D124="","",ROW()-4)</f>
        <v/>
      </c>
      <c r="B124" s="14" t="n"/>
      <c r="C124" s="15" t="n"/>
      <c r="D124" s="4" t="n"/>
      <c r="E124" s="4" t="n"/>
      <c r="F124" s="4" t="n"/>
      <c r="G124" s="15" t="n"/>
      <c r="H124" s="14" t="n"/>
      <c r="I124" s="15" t="n"/>
      <c r="J124" s="14" t="n"/>
      <c r="K124" s="15" t="n"/>
      <c r="L124" s="14" t="n"/>
      <c r="M124" s="4" t="n"/>
      <c r="N124" s="4" t="n"/>
      <c r="O124" s="4" t="n"/>
      <c r="P124" s="4" t="n"/>
      <c r="Q124" s="10">
        <f>IF(OR(H124="",I124="回答済み",I124="クローズ"),"",IF(H124&lt;TODAY(),"超過",IF(H124-TODAY()&lt;=3,"間近","")))</f>
        <v/>
      </c>
      <c r="R124" s="13">
        <f>IF(J124="","",IF(L124="",TODAY(),L124)-J124)</f>
        <v/>
      </c>
    </row>
    <row r="125">
      <c r="A125" s="10">
        <f>IF(D125="","",ROW()-4)</f>
        <v/>
      </c>
      <c r="B125" s="14" t="n"/>
      <c r="C125" s="15" t="n"/>
      <c r="D125" s="4" t="n"/>
      <c r="E125" s="4" t="n"/>
      <c r="F125" s="4" t="n"/>
      <c r="G125" s="15" t="n"/>
      <c r="H125" s="14" t="n"/>
      <c r="I125" s="15" t="n"/>
      <c r="J125" s="14" t="n"/>
      <c r="K125" s="15" t="n"/>
      <c r="L125" s="14" t="n"/>
      <c r="M125" s="4" t="n"/>
      <c r="N125" s="4" t="n"/>
      <c r="O125" s="4" t="n"/>
      <c r="P125" s="4" t="n"/>
      <c r="Q125" s="10">
        <f>IF(OR(H125="",I125="回答済み",I125="クローズ"),"",IF(H125&lt;TODAY(),"超過",IF(H125-TODAY()&lt;=3,"間近","")))</f>
        <v/>
      </c>
      <c r="R125" s="13">
        <f>IF(J125="","",IF(L125="",TODAY(),L125)-J125)</f>
        <v/>
      </c>
    </row>
    <row r="126">
      <c r="A126" s="10">
        <f>IF(D126="","",ROW()-4)</f>
        <v/>
      </c>
      <c r="B126" s="14" t="n"/>
      <c r="C126" s="15" t="n"/>
      <c r="D126" s="4" t="n"/>
      <c r="E126" s="4" t="n"/>
      <c r="F126" s="4" t="n"/>
      <c r="G126" s="15" t="n"/>
      <c r="H126" s="14" t="n"/>
      <c r="I126" s="15" t="n"/>
      <c r="J126" s="14" t="n"/>
      <c r="K126" s="15" t="n"/>
      <c r="L126" s="14" t="n"/>
      <c r="M126" s="4" t="n"/>
      <c r="N126" s="4" t="n"/>
      <c r="O126" s="4" t="n"/>
      <c r="P126" s="4" t="n"/>
      <c r="Q126" s="10">
        <f>IF(OR(H126="",I126="回答済み",I126="クローズ"),"",IF(H126&lt;TODAY(),"超過",IF(H126-TODAY()&lt;=3,"間近","")))</f>
        <v/>
      </c>
      <c r="R126" s="13">
        <f>IF(J126="","",IF(L126="",TODAY(),L126)-J126)</f>
        <v/>
      </c>
    </row>
    <row r="127">
      <c r="A127" s="10">
        <f>IF(D127="","",ROW()-4)</f>
        <v/>
      </c>
      <c r="B127" s="14" t="n"/>
      <c r="C127" s="15" t="n"/>
      <c r="D127" s="4" t="n"/>
      <c r="E127" s="4" t="n"/>
      <c r="F127" s="4" t="n"/>
      <c r="G127" s="15" t="n"/>
      <c r="H127" s="14" t="n"/>
      <c r="I127" s="15" t="n"/>
      <c r="J127" s="14" t="n"/>
      <c r="K127" s="15" t="n"/>
      <c r="L127" s="14" t="n"/>
      <c r="M127" s="4" t="n"/>
      <c r="N127" s="4" t="n"/>
      <c r="O127" s="4" t="n"/>
      <c r="P127" s="4" t="n"/>
      <c r="Q127" s="10">
        <f>IF(OR(H127="",I127="回答済み",I127="クローズ"),"",IF(H127&lt;TODAY(),"超過",IF(H127-TODAY()&lt;=3,"間近","")))</f>
        <v/>
      </c>
      <c r="R127" s="13">
        <f>IF(J127="","",IF(L127="",TODAY(),L127)-J127)</f>
        <v/>
      </c>
    </row>
    <row r="128">
      <c r="A128" s="10">
        <f>IF(D128="","",ROW()-4)</f>
        <v/>
      </c>
      <c r="B128" s="14" t="n"/>
      <c r="C128" s="15" t="n"/>
      <c r="D128" s="4" t="n"/>
      <c r="E128" s="4" t="n"/>
      <c r="F128" s="4" t="n"/>
      <c r="G128" s="15" t="n"/>
      <c r="H128" s="14" t="n"/>
      <c r="I128" s="15" t="n"/>
      <c r="J128" s="14" t="n"/>
      <c r="K128" s="15" t="n"/>
      <c r="L128" s="14" t="n"/>
      <c r="M128" s="4" t="n"/>
      <c r="N128" s="4" t="n"/>
      <c r="O128" s="4" t="n"/>
      <c r="P128" s="4" t="n"/>
      <c r="Q128" s="10">
        <f>IF(OR(H128="",I128="回答済み",I128="クローズ"),"",IF(H128&lt;TODAY(),"超過",IF(H128-TODAY()&lt;=3,"間近","")))</f>
        <v/>
      </c>
      <c r="R128" s="13">
        <f>IF(J128="","",IF(L128="",TODAY(),L128)-J128)</f>
        <v/>
      </c>
    </row>
    <row r="129">
      <c r="A129" s="10">
        <f>IF(D129="","",ROW()-4)</f>
        <v/>
      </c>
      <c r="B129" s="14" t="n"/>
      <c r="C129" s="15" t="n"/>
      <c r="D129" s="4" t="n"/>
      <c r="E129" s="4" t="n"/>
      <c r="F129" s="4" t="n"/>
      <c r="G129" s="15" t="n"/>
      <c r="H129" s="14" t="n"/>
      <c r="I129" s="15" t="n"/>
      <c r="J129" s="14" t="n"/>
      <c r="K129" s="15" t="n"/>
      <c r="L129" s="14" t="n"/>
      <c r="M129" s="4" t="n"/>
      <c r="N129" s="4" t="n"/>
      <c r="O129" s="4" t="n"/>
      <c r="P129" s="4" t="n"/>
      <c r="Q129" s="10">
        <f>IF(OR(H129="",I129="回答済み",I129="クローズ"),"",IF(H129&lt;TODAY(),"超過",IF(H129-TODAY()&lt;=3,"間近","")))</f>
        <v/>
      </c>
      <c r="R129" s="13">
        <f>IF(J129="","",IF(L129="",TODAY(),L129)-J129)</f>
        <v/>
      </c>
    </row>
    <row r="130">
      <c r="A130" s="10">
        <f>IF(D130="","",ROW()-4)</f>
        <v/>
      </c>
      <c r="B130" s="14" t="n"/>
      <c r="C130" s="15" t="n"/>
      <c r="D130" s="4" t="n"/>
      <c r="E130" s="4" t="n"/>
      <c r="F130" s="4" t="n"/>
      <c r="G130" s="15" t="n"/>
      <c r="H130" s="14" t="n"/>
      <c r="I130" s="15" t="n"/>
      <c r="J130" s="14" t="n"/>
      <c r="K130" s="15" t="n"/>
      <c r="L130" s="14" t="n"/>
      <c r="M130" s="4" t="n"/>
      <c r="N130" s="4" t="n"/>
      <c r="O130" s="4" t="n"/>
      <c r="P130" s="4" t="n"/>
      <c r="Q130" s="10">
        <f>IF(OR(H130="",I130="回答済み",I130="クローズ"),"",IF(H130&lt;TODAY(),"超過",IF(H130-TODAY()&lt;=3,"間近","")))</f>
        <v/>
      </c>
      <c r="R130" s="13">
        <f>IF(J130="","",IF(L130="",TODAY(),L130)-J130)</f>
        <v/>
      </c>
    </row>
    <row r="131">
      <c r="A131" s="10">
        <f>IF(D131="","",ROW()-4)</f>
        <v/>
      </c>
      <c r="B131" s="14" t="n"/>
      <c r="C131" s="15" t="n"/>
      <c r="D131" s="4" t="n"/>
      <c r="E131" s="4" t="n"/>
      <c r="F131" s="4" t="n"/>
      <c r="G131" s="15" t="n"/>
      <c r="H131" s="14" t="n"/>
      <c r="I131" s="15" t="n"/>
      <c r="J131" s="14" t="n"/>
      <c r="K131" s="15" t="n"/>
      <c r="L131" s="14" t="n"/>
      <c r="M131" s="4" t="n"/>
      <c r="N131" s="4" t="n"/>
      <c r="O131" s="4" t="n"/>
      <c r="P131" s="4" t="n"/>
      <c r="Q131" s="10">
        <f>IF(OR(H131="",I131="回答済み",I131="クローズ"),"",IF(H131&lt;TODAY(),"超過",IF(H131-TODAY()&lt;=3,"間近","")))</f>
        <v/>
      </c>
      <c r="R131" s="13">
        <f>IF(J131="","",IF(L131="",TODAY(),L131)-J131)</f>
        <v/>
      </c>
    </row>
    <row r="132">
      <c r="A132" s="10">
        <f>IF(D132="","",ROW()-4)</f>
        <v/>
      </c>
      <c r="B132" s="14" t="n"/>
      <c r="C132" s="15" t="n"/>
      <c r="D132" s="4" t="n"/>
      <c r="E132" s="4" t="n"/>
      <c r="F132" s="4" t="n"/>
      <c r="G132" s="15" t="n"/>
      <c r="H132" s="14" t="n"/>
      <c r="I132" s="15" t="n"/>
      <c r="J132" s="14" t="n"/>
      <c r="K132" s="15" t="n"/>
      <c r="L132" s="14" t="n"/>
      <c r="M132" s="4" t="n"/>
      <c r="N132" s="4" t="n"/>
      <c r="O132" s="4" t="n"/>
      <c r="P132" s="4" t="n"/>
      <c r="Q132" s="10">
        <f>IF(OR(H132="",I132="回答済み",I132="クローズ"),"",IF(H132&lt;TODAY(),"超過",IF(H132-TODAY()&lt;=3,"間近","")))</f>
        <v/>
      </c>
      <c r="R132" s="13">
        <f>IF(J132="","",IF(L132="",TODAY(),L132)-J132)</f>
        <v/>
      </c>
    </row>
    <row r="133">
      <c r="A133" s="10">
        <f>IF(D133="","",ROW()-4)</f>
        <v/>
      </c>
      <c r="B133" s="14" t="n"/>
      <c r="C133" s="15" t="n"/>
      <c r="D133" s="4" t="n"/>
      <c r="E133" s="4" t="n"/>
      <c r="F133" s="4" t="n"/>
      <c r="G133" s="15" t="n"/>
      <c r="H133" s="14" t="n"/>
      <c r="I133" s="15" t="n"/>
      <c r="J133" s="14" t="n"/>
      <c r="K133" s="15" t="n"/>
      <c r="L133" s="14" t="n"/>
      <c r="M133" s="4" t="n"/>
      <c r="N133" s="4" t="n"/>
      <c r="O133" s="4" t="n"/>
      <c r="P133" s="4" t="n"/>
      <c r="Q133" s="10">
        <f>IF(OR(H133="",I133="回答済み",I133="クローズ"),"",IF(H133&lt;TODAY(),"超過",IF(H133-TODAY()&lt;=3,"間近","")))</f>
        <v/>
      </c>
      <c r="R133" s="13">
        <f>IF(J133="","",IF(L133="",TODAY(),L133)-J133)</f>
        <v/>
      </c>
    </row>
    <row r="134">
      <c r="A134" s="10">
        <f>IF(D134="","",ROW()-4)</f>
        <v/>
      </c>
      <c r="B134" s="14" t="n"/>
      <c r="C134" s="15" t="n"/>
      <c r="D134" s="4" t="n"/>
      <c r="E134" s="4" t="n"/>
      <c r="F134" s="4" t="n"/>
      <c r="G134" s="15" t="n"/>
      <c r="H134" s="14" t="n"/>
      <c r="I134" s="15" t="n"/>
      <c r="J134" s="14" t="n"/>
      <c r="K134" s="15" t="n"/>
      <c r="L134" s="14" t="n"/>
      <c r="M134" s="4" t="n"/>
      <c r="N134" s="4" t="n"/>
      <c r="O134" s="4" t="n"/>
      <c r="P134" s="4" t="n"/>
      <c r="Q134" s="10">
        <f>IF(OR(H134="",I134="回答済み",I134="クローズ"),"",IF(H134&lt;TODAY(),"超過",IF(H134-TODAY()&lt;=3,"間近","")))</f>
        <v/>
      </c>
      <c r="R134" s="13">
        <f>IF(J134="","",IF(L134="",TODAY(),L134)-J134)</f>
        <v/>
      </c>
    </row>
    <row r="135">
      <c r="A135" s="10">
        <f>IF(D135="","",ROW()-4)</f>
        <v/>
      </c>
      <c r="B135" s="14" t="n"/>
      <c r="C135" s="15" t="n"/>
      <c r="D135" s="4" t="n"/>
      <c r="E135" s="4" t="n"/>
      <c r="F135" s="4" t="n"/>
      <c r="G135" s="15" t="n"/>
      <c r="H135" s="14" t="n"/>
      <c r="I135" s="15" t="n"/>
      <c r="J135" s="14" t="n"/>
      <c r="K135" s="15" t="n"/>
      <c r="L135" s="14" t="n"/>
      <c r="M135" s="4" t="n"/>
      <c r="N135" s="4" t="n"/>
      <c r="O135" s="4" t="n"/>
      <c r="P135" s="4" t="n"/>
      <c r="Q135" s="10">
        <f>IF(OR(H135="",I135="回答済み",I135="クローズ"),"",IF(H135&lt;TODAY(),"超過",IF(H135-TODAY()&lt;=3,"間近","")))</f>
        <v/>
      </c>
      <c r="R135" s="13">
        <f>IF(J135="","",IF(L135="",TODAY(),L135)-J135)</f>
        <v/>
      </c>
    </row>
    <row r="136">
      <c r="A136" s="10">
        <f>IF(D136="","",ROW()-4)</f>
        <v/>
      </c>
      <c r="B136" s="14" t="n"/>
      <c r="C136" s="15" t="n"/>
      <c r="D136" s="4" t="n"/>
      <c r="E136" s="4" t="n"/>
      <c r="F136" s="4" t="n"/>
      <c r="G136" s="15" t="n"/>
      <c r="H136" s="14" t="n"/>
      <c r="I136" s="15" t="n"/>
      <c r="J136" s="14" t="n"/>
      <c r="K136" s="15" t="n"/>
      <c r="L136" s="14" t="n"/>
      <c r="M136" s="4" t="n"/>
      <c r="N136" s="4" t="n"/>
      <c r="O136" s="4" t="n"/>
      <c r="P136" s="4" t="n"/>
      <c r="Q136" s="10">
        <f>IF(OR(H136="",I136="回答済み",I136="クローズ"),"",IF(H136&lt;TODAY(),"超過",IF(H136-TODAY()&lt;=3,"間近","")))</f>
        <v/>
      </c>
      <c r="R136" s="13">
        <f>IF(J136="","",IF(L136="",TODAY(),L136)-J136)</f>
        <v/>
      </c>
    </row>
    <row r="137">
      <c r="A137" s="10">
        <f>IF(D137="","",ROW()-4)</f>
        <v/>
      </c>
      <c r="B137" s="14" t="n"/>
      <c r="C137" s="15" t="n"/>
      <c r="D137" s="4" t="n"/>
      <c r="E137" s="4" t="n"/>
      <c r="F137" s="4" t="n"/>
      <c r="G137" s="15" t="n"/>
      <c r="H137" s="14" t="n"/>
      <c r="I137" s="15" t="n"/>
      <c r="J137" s="14" t="n"/>
      <c r="K137" s="15" t="n"/>
      <c r="L137" s="14" t="n"/>
      <c r="M137" s="4" t="n"/>
      <c r="N137" s="4" t="n"/>
      <c r="O137" s="4" t="n"/>
      <c r="P137" s="4" t="n"/>
      <c r="Q137" s="10">
        <f>IF(OR(H137="",I137="回答済み",I137="クローズ"),"",IF(H137&lt;TODAY(),"超過",IF(H137-TODAY()&lt;=3,"間近","")))</f>
        <v/>
      </c>
      <c r="R137" s="13">
        <f>IF(J137="","",IF(L137="",TODAY(),L137)-J137)</f>
        <v/>
      </c>
    </row>
    <row r="138">
      <c r="A138" s="10">
        <f>IF(D138="","",ROW()-4)</f>
        <v/>
      </c>
      <c r="B138" s="14" t="n"/>
      <c r="C138" s="15" t="n"/>
      <c r="D138" s="4" t="n"/>
      <c r="E138" s="4" t="n"/>
      <c r="F138" s="4" t="n"/>
      <c r="G138" s="15" t="n"/>
      <c r="H138" s="14" t="n"/>
      <c r="I138" s="15" t="n"/>
      <c r="J138" s="14" t="n"/>
      <c r="K138" s="15" t="n"/>
      <c r="L138" s="14" t="n"/>
      <c r="M138" s="4" t="n"/>
      <c r="N138" s="4" t="n"/>
      <c r="O138" s="4" t="n"/>
      <c r="P138" s="4" t="n"/>
      <c r="Q138" s="10">
        <f>IF(OR(H138="",I138="回答済み",I138="クローズ"),"",IF(H138&lt;TODAY(),"超過",IF(H138-TODAY()&lt;=3,"間近","")))</f>
        <v/>
      </c>
      <c r="R138" s="13">
        <f>IF(J138="","",IF(L138="",TODAY(),L138)-J138)</f>
        <v/>
      </c>
    </row>
    <row r="139">
      <c r="A139" s="10">
        <f>IF(D139="","",ROW()-4)</f>
        <v/>
      </c>
      <c r="B139" s="14" t="n"/>
      <c r="C139" s="15" t="n"/>
      <c r="D139" s="4" t="n"/>
      <c r="E139" s="4" t="n"/>
      <c r="F139" s="4" t="n"/>
      <c r="G139" s="15" t="n"/>
      <c r="H139" s="14" t="n"/>
      <c r="I139" s="15" t="n"/>
      <c r="J139" s="14" t="n"/>
      <c r="K139" s="15" t="n"/>
      <c r="L139" s="14" t="n"/>
      <c r="M139" s="4" t="n"/>
      <c r="N139" s="4" t="n"/>
      <c r="O139" s="4" t="n"/>
      <c r="P139" s="4" t="n"/>
      <c r="Q139" s="10">
        <f>IF(OR(H139="",I139="回答済み",I139="クローズ"),"",IF(H139&lt;TODAY(),"超過",IF(H139-TODAY()&lt;=3,"間近","")))</f>
        <v/>
      </c>
      <c r="R139" s="13">
        <f>IF(J139="","",IF(L139="",TODAY(),L139)-J139)</f>
        <v/>
      </c>
    </row>
    <row r="140">
      <c r="A140" s="10">
        <f>IF(D140="","",ROW()-4)</f>
        <v/>
      </c>
      <c r="B140" s="14" t="n"/>
      <c r="C140" s="15" t="n"/>
      <c r="D140" s="4" t="n"/>
      <c r="E140" s="4" t="n"/>
      <c r="F140" s="4" t="n"/>
      <c r="G140" s="15" t="n"/>
      <c r="H140" s="14" t="n"/>
      <c r="I140" s="15" t="n"/>
      <c r="J140" s="14" t="n"/>
      <c r="K140" s="15" t="n"/>
      <c r="L140" s="14" t="n"/>
      <c r="M140" s="4" t="n"/>
      <c r="N140" s="4" t="n"/>
      <c r="O140" s="4" t="n"/>
      <c r="P140" s="4" t="n"/>
      <c r="Q140" s="10">
        <f>IF(OR(H140="",I140="回答済み",I140="クローズ"),"",IF(H140&lt;TODAY(),"超過",IF(H140-TODAY()&lt;=3,"間近","")))</f>
        <v/>
      </c>
      <c r="R140" s="13">
        <f>IF(J140="","",IF(L140="",TODAY(),L140)-J140)</f>
        <v/>
      </c>
    </row>
    <row r="141">
      <c r="A141" s="10">
        <f>IF(D141="","",ROW()-4)</f>
        <v/>
      </c>
      <c r="B141" s="14" t="n"/>
      <c r="C141" s="15" t="n"/>
      <c r="D141" s="4" t="n"/>
      <c r="E141" s="4" t="n"/>
      <c r="F141" s="4" t="n"/>
      <c r="G141" s="15" t="n"/>
      <c r="H141" s="14" t="n"/>
      <c r="I141" s="15" t="n"/>
      <c r="J141" s="14" t="n"/>
      <c r="K141" s="15" t="n"/>
      <c r="L141" s="14" t="n"/>
      <c r="M141" s="4" t="n"/>
      <c r="N141" s="4" t="n"/>
      <c r="O141" s="4" t="n"/>
      <c r="P141" s="4" t="n"/>
      <c r="Q141" s="10">
        <f>IF(OR(H141="",I141="回答済み",I141="クローズ"),"",IF(H141&lt;TODAY(),"超過",IF(H141-TODAY()&lt;=3,"間近","")))</f>
        <v/>
      </c>
      <c r="R141" s="13">
        <f>IF(J141="","",IF(L141="",TODAY(),L141)-J141)</f>
        <v/>
      </c>
    </row>
    <row r="142">
      <c r="A142" s="10">
        <f>IF(D142="","",ROW()-4)</f>
        <v/>
      </c>
      <c r="B142" s="14" t="n"/>
      <c r="C142" s="15" t="n"/>
      <c r="D142" s="4" t="n"/>
      <c r="E142" s="4" t="n"/>
      <c r="F142" s="4" t="n"/>
      <c r="G142" s="15" t="n"/>
      <c r="H142" s="14" t="n"/>
      <c r="I142" s="15" t="n"/>
      <c r="J142" s="14" t="n"/>
      <c r="K142" s="15" t="n"/>
      <c r="L142" s="14" t="n"/>
      <c r="M142" s="4" t="n"/>
      <c r="N142" s="4" t="n"/>
      <c r="O142" s="4" t="n"/>
      <c r="P142" s="4" t="n"/>
      <c r="Q142" s="10">
        <f>IF(OR(H142="",I142="回答済み",I142="クローズ"),"",IF(H142&lt;TODAY(),"超過",IF(H142-TODAY()&lt;=3,"間近","")))</f>
        <v/>
      </c>
      <c r="R142" s="13">
        <f>IF(J142="","",IF(L142="",TODAY(),L142)-J142)</f>
        <v/>
      </c>
    </row>
    <row r="143">
      <c r="A143" s="10">
        <f>IF(D143="","",ROW()-4)</f>
        <v/>
      </c>
      <c r="B143" s="14" t="n"/>
      <c r="C143" s="15" t="n"/>
      <c r="D143" s="4" t="n"/>
      <c r="E143" s="4" t="n"/>
      <c r="F143" s="4" t="n"/>
      <c r="G143" s="15" t="n"/>
      <c r="H143" s="14" t="n"/>
      <c r="I143" s="15" t="n"/>
      <c r="J143" s="14" t="n"/>
      <c r="K143" s="15" t="n"/>
      <c r="L143" s="14" t="n"/>
      <c r="M143" s="4" t="n"/>
      <c r="N143" s="4" t="n"/>
      <c r="O143" s="4" t="n"/>
      <c r="P143" s="4" t="n"/>
      <c r="Q143" s="10">
        <f>IF(OR(H143="",I143="回答済み",I143="クローズ"),"",IF(H143&lt;TODAY(),"超過",IF(H143-TODAY()&lt;=3,"間近","")))</f>
        <v/>
      </c>
      <c r="R143" s="13">
        <f>IF(J143="","",IF(L143="",TODAY(),L143)-J143)</f>
        <v/>
      </c>
    </row>
    <row r="144">
      <c r="A144" s="10">
        <f>IF(D144="","",ROW()-4)</f>
        <v/>
      </c>
      <c r="B144" s="14" t="n"/>
      <c r="C144" s="15" t="n"/>
      <c r="D144" s="4" t="n"/>
      <c r="E144" s="4" t="n"/>
      <c r="F144" s="4" t="n"/>
      <c r="G144" s="15" t="n"/>
      <c r="H144" s="14" t="n"/>
      <c r="I144" s="15" t="n"/>
      <c r="J144" s="14" t="n"/>
      <c r="K144" s="15" t="n"/>
      <c r="L144" s="14" t="n"/>
      <c r="M144" s="4" t="n"/>
      <c r="N144" s="4" t="n"/>
      <c r="O144" s="4" t="n"/>
      <c r="P144" s="4" t="n"/>
      <c r="Q144" s="10">
        <f>IF(OR(H144="",I144="回答済み",I144="クローズ"),"",IF(H144&lt;TODAY(),"超過",IF(H144-TODAY()&lt;=3,"間近","")))</f>
        <v/>
      </c>
      <c r="R144" s="13">
        <f>IF(J144="","",IF(L144="",TODAY(),L144)-J144)</f>
        <v/>
      </c>
    </row>
    <row r="145">
      <c r="A145" s="10">
        <f>IF(D145="","",ROW()-4)</f>
        <v/>
      </c>
      <c r="B145" s="14" t="n"/>
      <c r="C145" s="15" t="n"/>
      <c r="D145" s="4" t="n"/>
      <c r="E145" s="4" t="n"/>
      <c r="F145" s="4" t="n"/>
      <c r="G145" s="15" t="n"/>
      <c r="H145" s="14" t="n"/>
      <c r="I145" s="15" t="n"/>
      <c r="J145" s="14" t="n"/>
      <c r="K145" s="15" t="n"/>
      <c r="L145" s="14" t="n"/>
      <c r="M145" s="4" t="n"/>
      <c r="N145" s="4" t="n"/>
      <c r="O145" s="4" t="n"/>
      <c r="P145" s="4" t="n"/>
      <c r="Q145" s="10">
        <f>IF(OR(H145="",I145="回答済み",I145="クローズ"),"",IF(H145&lt;TODAY(),"超過",IF(H145-TODAY()&lt;=3,"間近","")))</f>
        <v/>
      </c>
      <c r="R145" s="13">
        <f>IF(J145="","",IF(L145="",TODAY(),L145)-J145)</f>
        <v/>
      </c>
    </row>
    <row r="146">
      <c r="A146" s="10">
        <f>IF(D146="","",ROW()-4)</f>
        <v/>
      </c>
      <c r="B146" s="14" t="n"/>
      <c r="C146" s="15" t="n"/>
      <c r="D146" s="4" t="n"/>
      <c r="E146" s="4" t="n"/>
      <c r="F146" s="4" t="n"/>
      <c r="G146" s="15" t="n"/>
      <c r="H146" s="14" t="n"/>
      <c r="I146" s="15" t="n"/>
      <c r="J146" s="14" t="n"/>
      <c r="K146" s="15" t="n"/>
      <c r="L146" s="14" t="n"/>
      <c r="M146" s="4" t="n"/>
      <c r="N146" s="4" t="n"/>
      <c r="O146" s="4" t="n"/>
      <c r="P146" s="4" t="n"/>
      <c r="Q146" s="10">
        <f>IF(OR(H146="",I146="回答済み",I146="クローズ"),"",IF(H146&lt;TODAY(),"超過",IF(H146-TODAY()&lt;=3,"間近","")))</f>
        <v/>
      </c>
      <c r="R146" s="13">
        <f>IF(J146="","",IF(L146="",TODAY(),L146)-J146)</f>
        <v/>
      </c>
    </row>
    <row r="147">
      <c r="A147" s="10">
        <f>IF(D147="","",ROW()-4)</f>
        <v/>
      </c>
      <c r="B147" s="14" t="n"/>
      <c r="C147" s="15" t="n"/>
      <c r="D147" s="4" t="n"/>
      <c r="E147" s="4" t="n"/>
      <c r="F147" s="4" t="n"/>
      <c r="G147" s="15" t="n"/>
      <c r="H147" s="14" t="n"/>
      <c r="I147" s="15" t="n"/>
      <c r="J147" s="14" t="n"/>
      <c r="K147" s="15" t="n"/>
      <c r="L147" s="14" t="n"/>
      <c r="M147" s="4" t="n"/>
      <c r="N147" s="4" t="n"/>
      <c r="O147" s="4" t="n"/>
      <c r="P147" s="4" t="n"/>
      <c r="Q147" s="10">
        <f>IF(OR(H147="",I147="回答済み",I147="クローズ"),"",IF(H147&lt;TODAY(),"超過",IF(H147-TODAY()&lt;=3,"間近","")))</f>
        <v/>
      </c>
      <c r="R147" s="13">
        <f>IF(J147="","",IF(L147="",TODAY(),L147)-J147)</f>
        <v/>
      </c>
    </row>
    <row r="148">
      <c r="A148" s="10">
        <f>IF(D148="","",ROW()-4)</f>
        <v/>
      </c>
      <c r="B148" s="14" t="n"/>
      <c r="C148" s="15" t="n"/>
      <c r="D148" s="4" t="n"/>
      <c r="E148" s="4" t="n"/>
      <c r="F148" s="4" t="n"/>
      <c r="G148" s="15" t="n"/>
      <c r="H148" s="14" t="n"/>
      <c r="I148" s="15" t="n"/>
      <c r="J148" s="14" t="n"/>
      <c r="K148" s="15" t="n"/>
      <c r="L148" s="14" t="n"/>
      <c r="M148" s="4" t="n"/>
      <c r="N148" s="4" t="n"/>
      <c r="O148" s="4" t="n"/>
      <c r="P148" s="4" t="n"/>
      <c r="Q148" s="10">
        <f>IF(OR(H148="",I148="回答済み",I148="クローズ"),"",IF(H148&lt;TODAY(),"超過",IF(H148-TODAY()&lt;=3,"間近","")))</f>
        <v/>
      </c>
      <c r="R148" s="13">
        <f>IF(J148="","",IF(L148="",TODAY(),L148)-J148)</f>
        <v/>
      </c>
    </row>
    <row r="149">
      <c r="A149" s="10">
        <f>IF(D149="","",ROW()-4)</f>
        <v/>
      </c>
      <c r="B149" s="14" t="n"/>
      <c r="C149" s="15" t="n"/>
      <c r="D149" s="4" t="n"/>
      <c r="E149" s="4" t="n"/>
      <c r="F149" s="4" t="n"/>
      <c r="G149" s="15" t="n"/>
      <c r="H149" s="14" t="n"/>
      <c r="I149" s="15" t="n"/>
      <c r="J149" s="14" t="n"/>
      <c r="K149" s="15" t="n"/>
      <c r="L149" s="14" t="n"/>
      <c r="M149" s="4" t="n"/>
      <c r="N149" s="4" t="n"/>
      <c r="O149" s="4" t="n"/>
      <c r="P149" s="4" t="n"/>
      <c r="Q149" s="10">
        <f>IF(OR(H149="",I149="回答済み",I149="クローズ"),"",IF(H149&lt;TODAY(),"超過",IF(H149-TODAY()&lt;=3,"間近","")))</f>
        <v/>
      </c>
      <c r="R149" s="13">
        <f>IF(J149="","",IF(L149="",TODAY(),L149)-J149)</f>
        <v/>
      </c>
    </row>
    <row r="150">
      <c r="A150" s="10">
        <f>IF(D150="","",ROW()-4)</f>
        <v/>
      </c>
      <c r="B150" s="14" t="n"/>
      <c r="C150" s="15" t="n"/>
      <c r="D150" s="4" t="n"/>
      <c r="E150" s="4" t="n"/>
      <c r="F150" s="4" t="n"/>
      <c r="G150" s="15" t="n"/>
      <c r="H150" s="14" t="n"/>
      <c r="I150" s="15" t="n"/>
      <c r="J150" s="14" t="n"/>
      <c r="K150" s="15" t="n"/>
      <c r="L150" s="14" t="n"/>
      <c r="M150" s="4" t="n"/>
      <c r="N150" s="4" t="n"/>
      <c r="O150" s="4" t="n"/>
      <c r="P150" s="4" t="n"/>
      <c r="Q150" s="10">
        <f>IF(OR(H150="",I150="回答済み",I150="クローズ"),"",IF(H150&lt;TODAY(),"超過",IF(H150-TODAY()&lt;=3,"間近","")))</f>
        <v/>
      </c>
      <c r="R150" s="13">
        <f>IF(J150="","",IF(L150="",TODAY(),L150)-J150)</f>
        <v/>
      </c>
    </row>
    <row r="151">
      <c r="A151" s="10">
        <f>IF(D151="","",ROW()-4)</f>
        <v/>
      </c>
      <c r="B151" s="14" t="n"/>
      <c r="C151" s="15" t="n"/>
      <c r="D151" s="4" t="n"/>
      <c r="E151" s="4" t="n"/>
      <c r="F151" s="4" t="n"/>
      <c r="G151" s="15" t="n"/>
      <c r="H151" s="14" t="n"/>
      <c r="I151" s="15" t="n"/>
      <c r="J151" s="14" t="n"/>
      <c r="K151" s="15" t="n"/>
      <c r="L151" s="14" t="n"/>
      <c r="M151" s="4" t="n"/>
      <c r="N151" s="4" t="n"/>
      <c r="O151" s="4" t="n"/>
      <c r="P151" s="4" t="n"/>
      <c r="Q151" s="10">
        <f>IF(OR(H151="",I151="回答済み",I151="クローズ"),"",IF(H151&lt;TODAY(),"超過",IF(H151-TODAY()&lt;=3,"間近","")))</f>
        <v/>
      </c>
      <c r="R151" s="13">
        <f>IF(J151="","",IF(L151="",TODAY(),L151)-J151)</f>
        <v/>
      </c>
    </row>
    <row r="152">
      <c r="A152" s="10">
        <f>IF(D152="","",ROW()-4)</f>
        <v/>
      </c>
      <c r="B152" s="14" t="n"/>
      <c r="C152" s="15" t="n"/>
      <c r="D152" s="4" t="n"/>
      <c r="E152" s="4" t="n"/>
      <c r="F152" s="4" t="n"/>
      <c r="G152" s="15" t="n"/>
      <c r="H152" s="14" t="n"/>
      <c r="I152" s="15" t="n"/>
      <c r="J152" s="14" t="n"/>
      <c r="K152" s="15" t="n"/>
      <c r="L152" s="14" t="n"/>
      <c r="M152" s="4" t="n"/>
      <c r="N152" s="4" t="n"/>
      <c r="O152" s="4" t="n"/>
      <c r="P152" s="4" t="n"/>
      <c r="Q152" s="10">
        <f>IF(OR(H152="",I152="回答済み",I152="クローズ"),"",IF(H152&lt;TODAY(),"超過",IF(H152-TODAY()&lt;=3,"間近","")))</f>
        <v/>
      </c>
      <c r="R152" s="13">
        <f>IF(J152="","",IF(L152="",TODAY(),L152)-J152)</f>
        <v/>
      </c>
    </row>
    <row r="153">
      <c r="A153" s="10">
        <f>IF(D153="","",ROW()-4)</f>
        <v/>
      </c>
      <c r="B153" s="14" t="n"/>
      <c r="C153" s="15" t="n"/>
      <c r="D153" s="4" t="n"/>
      <c r="E153" s="4" t="n"/>
      <c r="F153" s="4" t="n"/>
      <c r="G153" s="15" t="n"/>
      <c r="H153" s="14" t="n"/>
      <c r="I153" s="15" t="n"/>
      <c r="J153" s="14" t="n"/>
      <c r="K153" s="15" t="n"/>
      <c r="L153" s="14" t="n"/>
      <c r="M153" s="4" t="n"/>
      <c r="N153" s="4" t="n"/>
      <c r="O153" s="4" t="n"/>
      <c r="P153" s="4" t="n"/>
      <c r="Q153" s="10">
        <f>IF(OR(H153="",I153="回答済み",I153="クローズ"),"",IF(H153&lt;TODAY(),"超過",IF(H153-TODAY()&lt;=3,"間近","")))</f>
        <v/>
      </c>
      <c r="R153" s="13">
        <f>IF(J153="","",IF(L153="",TODAY(),L153)-J153)</f>
        <v/>
      </c>
    </row>
    <row r="154">
      <c r="A154" s="10">
        <f>IF(D154="","",ROW()-4)</f>
        <v/>
      </c>
      <c r="B154" s="14" t="n"/>
      <c r="C154" s="15" t="n"/>
      <c r="D154" s="4" t="n"/>
      <c r="E154" s="4" t="n"/>
      <c r="F154" s="4" t="n"/>
      <c r="G154" s="15" t="n"/>
      <c r="H154" s="14" t="n"/>
      <c r="I154" s="15" t="n"/>
      <c r="J154" s="14" t="n"/>
      <c r="K154" s="15" t="n"/>
      <c r="L154" s="14" t="n"/>
      <c r="M154" s="4" t="n"/>
      <c r="N154" s="4" t="n"/>
      <c r="O154" s="4" t="n"/>
      <c r="P154" s="4" t="n"/>
      <c r="Q154" s="10">
        <f>IF(OR(H154="",I154="回答済み",I154="クローズ"),"",IF(H154&lt;TODAY(),"超過",IF(H154-TODAY()&lt;=3,"間近","")))</f>
        <v/>
      </c>
      <c r="R154" s="13">
        <f>IF(J154="","",IF(L154="",TODAY(),L154)-J154)</f>
        <v/>
      </c>
    </row>
    <row r="155">
      <c r="A155" s="10">
        <f>IF(D155="","",ROW()-4)</f>
        <v/>
      </c>
      <c r="B155" s="14" t="n"/>
      <c r="C155" s="15" t="n"/>
      <c r="D155" s="4" t="n"/>
      <c r="E155" s="4" t="n"/>
      <c r="F155" s="4" t="n"/>
      <c r="G155" s="15" t="n"/>
      <c r="H155" s="14" t="n"/>
      <c r="I155" s="15" t="n"/>
      <c r="J155" s="14" t="n"/>
      <c r="K155" s="15" t="n"/>
      <c r="L155" s="14" t="n"/>
      <c r="M155" s="4" t="n"/>
      <c r="N155" s="4" t="n"/>
      <c r="O155" s="4" t="n"/>
      <c r="P155" s="4" t="n"/>
      <c r="Q155" s="10">
        <f>IF(OR(H155="",I155="回答済み",I155="クローズ"),"",IF(H155&lt;TODAY(),"超過",IF(H155-TODAY()&lt;=3,"間近","")))</f>
        <v/>
      </c>
      <c r="R155" s="13">
        <f>IF(J155="","",IF(L155="",TODAY(),L155)-J155)</f>
        <v/>
      </c>
    </row>
    <row r="156">
      <c r="A156" s="10">
        <f>IF(D156="","",ROW()-4)</f>
        <v/>
      </c>
      <c r="B156" s="14" t="n"/>
      <c r="C156" s="15" t="n"/>
      <c r="D156" s="4" t="n"/>
      <c r="E156" s="4" t="n"/>
      <c r="F156" s="4" t="n"/>
      <c r="G156" s="15" t="n"/>
      <c r="H156" s="14" t="n"/>
      <c r="I156" s="15" t="n"/>
      <c r="J156" s="14" t="n"/>
      <c r="K156" s="15" t="n"/>
      <c r="L156" s="14" t="n"/>
      <c r="M156" s="4" t="n"/>
      <c r="N156" s="4" t="n"/>
      <c r="O156" s="4" t="n"/>
      <c r="P156" s="4" t="n"/>
      <c r="Q156" s="10">
        <f>IF(OR(H156="",I156="回答済み",I156="クローズ"),"",IF(H156&lt;TODAY(),"超過",IF(H156-TODAY()&lt;=3,"間近","")))</f>
        <v/>
      </c>
      <c r="R156" s="13">
        <f>IF(J156="","",IF(L156="",TODAY(),L156)-J156)</f>
        <v/>
      </c>
    </row>
    <row r="157">
      <c r="A157" s="10">
        <f>IF(D157="","",ROW()-4)</f>
        <v/>
      </c>
      <c r="B157" s="14" t="n"/>
      <c r="C157" s="15" t="n"/>
      <c r="D157" s="4" t="n"/>
      <c r="E157" s="4" t="n"/>
      <c r="F157" s="4" t="n"/>
      <c r="G157" s="15" t="n"/>
      <c r="H157" s="14" t="n"/>
      <c r="I157" s="15" t="n"/>
      <c r="J157" s="14" t="n"/>
      <c r="K157" s="15" t="n"/>
      <c r="L157" s="14" t="n"/>
      <c r="M157" s="4" t="n"/>
      <c r="N157" s="4" t="n"/>
      <c r="O157" s="4" t="n"/>
      <c r="P157" s="4" t="n"/>
      <c r="Q157" s="10">
        <f>IF(OR(H157="",I157="回答済み",I157="クローズ"),"",IF(H157&lt;TODAY(),"超過",IF(H157-TODAY()&lt;=3,"間近","")))</f>
        <v/>
      </c>
      <c r="R157" s="13">
        <f>IF(J157="","",IF(L157="",TODAY(),L157)-J157)</f>
        <v/>
      </c>
    </row>
    <row r="158">
      <c r="A158" s="10">
        <f>IF(D158="","",ROW()-4)</f>
        <v/>
      </c>
      <c r="B158" s="14" t="n"/>
      <c r="C158" s="15" t="n"/>
      <c r="D158" s="4" t="n"/>
      <c r="E158" s="4" t="n"/>
      <c r="F158" s="4" t="n"/>
      <c r="G158" s="15" t="n"/>
      <c r="H158" s="14" t="n"/>
      <c r="I158" s="15" t="n"/>
      <c r="J158" s="14" t="n"/>
      <c r="K158" s="15" t="n"/>
      <c r="L158" s="14" t="n"/>
      <c r="M158" s="4" t="n"/>
      <c r="N158" s="4" t="n"/>
      <c r="O158" s="4" t="n"/>
      <c r="P158" s="4" t="n"/>
      <c r="Q158" s="10">
        <f>IF(OR(H158="",I158="回答済み",I158="クローズ"),"",IF(H158&lt;TODAY(),"超過",IF(H158-TODAY()&lt;=3,"間近","")))</f>
        <v/>
      </c>
      <c r="R158" s="13">
        <f>IF(J158="","",IF(L158="",TODAY(),L158)-J158)</f>
        <v/>
      </c>
    </row>
    <row r="159">
      <c r="A159" s="10">
        <f>IF(D159="","",ROW()-4)</f>
        <v/>
      </c>
      <c r="B159" s="14" t="n"/>
      <c r="C159" s="15" t="n"/>
      <c r="D159" s="4" t="n"/>
      <c r="E159" s="4" t="n"/>
      <c r="F159" s="4" t="n"/>
      <c r="G159" s="15" t="n"/>
      <c r="H159" s="14" t="n"/>
      <c r="I159" s="15" t="n"/>
      <c r="J159" s="14" t="n"/>
      <c r="K159" s="15" t="n"/>
      <c r="L159" s="14" t="n"/>
      <c r="M159" s="4" t="n"/>
      <c r="N159" s="4" t="n"/>
      <c r="O159" s="4" t="n"/>
      <c r="P159" s="4" t="n"/>
      <c r="Q159" s="10">
        <f>IF(OR(H159="",I159="回答済み",I159="クローズ"),"",IF(H159&lt;TODAY(),"超過",IF(H159-TODAY()&lt;=3,"間近","")))</f>
        <v/>
      </c>
      <c r="R159" s="13">
        <f>IF(J159="","",IF(L159="",TODAY(),L159)-J159)</f>
        <v/>
      </c>
    </row>
    <row r="160">
      <c r="A160" s="10">
        <f>IF(D160="","",ROW()-4)</f>
        <v/>
      </c>
      <c r="B160" s="14" t="n"/>
      <c r="C160" s="15" t="n"/>
      <c r="D160" s="4" t="n"/>
      <c r="E160" s="4" t="n"/>
      <c r="F160" s="4" t="n"/>
      <c r="G160" s="15" t="n"/>
      <c r="H160" s="14" t="n"/>
      <c r="I160" s="15" t="n"/>
      <c r="J160" s="14" t="n"/>
      <c r="K160" s="15" t="n"/>
      <c r="L160" s="14" t="n"/>
      <c r="M160" s="4" t="n"/>
      <c r="N160" s="4" t="n"/>
      <c r="O160" s="4" t="n"/>
      <c r="P160" s="4" t="n"/>
      <c r="Q160" s="10">
        <f>IF(OR(H160="",I160="回答済み",I160="クローズ"),"",IF(H160&lt;TODAY(),"超過",IF(H160-TODAY()&lt;=3,"間近","")))</f>
        <v/>
      </c>
      <c r="R160" s="13">
        <f>IF(J160="","",IF(L160="",TODAY(),L160)-J160)</f>
        <v/>
      </c>
    </row>
    <row r="161">
      <c r="A161" s="10">
        <f>IF(D161="","",ROW()-4)</f>
        <v/>
      </c>
      <c r="B161" s="14" t="n"/>
      <c r="C161" s="15" t="n"/>
      <c r="D161" s="4" t="n"/>
      <c r="E161" s="4" t="n"/>
      <c r="F161" s="4" t="n"/>
      <c r="G161" s="15" t="n"/>
      <c r="H161" s="14" t="n"/>
      <c r="I161" s="15" t="n"/>
      <c r="J161" s="14" t="n"/>
      <c r="K161" s="15" t="n"/>
      <c r="L161" s="14" t="n"/>
      <c r="M161" s="4" t="n"/>
      <c r="N161" s="4" t="n"/>
      <c r="O161" s="4" t="n"/>
      <c r="P161" s="4" t="n"/>
      <c r="Q161" s="10">
        <f>IF(OR(H161="",I161="回答済み",I161="クローズ"),"",IF(H161&lt;TODAY(),"超過",IF(H161-TODAY()&lt;=3,"間近","")))</f>
        <v/>
      </c>
      <c r="R161" s="13">
        <f>IF(J161="","",IF(L161="",TODAY(),L161)-J161)</f>
        <v/>
      </c>
    </row>
    <row r="162">
      <c r="A162" s="10">
        <f>IF(D162="","",ROW()-4)</f>
        <v/>
      </c>
      <c r="B162" s="14" t="n"/>
      <c r="C162" s="15" t="n"/>
      <c r="D162" s="4" t="n"/>
      <c r="E162" s="4" t="n"/>
      <c r="F162" s="4" t="n"/>
      <c r="G162" s="15" t="n"/>
      <c r="H162" s="14" t="n"/>
      <c r="I162" s="15" t="n"/>
      <c r="J162" s="14" t="n"/>
      <c r="K162" s="15" t="n"/>
      <c r="L162" s="14" t="n"/>
      <c r="M162" s="4" t="n"/>
      <c r="N162" s="4" t="n"/>
      <c r="O162" s="4" t="n"/>
      <c r="P162" s="4" t="n"/>
      <c r="Q162" s="10">
        <f>IF(OR(H162="",I162="回答済み",I162="クローズ"),"",IF(H162&lt;TODAY(),"超過",IF(H162-TODAY()&lt;=3,"間近","")))</f>
        <v/>
      </c>
      <c r="R162" s="13">
        <f>IF(J162="","",IF(L162="",TODAY(),L162)-J162)</f>
        <v/>
      </c>
    </row>
    <row r="163">
      <c r="A163" s="10">
        <f>IF(D163="","",ROW()-4)</f>
        <v/>
      </c>
      <c r="B163" s="14" t="n"/>
      <c r="C163" s="15" t="n"/>
      <c r="D163" s="4" t="n"/>
      <c r="E163" s="4" t="n"/>
      <c r="F163" s="4" t="n"/>
      <c r="G163" s="15" t="n"/>
      <c r="H163" s="14" t="n"/>
      <c r="I163" s="15" t="n"/>
      <c r="J163" s="14" t="n"/>
      <c r="K163" s="15" t="n"/>
      <c r="L163" s="14" t="n"/>
      <c r="M163" s="4" t="n"/>
      <c r="N163" s="4" t="n"/>
      <c r="O163" s="4" t="n"/>
      <c r="P163" s="4" t="n"/>
      <c r="Q163" s="10">
        <f>IF(OR(H163="",I163="回答済み",I163="クローズ"),"",IF(H163&lt;TODAY(),"超過",IF(H163-TODAY()&lt;=3,"間近","")))</f>
        <v/>
      </c>
      <c r="R163" s="13">
        <f>IF(J163="","",IF(L163="",TODAY(),L163)-J163)</f>
        <v/>
      </c>
    </row>
    <row r="164">
      <c r="A164" s="10">
        <f>IF(D164="","",ROW()-4)</f>
        <v/>
      </c>
      <c r="B164" s="14" t="n"/>
      <c r="C164" s="15" t="n"/>
      <c r="D164" s="4" t="n"/>
      <c r="E164" s="4" t="n"/>
      <c r="F164" s="4" t="n"/>
      <c r="G164" s="15" t="n"/>
      <c r="H164" s="14" t="n"/>
      <c r="I164" s="15" t="n"/>
      <c r="J164" s="14" t="n"/>
      <c r="K164" s="15" t="n"/>
      <c r="L164" s="14" t="n"/>
      <c r="M164" s="4" t="n"/>
      <c r="N164" s="4" t="n"/>
      <c r="O164" s="4" t="n"/>
      <c r="P164" s="4" t="n"/>
      <c r="Q164" s="10">
        <f>IF(OR(H164="",I164="回答済み",I164="クローズ"),"",IF(H164&lt;TODAY(),"超過",IF(H164-TODAY()&lt;=3,"間近","")))</f>
        <v/>
      </c>
      <c r="R164" s="13">
        <f>IF(J164="","",IF(L164="",TODAY(),L164)-J164)</f>
        <v/>
      </c>
    </row>
    <row r="165">
      <c r="A165" s="10">
        <f>IF(D165="","",ROW()-4)</f>
        <v/>
      </c>
      <c r="B165" s="14" t="n"/>
      <c r="C165" s="15" t="n"/>
      <c r="D165" s="4" t="n"/>
      <c r="E165" s="4" t="n"/>
      <c r="F165" s="4" t="n"/>
      <c r="G165" s="15" t="n"/>
      <c r="H165" s="14" t="n"/>
      <c r="I165" s="15" t="n"/>
      <c r="J165" s="14" t="n"/>
      <c r="K165" s="15" t="n"/>
      <c r="L165" s="14" t="n"/>
      <c r="M165" s="4" t="n"/>
      <c r="N165" s="4" t="n"/>
      <c r="O165" s="4" t="n"/>
      <c r="P165" s="4" t="n"/>
      <c r="Q165" s="10">
        <f>IF(OR(H165="",I165="回答済み",I165="クローズ"),"",IF(H165&lt;TODAY(),"超過",IF(H165-TODAY()&lt;=3,"間近","")))</f>
        <v/>
      </c>
      <c r="R165" s="13">
        <f>IF(J165="","",IF(L165="",TODAY(),L165)-J165)</f>
        <v/>
      </c>
    </row>
    <row r="166">
      <c r="A166" s="10">
        <f>IF(D166="","",ROW()-4)</f>
        <v/>
      </c>
      <c r="B166" s="14" t="n"/>
      <c r="C166" s="15" t="n"/>
      <c r="D166" s="4" t="n"/>
      <c r="E166" s="4" t="n"/>
      <c r="F166" s="4" t="n"/>
      <c r="G166" s="15" t="n"/>
      <c r="H166" s="14" t="n"/>
      <c r="I166" s="15" t="n"/>
      <c r="J166" s="14" t="n"/>
      <c r="K166" s="15" t="n"/>
      <c r="L166" s="14" t="n"/>
      <c r="M166" s="4" t="n"/>
      <c r="N166" s="4" t="n"/>
      <c r="O166" s="4" t="n"/>
      <c r="P166" s="4" t="n"/>
      <c r="Q166" s="10">
        <f>IF(OR(H166="",I166="回答済み",I166="クローズ"),"",IF(H166&lt;TODAY(),"超過",IF(H166-TODAY()&lt;=3,"間近","")))</f>
        <v/>
      </c>
      <c r="R166" s="13">
        <f>IF(J166="","",IF(L166="",TODAY(),L166)-J166)</f>
        <v/>
      </c>
    </row>
    <row r="167">
      <c r="A167" s="10">
        <f>IF(D167="","",ROW()-4)</f>
        <v/>
      </c>
      <c r="B167" s="14" t="n"/>
      <c r="C167" s="15" t="n"/>
      <c r="D167" s="4" t="n"/>
      <c r="E167" s="4" t="n"/>
      <c r="F167" s="4" t="n"/>
      <c r="G167" s="15" t="n"/>
      <c r="H167" s="14" t="n"/>
      <c r="I167" s="15" t="n"/>
      <c r="J167" s="14" t="n"/>
      <c r="K167" s="15" t="n"/>
      <c r="L167" s="14" t="n"/>
      <c r="M167" s="4" t="n"/>
      <c r="N167" s="4" t="n"/>
      <c r="O167" s="4" t="n"/>
      <c r="P167" s="4" t="n"/>
      <c r="Q167" s="10">
        <f>IF(OR(H167="",I167="回答済み",I167="クローズ"),"",IF(H167&lt;TODAY(),"超過",IF(H167-TODAY()&lt;=3,"間近","")))</f>
        <v/>
      </c>
      <c r="R167" s="13">
        <f>IF(J167="","",IF(L167="",TODAY(),L167)-J167)</f>
        <v/>
      </c>
    </row>
    <row r="168">
      <c r="A168" s="10">
        <f>IF(D168="","",ROW()-4)</f>
        <v/>
      </c>
      <c r="B168" s="14" t="n"/>
      <c r="C168" s="15" t="n"/>
      <c r="D168" s="4" t="n"/>
      <c r="E168" s="4" t="n"/>
      <c r="F168" s="4" t="n"/>
      <c r="G168" s="15" t="n"/>
      <c r="H168" s="14" t="n"/>
      <c r="I168" s="15" t="n"/>
      <c r="J168" s="14" t="n"/>
      <c r="K168" s="15" t="n"/>
      <c r="L168" s="14" t="n"/>
      <c r="M168" s="4" t="n"/>
      <c r="N168" s="4" t="n"/>
      <c r="O168" s="4" t="n"/>
      <c r="P168" s="4" t="n"/>
      <c r="Q168" s="10">
        <f>IF(OR(H168="",I168="回答済み",I168="クローズ"),"",IF(H168&lt;TODAY(),"超過",IF(H168-TODAY()&lt;=3,"間近","")))</f>
        <v/>
      </c>
      <c r="R168" s="13">
        <f>IF(J168="","",IF(L168="",TODAY(),L168)-J168)</f>
        <v/>
      </c>
    </row>
    <row r="169">
      <c r="A169" s="10">
        <f>IF(D169="","",ROW()-4)</f>
        <v/>
      </c>
      <c r="B169" s="14" t="n"/>
      <c r="C169" s="15" t="n"/>
      <c r="D169" s="4" t="n"/>
      <c r="E169" s="4" t="n"/>
      <c r="F169" s="4" t="n"/>
      <c r="G169" s="15" t="n"/>
      <c r="H169" s="14" t="n"/>
      <c r="I169" s="15" t="n"/>
      <c r="J169" s="14" t="n"/>
      <c r="K169" s="15" t="n"/>
      <c r="L169" s="14" t="n"/>
      <c r="M169" s="4" t="n"/>
      <c r="N169" s="4" t="n"/>
      <c r="O169" s="4" t="n"/>
      <c r="P169" s="4" t="n"/>
      <c r="Q169" s="10">
        <f>IF(OR(H169="",I169="回答済み",I169="クローズ"),"",IF(H169&lt;TODAY(),"超過",IF(H169-TODAY()&lt;=3,"間近","")))</f>
        <v/>
      </c>
      <c r="R169" s="13">
        <f>IF(J169="","",IF(L169="",TODAY(),L169)-J169)</f>
        <v/>
      </c>
    </row>
    <row r="170">
      <c r="A170" s="10">
        <f>IF(D170="","",ROW()-4)</f>
        <v/>
      </c>
      <c r="B170" s="14" t="n"/>
      <c r="C170" s="15" t="n"/>
      <c r="D170" s="4" t="n"/>
      <c r="E170" s="4" t="n"/>
      <c r="F170" s="4" t="n"/>
      <c r="G170" s="15" t="n"/>
      <c r="H170" s="14" t="n"/>
      <c r="I170" s="15" t="n"/>
      <c r="J170" s="14" t="n"/>
      <c r="K170" s="15" t="n"/>
      <c r="L170" s="14" t="n"/>
      <c r="M170" s="4" t="n"/>
      <c r="N170" s="4" t="n"/>
      <c r="O170" s="4" t="n"/>
      <c r="P170" s="4" t="n"/>
      <c r="Q170" s="10">
        <f>IF(OR(H170="",I170="回答済み",I170="クローズ"),"",IF(H170&lt;TODAY(),"超過",IF(H170-TODAY()&lt;=3,"間近","")))</f>
        <v/>
      </c>
      <c r="R170" s="13">
        <f>IF(J170="","",IF(L170="",TODAY(),L170)-J170)</f>
        <v/>
      </c>
    </row>
    <row r="171">
      <c r="A171" s="10">
        <f>IF(D171="","",ROW()-4)</f>
        <v/>
      </c>
      <c r="B171" s="14" t="n"/>
      <c r="C171" s="15" t="n"/>
      <c r="D171" s="4" t="n"/>
      <c r="E171" s="4" t="n"/>
      <c r="F171" s="4" t="n"/>
      <c r="G171" s="15" t="n"/>
      <c r="H171" s="14" t="n"/>
      <c r="I171" s="15" t="n"/>
      <c r="J171" s="14" t="n"/>
      <c r="K171" s="15" t="n"/>
      <c r="L171" s="14" t="n"/>
      <c r="M171" s="4" t="n"/>
      <c r="N171" s="4" t="n"/>
      <c r="O171" s="4" t="n"/>
      <c r="P171" s="4" t="n"/>
      <c r="Q171" s="10">
        <f>IF(OR(H171="",I171="回答済み",I171="クローズ"),"",IF(H171&lt;TODAY(),"超過",IF(H171-TODAY()&lt;=3,"間近","")))</f>
        <v/>
      </c>
      <c r="R171" s="13">
        <f>IF(J171="","",IF(L171="",TODAY(),L171)-J171)</f>
        <v/>
      </c>
    </row>
    <row r="172">
      <c r="A172" s="10">
        <f>IF(D172="","",ROW()-4)</f>
        <v/>
      </c>
      <c r="B172" s="14" t="n"/>
      <c r="C172" s="15" t="n"/>
      <c r="D172" s="4" t="n"/>
      <c r="E172" s="4" t="n"/>
      <c r="F172" s="4" t="n"/>
      <c r="G172" s="15" t="n"/>
      <c r="H172" s="14" t="n"/>
      <c r="I172" s="15" t="n"/>
      <c r="J172" s="14" t="n"/>
      <c r="K172" s="15" t="n"/>
      <c r="L172" s="14" t="n"/>
      <c r="M172" s="4" t="n"/>
      <c r="N172" s="4" t="n"/>
      <c r="O172" s="4" t="n"/>
      <c r="P172" s="4" t="n"/>
      <c r="Q172" s="10">
        <f>IF(OR(H172="",I172="回答済み",I172="クローズ"),"",IF(H172&lt;TODAY(),"超過",IF(H172-TODAY()&lt;=3,"間近","")))</f>
        <v/>
      </c>
      <c r="R172" s="13">
        <f>IF(J172="","",IF(L172="",TODAY(),L172)-J172)</f>
        <v/>
      </c>
    </row>
    <row r="173">
      <c r="A173" s="10">
        <f>IF(D173="","",ROW()-4)</f>
        <v/>
      </c>
      <c r="B173" s="14" t="n"/>
      <c r="C173" s="15" t="n"/>
      <c r="D173" s="4" t="n"/>
      <c r="E173" s="4" t="n"/>
      <c r="F173" s="4" t="n"/>
      <c r="G173" s="15" t="n"/>
      <c r="H173" s="14" t="n"/>
      <c r="I173" s="15" t="n"/>
      <c r="J173" s="14" t="n"/>
      <c r="K173" s="15" t="n"/>
      <c r="L173" s="14" t="n"/>
      <c r="M173" s="4" t="n"/>
      <c r="N173" s="4" t="n"/>
      <c r="O173" s="4" t="n"/>
      <c r="P173" s="4" t="n"/>
      <c r="Q173" s="10">
        <f>IF(OR(H173="",I173="回答済み",I173="クローズ"),"",IF(H173&lt;TODAY(),"超過",IF(H173-TODAY()&lt;=3,"間近","")))</f>
        <v/>
      </c>
      <c r="R173" s="13">
        <f>IF(J173="","",IF(L173="",TODAY(),L173)-J173)</f>
        <v/>
      </c>
    </row>
    <row r="174">
      <c r="A174" s="10">
        <f>IF(D174="","",ROW()-4)</f>
        <v/>
      </c>
      <c r="B174" s="14" t="n"/>
      <c r="C174" s="15" t="n"/>
      <c r="D174" s="4" t="n"/>
      <c r="E174" s="4" t="n"/>
      <c r="F174" s="4" t="n"/>
      <c r="G174" s="15" t="n"/>
      <c r="H174" s="14" t="n"/>
      <c r="I174" s="15" t="n"/>
      <c r="J174" s="14" t="n"/>
      <c r="K174" s="15" t="n"/>
      <c r="L174" s="14" t="n"/>
      <c r="M174" s="4" t="n"/>
      <c r="N174" s="4" t="n"/>
      <c r="O174" s="4" t="n"/>
      <c r="P174" s="4" t="n"/>
      <c r="Q174" s="10">
        <f>IF(OR(H174="",I174="回答済み",I174="クローズ"),"",IF(H174&lt;TODAY(),"超過",IF(H174-TODAY()&lt;=3,"間近","")))</f>
        <v/>
      </c>
      <c r="R174" s="13">
        <f>IF(J174="","",IF(L174="",TODAY(),L174)-J174)</f>
        <v/>
      </c>
    </row>
    <row r="175">
      <c r="A175" s="10">
        <f>IF(D175="","",ROW()-4)</f>
        <v/>
      </c>
      <c r="B175" s="14" t="n"/>
      <c r="C175" s="15" t="n"/>
      <c r="D175" s="4" t="n"/>
      <c r="E175" s="4" t="n"/>
      <c r="F175" s="4" t="n"/>
      <c r="G175" s="15" t="n"/>
      <c r="H175" s="14" t="n"/>
      <c r="I175" s="15" t="n"/>
      <c r="J175" s="14" t="n"/>
      <c r="K175" s="15" t="n"/>
      <c r="L175" s="14" t="n"/>
      <c r="M175" s="4" t="n"/>
      <c r="N175" s="4" t="n"/>
      <c r="O175" s="4" t="n"/>
      <c r="P175" s="4" t="n"/>
      <c r="Q175" s="10">
        <f>IF(OR(H175="",I175="回答済み",I175="クローズ"),"",IF(H175&lt;TODAY(),"超過",IF(H175-TODAY()&lt;=3,"間近","")))</f>
        <v/>
      </c>
      <c r="R175" s="13">
        <f>IF(J175="","",IF(L175="",TODAY(),L175)-J175)</f>
        <v/>
      </c>
    </row>
    <row r="176">
      <c r="A176" s="10">
        <f>IF(D176="","",ROW()-4)</f>
        <v/>
      </c>
      <c r="B176" s="14" t="n"/>
      <c r="C176" s="15" t="n"/>
      <c r="D176" s="4" t="n"/>
      <c r="E176" s="4" t="n"/>
      <c r="F176" s="4" t="n"/>
      <c r="G176" s="15" t="n"/>
      <c r="H176" s="14" t="n"/>
      <c r="I176" s="15" t="n"/>
      <c r="J176" s="14" t="n"/>
      <c r="K176" s="15" t="n"/>
      <c r="L176" s="14" t="n"/>
      <c r="M176" s="4" t="n"/>
      <c r="N176" s="4" t="n"/>
      <c r="O176" s="4" t="n"/>
      <c r="P176" s="4" t="n"/>
      <c r="Q176" s="10">
        <f>IF(OR(H176="",I176="回答済み",I176="クローズ"),"",IF(H176&lt;TODAY(),"超過",IF(H176-TODAY()&lt;=3,"間近","")))</f>
        <v/>
      </c>
      <c r="R176" s="13">
        <f>IF(J176="","",IF(L176="",TODAY(),L176)-J176)</f>
        <v/>
      </c>
    </row>
    <row r="177">
      <c r="A177" s="10">
        <f>IF(D177="","",ROW()-4)</f>
        <v/>
      </c>
      <c r="B177" s="14" t="n"/>
      <c r="C177" s="15" t="n"/>
      <c r="D177" s="4" t="n"/>
      <c r="E177" s="4" t="n"/>
      <c r="F177" s="4" t="n"/>
      <c r="G177" s="15" t="n"/>
      <c r="H177" s="14" t="n"/>
      <c r="I177" s="15" t="n"/>
      <c r="J177" s="14" t="n"/>
      <c r="K177" s="15" t="n"/>
      <c r="L177" s="14" t="n"/>
      <c r="M177" s="4" t="n"/>
      <c r="N177" s="4" t="n"/>
      <c r="O177" s="4" t="n"/>
      <c r="P177" s="4" t="n"/>
      <c r="Q177" s="10">
        <f>IF(OR(H177="",I177="回答済み",I177="クローズ"),"",IF(H177&lt;TODAY(),"超過",IF(H177-TODAY()&lt;=3,"間近","")))</f>
        <v/>
      </c>
      <c r="R177" s="13">
        <f>IF(J177="","",IF(L177="",TODAY(),L177)-J177)</f>
        <v/>
      </c>
    </row>
    <row r="178">
      <c r="A178" s="10">
        <f>IF(D178="","",ROW()-4)</f>
        <v/>
      </c>
      <c r="B178" s="14" t="n"/>
      <c r="C178" s="15" t="n"/>
      <c r="D178" s="4" t="n"/>
      <c r="E178" s="4" t="n"/>
      <c r="F178" s="4" t="n"/>
      <c r="G178" s="15" t="n"/>
      <c r="H178" s="14" t="n"/>
      <c r="I178" s="15" t="n"/>
      <c r="J178" s="14" t="n"/>
      <c r="K178" s="15" t="n"/>
      <c r="L178" s="14" t="n"/>
      <c r="M178" s="4" t="n"/>
      <c r="N178" s="4" t="n"/>
      <c r="O178" s="4" t="n"/>
      <c r="P178" s="4" t="n"/>
      <c r="Q178" s="10">
        <f>IF(OR(H178="",I178="回答済み",I178="クローズ"),"",IF(H178&lt;TODAY(),"超過",IF(H178-TODAY()&lt;=3,"間近","")))</f>
        <v/>
      </c>
      <c r="R178" s="13">
        <f>IF(J178="","",IF(L178="",TODAY(),L178)-J178)</f>
        <v/>
      </c>
    </row>
    <row r="179">
      <c r="A179" s="10">
        <f>IF(D179="","",ROW()-4)</f>
        <v/>
      </c>
      <c r="B179" s="14" t="n"/>
      <c r="C179" s="15" t="n"/>
      <c r="D179" s="4" t="n"/>
      <c r="E179" s="4" t="n"/>
      <c r="F179" s="4" t="n"/>
      <c r="G179" s="15" t="n"/>
      <c r="H179" s="14" t="n"/>
      <c r="I179" s="15" t="n"/>
      <c r="J179" s="14" t="n"/>
      <c r="K179" s="15" t="n"/>
      <c r="L179" s="14" t="n"/>
      <c r="M179" s="4" t="n"/>
      <c r="N179" s="4" t="n"/>
      <c r="O179" s="4" t="n"/>
      <c r="P179" s="4" t="n"/>
      <c r="Q179" s="10">
        <f>IF(OR(H179="",I179="回答済み",I179="クローズ"),"",IF(H179&lt;TODAY(),"超過",IF(H179-TODAY()&lt;=3,"間近","")))</f>
        <v/>
      </c>
      <c r="R179" s="13">
        <f>IF(J179="","",IF(L179="",TODAY(),L179)-J179)</f>
        <v/>
      </c>
    </row>
    <row r="180">
      <c r="A180" s="10">
        <f>IF(D180="","",ROW()-4)</f>
        <v/>
      </c>
      <c r="B180" s="14" t="n"/>
      <c r="C180" s="15" t="n"/>
      <c r="D180" s="4" t="n"/>
      <c r="E180" s="4" t="n"/>
      <c r="F180" s="4" t="n"/>
      <c r="G180" s="15" t="n"/>
      <c r="H180" s="14" t="n"/>
      <c r="I180" s="15" t="n"/>
      <c r="J180" s="14" t="n"/>
      <c r="K180" s="15" t="n"/>
      <c r="L180" s="14" t="n"/>
      <c r="M180" s="4" t="n"/>
      <c r="N180" s="4" t="n"/>
      <c r="O180" s="4" t="n"/>
      <c r="P180" s="4" t="n"/>
      <c r="Q180" s="10">
        <f>IF(OR(H180="",I180="回答済み",I180="クローズ"),"",IF(H180&lt;TODAY(),"超過",IF(H180-TODAY()&lt;=3,"間近","")))</f>
        <v/>
      </c>
      <c r="R180" s="13">
        <f>IF(J180="","",IF(L180="",TODAY(),L180)-J180)</f>
        <v/>
      </c>
    </row>
    <row r="181">
      <c r="A181" s="10">
        <f>IF(D181="","",ROW()-4)</f>
        <v/>
      </c>
      <c r="B181" s="14" t="n"/>
      <c r="C181" s="15" t="n"/>
      <c r="D181" s="4" t="n"/>
      <c r="E181" s="4" t="n"/>
      <c r="F181" s="4" t="n"/>
      <c r="G181" s="15" t="n"/>
      <c r="H181" s="14" t="n"/>
      <c r="I181" s="15" t="n"/>
      <c r="J181" s="14" t="n"/>
      <c r="K181" s="15" t="n"/>
      <c r="L181" s="14" t="n"/>
      <c r="M181" s="4" t="n"/>
      <c r="N181" s="4" t="n"/>
      <c r="O181" s="4" t="n"/>
      <c r="P181" s="4" t="n"/>
      <c r="Q181" s="10">
        <f>IF(OR(H181="",I181="回答済み",I181="クローズ"),"",IF(H181&lt;TODAY(),"超過",IF(H181-TODAY()&lt;=3,"間近","")))</f>
        <v/>
      </c>
      <c r="R181" s="13">
        <f>IF(J181="","",IF(L181="",TODAY(),L181)-J181)</f>
        <v/>
      </c>
    </row>
    <row r="182">
      <c r="A182" s="10">
        <f>IF(D182="","",ROW()-4)</f>
        <v/>
      </c>
      <c r="B182" s="14" t="n"/>
      <c r="C182" s="15" t="n"/>
      <c r="D182" s="4" t="n"/>
      <c r="E182" s="4" t="n"/>
      <c r="F182" s="4" t="n"/>
      <c r="G182" s="15" t="n"/>
      <c r="H182" s="14" t="n"/>
      <c r="I182" s="15" t="n"/>
      <c r="J182" s="14" t="n"/>
      <c r="K182" s="15" t="n"/>
      <c r="L182" s="14" t="n"/>
      <c r="M182" s="4" t="n"/>
      <c r="N182" s="4" t="n"/>
      <c r="O182" s="4" t="n"/>
      <c r="P182" s="4" t="n"/>
      <c r="Q182" s="10">
        <f>IF(OR(H182="",I182="回答済み",I182="クローズ"),"",IF(H182&lt;TODAY(),"超過",IF(H182-TODAY()&lt;=3,"間近","")))</f>
        <v/>
      </c>
      <c r="R182" s="13">
        <f>IF(J182="","",IF(L182="",TODAY(),L182)-J182)</f>
        <v/>
      </c>
    </row>
    <row r="183">
      <c r="A183" s="10">
        <f>IF(D183="","",ROW()-4)</f>
        <v/>
      </c>
      <c r="B183" s="14" t="n"/>
      <c r="C183" s="15" t="n"/>
      <c r="D183" s="4" t="n"/>
      <c r="E183" s="4" t="n"/>
      <c r="F183" s="4" t="n"/>
      <c r="G183" s="15" t="n"/>
      <c r="H183" s="14" t="n"/>
      <c r="I183" s="15" t="n"/>
      <c r="J183" s="14" t="n"/>
      <c r="K183" s="15" t="n"/>
      <c r="L183" s="14" t="n"/>
      <c r="M183" s="4" t="n"/>
      <c r="N183" s="4" t="n"/>
      <c r="O183" s="4" t="n"/>
      <c r="P183" s="4" t="n"/>
      <c r="Q183" s="10">
        <f>IF(OR(H183="",I183="回答済み",I183="クローズ"),"",IF(H183&lt;TODAY(),"超過",IF(H183-TODAY()&lt;=3,"間近","")))</f>
        <v/>
      </c>
      <c r="R183" s="13">
        <f>IF(J183="","",IF(L183="",TODAY(),L183)-J183)</f>
        <v/>
      </c>
    </row>
    <row r="184">
      <c r="A184" s="10">
        <f>IF(D184="","",ROW()-4)</f>
        <v/>
      </c>
      <c r="B184" s="14" t="n"/>
      <c r="C184" s="15" t="n"/>
      <c r="D184" s="4" t="n"/>
      <c r="E184" s="4" t="n"/>
      <c r="F184" s="4" t="n"/>
      <c r="G184" s="15" t="n"/>
      <c r="H184" s="14" t="n"/>
      <c r="I184" s="15" t="n"/>
      <c r="J184" s="14" t="n"/>
      <c r="K184" s="15" t="n"/>
      <c r="L184" s="14" t="n"/>
      <c r="M184" s="4" t="n"/>
      <c r="N184" s="4" t="n"/>
      <c r="O184" s="4" t="n"/>
      <c r="P184" s="4" t="n"/>
      <c r="Q184" s="10">
        <f>IF(OR(H184="",I184="回答済み",I184="クローズ"),"",IF(H184&lt;TODAY(),"超過",IF(H184-TODAY()&lt;=3,"間近","")))</f>
        <v/>
      </c>
      <c r="R184" s="13">
        <f>IF(J184="","",IF(L184="",TODAY(),L184)-J184)</f>
        <v/>
      </c>
    </row>
    <row r="185">
      <c r="A185" s="10">
        <f>IF(D185="","",ROW()-4)</f>
        <v/>
      </c>
      <c r="B185" s="14" t="n"/>
      <c r="C185" s="15" t="n"/>
      <c r="D185" s="4" t="n"/>
      <c r="E185" s="4" t="n"/>
      <c r="F185" s="4" t="n"/>
      <c r="G185" s="15" t="n"/>
      <c r="H185" s="14" t="n"/>
      <c r="I185" s="15" t="n"/>
      <c r="J185" s="14" t="n"/>
      <c r="K185" s="15" t="n"/>
      <c r="L185" s="14" t="n"/>
      <c r="M185" s="4" t="n"/>
      <c r="N185" s="4" t="n"/>
      <c r="O185" s="4" t="n"/>
      <c r="P185" s="4" t="n"/>
      <c r="Q185" s="10">
        <f>IF(OR(H185="",I185="回答済み",I185="クローズ"),"",IF(H185&lt;TODAY(),"超過",IF(H185-TODAY()&lt;=3,"間近","")))</f>
        <v/>
      </c>
      <c r="R185" s="13">
        <f>IF(J185="","",IF(L185="",TODAY(),L185)-J185)</f>
        <v/>
      </c>
    </row>
    <row r="186">
      <c r="A186" s="10">
        <f>IF(D186="","",ROW()-4)</f>
        <v/>
      </c>
      <c r="B186" s="14" t="n"/>
      <c r="C186" s="15" t="n"/>
      <c r="D186" s="4" t="n"/>
      <c r="E186" s="4" t="n"/>
      <c r="F186" s="4" t="n"/>
      <c r="G186" s="15" t="n"/>
      <c r="H186" s="14" t="n"/>
      <c r="I186" s="15" t="n"/>
      <c r="J186" s="14" t="n"/>
      <c r="K186" s="15" t="n"/>
      <c r="L186" s="14" t="n"/>
      <c r="M186" s="4" t="n"/>
      <c r="N186" s="4" t="n"/>
      <c r="O186" s="4" t="n"/>
      <c r="P186" s="4" t="n"/>
      <c r="Q186" s="10">
        <f>IF(OR(H186="",I186="回答済み",I186="クローズ"),"",IF(H186&lt;TODAY(),"超過",IF(H186-TODAY()&lt;=3,"間近","")))</f>
        <v/>
      </c>
      <c r="R186" s="13">
        <f>IF(J186="","",IF(L186="",TODAY(),L186)-J186)</f>
        <v/>
      </c>
    </row>
    <row r="187">
      <c r="A187" s="10">
        <f>IF(D187="","",ROW()-4)</f>
        <v/>
      </c>
      <c r="B187" s="14" t="n"/>
      <c r="C187" s="15" t="n"/>
      <c r="D187" s="4" t="n"/>
      <c r="E187" s="4" t="n"/>
      <c r="F187" s="4" t="n"/>
      <c r="G187" s="15" t="n"/>
      <c r="H187" s="14" t="n"/>
      <c r="I187" s="15" t="n"/>
      <c r="J187" s="14" t="n"/>
      <c r="K187" s="15" t="n"/>
      <c r="L187" s="14" t="n"/>
      <c r="M187" s="4" t="n"/>
      <c r="N187" s="4" t="n"/>
      <c r="O187" s="4" t="n"/>
      <c r="P187" s="4" t="n"/>
      <c r="Q187" s="10">
        <f>IF(OR(H187="",I187="回答済み",I187="クローズ"),"",IF(H187&lt;TODAY(),"超過",IF(H187-TODAY()&lt;=3,"間近","")))</f>
        <v/>
      </c>
      <c r="R187" s="13">
        <f>IF(J187="","",IF(L187="",TODAY(),L187)-J187)</f>
        <v/>
      </c>
    </row>
    <row r="188">
      <c r="A188" s="10">
        <f>IF(D188="","",ROW()-4)</f>
        <v/>
      </c>
      <c r="B188" s="14" t="n"/>
      <c r="C188" s="15" t="n"/>
      <c r="D188" s="4" t="n"/>
      <c r="E188" s="4" t="n"/>
      <c r="F188" s="4" t="n"/>
      <c r="G188" s="15" t="n"/>
      <c r="H188" s="14" t="n"/>
      <c r="I188" s="15" t="n"/>
      <c r="J188" s="14" t="n"/>
      <c r="K188" s="15" t="n"/>
      <c r="L188" s="14" t="n"/>
      <c r="M188" s="4" t="n"/>
      <c r="N188" s="4" t="n"/>
      <c r="O188" s="4" t="n"/>
      <c r="P188" s="4" t="n"/>
      <c r="Q188" s="10">
        <f>IF(OR(H188="",I188="回答済み",I188="クローズ"),"",IF(H188&lt;TODAY(),"超過",IF(H188-TODAY()&lt;=3,"間近","")))</f>
        <v/>
      </c>
      <c r="R188" s="13">
        <f>IF(J188="","",IF(L188="",TODAY(),L188)-J188)</f>
        <v/>
      </c>
    </row>
    <row r="189">
      <c r="A189" s="10">
        <f>IF(D189="","",ROW()-4)</f>
        <v/>
      </c>
      <c r="B189" s="14" t="n"/>
      <c r="C189" s="15" t="n"/>
      <c r="D189" s="4" t="n"/>
      <c r="E189" s="4" t="n"/>
      <c r="F189" s="4" t="n"/>
      <c r="G189" s="15" t="n"/>
      <c r="H189" s="14" t="n"/>
      <c r="I189" s="15" t="n"/>
      <c r="J189" s="14" t="n"/>
      <c r="K189" s="15" t="n"/>
      <c r="L189" s="14" t="n"/>
      <c r="M189" s="4" t="n"/>
      <c r="N189" s="4" t="n"/>
      <c r="O189" s="4" t="n"/>
      <c r="P189" s="4" t="n"/>
      <c r="Q189" s="10">
        <f>IF(OR(H189="",I189="回答済み",I189="クローズ"),"",IF(H189&lt;TODAY(),"超過",IF(H189-TODAY()&lt;=3,"間近","")))</f>
        <v/>
      </c>
      <c r="R189" s="13">
        <f>IF(J189="","",IF(L189="",TODAY(),L189)-J189)</f>
        <v/>
      </c>
    </row>
    <row r="190">
      <c r="A190" s="10">
        <f>IF(D190="","",ROW()-4)</f>
        <v/>
      </c>
      <c r="B190" s="14" t="n"/>
      <c r="C190" s="15" t="n"/>
      <c r="D190" s="4" t="n"/>
      <c r="E190" s="4" t="n"/>
      <c r="F190" s="4" t="n"/>
      <c r="G190" s="15" t="n"/>
      <c r="H190" s="14" t="n"/>
      <c r="I190" s="15" t="n"/>
      <c r="J190" s="14" t="n"/>
      <c r="K190" s="15" t="n"/>
      <c r="L190" s="14" t="n"/>
      <c r="M190" s="4" t="n"/>
      <c r="N190" s="4" t="n"/>
      <c r="O190" s="4" t="n"/>
      <c r="P190" s="4" t="n"/>
      <c r="Q190" s="10">
        <f>IF(OR(H190="",I190="回答済み",I190="クローズ"),"",IF(H190&lt;TODAY(),"超過",IF(H190-TODAY()&lt;=3,"間近","")))</f>
        <v/>
      </c>
      <c r="R190" s="13">
        <f>IF(J190="","",IF(L190="",TODAY(),L190)-J190)</f>
        <v/>
      </c>
    </row>
    <row r="191">
      <c r="A191" s="10">
        <f>IF(D191="","",ROW()-4)</f>
        <v/>
      </c>
      <c r="B191" s="14" t="n"/>
      <c r="C191" s="15" t="n"/>
      <c r="D191" s="4" t="n"/>
      <c r="E191" s="4" t="n"/>
      <c r="F191" s="4" t="n"/>
      <c r="G191" s="15" t="n"/>
      <c r="H191" s="14" t="n"/>
      <c r="I191" s="15" t="n"/>
      <c r="J191" s="14" t="n"/>
      <c r="K191" s="15" t="n"/>
      <c r="L191" s="14" t="n"/>
      <c r="M191" s="4" t="n"/>
      <c r="N191" s="4" t="n"/>
      <c r="O191" s="4" t="n"/>
      <c r="P191" s="4" t="n"/>
      <c r="Q191" s="10">
        <f>IF(OR(H191="",I191="回答済み",I191="クローズ"),"",IF(H191&lt;TODAY(),"超過",IF(H191-TODAY()&lt;=3,"間近","")))</f>
        <v/>
      </c>
      <c r="R191" s="13">
        <f>IF(J191="","",IF(L191="",TODAY(),L191)-J191)</f>
        <v/>
      </c>
    </row>
    <row r="192">
      <c r="A192" s="10">
        <f>IF(D192="","",ROW()-4)</f>
        <v/>
      </c>
      <c r="B192" s="14" t="n"/>
      <c r="C192" s="15" t="n"/>
      <c r="D192" s="4" t="n"/>
      <c r="E192" s="4" t="n"/>
      <c r="F192" s="4" t="n"/>
      <c r="G192" s="15" t="n"/>
      <c r="H192" s="14" t="n"/>
      <c r="I192" s="15" t="n"/>
      <c r="J192" s="14" t="n"/>
      <c r="K192" s="15" t="n"/>
      <c r="L192" s="14" t="n"/>
      <c r="M192" s="4" t="n"/>
      <c r="N192" s="4" t="n"/>
      <c r="O192" s="4" t="n"/>
      <c r="P192" s="4" t="n"/>
      <c r="Q192" s="10">
        <f>IF(OR(H192="",I192="回答済み",I192="クローズ"),"",IF(H192&lt;TODAY(),"超過",IF(H192-TODAY()&lt;=3,"間近","")))</f>
        <v/>
      </c>
      <c r="R192" s="13">
        <f>IF(J192="","",IF(L192="",TODAY(),L192)-J192)</f>
        <v/>
      </c>
    </row>
    <row r="193">
      <c r="A193" s="10">
        <f>IF(D193="","",ROW()-4)</f>
        <v/>
      </c>
      <c r="B193" s="14" t="n"/>
      <c r="C193" s="15" t="n"/>
      <c r="D193" s="4" t="n"/>
      <c r="E193" s="4" t="n"/>
      <c r="F193" s="4" t="n"/>
      <c r="G193" s="15" t="n"/>
      <c r="H193" s="14" t="n"/>
      <c r="I193" s="15" t="n"/>
      <c r="J193" s="14" t="n"/>
      <c r="K193" s="15" t="n"/>
      <c r="L193" s="14" t="n"/>
      <c r="M193" s="4" t="n"/>
      <c r="N193" s="4" t="n"/>
      <c r="O193" s="4" t="n"/>
      <c r="P193" s="4" t="n"/>
      <c r="Q193" s="10">
        <f>IF(OR(H193="",I193="回答済み",I193="クローズ"),"",IF(H193&lt;TODAY(),"超過",IF(H193-TODAY()&lt;=3,"間近","")))</f>
        <v/>
      </c>
      <c r="R193" s="13">
        <f>IF(J193="","",IF(L193="",TODAY(),L193)-J193)</f>
        <v/>
      </c>
    </row>
    <row r="194">
      <c r="A194" s="10">
        <f>IF(D194="","",ROW()-4)</f>
        <v/>
      </c>
      <c r="B194" s="14" t="n"/>
      <c r="C194" s="15" t="n"/>
      <c r="D194" s="4" t="n"/>
      <c r="E194" s="4" t="n"/>
      <c r="F194" s="4" t="n"/>
      <c r="G194" s="15" t="n"/>
      <c r="H194" s="14" t="n"/>
      <c r="I194" s="15" t="n"/>
      <c r="J194" s="14" t="n"/>
      <c r="K194" s="15" t="n"/>
      <c r="L194" s="14" t="n"/>
      <c r="M194" s="4" t="n"/>
      <c r="N194" s="4" t="n"/>
      <c r="O194" s="4" t="n"/>
      <c r="P194" s="4" t="n"/>
      <c r="Q194" s="10">
        <f>IF(OR(H194="",I194="回答済み",I194="クローズ"),"",IF(H194&lt;TODAY(),"超過",IF(H194-TODAY()&lt;=3,"間近","")))</f>
        <v/>
      </c>
      <c r="R194" s="13">
        <f>IF(J194="","",IF(L194="",TODAY(),L194)-J194)</f>
        <v/>
      </c>
    </row>
    <row r="195">
      <c r="A195" s="10">
        <f>IF(D195="","",ROW()-4)</f>
        <v/>
      </c>
      <c r="B195" s="14" t="n"/>
      <c r="C195" s="15" t="n"/>
      <c r="D195" s="4" t="n"/>
      <c r="E195" s="4" t="n"/>
      <c r="F195" s="4" t="n"/>
      <c r="G195" s="15" t="n"/>
      <c r="H195" s="14" t="n"/>
      <c r="I195" s="15" t="n"/>
      <c r="J195" s="14" t="n"/>
      <c r="K195" s="15" t="n"/>
      <c r="L195" s="14" t="n"/>
      <c r="M195" s="4" t="n"/>
      <c r="N195" s="4" t="n"/>
      <c r="O195" s="4" t="n"/>
      <c r="P195" s="4" t="n"/>
      <c r="Q195" s="10">
        <f>IF(OR(H195="",I195="回答済み",I195="クローズ"),"",IF(H195&lt;TODAY(),"超過",IF(H195-TODAY()&lt;=3,"間近","")))</f>
        <v/>
      </c>
      <c r="R195" s="13">
        <f>IF(J195="","",IF(L195="",TODAY(),L195)-J195)</f>
        <v/>
      </c>
    </row>
    <row r="196">
      <c r="A196" s="10">
        <f>IF(D196="","",ROW()-4)</f>
        <v/>
      </c>
      <c r="B196" s="14" t="n"/>
      <c r="C196" s="15" t="n"/>
      <c r="D196" s="4" t="n"/>
      <c r="E196" s="4" t="n"/>
      <c r="F196" s="4" t="n"/>
      <c r="G196" s="15" t="n"/>
      <c r="H196" s="14" t="n"/>
      <c r="I196" s="15" t="n"/>
      <c r="J196" s="14" t="n"/>
      <c r="K196" s="15" t="n"/>
      <c r="L196" s="14" t="n"/>
      <c r="M196" s="4" t="n"/>
      <c r="N196" s="4" t="n"/>
      <c r="O196" s="4" t="n"/>
      <c r="P196" s="4" t="n"/>
      <c r="Q196" s="10">
        <f>IF(OR(H196="",I196="回答済み",I196="クローズ"),"",IF(H196&lt;TODAY(),"超過",IF(H196-TODAY()&lt;=3,"間近","")))</f>
        <v/>
      </c>
      <c r="R196" s="13">
        <f>IF(J196="","",IF(L196="",TODAY(),L196)-J196)</f>
        <v/>
      </c>
    </row>
    <row r="197">
      <c r="A197" s="10">
        <f>IF(D197="","",ROW()-4)</f>
        <v/>
      </c>
      <c r="B197" s="14" t="n"/>
      <c r="C197" s="15" t="n"/>
      <c r="D197" s="4" t="n"/>
      <c r="E197" s="4" t="n"/>
      <c r="F197" s="4" t="n"/>
      <c r="G197" s="15" t="n"/>
      <c r="H197" s="14" t="n"/>
      <c r="I197" s="15" t="n"/>
      <c r="J197" s="14" t="n"/>
      <c r="K197" s="15" t="n"/>
      <c r="L197" s="14" t="n"/>
      <c r="M197" s="4" t="n"/>
      <c r="N197" s="4" t="n"/>
      <c r="O197" s="4" t="n"/>
      <c r="P197" s="4" t="n"/>
      <c r="Q197" s="10">
        <f>IF(OR(H197="",I197="回答済み",I197="クローズ"),"",IF(H197&lt;TODAY(),"超過",IF(H197-TODAY()&lt;=3,"間近","")))</f>
        <v/>
      </c>
      <c r="R197" s="13">
        <f>IF(J197="","",IF(L197="",TODAY(),L197)-J197)</f>
        <v/>
      </c>
    </row>
    <row r="198">
      <c r="A198" s="10">
        <f>IF(D198="","",ROW()-4)</f>
        <v/>
      </c>
      <c r="B198" s="14" t="n"/>
      <c r="C198" s="15" t="n"/>
      <c r="D198" s="4" t="n"/>
      <c r="E198" s="4" t="n"/>
      <c r="F198" s="4" t="n"/>
      <c r="G198" s="15" t="n"/>
      <c r="H198" s="14" t="n"/>
      <c r="I198" s="15" t="n"/>
      <c r="J198" s="14" t="n"/>
      <c r="K198" s="15" t="n"/>
      <c r="L198" s="14" t="n"/>
      <c r="M198" s="4" t="n"/>
      <c r="N198" s="4" t="n"/>
      <c r="O198" s="4" t="n"/>
      <c r="P198" s="4" t="n"/>
      <c r="Q198" s="10">
        <f>IF(OR(H198="",I198="回答済み",I198="クローズ"),"",IF(H198&lt;TODAY(),"超過",IF(H198-TODAY()&lt;=3,"間近","")))</f>
        <v/>
      </c>
      <c r="R198" s="13">
        <f>IF(J198="","",IF(L198="",TODAY(),L198)-J198)</f>
        <v/>
      </c>
    </row>
    <row r="199">
      <c r="A199" s="10">
        <f>IF(D199="","",ROW()-4)</f>
        <v/>
      </c>
      <c r="B199" s="14" t="n"/>
      <c r="C199" s="15" t="n"/>
      <c r="D199" s="4" t="n"/>
      <c r="E199" s="4" t="n"/>
      <c r="F199" s="4" t="n"/>
      <c r="G199" s="15" t="n"/>
      <c r="H199" s="14" t="n"/>
      <c r="I199" s="15" t="n"/>
      <c r="J199" s="14" t="n"/>
      <c r="K199" s="15" t="n"/>
      <c r="L199" s="14" t="n"/>
      <c r="M199" s="4" t="n"/>
      <c r="N199" s="4" t="n"/>
      <c r="O199" s="4" t="n"/>
      <c r="P199" s="4" t="n"/>
      <c r="Q199" s="10">
        <f>IF(OR(H199="",I199="回答済み",I199="クローズ"),"",IF(H199&lt;TODAY(),"超過",IF(H199-TODAY()&lt;=3,"間近","")))</f>
        <v/>
      </c>
      <c r="R199" s="13">
        <f>IF(J199="","",IF(L199="",TODAY(),L199)-J199)</f>
        <v/>
      </c>
    </row>
    <row r="200">
      <c r="A200" s="10">
        <f>IF(D200="","",ROW()-4)</f>
        <v/>
      </c>
      <c r="B200" s="14" t="n"/>
      <c r="C200" s="15" t="n"/>
      <c r="D200" s="4" t="n"/>
      <c r="E200" s="4" t="n"/>
      <c r="F200" s="4" t="n"/>
      <c r="G200" s="15" t="n"/>
      <c r="H200" s="14" t="n"/>
      <c r="I200" s="15" t="n"/>
      <c r="J200" s="14" t="n"/>
      <c r="K200" s="15" t="n"/>
      <c r="L200" s="14" t="n"/>
      <c r="M200" s="4" t="n"/>
      <c r="N200" s="4" t="n"/>
      <c r="O200" s="4" t="n"/>
      <c r="P200" s="4" t="n"/>
      <c r="Q200" s="10">
        <f>IF(OR(H200="",I200="回答済み",I200="クローズ"),"",IF(H200&lt;TODAY(),"超過",IF(H200-TODAY()&lt;=3,"間近","")))</f>
        <v/>
      </c>
      <c r="R200" s="13">
        <f>IF(J200="","",IF(L200="",TODAY(),L200)-J200)</f>
        <v/>
      </c>
    </row>
    <row r="201">
      <c r="A201" s="10">
        <f>IF(D201="","",ROW()-4)</f>
        <v/>
      </c>
      <c r="B201" s="14" t="n"/>
      <c r="C201" s="15" t="n"/>
      <c r="D201" s="4" t="n"/>
      <c r="E201" s="4" t="n"/>
      <c r="F201" s="4" t="n"/>
      <c r="G201" s="15" t="n"/>
      <c r="H201" s="14" t="n"/>
      <c r="I201" s="15" t="n"/>
      <c r="J201" s="14" t="n"/>
      <c r="K201" s="15" t="n"/>
      <c r="L201" s="14" t="n"/>
      <c r="M201" s="4" t="n"/>
      <c r="N201" s="4" t="n"/>
      <c r="O201" s="4" t="n"/>
      <c r="P201" s="4" t="n"/>
      <c r="Q201" s="10">
        <f>IF(OR(H201="",I201="回答済み",I201="クローズ"),"",IF(H201&lt;TODAY(),"超過",IF(H201-TODAY()&lt;=3,"間近","")))</f>
        <v/>
      </c>
      <c r="R201" s="13">
        <f>IF(J201="","",IF(L201="",TODAY(),L201)-J201)</f>
        <v/>
      </c>
    </row>
    <row r="202">
      <c r="A202" s="10">
        <f>IF(D202="","",ROW()-4)</f>
        <v/>
      </c>
      <c r="B202" s="14" t="n"/>
      <c r="C202" s="15" t="n"/>
      <c r="D202" s="4" t="n"/>
      <c r="E202" s="4" t="n"/>
      <c r="F202" s="4" t="n"/>
      <c r="G202" s="15" t="n"/>
      <c r="H202" s="14" t="n"/>
      <c r="I202" s="15" t="n"/>
      <c r="J202" s="14" t="n"/>
      <c r="K202" s="15" t="n"/>
      <c r="L202" s="14" t="n"/>
      <c r="M202" s="4" t="n"/>
      <c r="N202" s="4" t="n"/>
      <c r="O202" s="4" t="n"/>
      <c r="P202" s="4" t="n"/>
      <c r="Q202" s="10">
        <f>IF(OR(H202="",I202="回答済み",I202="クローズ"),"",IF(H202&lt;TODAY(),"超過",IF(H202-TODAY()&lt;=3,"間近","")))</f>
        <v/>
      </c>
      <c r="R202" s="13">
        <f>IF(J202="","",IF(L202="",TODAY(),L202)-J202)</f>
        <v/>
      </c>
    </row>
    <row r="203">
      <c r="A203" s="10">
        <f>IF(D203="","",ROW()-4)</f>
        <v/>
      </c>
      <c r="B203" s="14" t="n"/>
      <c r="C203" s="15" t="n"/>
      <c r="D203" s="4" t="n"/>
      <c r="E203" s="4" t="n"/>
      <c r="F203" s="4" t="n"/>
      <c r="G203" s="15" t="n"/>
      <c r="H203" s="14" t="n"/>
      <c r="I203" s="15" t="n"/>
      <c r="J203" s="14" t="n"/>
      <c r="K203" s="15" t="n"/>
      <c r="L203" s="14" t="n"/>
      <c r="M203" s="4" t="n"/>
      <c r="N203" s="4" t="n"/>
      <c r="O203" s="4" t="n"/>
      <c r="P203" s="4" t="n"/>
      <c r="Q203" s="10">
        <f>IF(OR(H203="",I203="回答済み",I203="クローズ"),"",IF(H203&lt;TODAY(),"超過",IF(H203-TODAY()&lt;=3,"間近","")))</f>
        <v/>
      </c>
      <c r="R203" s="13">
        <f>IF(J203="","",IF(L203="",TODAY(),L203)-J203)</f>
        <v/>
      </c>
    </row>
    <row r="204">
      <c r="A204" s="10">
        <f>IF(D204="","",ROW()-4)</f>
        <v/>
      </c>
      <c r="B204" s="14" t="n"/>
      <c r="C204" s="15" t="n"/>
      <c r="D204" s="4" t="n"/>
      <c r="E204" s="4" t="n"/>
      <c r="F204" s="4" t="n"/>
      <c r="G204" s="15" t="n"/>
      <c r="H204" s="14" t="n"/>
      <c r="I204" s="15" t="n"/>
      <c r="J204" s="14" t="n"/>
      <c r="K204" s="15" t="n"/>
      <c r="L204" s="14" t="n"/>
      <c r="M204" s="4" t="n"/>
      <c r="N204" s="4" t="n"/>
      <c r="O204" s="4" t="n"/>
      <c r="P204" s="4" t="n"/>
      <c r="Q204" s="10">
        <f>IF(OR(H204="",I204="回答済み",I204="クローズ"),"",IF(H204&lt;TODAY(),"超過",IF(H204-TODAY()&lt;=3,"間近","")))</f>
        <v/>
      </c>
      <c r="R204" s="13">
        <f>IF(J204="","",IF(L204="",TODAY(),L204)-J204)</f>
        <v/>
      </c>
    </row>
  </sheetData>
  <autoFilter ref="A4:R204"/>
  <conditionalFormatting sqref="A5:R204">
    <cfRule type="expression" priority="1" dxfId="0">
      <formula>$I5="クローズ"</formula>
    </cfRule>
  </conditionalFormatting>
  <conditionalFormatting sqref="I5:I204">
    <cfRule type="expression" priority="2" dxfId="1">
      <formula>$I5="未質問"</formula>
    </cfRule>
    <cfRule type="expression" priority="3" dxfId="2">
      <formula>$I5="質問済み"</formula>
    </cfRule>
    <cfRule type="expression" priority="4" dxfId="3">
      <formula>$I5="回答済み"</formula>
    </cfRule>
    <cfRule type="expression" priority="5" dxfId="4">
      <formula>$I5="保留"</formula>
    </cfRule>
  </conditionalFormatting>
  <conditionalFormatting sqref="Q5:Q204">
    <cfRule type="expression" priority="6" dxfId="5">
      <formula>$Q5="超過"</formula>
    </cfRule>
    <cfRule type="expression" priority="7" dxfId="6">
      <formula>$Q5="間近"</formula>
    </cfRule>
  </conditionalFormatting>
  <conditionalFormatting sqref="G5:G204">
    <cfRule type="expression" priority="8" dxfId="7">
      <formula>$G5="高"</formula>
    </cfRule>
  </conditionalFormatting>
  <dataValidations count="5">
    <dataValidation sqref="C5:C204" showDropDown="0" showInputMessage="0" showErrorMessage="1" allowBlank="1" errorTitle="入力エラー" error="リストから選んでください" promptTitle="カテゴリ" prompt="" type="list">
      <formula1>"業務・仕様,テスト設計,テスト実行,ツール・環境,進め方・スケジュール,社内ルール・手続き,その他"</formula1>
    </dataValidation>
    <dataValidation sqref="G5:G204" showDropDown="0" showInputMessage="0" showErrorMessage="1" allowBlank="1" errorTitle="入力エラー" error="リストから選んでください" promptTitle="優先度" prompt="" type="list">
      <formula1>"高,中,低"</formula1>
    </dataValidation>
    <dataValidation sqref="I5:I204" showDropDown="0" showInputMessage="0" showErrorMessage="1" allowBlank="1" errorTitle="入力エラー" error="リストから選んでください" promptTitle="ステータス" prompt="" type="list">
      <formula1>"未質問,質問済み,回答済み,保留,クローズ"</formula1>
    </dataValidation>
    <dataValidation sqref="K5:K204" showDropDown="0" showInputMessage="0" showErrorMessage="1" allowBlank="1" errorTitle="入力エラー" error="リストから選んでください" promptTitle="質問方法" prompt="" type="list">
      <formula1>"口頭,チャット,メール,定例MTG,1on1"</formula1>
    </dataValidation>
    <dataValidation sqref="B5:B204 H5:H204 J5:J204 L5:L204" showDropDown="0" showInputMessage="0" showErrorMessage="1" allowBlank="1" error="日付（例：2026/10/5）で入力してください" type="date" operator="greaterThan">
      <formula1>36526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質問の集計（自動計算・入力不要）</t>
        </is>
      </c>
    </row>
    <row r="3">
      <c r="A3" s="16" t="inlineStr">
        <is>
          <t>■ 全体</t>
        </is>
      </c>
    </row>
    <row r="4">
      <c r="A4" s="17" t="inlineStr">
        <is>
          <t>項目</t>
        </is>
      </c>
      <c r="B4" s="17" t="inlineStr">
        <is>
          <t>件数</t>
        </is>
      </c>
    </row>
    <row r="5">
      <c r="A5" s="18" t="inlineStr">
        <is>
          <t>質問の総数</t>
        </is>
      </c>
      <c r="B5" s="19">
        <f>COUNTIF('質問一覧'!$D$5:$D$204,"?*")</f>
        <v/>
      </c>
    </row>
    <row r="6">
      <c r="A6" s="20" t="inlineStr">
        <is>
          <t>未解決（未質問・質問済み・保留）</t>
        </is>
      </c>
      <c r="B6" s="21">
        <f>COUNTIF('質問一覧'!$I$5:$I$204,"未質問")+COUNTIF('質問一覧'!$I$5:$I$204,"質問済み")+COUNTIF('質問一覧'!$I$5:$I$204,"保留")</f>
        <v/>
      </c>
    </row>
    <row r="7">
      <c r="A7" s="20" t="inlineStr">
        <is>
          <t>期限超過</t>
        </is>
      </c>
      <c r="B7" s="21">
        <f>COUNTIF('質問一覧'!$Q$5:$Q$204,"超過")</f>
        <v/>
      </c>
    </row>
    <row r="8">
      <c r="A8" s="20" t="inlineStr">
        <is>
          <t>期限間近（3日以内）</t>
        </is>
      </c>
      <c r="B8" s="21">
        <f>COUNTIF('質問一覧'!$Q$5:$Q$204,"間近")</f>
        <v/>
      </c>
    </row>
    <row r="9">
      <c r="A9" s="20" t="inlineStr">
        <is>
          <t>平均回答日数（回答済みのみ）</t>
        </is>
      </c>
      <c r="B9" s="22">
        <f>IFERROR(AVERAGEIFS('質問一覧'!$R$5:$R$204,'質問一覧'!$L$5:$L$204,"&lt;&gt;"),"-")</f>
        <v/>
      </c>
    </row>
    <row r="11">
      <c r="A11" s="16" t="inlineStr">
        <is>
          <t>■ ステータス別</t>
        </is>
      </c>
    </row>
    <row r="12">
      <c r="A12" s="17" t="inlineStr">
        <is>
          <t>区分</t>
        </is>
      </c>
      <c r="B12" s="17" t="inlineStr">
        <is>
          <t>件数</t>
        </is>
      </c>
    </row>
    <row r="13">
      <c r="A13" s="20" t="inlineStr">
        <is>
          <t>未質問</t>
        </is>
      </c>
      <c r="B13" s="21">
        <f>COUNTIF('質問一覧'!$I$5:$I$204,A13)</f>
        <v/>
      </c>
    </row>
    <row r="14">
      <c r="A14" s="20" t="inlineStr">
        <is>
          <t>質問済み</t>
        </is>
      </c>
      <c r="B14" s="21">
        <f>COUNTIF('質問一覧'!$I$5:$I$204,A14)</f>
        <v/>
      </c>
    </row>
    <row r="15">
      <c r="A15" s="20" t="inlineStr">
        <is>
          <t>回答済み</t>
        </is>
      </c>
      <c r="B15" s="21">
        <f>COUNTIF('質問一覧'!$I$5:$I$204,A15)</f>
        <v/>
      </c>
    </row>
    <row r="16">
      <c r="A16" s="20" t="inlineStr">
        <is>
          <t>保留</t>
        </is>
      </c>
      <c r="B16" s="21">
        <f>COUNTIF('質問一覧'!$I$5:$I$204,A16)</f>
        <v/>
      </c>
    </row>
    <row r="17">
      <c r="A17" s="20" t="inlineStr">
        <is>
          <t>クローズ</t>
        </is>
      </c>
      <c r="B17" s="21">
        <f>COUNTIF('質問一覧'!$I$5:$I$204,A17)</f>
        <v/>
      </c>
    </row>
    <row r="18">
      <c r="A18" s="20" t="inlineStr">
        <is>
          <t>未選択</t>
        </is>
      </c>
      <c r="B18" s="21">
        <f>B5-SUM(B13:B17)</f>
        <v/>
      </c>
    </row>
    <row r="20">
      <c r="A20" s="16" t="inlineStr">
        <is>
          <t>■ 優先度別</t>
        </is>
      </c>
    </row>
    <row r="21">
      <c r="A21" s="17" t="inlineStr">
        <is>
          <t>区分</t>
        </is>
      </c>
      <c r="B21" s="17" t="inlineStr">
        <is>
          <t>件数</t>
        </is>
      </c>
    </row>
    <row r="22">
      <c r="A22" s="20" t="inlineStr">
        <is>
          <t>高</t>
        </is>
      </c>
      <c r="B22" s="21">
        <f>COUNTIF('質問一覧'!$G$5:$G$204,A22)</f>
        <v/>
      </c>
    </row>
    <row r="23">
      <c r="A23" s="20" t="inlineStr">
        <is>
          <t>中</t>
        </is>
      </c>
      <c r="B23" s="21">
        <f>COUNTIF('質問一覧'!$G$5:$G$204,A23)</f>
        <v/>
      </c>
    </row>
    <row r="24">
      <c r="A24" s="20" t="inlineStr">
        <is>
          <t>低</t>
        </is>
      </c>
      <c r="B24" s="21">
        <f>COUNTIF('質問一覧'!$G$5:$G$204,A24)</f>
        <v/>
      </c>
    </row>
    <row r="25">
      <c r="A25" s="20" t="inlineStr">
        <is>
          <t>未選択</t>
        </is>
      </c>
      <c r="B25" s="21">
        <f>B5-SUM(B22:B24)</f>
        <v/>
      </c>
    </row>
    <row r="27">
      <c r="A27" s="16" t="inlineStr">
        <is>
          <t>■ カテゴリ別</t>
        </is>
      </c>
    </row>
    <row r="28">
      <c r="A28" s="17" t="inlineStr">
        <is>
          <t>区分</t>
        </is>
      </c>
      <c r="B28" s="17" t="inlineStr">
        <is>
          <t>件数</t>
        </is>
      </c>
    </row>
    <row r="29">
      <c r="A29" s="20" t="inlineStr">
        <is>
          <t>業務・仕様</t>
        </is>
      </c>
      <c r="B29" s="21">
        <f>COUNTIF('質問一覧'!$C$5:$C$204,A29)</f>
        <v/>
      </c>
    </row>
    <row r="30">
      <c r="A30" s="20" t="inlineStr">
        <is>
          <t>テスト設計</t>
        </is>
      </c>
      <c r="B30" s="21">
        <f>COUNTIF('質問一覧'!$C$5:$C$204,A30)</f>
        <v/>
      </c>
    </row>
    <row r="31">
      <c r="A31" s="20" t="inlineStr">
        <is>
          <t>テスト実行</t>
        </is>
      </c>
      <c r="B31" s="21">
        <f>COUNTIF('質問一覧'!$C$5:$C$204,A31)</f>
        <v/>
      </c>
    </row>
    <row r="32">
      <c r="A32" s="20" t="inlineStr">
        <is>
          <t>ツール・環境</t>
        </is>
      </c>
      <c r="B32" s="21">
        <f>COUNTIF('質問一覧'!$C$5:$C$204,A32)</f>
        <v/>
      </c>
    </row>
    <row r="33">
      <c r="A33" s="20" t="inlineStr">
        <is>
          <t>進め方・スケジュール</t>
        </is>
      </c>
      <c r="B33" s="21">
        <f>COUNTIF('質問一覧'!$C$5:$C$204,A33)</f>
        <v/>
      </c>
    </row>
    <row r="34">
      <c r="A34" s="20" t="inlineStr">
        <is>
          <t>社内ルール・手続き</t>
        </is>
      </c>
      <c r="B34" s="21">
        <f>COUNTIF('質問一覧'!$C$5:$C$204,A34)</f>
        <v/>
      </c>
    </row>
    <row r="35">
      <c r="A35" s="20" t="inlineStr">
        <is>
          <t>その他</t>
        </is>
      </c>
      <c r="B35" s="21">
        <f>COUNTIF('質問一覧'!$C$5:$C$204,A35)</f>
        <v/>
      </c>
    </row>
    <row r="36">
      <c r="A36" s="20" t="inlineStr">
        <is>
          <t>未選択</t>
        </is>
      </c>
      <c r="B36" s="21">
        <f>B5-SUM(B29:B35)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2026-10-05T08:05:42Z</dcterms:created>
  <dcterms:modified xsi:type="dcterms:W3CDTF">2026-10-05T08:05:42Z</dcterms:modified>
</cp:coreProperties>
</file>